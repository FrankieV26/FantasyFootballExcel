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1fb48d050b2357/Documents/Fantasy Football/"/>
    </mc:Choice>
  </mc:AlternateContent>
  <xr:revisionPtr revIDLastSave="820" documentId="13_ncr:1_{E03FAD41-CED0-448E-A011-368DCF21DD4C}" xr6:coauthVersionLast="47" xr6:coauthVersionMax="47" xr10:uidLastSave="{3B000AA6-E716-44ED-85C8-A0E1918A9F2F}"/>
  <bookViews>
    <workbookView xWindow="-28920" yWindow="-120" windowWidth="29040" windowHeight="15720" xr2:uid="{E89413D6-9EBE-4652-A600-9ACD37314876}"/>
  </bookViews>
  <sheets>
    <sheet name="Pivot" sheetId="7" r:id="rId1"/>
    <sheet name="Scoring" sheetId="3" r:id="rId2"/>
    <sheet name="Checks" sheetId="5" r:id="rId3"/>
    <sheet name="Combined (Pivot Source)" sheetId="6" r:id="rId4"/>
    <sheet name="DK Over Unders" sheetId="1" r:id="rId5"/>
    <sheet name="ESPN Projections" sheetId="2" r:id="rId6"/>
  </sheets>
  <functionGroups builtInGroupCount="19"/>
  <definedNames>
    <definedName name="_xlnm._FilterDatabase" localSheetId="3" hidden="1">'Combined (Pivot Source)'!$A$1:$AJ$518</definedName>
    <definedName name="_xlnm._FilterDatabase" localSheetId="4" hidden="1">'DK Over Unders'!$A$1:$K$250</definedName>
    <definedName name="_xlnm._FilterDatabase" localSheetId="5" hidden="1">'ESPN Projections'!$A$1:$L$3</definedName>
    <definedName name="_xlpm.acc" hidden="1" xlm="1">#NAME?</definedName>
    <definedName name="_xlpm.acccol_name" hidden="1" xlm="1">#NAME?</definedName>
    <definedName name="_xlpm.accol_name" hidden="1" xlm="1">#NAME?</definedName>
    <definedName name="_xlpm.acol_name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l_" hidden="1" xlm="1">#NAME?</definedName>
    <definedName name="_xlpm.col_array" hidden="1" xlm="1">#NAME?</definedName>
    <definedName name="_xlpm.col_n" hidden="1" xlm="1">#NAME?</definedName>
    <definedName name="_xlpm.col_na" hidden="1" xlm="1">#NAME?</definedName>
    <definedName name="_xlpm.col_nam" hidden="1" xlm="1">#NAME?</definedName>
    <definedName name="_xlpm.col_name" hidden="1" xlm="1">#NAME?</definedName>
    <definedName name="_xlpm.col_name_name" hidden="1" xlm="1">#NAME?</definedName>
    <definedName name="_xlpm.col_nameame" hidden="1" xlm="1">#NAME?</definedName>
    <definedName name="_xlpm.col_namecol_name" hidden="1" xlm="1">#NAME?</definedName>
    <definedName name="_xlpm.col_namee" hidden="1" xlm="1">#NAME?</definedName>
    <definedName name="_xlpm.col_namel_name" hidden="1" xlm="1">#NAME?</definedName>
    <definedName name="_xlpm.col_nameme" hidden="1" xlm="1">#NAME?</definedName>
    <definedName name="_xlpm.col_namename" hidden="1" xlm="1">#NAME?</definedName>
    <definedName name="_xlpm.col_nameol_name" hidden="1" xlm="1">#NAME?</definedName>
    <definedName name="_xlpm.col_names" hidden="1" xlm="1">#NAME?</definedName>
    <definedName name="_xlpm.ext" hidden="1" xlm="1">#NAME?</definedName>
    <definedName name="_xlpm.i" hidden="1" xlm="1">#NAME?</definedName>
    <definedName name="_xlpm.in" hidden="1" xlm="1">#NAME?</definedName>
    <definedName name="_xlpm.int" hidden="1" xlm="1">#NAME?</definedName>
    <definedName name="_xlpm.int_" hidden="1" xlm="1">#NAME?</definedName>
    <definedName name="_xlpm.int_E" hidden="1" xlm="1">#NAME?</definedName>
    <definedName name="_xlpm.int_ES" hidden="1" xlm="1">#NAME?</definedName>
    <definedName name="_xlpm.int_ESP" hidden="1" xlm="1">#NAME?</definedName>
    <definedName name="_xlpm.int_ESPN" hidden="1" xlm="1">#NAME?</definedName>
    <definedName name="_xlpm.scol_name" hidden="1" xlm="1">#NAME?</definedName>
    <definedName name="_xlpm.stcol_name" hidden="1" xlm="1">#NAME?</definedName>
    <definedName name="_xlpm.str" hidden="1" xlm="1">#NAME?</definedName>
    <definedName name="_xlpm.strcol_name" hidden="1" xlm="1">#NAME?</definedName>
    <definedName name="_xlpm.t" hidden="1" xlm="1">#NAME?</definedName>
    <definedName name="_xlpm.to" hidden="1" xlm="1">#NAME?</definedName>
    <definedName name="_xlpm.tot" hidden="1" xlm="1">#NAME?</definedName>
    <definedName name="_xlpm.tota" hidden="1" xlm="1">#NAME?</definedName>
    <definedName name="_xlpm.total" hidden="1" xlm="1">#NAME?</definedName>
    <definedName name="_xlpm.vacol_name" hidden="1" xlm="1">#NAME?</definedName>
    <definedName name="_xlpm.val" hidden="1" xlm="1">#NAME?</definedName>
    <definedName name="_xlpm.valcol_name" hidden="1" xlm="1">#NAME?</definedName>
    <definedName name="_xlpm.vcol_name" hidden="1" xlm="1">#NAME?</definedName>
    <definedName name="aCols">{"int","passing_td","passing_yards","rec","rec_td","rec_yards","rush_td","rush_yards"}</definedName>
    <definedName name="fColTotal">_xlfn.LAMBDA(_xlpm.col_name,_xlpm.ext,fScoreVal(_xlpm.col_name)*fColVal(_xlpm.col_name&amp;"_"&amp;_xlpm.ext))</definedName>
    <definedName name="fColVal">_xlfn.LAMBDA(_xlpm.col_name,OFFSET('Combined (Pivot Source)'!$A$1,ROW()-1,MATCH(_xlpm.col_name,'Combined (Pivot Source)'!$1:$1,0)-1))</definedName>
    <definedName name="fScore_Total">_xlfn.LAMBDA(_xlpm.ext,_xlpm.col_array,_xlfn.REDUCE(0,_xlpm.col_array,_xlfn.LAMBDA(_xlpm.total,_xlpm.col_name,_xlpm.total+fColTotal(_xlpm.col_name,_xlpm.ext))))</definedName>
    <definedName name="fScoreVal">_xlfn.LAMBDA(_xlpm.col_name,VLOOKUP(_xlpm.col_name,rScoring,2,0))</definedName>
    <definedName name="rDK">OFFSET('DK Over Unders'!$A$1,0,0,COUNTA('DK Over Unders'!$A:$A),COUNTA('DK Over Unders'!$1:$1))</definedName>
    <definedName name="rDK_OPOY">OFFSET('DK Over Unders'!$A$1,0,MATCH("OPOY",'DK Over Unders'!$1:$1,0)-1,COUNTA('DK Over Unders'!$A:$A))</definedName>
    <definedName name="rDK_OROY">OFFSET('DK Over Unders'!$A$1,0,MATCH("OROY",'DK Over Unders'!$1:$1,0)-1,COUNTA('DK Over Unders'!$A:$A))</definedName>
    <definedName name="rDK_Players">OFFSET('DK Over Unders'!$A$1,0,MATCH("Player",'DK Over Unders'!$1:$1,0)-1,COUNTA('DK Over Unders'!$A:$A))</definedName>
    <definedName name="rESPN">OFFSET('ESPN Projections'!$A$1,0,0,COUNTA('ESPN Projections'!$A:$A),COUNTA('ESPN Projections'!$1:$1))</definedName>
    <definedName name="rESPN_Players">OFFSET('ESPN Projections'!$A$1,0,MATCH("Player",'ESPN Projections'!$1:$1,0)-1,COUNTA('ESPN Projections'!$A:$A))</definedName>
    <definedName name="rPivotSource">OFFSET('Combined (Pivot Source)'!$A$1,0,0,COUNTA('Combined (Pivot Source)'!$A:$A),COUNTA('Combined (Pivot Source)'!$1:$1))</definedName>
    <definedName name="rScoring">OFFSET(Scoring!$A$1,0,0,COUNTA(Scoring!$A:$A),COUNTA(Scoring!$1:$1))</definedName>
  </definedNames>
  <calcPr calcId="191029"/>
  <pivotCaches>
    <pivotCache cacheId="2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3" l="1"/>
  <c r="AI518" i="6"/>
  <c r="AI517" i="6"/>
  <c r="AI516" i="6"/>
  <c r="AI515" i="6"/>
  <c r="AI514" i="6"/>
  <c r="AI513" i="6"/>
  <c r="AI512" i="6"/>
  <c r="AI511" i="6"/>
  <c r="AI510" i="6"/>
  <c r="AI509" i="6"/>
  <c r="AI508" i="6"/>
  <c r="AI507" i="6"/>
  <c r="AI506" i="6"/>
  <c r="AI505" i="6"/>
  <c r="AI504" i="6"/>
  <c r="AI503" i="6"/>
  <c r="AI502" i="6"/>
  <c r="AI501" i="6"/>
  <c r="AI500" i="6"/>
  <c r="AI499" i="6"/>
  <c r="AI498" i="6"/>
  <c r="AI497" i="6"/>
  <c r="AI496" i="6"/>
  <c r="AI495" i="6"/>
  <c r="AI494" i="6"/>
  <c r="AI493" i="6"/>
  <c r="AI492" i="6"/>
  <c r="AI491" i="6"/>
  <c r="AI490" i="6"/>
  <c r="AI489" i="6"/>
  <c r="AI488" i="6"/>
  <c r="AI487" i="6"/>
  <c r="AI486" i="6"/>
  <c r="AI485" i="6"/>
  <c r="AI484" i="6"/>
  <c r="AI483" i="6"/>
  <c r="AI482" i="6"/>
  <c r="AI481" i="6"/>
  <c r="AI480" i="6"/>
  <c r="AI479" i="6"/>
  <c r="AI478" i="6"/>
  <c r="AI477" i="6"/>
  <c r="AI476" i="6"/>
  <c r="AI475" i="6"/>
  <c r="AI474" i="6"/>
  <c r="AI473" i="6"/>
  <c r="AI472" i="6"/>
  <c r="AI471" i="6"/>
  <c r="AI470" i="6"/>
  <c r="AI469" i="6"/>
  <c r="AI468" i="6"/>
  <c r="AI467" i="6"/>
  <c r="AI466" i="6"/>
  <c r="AI465" i="6"/>
  <c r="AI464" i="6"/>
  <c r="AI463" i="6"/>
  <c r="AI462" i="6"/>
  <c r="AI461" i="6"/>
  <c r="AI460" i="6"/>
  <c r="AI459" i="6"/>
  <c r="AI458" i="6"/>
  <c r="AI457" i="6"/>
  <c r="AI456" i="6"/>
  <c r="AI455" i="6"/>
  <c r="AI454" i="6"/>
  <c r="AI453" i="6"/>
  <c r="AI452" i="6"/>
  <c r="AI451" i="6"/>
  <c r="AI450" i="6"/>
  <c r="AI449" i="6"/>
  <c r="AI448" i="6"/>
  <c r="AI447" i="6"/>
  <c r="AI446" i="6"/>
  <c r="AI445" i="6"/>
  <c r="AI444" i="6"/>
  <c r="AI443" i="6"/>
  <c r="AI442" i="6"/>
  <c r="AI441" i="6"/>
  <c r="AI440" i="6"/>
  <c r="AI439" i="6"/>
  <c r="AI438" i="6"/>
  <c r="AI437" i="6"/>
  <c r="AI436" i="6"/>
  <c r="AI435" i="6"/>
  <c r="AI434" i="6"/>
  <c r="AI433" i="6"/>
  <c r="AI432" i="6"/>
  <c r="AI431" i="6"/>
  <c r="AI430" i="6"/>
  <c r="AI429" i="6"/>
  <c r="AI428" i="6"/>
  <c r="AI427" i="6"/>
  <c r="AI426" i="6"/>
  <c r="AI425" i="6"/>
  <c r="AI424" i="6"/>
  <c r="AI423" i="6"/>
  <c r="AI422" i="6"/>
  <c r="AI421" i="6"/>
  <c r="AI420" i="6"/>
  <c r="AI419" i="6"/>
  <c r="AI418" i="6"/>
  <c r="AI417" i="6"/>
  <c r="AI416" i="6"/>
  <c r="AI415" i="6"/>
  <c r="AI414" i="6"/>
  <c r="AI413" i="6"/>
  <c r="AI412" i="6"/>
  <c r="AI411" i="6"/>
  <c r="AI410" i="6"/>
  <c r="AI409" i="6"/>
  <c r="AI408" i="6"/>
  <c r="AI407" i="6"/>
  <c r="AI406" i="6"/>
  <c r="AI405" i="6"/>
  <c r="AI404" i="6"/>
  <c r="AI403" i="6"/>
  <c r="AI402" i="6"/>
  <c r="AI401" i="6"/>
  <c r="AI400" i="6"/>
  <c r="AI399" i="6"/>
  <c r="AI398" i="6"/>
  <c r="AI397" i="6"/>
  <c r="AI396" i="6"/>
  <c r="AI395" i="6"/>
  <c r="AI394" i="6"/>
  <c r="AI393" i="6"/>
  <c r="AI392" i="6"/>
  <c r="AI391" i="6"/>
  <c r="AI390" i="6"/>
  <c r="AI389" i="6"/>
  <c r="AI388" i="6"/>
  <c r="AI387" i="6"/>
  <c r="AI386" i="6"/>
  <c r="AI385" i="6"/>
  <c r="AI384" i="6"/>
  <c r="AI383" i="6"/>
  <c r="AI382" i="6"/>
  <c r="AI381" i="6"/>
  <c r="AI380" i="6"/>
  <c r="AI379" i="6"/>
  <c r="AI378" i="6"/>
  <c r="AI377" i="6"/>
  <c r="AI376" i="6"/>
  <c r="AI375" i="6"/>
  <c r="AI374" i="6"/>
  <c r="AI373" i="6"/>
  <c r="AI372" i="6"/>
  <c r="AI371" i="6"/>
  <c r="AI370" i="6"/>
  <c r="AI369" i="6"/>
  <c r="AI368" i="6"/>
  <c r="AI367" i="6"/>
  <c r="AI366" i="6"/>
  <c r="AI365" i="6"/>
  <c r="AI364" i="6"/>
  <c r="AI363" i="6"/>
  <c r="AI362" i="6"/>
  <c r="AI361" i="6"/>
  <c r="AI360" i="6"/>
  <c r="AI359" i="6"/>
  <c r="AI358" i="6"/>
  <c r="AI357" i="6"/>
  <c r="AI356" i="6"/>
  <c r="AI355" i="6"/>
  <c r="AI354" i="6"/>
  <c r="AI353" i="6"/>
  <c r="AI352" i="6"/>
  <c r="AI351" i="6"/>
  <c r="AI350" i="6"/>
  <c r="AI349" i="6"/>
  <c r="AI348" i="6"/>
  <c r="AI347" i="6"/>
  <c r="AI346" i="6"/>
  <c r="AI345" i="6"/>
  <c r="AI344" i="6"/>
  <c r="AI343" i="6"/>
  <c r="AI342" i="6"/>
  <c r="AI341" i="6"/>
  <c r="AI340" i="6"/>
  <c r="AI339" i="6"/>
  <c r="AI338" i="6"/>
  <c r="AI337" i="6"/>
  <c r="AI336" i="6"/>
  <c r="AI335" i="6"/>
  <c r="AI334" i="6"/>
  <c r="AI333" i="6"/>
  <c r="AI332" i="6"/>
  <c r="AI331" i="6"/>
  <c r="AI330" i="6"/>
  <c r="AI329" i="6"/>
  <c r="AI328" i="6"/>
  <c r="AI327" i="6"/>
  <c r="AI326" i="6"/>
  <c r="AI325" i="6"/>
  <c r="AI324" i="6"/>
  <c r="AI323" i="6"/>
  <c r="AI322" i="6"/>
  <c r="AI321" i="6"/>
  <c r="AI320" i="6"/>
  <c r="AI319" i="6"/>
  <c r="AI318" i="6"/>
  <c r="AI317" i="6"/>
  <c r="AI316" i="6"/>
  <c r="AI315" i="6"/>
  <c r="AI314" i="6"/>
  <c r="AI313" i="6"/>
  <c r="AI312" i="6"/>
  <c r="AI311" i="6"/>
  <c r="AI310" i="6"/>
  <c r="AI309" i="6"/>
  <c r="AI308" i="6"/>
  <c r="AI307" i="6"/>
  <c r="AI306" i="6"/>
  <c r="AI305" i="6"/>
  <c r="AI304" i="6"/>
  <c r="AI303" i="6"/>
  <c r="AI302" i="6"/>
  <c r="AI301" i="6"/>
  <c r="AI300" i="6"/>
  <c r="AI299" i="6"/>
  <c r="AI298" i="6"/>
  <c r="AI297" i="6"/>
  <c r="AI296" i="6"/>
  <c r="AI295" i="6"/>
  <c r="AI294" i="6"/>
  <c r="AI293" i="6"/>
  <c r="AI292" i="6"/>
  <c r="AI291" i="6"/>
  <c r="AI290" i="6"/>
  <c r="AI289" i="6"/>
  <c r="AI288" i="6"/>
  <c r="AI287" i="6"/>
  <c r="AI286" i="6"/>
  <c r="AI285" i="6"/>
  <c r="AI284" i="6"/>
  <c r="AI283" i="6"/>
  <c r="AI282" i="6"/>
  <c r="AI281" i="6"/>
  <c r="AI280" i="6"/>
  <c r="AI279" i="6"/>
  <c r="AI278" i="6"/>
  <c r="AI277" i="6"/>
  <c r="AI276" i="6"/>
  <c r="AI275" i="6"/>
  <c r="AI274" i="6"/>
  <c r="AI273" i="6"/>
  <c r="AI272" i="6"/>
  <c r="AI271" i="6"/>
  <c r="AI270" i="6"/>
  <c r="AI269" i="6"/>
  <c r="AI268" i="6"/>
  <c r="AI267" i="6"/>
  <c r="AI266" i="6"/>
  <c r="AI265" i="6"/>
  <c r="AI264" i="6"/>
  <c r="AI263" i="6"/>
  <c r="AI262" i="6"/>
  <c r="AI261" i="6"/>
  <c r="AI260" i="6"/>
  <c r="AI259" i="6"/>
  <c r="AI258" i="6"/>
  <c r="AI257" i="6"/>
  <c r="AI256" i="6"/>
  <c r="AI255" i="6"/>
  <c r="AI254" i="6"/>
  <c r="AI253" i="6"/>
  <c r="AI252" i="6"/>
  <c r="AI251" i="6"/>
  <c r="AI250" i="6"/>
  <c r="AI249" i="6"/>
  <c r="AI248" i="6"/>
  <c r="AI247" i="6"/>
  <c r="AI246" i="6"/>
  <c r="AI245" i="6"/>
  <c r="AI244" i="6"/>
  <c r="AI243" i="6"/>
  <c r="AI242" i="6"/>
  <c r="AI241" i="6"/>
  <c r="AI240" i="6"/>
  <c r="AI239" i="6"/>
  <c r="AI238" i="6"/>
  <c r="AI237" i="6"/>
  <c r="AI236" i="6"/>
  <c r="AI235" i="6"/>
  <c r="AI234" i="6"/>
  <c r="AI233" i="6"/>
  <c r="AI232" i="6"/>
  <c r="AI231" i="6"/>
  <c r="AI230" i="6"/>
  <c r="AI229" i="6"/>
  <c r="AI228" i="6"/>
  <c r="AI227" i="6"/>
  <c r="AI226" i="6"/>
  <c r="AI225" i="6"/>
  <c r="AI224" i="6"/>
  <c r="AI223" i="6"/>
  <c r="AI222" i="6"/>
  <c r="AI221" i="6"/>
  <c r="AI220" i="6"/>
  <c r="AI219" i="6"/>
  <c r="AI218" i="6"/>
  <c r="AI217" i="6"/>
  <c r="AI216" i="6"/>
  <c r="AI215" i="6"/>
  <c r="AI214" i="6"/>
  <c r="AI213" i="6"/>
  <c r="AI212" i="6"/>
  <c r="AI211" i="6"/>
  <c r="AI210" i="6"/>
  <c r="AI209" i="6"/>
  <c r="AI208" i="6"/>
  <c r="AI207" i="6"/>
  <c r="AI206" i="6"/>
  <c r="AI205" i="6"/>
  <c r="AI204" i="6"/>
  <c r="AI203" i="6"/>
  <c r="AI202" i="6"/>
  <c r="AI201" i="6"/>
  <c r="AI200" i="6"/>
  <c r="AI199" i="6"/>
  <c r="AI198" i="6"/>
  <c r="AI197" i="6"/>
  <c r="AI196" i="6"/>
  <c r="AI195" i="6"/>
  <c r="AI194" i="6"/>
  <c r="AI193" i="6"/>
  <c r="AI192" i="6"/>
  <c r="AI191" i="6"/>
  <c r="AI190" i="6"/>
  <c r="AI189" i="6"/>
  <c r="AI188" i="6"/>
  <c r="AI187" i="6"/>
  <c r="AI186" i="6"/>
  <c r="AI185" i="6"/>
  <c r="AI184" i="6"/>
  <c r="AI183" i="6"/>
  <c r="AI182" i="6"/>
  <c r="AI181" i="6"/>
  <c r="AI180" i="6"/>
  <c r="AI179" i="6"/>
  <c r="AI178" i="6"/>
  <c r="AI177" i="6"/>
  <c r="AI176" i="6"/>
  <c r="AI175" i="6"/>
  <c r="AI174" i="6"/>
  <c r="AI173" i="6"/>
  <c r="AI172" i="6"/>
  <c r="AI171" i="6"/>
  <c r="AI170" i="6"/>
  <c r="AI169" i="6"/>
  <c r="AI168" i="6"/>
  <c r="AI167" i="6"/>
  <c r="AI166" i="6"/>
  <c r="AI165" i="6"/>
  <c r="AI164" i="6"/>
  <c r="AI163" i="6"/>
  <c r="AI162" i="6"/>
  <c r="AI161" i="6"/>
  <c r="AI160" i="6"/>
  <c r="AI159" i="6"/>
  <c r="AI158" i="6"/>
  <c r="AI157" i="6"/>
  <c r="AI156" i="6"/>
  <c r="AI155" i="6"/>
  <c r="AI154" i="6"/>
  <c r="AI153" i="6"/>
  <c r="AI152" i="6"/>
  <c r="AI151" i="6"/>
  <c r="AI150" i="6"/>
  <c r="AI149" i="6"/>
  <c r="AI148" i="6"/>
  <c r="AI147" i="6"/>
  <c r="AI146" i="6"/>
  <c r="AI145" i="6"/>
  <c r="AI144" i="6"/>
  <c r="AI143" i="6"/>
  <c r="AI142" i="6"/>
  <c r="AI141" i="6"/>
  <c r="AI140" i="6"/>
  <c r="AI139" i="6"/>
  <c r="AI138" i="6"/>
  <c r="AI137" i="6"/>
  <c r="AI136" i="6"/>
  <c r="AI135" i="6"/>
  <c r="AI134" i="6"/>
  <c r="AI133" i="6"/>
  <c r="AI132" i="6"/>
  <c r="AI131" i="6"/>
  <c r="AI130" i="6"/>
  <c r="AI129" i="6"/>
  <c r="AI128" i="6"/>
  <c r="AI127" i="6"/>
  <c r="AI126" i="6"/>
  <c r="AI125" i="6"/>
  <c r="AI124" i="6"/>
  <c r="AI123" i="6"/>
  <c r="AI122" i="6"/>
  <c r="AI121" i="6"/>
  <c r="AI120" i="6"/>
  <c r="AI119" i="6"/>
  <c r="AI118" i="6"/>
  <c r="AI117" i="6"/>
  <c r="AI116" i="6"/>
  <c r="AI115" i="6"/>
  <c r="AI114" i="6"/>
  <c r="AI113" i="6"/>
  <c r="AI112" i="6"/>
  <c r="AI111" i="6"/>
  <c r="AI110" i="6"/>
  <c r="AI109" i="6"/>
  <c r="AI108" i="6"/>
  <c r="AI107" i="6"/>
  <c r="AI106" i="6"/>
  <c r="AI105" i="6"/>
  <c r="AI104" i="6"/>
  <c r="AI103" i="6"/>
  <c r="AI102" i="6"/>
  <c r="AI101" i="6"/>
  <c r="AI100" i="6"/>
  <c r="AI99" i="6"/>
  <c r="AI98" i="6"/>
  <c r="AI97" i="6"/>
  <c r="AI96" i="6"/>
  <c r="AI95" i="6"/>
  <c r="AI94" i="6"/>
  <c r="AI93" i="6"/>
  <c r="AI92" i="6"/>
  <c r="AI91" i="6"/>
  <c r="AI90" i="6"/>
  <c r="AI89" i="6"/>
  <c r="AI88" i="6"/>
  <c r="AI87" i="6"/>
  <c r="AI86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I6" i="6"/>
  <c r="AI5" i="6"/>
  <c r="AI4" i="6"/>
  <c r="AI3" i="6"/>
  <c r="AI2" i="6"/>
  <c r="AG518" i="6" a="1"/>
  <c r="AG518" i="6" s="1"/>
  <c r="AF518" i="6" a="1"/>
  <c r="AF518" i="6" s="1"/>
  <c r="AG517" i="6" a="1"/>
  <c r="AG517" i="6" s="1"/>
  <c r="AF517" i="6" a="1"/>
  <c r="AF517" i="6" s="1"/>
  <c r="AG516" i="6" a="1"/>
  <c r="AG516" i="6" s="1"/>
  <c r="AF516" i="6" a="1"/>
  <c r="AF516" i="6" s="1"/>
  <c r="AG515" i="6" a="1"/>
  <c r="AG515" i="6" s="1"/>
  <c r="AF515" i="6" a="1"/>
  <c r="AF515" i="6" s="1"/>
  <c r="AG514" i="6" a="1"/>
  <c r="AG514" i="6" s="1"/>
  <c r="AF514" i="6" a="1"/>
  <c r="AF514" i="6" s="1"/>
  <c r="AG513" i="6" a="1"/>
  <c r="AG513" i="6" s="1"/>
  <c r="AF513" i="6" a="1"/>
  <c r="AF513" i="6" s="1"/>
  <c r="AG512" i="6" a="1"/>
  <c r="AG512" i="6" s="1"/>
  <c r="AF512" i="6" a="1"/>
  <c r="AF512" i="6" s="1"/>
  <c r="AG511" i="6" a="1"/>
  <c r="AG511" i="6" s="1"/>
  <c r="AF511" i="6" a="1"/>
  <c r="AF511" i="6" s="1"/>
  <c r="AG510" i="6" a="1"/>
  <c r="AG510" i="6" s="1"/>
  <c r="AF510" i="6" a="1"/>
  <c r="AF510" i="6" s="1"/>
  <c r="AG509" i="6" a="1"/>
  <c r="AG509" i="6" s="1"/>
  <c r="AF509" i="6" a="1"/>
  <c r="AF509" i="6" s="1"/>
  <c r="AG508" i="6" a="1"/>
  <c r="AG508" i="6" s="1"/>
  <c r="AF508" i="6" a="1"/>
  <c r="AF508" i="6" s="1"/>
  <c r="AG507" i="6" a="1"/>
  <c r="AG507" i="6" s="1"/>
  <c r="AF507" i="6" a="1"/>
  <c r="AF507" i="6" s="1"/>
  <c r="AG506" i="6" a="1"/>
  <c r="AG506" i="6" s="1"/>
  <c r="AF506" i="6" a="1"/>
  <c r="AF506" i="6" s="1"/>
  <c r="AG505" i="6" a="1"/>
  <c r="AG505" i="6" s="1"/>
  <c r="AF505" i="6" a="1"/>
  <c r="AF505" i="6" s="1"/>
  <c r="AG504" i="6" a="1"/>
  <c r="AG504" i="6" s="1"/>
  <c r="AF504" i="6" a="1"/>
  <c r="AF504" i="6" s="1"/>
  <c r="AG503" i="6" a="1"/>
  <c r="AG503" i="6" s="1"/>
  <c r="AF503" i="6" a="1"/>
  <c r="AF503" i="6" s="1"/>
  <c r="AG502" i="6" a="1"/>
  <c r="AG502" i="6" s="1"/>
  <c r="AF502" i="6" a="1"/>
  <c r="AF502" i="6" s="1"/>
  <c r="AG501" i="6" a="1"/>
  <c r="AG501" i="6" s="1"/>
  <c r="AF501" i="6" a="1"/>
  <c r="AF501" i="6" s="1"/>
  <c r="AG500" i="6" a="1"/>
  <c r="AG500" i="6" s="1"/>
  <c r="AF500" i="6" a="1"/>
  <c r="AF500" i="6" s="1"/>
  <c r="AG499" i="6" a="1"/>
  <c r="AG499" i="6" s="1"/>
  <c r="AF499" i="6" a="1"/>
  <c r="AF499" i="6" s="1"/>
  <c r="AG498" i="6" a="1"/>
  <c r="AG498" i="6" s="1"/>
  <c r="AF498" i="6" a="1"/>
  <c r="AF498" i="6" s="1"/>
  <c r="AG497" i="6" a="1"/>
  <c r="AG497" i="6" s="1"/>
  <c r="AF497" i="6" a="1"/>
  <c r="AF497" i="6" s="1"/>
  <c r="AG496" i="6" a="1"/>
  <c r="AG496" i="6" s="1"/>
  <c r="AF496" i="6" a="1"/>
  <c r="AF496" i="6" s="1"/>
  <c r="AG495" i="6" a="1"/>
  <c r="AG495" i="6" s="1"/>
  <c r="AF495" i="6" a="1"/>
  <c r="AF495" i="6" s="1"/>
  <c r="AG494" i="6" a="1"/>
  <c r="AG494" i="6" s="1"/>
  <c r="AF494" i="6" a="1"/>
  <c r="AF494" i="6" s="1"/>
  <c r="AG493" i="6" a="1"/>
  <c r="AG493" i="6" s="1"/>
  <c r="AF493" i="6" a="1"/>
  <c r="AF493" i="6" s="1"/>
  <c r="AG492" i="6" a="1"/>
  <c r="AG492" i="6" s="1"/>
  <c r="AF492" i="6" a="1"/>
  <c r="AF492" i="6" s="1"/>
  <c r="AG491" i="6" a="1"/>
  <c r="AG491" i="6" s="1"/>
  <c r="AF491" i="6" a="1"/>
  <c r="AF491" i="6" s="1"/>
  <c r="AG490" i="6" a="1"/>
  <c r="AG490" i="6" s="1"/>
  <c r="AF490" i="6" a="1"/>
  <c r="AF490" i="6" s="1"/>
  <c r="AG489" i="6" a="1"/>
  <c r="AG489" i="6" s="1"/>
  <c r="AF489" i="6" a="1"/>
  <c r="AF489" i="6" s="1"/>
  <c r="AG488" i="6" a="1"/>
  <c r="AG488" i="6" s="1"/>
  <c r="AF488" i="6" a="1"/>
  <c r="AF488" i="6" s="1"/>
  <c r="AG487" i="6" a="1"/>
  <c r="AG487" i="6" s="1"/>
  <c r="AF487" i="6" a="1"/>
  <c r="AF487" i="6" s="1"/>
  <c r="AG486" i="6" a="1"/>
  <c r="AG486" i="6" s="1"/>
  <c r="AF486" i="6" a="1"/>
  <c r="AF486" i="6" s="1"/>
  <c r="AG485" i="6" a="1"/>
  <c r="AG485" i="6" s="1"/>
  <c r="AF485" i="6" a="1"/>
  <c r="AF485" i="6" s="1"/>
  <c r="AG484" i="6" a="1"/>
  <c r="AG484" i="6" s="1"/>
  <c r="AF484" i="6" a="1"/>
  <c r="AF484" i="6" s="1"/>
  <c r="AG483" i="6" a="1"/>
  <c r="AG483" i="6" s="1"/>
  <c r="AF483" i="6" a="1"/>
  <c r="AF483" i="6" s="1"/>
  <c r="AG482" i="6" a="1"/>
  <c r="AG482" i="6" s="1"/>
  <c r="AF482" i="6" a="1"/>
  <c r="AF482" i="6" s="1"/>
  <c r="AG481" i="6" a="1"/>
  <c r="AG481" i="6" s="1"/>
  <c r="AF481" i="6" a="1"/>
  <c r="AF481" i="6" s="1"/>
  <c r="AG480" i="6" a="1"/>
  <c r="AG480" i="6" s="1"/>
  <c r="AF480" i="6" a="1"/>
  <c r="AF480" i="6" s="1"/>
  <c r="AG479" i="6" a="1"/>
  <c r="AG479" i="6" s="1"/>
  <c r="AF479" i="6" a="1"/>
  <c r="AF479" i="6" s="1"/>
  <c r="AG478" i="6" a="1"/>
  <c r="AG478" i="6" s="1"/>
  <c r="AF478" i="6" a="1"/>
  <c r="AF478" i="6" s="1"/>
  <c r="AG477" i="6" a="1"/>
  <c r="AG477" i="6" s="1"/>
  <c r="AF477" i="6" a="1"/>
  <c r="AF477" i="6" s="1"/>
  <c r="AG476" i="6" a="1"/>
  <c r="AG476" i="6" s="1"/>
  <c r="AF476" i="6" a="1"/>
  <c r="AF476" i="6" s="1"/>
  <c r="AG475" i="6" a="1"/>
  <c r="AG475" i="6" s="1"/>
  <c r="AF475" i="6" a="1"/>
  <c r="AF475" i="6" s="1"/>
  <c r="AG474" i="6" a="1"/>
  <c r="AG474" i="6" s="1"/>
  <c r="AF474" i="6" a="1"/>
  <c r="AF474" i="6" s="1"/>
  <c r="AG473" i="6" a="1"/>
  <c r="AG473" i="6" s="1"/>
  <c r="AF473" i="6" a="1"/>
  <c r="AF473" i="6" s="1"/>
  <c r="AG472" i="6" a="1"/>
  <c r="AG472" i="6" s="1"/>
  <c r="AF472" i="6" a="1"/>
  <c r="AF472" i="6" s="1"/>
  <c r="AG471" i="6" a="1"/>
  <c r="AG471" i="6" s="1"/>
  <c r="AF471" i="6" a="1"/>
  <c r="AF471" i="6" s="1"/>
  <c r="AG470" i="6" a="1"/>
  <c r="AG470" i="6" s="1"/>
  <c r="AF470" i="6" a="1"/>
  <c r="AF470" i="6" s="1"/>
  <c r="AG469" i="6" a="1"/>
  <c r="AG469" i="6" s="1"/>
  <c r="AF469" i="6" a="1"/>
  <c r="AF469" i="6" s="1"/>
  <c r="AG468" i="6" a="1"/>
  <c r="AG468" i="6" s="1"/>
  <c r="AF468" i="6" a="1"/>
  <c r="AF468" i="6" s="1"/>
  <c r="AG467" i="6" a="1"/>
  <c r="AG467" i="6" s="1"/>
  <c r="AF467" i="6" a="1"/>
  <c r="AF467" i="6" s="1"/>
  <c r="AG466" i="6" a="1"/>
  <c r="AG466" i="6" s="1"/>
  <c r="AF466" i="6" a="1"/>
  <c r="AF466" i="6" s="1"/>
  <c r="AG465" i="6" a="1"/>
  <c r="AG465" i="6" s="1"/>
  <c r="AF465" i="6" a="1"/>
  <c r="AF465" i="6" s="1"/>
  <c r="AG464" i="6" a="1"/>
  <c r="AG464" i="6" s="1"/>
  <c r="AF464" i="6" a="1"/>
  <c r="AF464" i="6" s="1"/>
  <c r="AG463" i="6" a="1"/>
  <c r="AG463" i="6" s="1"/>
  <c r="AF463" i="6" a="1"/>
  <c r="AF463" i="6" s="1"/>
  <c r="AG462" i="6" a="1"/>
  <c r="AG462" i="6" s="1"/>
  <c r="AF462" i="6" a="1"/>
  <c r="AF462" i="6" s="1"/>
  <c r="AG461" i="6" a="1"/>
  <c r="AG461" i="6" s="1"/>
  <c r="AF461" i="6" a="1"/>
  <c r="AF461" i="6" s="1"/>
  <c r="AG460" i="6" a="1"/>
  <c r="AG460" i="6" s="1"/>
  <c r="AF460" i="6" a="1"/>
  <c r="AF460" i="6" s="1"/>
  <c r="AG459" i="6" a="1"/>
  <c r="AG459" i="6" s="1"/>
  <c r="AF459" i="6" a="1"/>
  <c r="AF459" i="6" s="1"/>
  <c r="AG458" i="6" a="1"/>
  <c r="AG458" i="6" s="1"/>
  <c r="AF458" i="6" a="1"/>
  <c r="AF458" i="6" s="1"/>
  <c r="AG457" i="6" a="1"/>
  <c r="AG457" i="6" s="1"/>
  <c r="AF457" i="6" a="1"/>
  <c r="AF457" i="6" s="1"/>
  <c r="AG456" i="6" a="1"/>
  <c r="AG456" i="6" s="1"/>
  <c r="AF456" i="6" a="1"/>
  <c r="AF456" i="6" s="1"/>
  <c r="AG455" i="6" a="1"/>
  <c r="AG455" i="6" s="1"/>
  <c r="AF455" i="6" a="1"/>
  <c r="AF455" i="6" s="1"/>
  <c r="AG454" i="6" a="1"/>
  <c r="AG454" i="6" s="1"/>
  <c r="AF454" i="6" a="1"/>
  <c r="AF454" i="6" s="1"/>
  <c r="AG453" i="6" a="1"/>
  <c r="AG453" i="6" s="1"/>
  <c r="AF453" i="6" a="1"/>
  <c r="AF453" i="6" s="1"/>
  <c r="AG452" i="6" a="1"/>
  <c r="AG452" i="6" s="1"/>
  <c r="AF452" i="6" a="1"/>
  <c r="AF452" i="6" s="1"/>
  <c r="AG451" i="6" a="1"/>
  <c r="AG451" i="6" s="1"/>
  <c r="AF451" i="6" a="1"/>
  <c r="AF451" i="6" s="1"/>
  <c r="AG450" i="6" a="1"/>
  <c r="AG450" i="6" s="1"/>
  <c r="AF450" i="6" a="1"/>
  <c r="AF450" i="6" s="1"/>
  <c r="AG449" i="6" a="1"/>
  <c r="AG449" i="6" s="1"/>
  <c r="AF449" i="6" a="1"/>
  <c r="AF449" i="6" s="1"/>
  <c r="AG448" i="6" a="1"/>
  <c r="AG448" i="6" s="1"/>
  <c r="AF448" i="6" a="1"/>
  <c r="AF448" i="6" s="1"/>
  <c r="AG447" i="6" a="1"/>
  <c r="AG447" i="6" s="1"/>
  <c r="AF447" i="6" a="1"/>
  <c r="AF447" i="6" s="1"/>
  <c r="AG446" i="6" a="1"/>
  <c r="AG446" i="6" s="1"/>
  <c r="AF446" i="6" a="1"/>
  <c r="AF446" i="6" s="1"/>
  <c r="AG445" i="6" a="1"/>
  <c r="AG445" i="6" s="1"/>
  <c r="AF445" i="6" a="1"/>
  <c r="AF445" i="6" s="1"/>
  <c r="AG444" i="6" a="1"/>
  <c r="AG444" i="6" s="1"/>
  <c r="AF444" i="6" a="1"/>
  <c r="AF444" i="6" s="1"/>
  <c r="AG443" i="6" a="1"/>
  <c r="AG443" i="6" s="1"/>
  <c r="AF443" i="6" a="1"/>
  <c r="AF443" i="6" s="1"/>
  <c r="AG442" i="6" a="1"/>
  <c r="AG442" i="6" s="1"/>
  <c r="AF442" i="6" a="1"/>
  <c r="AF442" i="6" s="1"/>
  <c r="AG441" i="6" a="1"/>
  <c r="AG441" i="6" s="1"/>
  <c r="AF441" i="6" a="1"/>
  <c r="AF441" i="6" s="1"/>
  <c r="AG440" i="6" a="1"/>
  <c r="AG440" i="6" s="1"/>
  <c r="AF440" i="6" a="1"/>
  <c r="AF440" i="6" s="1"/>
  <c r="AG439" i="6" a="1"/>
  <c r="AG439" i="6" s="1"/>
  <c r="AF439" i="6" a="1"/>
  <c r="AF439" i="6" s="1"/>
  <c r="AG438" i="6" a="1"/>
  <c r="AG438" i="6" s="1"/>
  <c r="AF438" i="6" a="1"/>
  <c r="AF438" i="6" s="1"/>
  <c r="AG437" i="6" a="1"/>
  <c r="AG437" i="6" s="1"/>
  <c r="AF437" i="6" a="1"/>
  <c r="AF437" i="6" s="1"/>
  <c r="AG436" i="6" a="1"/>
  <c r="AG436" i="6" s="1"/>
  <c r="AF436" i="6" a="1"/>
  <c r="AF436" i="6" s="1"/>
  <c r="AG435" i="6" a="1"/>
  <c r="AG435" i="6" s="1"/>
  <c r="AF435" i="6" a="1"/>
  <c r="AF435" i="6" s="1"/>
  <c r="AG434" i="6" a="1"/>
  <c r="AG434" i="6" s="1"/>
  <c r="AF434" i="6" a="1"/>
  <c r="AF434" i="6" s="1"/>
  <c r="AG433" i="6" a="1"/>
  <c r="AG433" i="6" s="1"/>
  <c r="AF433" i="6" a="1"/>
  <c r="AF433" i="6" s="1"/>
  <c r="AG432" i="6" a="1"/>
  <c r="AG432" i="6" s="1"/>
  <c r="AF432" i="6" a="1"/>
  <c r="AF432" i="6" s="1"/>
  <c r="AG431" i="6" a="1"/>
  <c r="AG431" i="6" s="1"/>
  <c r="AF431" i="6" a="1"/>
  <c r="AF431" i="6" s="1"/>
  <c r="AG430" i="6" a="1"/>
  <c r="AG430" i="6" s="1"/>
  <c r="AF430" i="6" a="1"/>
  <c r="AF430" i="6" s="1"/>
  <c r="AG429" i="6" a="1"/>
  <c r="AG429" i="6" s="1"/>
  <c r="AF429" i="6" a="1"/>
  <c r="AF429" i="6" s="1"/>
  <c r="AG428" i="6" a="1"/>
  <c r="AG428" i="6" s="1"/>
  <c r="AF428" i="6" a="1"/>
  <c r="AF428" i="6" s="1"/>
  <c r="AG427" i="6" a="1"/>
  <c r="AG427" i="6" s="1"/>
  <c r="AF427" i="6" a="1"/>
  <c r="AF427" i="6" s="1"/>
  <c r="AG426" i="6" a="1"/>
  <c r="AG426" i="6" s="1"/>
  <c r="AF426" i="6" a="1"/>
  <c r="AF426" i="6" s="1"/>
  <c r="AG425" i="6" a="1"/>
  <c r="AG425" i="6" s="1"/>
  <c r="AF425" i="6" a="1"/>
  <c r="AF425" i="6" s="1"/>
  <c r="AG424" i="6" a="1"/>
  <c r="AG424" i="6" s="1"/>
  <c r="AF424" i="6" a="1"/>
  <c r="AF424" i="6" s="1"/>
  <c r="AG423" i="6" a="1"/>
  <c r="AG423" i="6" s="1"/>
  <c r="AF423" i="6" a="1"/>
  <c r="AF423" i="6" s="1"/>
  <c r="AG422" i="6" a="1"/>
  <c r="AG422" i="6" s="1"/>
  <c r="AF422" i="6" a="1"/>
  <c r="AF422" i="6" s="1"/>
  <c r="AG421" i="6" a="1"/>
  <c r="AG421" i="6" s="1"/>
  <c r="AF421" i="6" a="1"/>
  <c r="AF421" i="6" s="1"/>
  <c r="AG420" i="6" a="1"/>
  <c r="AG420" i="6" s="1"/>
  <c r="AF420" i="6" a="1"/>
  <c r="AF420" i="6" s="1"/>
  <c r="AG419" i="6" a="1"/>
  <c r="AG419" i="6" s="1"/>
  <c r="AF419" i="6" a="1"/>
  <c r="AF419" i="6" s="1"/>
  <c r="AG418" i="6" a="1"/>
  <c r="AG418" i="6" s="1"/>
  <c r="AF418" i="6" a="1"/>
  <c r="AF418" i="6" s="1"/>
  <c r="AG417" i="6" a="1"/>
  <c r="AG417" i="6" s="1"/>
  <c r="AF417" i="6" a="1"/>
  <c r="AF417" i="6" s="1"/>
  <c r="AG416" i="6" a="1"/>
  <c r="AG416" i="6" s="1"/>
  <c r="AF416" i="6" a="1"/>
  <c r="AF416" i="6" s="1"/>
  <c r="AG415" i="6" a="1"/>
  <c r="AG415" i="6" s="1"/>
  <c r="AF415" i="6" a="1"/>
  <c r="AF415" i="6" s="1"/>
  <c r="AG414" i="6" a="1"/>
  <c r="AG414" i="6" s="1"/>
  <c r="AF414" i="6" a="1"/>
  <c r="AF414" i="6" s="1"/>
  <c r="AG413" i="6" a="1"/>
  <c r="AG413" i="6" s="1"/>
  <c r="AF413" i="6" a="1"/>
  <c r="AF413" i="6" s="1"/>
  <c r="AG412" i="6" a="1"/>
  <c r="AG412" i="6" s="1"/>
  <c r="AF412" i="6" a="1"/>
  <c r="AF412" i="6" s="1"/>
  <c r="AG411" i="6" a="1"/>
  <c r="AG411" i="6" s="1"/>
  <c r="AF411" i="6" a="1"/>
  <c r="AF411" i="6" s="1"/>
  <c r="AG410" i="6" a="1"/>
  <c r="AG410" i="6" s="1"/>
  <c r="AF410" i="6" a="1"/>
  <c r="AF410" i="6" s="1"/>
  <c r="AG409" i="6" a="1"/>
  <c r="AG409" i="6" s="1"/>
  <c r="AF409" i="6" a="1"/>
  <c r="AF409" i="6" s="1"/>
  <c r="AG408" i="6" a="1"/>
  <c r="AG408" i="6" s="1"/>
  <c r="AF408" i="6" a="1"/>
  <c r="AF408" i="6" s="1"/>
  <c r="AG407" i="6" a="1"/>
  <c r="AG407" i="6" s="1"/>
  <c r="AF407" i="6" a="1"/>
  <c r="AF407" i="6" s="1"/>
  <c r="AG406" i="6" a="1"/>
  <c r="AG406" i="6" s="1"/>
  <c r="AF406" i="6" a="1"/>
  <c r="AF406" i="6" s="1"/>
  <c r="AG405" i="6" a="1"/>
  <c r="AG405" i="6" s="1"/>
  <c r="AF405" i="6" a="1"/>
  <c r="AF405" i="6" s="1"/>
  <c r="AG404" i="6" a="1"/>
  <c r="AG404" i="6" s="1"/>
  <c r="AF404" i="6" a="1"/>
  <c r="AF404" i="6" s="1"/>
  <c r="AG403" i="6" a="1"/>
  <c r="AG403" i="6" s="1"/>
  <c r="AF403" i="6" a="1"/>
  <c r="AF403" i="6" s="1"/>
  <c r="AG402" i="6" a="1"/>
  <c r="AG402" i="6" s="1"/>
  <c r="AF402" i="6" a="1"/>
  <c r="AF402" i="6" s="1"/>
  <c r="AG401" i="6" a="1"/>
  <c r="AG401" i="6" s="1"/>
  <c r="AF401" i="6" a="1"/>
  <c r="AF401" i="6" s="1"/>
  <c r="AG400" i="6" a="1"/>
  <c r="AG400" i="6" s="1"/>
  <c r="AF400" i="6" a="1"/>
  <c r="AF400" i="6" s="1"/>
  <c r="AG399" i="6" a="1"/>
  <c r="AG399" i="6" s="1"/>
  <c r="AF399" i="6" a="1"/>
  <c r="AF399" i="6" s="1"/>
  <c r="AG398" i="6" a="1"/>
  <c r="AG398" i="6" s="1"/>
  <c r="AF398" i="6" a="1"/>
  <c r="AF398" i="6" s="1"/>
  <c r="AG397" i="6" a="1"/>
  <c r="AG397" i="6" s="1"/>
  <c r="AF397" i="6" a="1"/>
  <c r="AF397" i="6" s="1"/>
  <c r="AG396" i="6" a="1"/>
  <c r="AG396" i="6" s="1"/>
  <c r="AF396" i="6" a="1"/>
  <c r="AF396" i="6" s="1"/>
  <c r="AG395" i="6" a="1"/>
  <c r="AG395" i="6" s="1"/>
  <c r="AF395" i="6" a="1"/>
  <c r="AF395" i="6" s="1"/>
  <c r="AG394" i="6" a="1"/>
  <c r="AG394" i="6" s="1"/>
  <c r="AF394" i="6" a="1"/>
  <c r="AF394" i="6" s="1"/>
  <c r="AG393" i="6" a="1"/>
  <c r="AG393" i="6" s="1"/>
  <c r="AF393" i="6" a="1"/>
  <c r="AF393" i="6" s="1"/>
  <c r="AG392" i="6" a="1"/>
  <c r="AG392" i="6" s="1"/>
  <c r="AF392" i="6" a="1"/>
  <c r="AF392" i="6" s="1"/>
  <c r="AG391" i="6" a="1"/>
  <c r="AG391" i="6" s="1"/>
  <c r="AF391" i="6" a="1"/>
  <c r="AF391" i="6" s="1"/>
  <c r="AG390" i="6" a="1"/>
  <c r="AG390" i="6" s="1"/>
  <c r="AF390" i="6" a="1"/>
  <c r="AF390" i="6" s="1"/>
  <c r="AG389" i="6" a="1"/>
  <c r="AG389" i="6" s="1"/>
  <c r="AF389" i="6" a="1"/>
  <c r="AF389" i="6" s="1"/>
  <c r="AG388" i="6" a="1"/>
  <c r="AG388" i="6" s="1"/>
  <c r="AF388" i="6" a="1"/>
  <c r="AF388" i="6" s="1"/>
  <c r="AG387" i="6" a="1"/>
  <c r="AG387" i="6" s="1"/>
  <c r="AF387" i="6" a="1"/>
  <c r="AF387" i="6" s="1"/>
  <c r="AG386" i="6" a="1"/>
  <c r="AG386" i="6" s="1"/>
  <c r="AF386" i="6" a="1"/>
  <c r="AF386" i="6" s="1"/>
  <c r="AG385" i="6" a="1"/>
  <c r="AG385" i="6" s="1"/>
  <c r="AF385" i="6" a="1"/>
  <c r="AF385" i="6" s="1"/>
  <c r="AG384" i="6" a="1"/>
  <c r="AG384" i="6" s="1"/>
  <c r="AF384" i="6" a="1"/>
  <c r="AF384" i="6" s="1"/>
  <c r="AG383" i="6" a="1"/>
  <c r="AG383" i="6" s="1"/>
  <c r="AF383" i="6" a="1"/>
  <c r="AF383" i="6" s="1"/>
  <c r="AG382" i="6" a="1"/>
  <c r="AG382" i="6" s="1"/>
  <c r="AF382" i="6" a="1"/>
  <c r="AF382" i="6" s="1"/>
  <c r="AG381" i="6" a="1"/>
  <c r="AG381" i="6" s="1"/>
  <c r="AF381" i="6" a="1"/>
  <c r="AF381" i="6" s="1"/>
  <c r="AG380" i="6" a="1"/>
  <c r="AG380" i="6" s="1"/>
  <c r="AF380" i="6" a="1"/>
  <c r="AF380" i="6" s="1"/>
  <c r="AG379" i="6" a="1"/>
  <c r="AG379" i="6" s="1"/>
  <c r="AF379" i="6" a="1"/>
  <c r="AF379" i="6" s="1"/>
  <c r="AG378" i="6" a="1"/>
  <c r="AG378" i="6" s="1"/>
  <c r="AF378" i="6" a="1"/>
  <c r="AF378" i="6" s="1"/>
  <c r="AG377" i="6" a="1"/>
  <c r="AG377" i="6" s="1"/>
  <c r="AF377" i="6" a="1"/>
  <c r="AF377" i="6" s="1"/>
  <c r="AG376" i="6" a="1"/>
  <c r="AG376" i="6" s="1"/>
  <c r="AF376" i="6" a="1"/>
  <c r="AF376" i="6" s="1"/>
  <c r="AG375" i="6" a="1"/>
  <c r="AG375" i="6" s="1"/>
  <c r="AF375" i="6" a="1"/>
  <c r="AF375" i="6" s="1"/>
  <c r="AG374" i="6" a="1"/>
  <c r="AG374" i="6" s="1"/>
  <c r="AF374" i="6" a="1"/>
  <c r="AF374" i="6" s="1"/>
  <c r="AG373" i="6" a="1"/>
  <c r="AG373" i="6" s="1"/>
  <c r="AF373" i="6" a="1"/>
  <c r="AF373" i="6" s="1"/>
  <c r="AG372" i="6" a="1"/>
  <c r="AG372" i="6" s="1"/>
  <c r="AF372" i="6" a="1"/>
  <c r="AF372" i="6" s="1"/>
  <c r="AG371" i="6" a="1"/>
  <c r="AG371" i="6" s="1"/>
  <c r="AF371" i="6" a="1"/>
  <c r="AF371" i="6" s="1"/>
  <c r="AG370" i="6" a="1"/>
  <c r="AG370" i="6" s="1"/>
  <c r="AF370" i="6" a="1"/>
  <c r="AF370" i="6" s="1"/>
  <c r="AG369" i="6" a="1"/>
  <c r="AG369" i="6" s="1"/>
  <c r="AF369" i="6" a="1"/>
  <c r="AF369" i="6" s="1"/>
  <c r="AG368" i="6" a="1"/>
  <c r="AG368" i="6" s="1"/>
  <c r="AF368" i="6" a="1"/>
  <c r="AF368" i="6" s="1"/>
  <c r="AG367" i="6" a="1"/>
  <c r="AG367" i="6" s="1"/>
  <c r="AF367" i="6" a="1"/>
  <c r="AF367" i="6" s="1"/>
  <c r="AG366" i="6" a="1"/>
  <c r="AG366" i="6" s="1"/>
  <c r="AF366" i="6" a="1"/>
  <c r="AF366" i="6" s="1"/>
  <c r="AG365" i="6" a="1"/>
  <c r="AG365" i="6" s="1"/>
  <c r="AF365" i="6" a="1"/>
  <c r="AF365" i="6" s="1"/>
  <c r="AG364" i="6" a="1"/>
  <c r="AG364" i="6" s="1"/>
  <c r="AF364" i="6" a="1"/>
  <c r="AF364" i="6" s="1"/>
  <c r="AG363" i="6" a="1"/>
  <c r="AG363" i="6" s="1"/>
  <c r="AF363" i="6" a="1"/>
  <c r="AF363" i="6" s="1"/>
  <c r="AG362" i="6" a="1"/>
  <c r="AG362" i="6" s="1"/>
  <c r="AF362" i="6" a="1"/>
  <c r="AF362" i="6" s="1"/>
  <c r="AG361" i="6" a="1"/>
  <c r="AG361" i="6" s="1"/>
  <c r="AF361" i="6" a="1"/>
  <c r="AF361" i="6" s="1"/>
  <c r="AG360" i="6" a="1"/>
  <c r="AG360" i="6" s="1"/>
  <c r="AF360" i="6" a="1"/>
  <c r="AF360" i="6" s="1"/>
  <c r="AG359" i="6" a="1"/>
  <c r="AG359" i="6" s="1"/>
  <c r="AF359" i="6" a="1"/>
  <c r="AF359" i="6" s="1"/>
  <c r="AG358" i="6" a="1"/>
  <c r="AG358" i="6" s="1"/>
  <c r="AF358" i="6" a="1"/>
  <c r="AF358" i="6" s="1"/>
  <c r="AG357" i="6" a="1"/>
  <c r="AG357" i="6" s="1"/>
  <c r="AF357" i="6" a="1"/>
  <c r="AF357" i="6" s="1"/>
  <c r="AG356" i="6" a="1"/>
  <c r="AG356" i="6" s="1"/>
  <c r="AF356" i="6" a="1"/>
  <c r="AF356" i="6" s="1"/>
  <c r="AG355" i="6" a="1"/>
  <c r="AG355" i="6" s="1"/>
  <c r="AF355" i="6" a="1"/>
  <c r="AF355" i="6" s="1"/>
  <c r="AG354" i="6" a="1"/>
  <c r="AG354" i="6" s="1"/>
  <c r="AF354" i="6" a="1"/>
  <c r="AF354" i="6" s="1"/>
  <c r="AG353" i="6" a="1"/>
  <c r="AG353" i="6" s="1"/>
  <c r="AF353" i="6" a="1"/>
  <c r="AF353" i="6" s="1"/>
  <c r="AG352" i="6" a="1"/>
  <c r="AG352" i="6" s="1"/>
  <c r="AF352" i="6" a="1"/>
  <c r="AF352" i="6" s="1"/>
  <c r="AG351" i="6" a="1"/>
  <c r="AG351" i="6" s="1"/>
  <c r="AF351" i="6" a="1"/>
  <c r="AF351" i="6" s="1"/>
  <c r="AG350" i="6" a="1"/>
  <c r="AG350" i="6" s="1"/>
  <c r="AF350" i="6" a="1"/>
  <c r="AF350" i="6" s="1"/>
  <c r="AG349" i="6" a="1"/>
  <c r="AG349" i="6" s="1"/>
  <c r="AF349" i="6" a="1"/>
  <c r="AF349" i="6" s="1"/>
  <c r="AG348" i="6" a="1"/>
  <c r="AG348" i="6" s="1"/>
  <c r="AF348" i="6" a="1"/>
  <c r="AF348" i="6" s="1"/>
  <c r="AG347" i="6" a="1"/>
  <c r="AG347" i="6" s="1"/>
  <c r="AF347" i="6" a="1"/>
  <c r="AF347" i="6" s="1"/>
  <c r="AG346" i="6" a="1"/>
  <c r="AG346" i="6" s="1"/>
  <c r="AF346" i="6" a="1"/>
  <c r="AF346" i="6" s="1"/>
  <c r="AG345" i="6" a="1"/>
  <c r="AG345" i="6" s="1"/>
  <c r="AF345" i="6" a="1"/>
  <c r="AF345" i="6" s="1"/>
  <c r="AG344" i="6" a="1"/>
  <c r="AG344" i="6" s="1"/>
  <c r="AF344" i="6" a="1"/>
  <c r="AF344" i="6" s="1"/>
  <c r="AG343" i="6" a="1"/>
  <c r="AG343" i="6" s="1"/>
  <c r="AF343" i="6" a="1"/>
  <c r="AF343" i="6" s="1"/>
  <c r="AG342" i="6" a="1"/>
  <c r="AG342" i="6" s="1"/>
  <c r="AF342" i="6" a="1"/>
  <c r="AF342" i="6" s="1"/>
  <c r="AG341" i="6" a="1"/>
  <c r="AG341" i="6" s="1"/>
  <c r="AF341" i="6" a="1"/>
  <c r="AF341" i="6" s="1"/>
  <c r="AG340" i="6" a="1"/>
  <c r="AG340" i="6" s="1"/>
  <c r="AF340" i="6" a="1"/>
  <c r="AF340" i="6" s="1"/>
  <c r="AG339" i="6" a="1"/>
  <c r="AG339" i="6" s="1"/>
  <c r="AF339" i="6" a="1"/>
  <c r="AF339" i="6" s="1"/>
  <c r="AG338" i="6" a="1"/>
  <c r="AG338" i="6" s="1"/>
  <c r="AF338" i="6" a="1"/>
  <c r="AF338" i="6" s="1"/>
  <c r="AG337" i="6" a="1"/>
  <c r="AG337" i="6" s="1"/>
  <c r="AF337" i="6" a="1"/>
  <c r="AF337" i="6" s="1"/>
  <c r="AG336" i="6" a="1"/>
  <c r="AG336" i="6" s="1"/>
  <c r="AF336" i="6" a="1"/>
  <c r="AF336" i="6" s="1"/>
  <c r="AG335" i="6" a="1"/>
  <c r="AG335" i="6" s="1"/>
  <c r="AF335" i="6" a="1"/>
  <c r="AF335" i="6" s="1"/>
  <c r="AG334" i="6" a="1"/>
  <c r="AG334" i="6" s="1"/>
  <c r="AF334" i="6" a="1"/>
  <c r="AF334" i="6" s="1"/>
  <c r="AG333" i="6" a="1"/>
  <c r="AG333" i="6" s="1"/>
  <c r="AF333" i="6" a="1"/>
  <c r="AF333" i="6" s="1"/>
  <c r="AG332" i="6" a="1"/>
  <c r="AG332" i="6" s="1"/>
  <c r="AF332" i="6" a="1"/>
  <c r="AF332" i="6" s="1"/>
  <c r="AG331" i="6" a="1"/>
  <c r="AG331" i="6" s="1"/>
  <c r="AF331" i="6" a="1"/>
  <c r="AF331" i="6" s="1"/>
  <c r="AG330" i="6" a="1"/>
  <c r="AG330" i="6" s="1"/>
  <c r="AF330" i="6" a="1"/>
  <c r="AF330" i="6" s="1"/>
  <c r="AG329" i="6" a="1"/>
  <c r="AG329" i="6" s="1"/>
  <c r="AF329" i="6" a="1"/>
  <c r="AF329" i="6" s="1"/>
  <c r="AG328" i="6" a="1"/>
  <c r="AG328" i="6" s="1"/>
  <c r="AF328" i="6" a="1"/>
  <c r="AF328" i="6" s="1"/>
  <c r="AG327" i="6" a="1"/>
  <c r="AG327" i="6" s="1"/>
  <c r="AF327" i="6" a="1"/>
  <c r="AF327" i="6" s="1"/>
  <c r="AG326" i="6" a="1"/>
  <c r="AG326" i="6" s="1"/>
  <c r="AF326" i="6" a="1"/>
  <c r="AF326" i="6" s="1"/>
  <c r="AG325" i="6" a="1"/>
  <c r="AG325" i="6" s="1"/>
  <c r="AF325" i="6" a="1"/>
  <c r="AF325" i="6" s="1"/>
  <c r="AG324" i="6" a="1"/>
  <c r="AG324" i="6" s="1"/>
  <c r="AF324" i="6" a="1"/>
  <c r="AF324" i="6" s="1"/>
  <c r="AG323" i="6" a="1"/>
  <c r="AG323" i="6" s="1"/>
  <c r="AF323" i="6" a="1"/>
  <c r="AF323" i="6" s="1"/>
  <c r="AG322" i="6" a="1"/>
  <c r="AG322" i="6" s="1"/>
  <c r="AF322" i="6" a="1"/>
  <c r="AF322" i="6" s="1"/>
  <c r="AG321" i="6" a="1"/>
  <c r="AG321" i="6" s="1"/>
  <c r="AF321" i="6" a="1"/>
  <c r="AF321" i="6" s="1"/>
  <c r="AG320" i="6" a="1"/>
  <c r="AG320" i="6" s="1"/>
  <c r="AF320" i="6" a="1"/>
  <c r="AF320" i="6" s="1"/>
  <c r="AG319" i="6" a="1"/>
  <c r="AG319" i="6" s="1"/>
  <c r="AF319" i="6" a="1"/>
  <c r="AF319" i="6" s="1"/>
  <c r="AG318" i="6" a="1"/>
  <c r="AG318" i="6" s="1"/>
  <c r="AF318" i="6" a="1"/>
  <c r="AF318" i="6" s="1"/>
  <c r="AG317" i="6" a="1"/>
  <c r="AG317" i="6" s="1"/>
  <c r="AF317" i="6" a="1"/>
  <c r="AF317" i="6" s="1"/>
  <c r="AG316" i="6" a="1"/>
  <c r="AG316" i="6" s="1"/>
  <c r="AF316" i="6" a="1"/>
  <c r="AF316" i="6" s="1"/>
  <c r="AG315" i="6" a="1"/>
  <c r="AG315" i="6" s="1"/>
  <c r="AF315" i="6" a="1"/>
  <c r="AF315" i="6" s="1"/>
  <c r="AG314" i="6" a="1"/>
  <c r="AG314" i="6" s="1"/>
  <c r="AF314" i="6" a="1"/>
  <c r="AF314" i="6" s="1"/>
  <c r="AG313" i="6" a="1"/>
  <c r="AG313" i="6" s="1"/>
  <c r="AF313" i="6" a="1"/>
  <c r="AF313" i="6" s="1"/>
  <c r="AG312" i="6" a="1"/>
  <c r="AG312" i="6" s="1"/>
  <c r="AF312" i="6" a="1"/>
  <c r="AF312" i="6" s="1"/>
  <c r="AG311" i="6" a="1"/>
  <c r="AG311" i="6" s="1"/>
  <c r="AF311" i="6" a="1"/>
  <c r="AF311" i="6" s="1"/>
  <c r="AG310" i="6" a="1"/>
  <c r="AG310" i="6" s="1"/>
  <c r="AF310" i="6" a="1"/>
  <c r="AF310" i="6" s="1"/>
  <c r="AG309" i="6" a="1"/>
  <c r="AG309" i="6" s="1"/>
  <c r="AF309" i="6" a="1"/>
  <c r="AF309" i="6" s="1"/>
  <c r="AG308" i="6" a="1"/>
  <c r="AG308" i="6" s="1"/>
  <c r="AF308" i="6" a="1"/>
  <c r="AF308" i="6" s="1"/>
  <c r="AG307" i="6" a="1"/>
  <c r="AG307" i="6" s="1"/>
  <c r="AF307" i="6" a="1"/>
  <c r="AF307" i="6" s="1"/>
  <c r="AG306" i="6" a="1"/>
  <c r="AG306" i="6" s="1"/>
  <c r="AF306" i="6" a="1"/>
  <c r="AF306" i="6" s="1"/>
  <c r="AG305" i="6" a="1"/>
  <c r="AG305" i="6" s="1"/>
  <c r="AF305" i="6" a="1"/>
  <c r="AF305" i="6" s="1"/>
  <c r="AG304" i="6" a="1"/>
  <c r="AG304" i="6" s="1"/>
  <c r="AF304" i="6" a="1"/>
  <c r="AF304" i="6" s="1"/>
  <c r="AG303" i="6" a="1"/>
  <c r="AG303" i="6" s="1"/>
  <c r="AF303" i="6" a="1"/>
  <c r="AF303" i="6" s="1"/>
  <c r="AG302" i="6" a="1"/>
  <c r="AG302" i="6" s="1"/>
  <c r="AF302" i="6" a="1"/>
  <c r="AF302" i="6" s="1"/>
  <c r="AG301" i="6" a="1"/>
  <c r="AG301" i="6" s="1"/>
  <c r="AF301" i="6" a="1"/>
  <c r="AF301" i="6" s="1"/>
  <c r="AG300" i="6" a="1"/>
  <c r="AG300" i="6" s="1"/>
  <c r="AF300" i="6" a="1"/>
  <c r="AF300" i="6" s="1"/>
  <c r="AG299" i="6" a="1"/>
  <c r="AG299" i="6" s="1"/>
  <c r="AF299" i="6" a="1"/>
  <c r="AF299" i="6" s="1"/>
  <c r="AG298" i="6" a="1"/>
  <c r="AG298" i="6" s="1"/>
  <c r="AF298" i="6" a="1"/>
  <c r="AF298" i="6" s="1"/>
  <c r="AG297" i="6" a="1"/>
  <c r="AG297" i="6" s="1"/>
  <c r="AF297" i="6" a="1"/>
  <c r="AF297" i="6" s="1"/>
  <c r="AG296" i="6" a="1"/>
  <c r="AG296" i="6" s="1"/>
  <c r="AF296" i="6" a="1"/>
  <c r="AF296" i="6" s="1"/>
  <c r="AG295" i="6" a="1"/>
  <c r="AG295" i="6" s="1"/>
  <c r="AF295" i="6" a="1"/>
  <c r="AF295" i="6" s="1"/>
  <c r="AG294" i="6" a="1"/>
  <c r="AG294" i="6" s="1"/>
  <c r="AF294" i="6" a="1"/>
  <c r="AF294" i="6" s="1"/>
  <c r="AG293" i="6" a="1"/>
  <c r="AG293" i="6" s="1"/>
  <c r="AF293" i="6" a="1"/>
  <c r="AF293" i="6" s="1"/>
  <c r="AG292" i="6" a="1"/>
  <c r="AG292" i="6" s="1"/>
  <c r="AF292" i="6" a="1"/>
  <c r="AF292" i="6" s="1"/>
  <c r="AG291" i="6" a="1"/>
  <c r="AG291" i="6" s="1"/>
  <c r="AF291" i="6" a="1"/>
  <c r="AF291" i="6" s="1"/>
  <c r="AG290" i="6" a="1"/>
  <c r="AG290" i="6" s="1"/>
  <c r="AF290" i="6" a="1"/>
  <c r="AF290" i="6" s="1"/>
  <c r="AG289" i="6" a="1"/>
  <c r="AG289" i="6" s="1"/>
  <c r="AF289" i="6" a="1"/>
  <c r="AF289" i="6" s="1"/>
  <c r="AG288" i="6" a="1"/>
  <c r="AG288" i="6" s="1"/>
  <c r="AF288" i="6" a="1"/>
  <c r="AF288" i="6" s="1"/>
  <c r="AG287" i="6" a="1"/>
  <c r="AG287" i="6" s="1"/>
  <c r="AF287" i="6" a="1"/>
  <c r="AF287" i="6" s="1"/>
  <c r="AG286" i="6" a="1"/>
  <c r="AG286" i="6" s="1"/>
  <c r="AF286" i="6" a="1"/>
  <c r="AF286" i="6" s="1"/>
  <c r="AG285" i="6" a="1"/>
  <c r="AG285" i="6" s="1"/>
  <c r="AF285" i="6" a="1"/>
  <c r="AF285" i="6" s="1"/>
  <c r="AG284" i="6" a="1"/>
  <c r="AG284" i="6" s="1"/>
  <c r="AF284" i="6" a="1"/>
  <c r="AF284" i="6" s="1"/>
  <c r="AG283" i="6" a="1"/>
  <c r="AG283" i="6" s="1"/>
  <c r="AF283" i="6" a="1"/>
  <c r="AF283" i="6" s="1"/>
  <c r="AG282" i="6" a="1"/>
  <c r="AG282" i="6" s="1"/>
  <c r="AF282" i="6" a="1"/>
  <c r="AF282" i="6" s="1"/>
  <c r="AG281" i="6" a="1"/>
  <c r="AG281" i="6" s="1"/>
  <c r="AF281" i="6" a="1"/>
  <c r="AF281" i="6" s="1"/>
  <c r="AG280" i="6" a="1"/>
  <c r="AG280" i="6" s="1"/>
  <c r="AF280" i="6" a="1"/>
  <c r="AF280" i="6" s="1"/>
  <c r="AG279" i="6" a="1"/>
  <c r="AG279" i="6" s="1"/>
  <c r="AF279" i="6" a="1"/>
  <c r="AF279" i="6" s="1"/>
  <c r="AG278" i="6" a="1"/>
  <c r="AG278" i="6" s="1"/>
  <c r="AF278" i="6" a="1"/>
  <c r="AF278" i="6" s="1"/>
  <c r="AG277" i="6" a="1"/>
  <c r="AG277" i="6" s="1"/>
  <c r="AF277" i="6" a="1"/>
  <c r="AF277" i="6" s="1"/>
  <c r="AG276" i="6" a="1"/>
  <c r="AG276" i="6" s="1"/>
  <c r="AF276" i="6" a="1"/>
  <c r="AF276" i="6" s="1"/>
  <c r="AG275" i="6" a="1"/>
  <c r="AG275" i="6" s="1"/>
  <c r="AF275" i="6" a="1"/>
  <c r="AF275" i="6" s="1"/>
  <c r="AG274" i="6" a="1"/>
  <c r="AG274" i="6" s="1"/>
  <c r="AF274" i="6" a="1"/>
  <c r="AF274" i="6" s="1"/>
  <c r="AG273" i="6" a="1"/>
  <c r="AG273" i="6" s="1"/>
  <c r="AF273" i="6" a="1"/>
  <c r="AF273" i="6" s="1"/>
  <c r="AG272" i="6" a="1"/>
  <c r="AG272" i="6" s="1"/>
  <c r="AF272" i="6" a="1"/>
  <c r="AF272" i="6" s="1"/>
  <c r="AG271" i="6" a="1"/>
  <c r="AG271" i="6" s="1"/>
  <c r="AF271" i="6" a="1"/>
  <c r="AF271" i="6" s="1"/>
  <c r="AG270" i="6" a="1"/>
  <c r="AG270" i="6" s="1"/>
  <c r="AF270" i="6" a="1"/>
  <c r="AF270" i="6" s="1"/>
  <c r="AG269" i="6" a="1"/>
  <c r="AG269" i="6" s="1"/>
  <c r="AF269" i="6" a="1"/>
  <c r="AF269" i="6" s="1"/>
  <c r="AG268" i="6" a="1"/>
  <c r="AG268" i="6" s="1"/>
  <c r="AF268" i="6" a="1"/>
  <c r="AF268" i="6" s="1"/>
  <c r="AG267" i="6" a="1"/>
  <c r="AG267" i="6" s="1"/>
  <c r="AF267" i="6" a="1"/>
  <c r="AF267" i="6" s="1"/>
  <c r="AG266" i="6" a="1"/>
  <c r="AG266" i="6" s="1"/>
  <c r="AF266" i="6" a="1"/>
  <c r="AF266" i="6" s="1"/>
  <c r="AG265" i="6" a="1"/>
  <c r="AG265" i="6" s="1"/>
  <c r="AF265" i="6" a="1"/>
  <c r="AF265" i="6" s="1"/>
  <c r="AG264" i="6" a="1"/>
  <c r="AG264" i="6" s="1"/>
  <c r="AF264" i="6" a="1"/>
  <c r="AF264" i="6" s="1"/>
  <c r="AG263" i="6" a="1"/>
  <c r="AG263" i="6" s="1"/>
  <c r="AF263" i="6" a="1"/>
  <c r="AF263" i="6" s="1"/>
  <c r="AG262" i="6" a="1"/>
  <c r="AG262" i="6" s="1"/>
  <c r="AF262" i="6" a="1"/>
  <c r="AF262" i="6" s="1"/>
  <c r="AG261" i="6" a="1"/>
  <c r="AG261" i="6" s="1"/>
  <c r="AF261" i="6" a="1"/>
  <c r="AF261" i="6" s="1"/>
  <c r="AG260" i="6" a="1"/>
  <c r="AG260" i="6" s="1"/>
  <c r="AF260" i="6" a="1"/>
  <c r="AF260" i="6" s="1"/>
  <c r="AG259" i="6" a="1"/>
  <c r="AG259" i="6" s="1"/>
  <c r="AF259" i="6" a="1"/>
  <c r="AF259" i="6" s="1"/>
  <c r="AG258" i="6" a="1"/>
  <c r="AG258" i="6" s="1"/>
  <c r="AF258" i="6" a="1"/>
  <c r="AF258" i="6" s="1"/>
  <c r="AG257" i="6" a="1"/>
  <c r="AG257" i="6" s="1"/>
  <c r="AF257" i="6" a="1"/>
  <c r="AF257" i="6" s="1"/>
  <c r="AG256" i="6" a="1"/>
  <c r="AG256" i="6" s="1"/>
  <c r="AF256" i="6" a="1"/>
  <c r="AF256" i="6" s="1"/>
  <c r="AG255" i="6" a="1"/>
  <c r="AG255" i="6" s="1"/>
  <c r="AF255" i="6" a="1"/>
  <c r="AF255" i="6" s="1"/>
  <c r="AG254" i="6" a="1"/>
  <c r="AG254" i="6" s="1"/>
  <c r="AF254" i="6" a="1"/>
  <c r="AF254" i="6" s="1"/>
  <c r="AG253" i="6" a="1"/>
  <c r="AG253" i="6" s="1"/>
  <c r="AF253" i="6" a="1"/>
  <c r="AF253" i="6" s="1"/>
  <c r="AG252" i="6" a="1"/>
  <c r="AG252" i="6" s="1"/>
  <c r="AF252" i="6" a="1"/>
  <c r="AF252" i="6" s="1"/>
  <c r="AG251" i="6" a="1"/>
  <c r="AG251" i="6" s="1"/>
  <c r="AF251" i="6" a="1"/>
  <c r="AF251" i="6" s="1"/>
  <c r="AG250" i="6" a="1"/>
  <c r="AG250" i="6" s="1"/>
  <c r="AF250" i="6" a="1"/>
  <c r="AF250" i="6" s="1"/>
  <c r="AG249" i="6" a="1"/>
  <c r="AG249" i="6" s="1"/>
  <c r="AF249" i="6" a="1"/>
  <c r="AF249" i="6" s="1"/>
  <c r="AG248" i="6" a="1"/>
  <c r="AG248" i="6" s="1"/>
  <c r="AF248" i="6" a="1"/>
  <c r="AF248" i="6" s="1"/>
  <c r="AG247" i="6" a="1"/>
  <c r="AG247" i="6" s="1"/>
  <c r="AF247" i="6" a="1"/>
  <c r="AF247" i="6" s="1"/>
  <c r="AG246" i="6" a="1"/>
  <c r="AG246" i="6" s="1"/>
  <c r="AF246" i="6" a="1"/>
  <c r="AF246" i="6" s="1"/>
  <c r="AG245" i="6" a="1"/>
  <c r="AG245" i="6" s="1"/>
  <c r="AF245" i="6" a="1"/>
  <c r="AF245" i="6" s="1"/>
  <c r="AG244" i="6" a="1"/>
  <c r="AG244" i="6" s="1"/>
  <c r="AF244" i="6" a="1"/>
  <c r="AF244" i="6" s="1"/>
  <c r="AG243" i="6" a="1"/>
  <c r="AG243" i="6" s="1"/>
  <c r="AF243" i="6" a="1"/>
  <c r="AF243" i="6" s="1"/>
  <c r="AG242" i="6" a="1"/>
  <c r="AG242" i="6" s="1"/>
  <c r="AF242" i="6" a="1"/>
  <c r="AF242" i="6" s="1"/>
  <c r="AG241" i="6" a="1"/>
  <c r="AG241" i="6" s="1"/>
  <c r="AF241" i="6" a="1"/>
  <c r="AF241" i="6" s="1"/>
  <c r="AG240" i="6" a="1"/>
  <c r="AG240" i="6" s="1"/>
  <c r="AF240" i="6" a="1"/>
  <c r="AF240" i="6" s="1"/>
  <c r="AG239" i="6" a="1"/>
  <c r="AG239" i="6" s="1"/>
  <c r="AF239" i="6" a="1"/>
  <c r="AF239" i="6" s="1"/>
  <c r="AG238" i="6" a="1"/>
  <c r="AG238" i="6" s="1"/>
  <c r="AF238" i="6" a="1"/>
  <c r="AF238" i="6" s="1"/>
  <c r="AG237" i="6" a="1"/>
  <c r="AG237" i="6" s="1"/>
  <c r="AF237" i="6" a="1"/>
  <c r="AF237" i="6" s="1"/>
  <c r="AG236" i="6" a="1"/>
  <c r="AG236" i="6" s="1"/>
  <c r="AF236" i="6" a="1"/>
  <c r="AF236" i="6" s="1"/>
  <c r="AG235" i="6" a="1"/>
  <c r="AG235" i="6" s="1"/>
  <c r="AF235" i="6" a="1"/>
  <c r="AF235" i="6" s="1"/>
  <c r="AG234" i="6" a="1"/>
  <c r="AG234" i="6" s="1"/>
  <c r="AF234" i="6" a="1"/>
  <c r="AF234" i="6" s="1"/>
  <c r="AG233" i="6" a="1"/>
  <c r="AG233" i="6" s="1"/>
  <c r="AF233" i="6" a="1"/>
  <c r="AF233" i="6" s="1"/>
  <c r="AG232" i="6" a="1"/>
  <c r="AG232" i="6" s="1"/>
  <c r="AF232" i="6" a="1"/>
  <c r="AF232" i="6" s="1"/>
  <c r="AG231" i="6" a="1"/>
  <c r="AG231" i="6" s="1"/>
  <c r="AF231" i="6" a="1"/>
  <c r="AF231" i="6" s="1"/>
  <c r="AG230" i="6" a="1"/>
  <c r="AG230" i="6" s="1"/>
  <c r="AF230" i="6" a="1"/>
  <c r="AF230" i="6" s="1"/>
  <c r="AG229" i="6" a="1"/>
  <c r="AG229" i="6" s="1"/>
  <c r="AF229" i="6" a="1"/>
  <c r="AF229" i="6" s="1"/>
  <c r="AG228" i="6" a="1"/>
  <c r="AG228" i="6" s="1"/>
  <c r="AF228" i="6" a="1"/>
  <c r="AF228" i="6" s="1"/>
  <c r="AG227" i="6" a="1"/>
  <c r="AG227" i="6" s="1"/>
  <c r="AF227" i="6" a="1"/>
  <c r="AF227" i="6" s="1"/>
  <c r="AG226" i="6" a="1"/>
  <c r="AG226" i="6" s="1"/>
  <c r="AF226" i="6" a="1"/>
  <c r="AF226" i="6" s="1"/>
  <c r="AG225" i="6" a="1"/>
  <c r="AG225" i="6" s="1"/>
  <c r="AF225" i="6" a="1"/>
  <c r="AF225" i="6" s="1"/>
  <c r="AG224" i="6" a="1"/>
  <c r="AG224" i="6" s="1"/>
  <c r="AF224" i="6" a="1"/>
  <c r="AF224" i="6" s="1"/>
  <c r="AG223" i="6" a="1"/>
  <c r="AG223" i="6" s="1"/>
  <c r="AF223" i="6" a="1"/>
  <c r="AF223" i="6" s="1"/>
  <c r="AG222" i="6" a="1"/>
  <c r="AG222" i="6" s="1"/>
  <c r="AF222" i="6" a="1"/>
  <c r="AF222" i="6" s="1"/>
  <c r="AG221" i="6" a="1"/>
  <c r="AG221" i="6" s="1"/>
  <c r="AF221" i="6" a="1"/>
  <c r="AF221" i="6" s="1"/>
  <c r="AG220" i="6" a="1"/>
  <c r="AG220" i="6" s="1"/>
  <c r="AF220" i="6" a="1"/>
  <c r="AF220" i="6" s="1"/>
  <c r="AG219" i="6" a="1"/>
  <c r="AG219" i="6" s="1"/>
  <c r="AF219" i="6" a="1"/>
  <c r="AF219" i="6" s="1"/>
  <c r="AG218" i="6" a="1"/>
  <c r="AG218" i="6" s="1"/>
  <c r="AF218" i="6" a="1"/>
  <c r="AF218" i="6" s="1"/>
  <c r="AG217" i="6" a="1"/>
  <c r="AG217" i="6" s="1"/>
  <c r="AF217" i="6" a="1"/>
  <c r="AF217" i="6" s="1"/>
  <c r="AG216" i="6" a="1"/>
  <c r="AG216" i="6" s="1"/>
  <c r="AF216" i="6" a="1"/>
  <c r="AF216" i="6" s="1"/>
  <c r="AG215" i="6" a="1"/>
  <c r="AG215" i="6" s="1"/>
  <c r="AF215" i="6" a="1"/>
  <c r="AF215" i="6" s="1"/>
  <c r="AG214" i="6" a="1"/>
  <c r="AG214" i="6" s="1"/>
  <c r="AF214" i="6" a="1"/>
  <c r="AF214" i="6" s="1"/>
  <c r="AG213" i="6" a="1"/>
  <c r="AG213" i="6" s="1"/>
  <c r="AF213" i="6" a="1"/>
  <c r="AF213" i="6" s="1"/>
  <c r="AG212" i="6" a="1"/>
  <c r="AG212" i="6" s="1"/>
  <c r="AF212" i="6" a="1"/>
  <c r="AF212" i="6" s="1"/>
  <c r="AG211" i="6" a="1"/>
  <c r="AG211" i="6" s="1"/>
  <c r="AF211" i="6" a="1"/>
  <c r="AF211" i="6" s="1"/>
  <c r="AG210" i="6" a="1"/>
  <c r="AG210" i="6" s="1"/>
  <c r="AF210" i="6" a="1"/>
  <c r="AF210" i="6" s="1"/>
  <c r="AG209" i="6" a="1"/>
  <c r="AG209" i="6" s="1"/>
  <c r="AF209" i="6" a="1"/>
  <c r="AF209" i="6" s="1"/>
  <c r="AG208" i="6" a="1"/>
  <c r="AG208" i="6" s="1"/>
  <c r="AF208" i="6" a="1"/>
  <c r="AF208" i="6" s="1"/>
  <c r="AG207" i="6" a="1"/>
  <c r="AG207" i="6" s="1"/>
  <c r="AF207" i="6" a="1"/>
  <c r="AF207" i="6" s="1"/>
  <c r="AG206" i="6" a="1"/>
  <c r="AG206" i="6" s="1"/>
  <c r="AF206" i="6" a="1"/>
  <c r="AF206" i="6" s="1"/>
  <c r="AG205" i="6" a="1"/>
  <c r="AG205" i="6" s="1"/>
  <c r="AF205" i="6" a="1"/>
  <c r="AF205" i="6" s="1"/>
  <c r="AG204" i="6" a="1"/>
  <c r="AG204" i="6" s="1"/>
  <c r="AF204" i="6" a="1"/>
  <c r="AF204" i="6" s="1"/>
  <c r="AG203" i="6" a="1"/>
  <c r="AG203" i="6" s="1"/>
  <c r="AF203" i="6" a="1"/>
  <c r="AF203" i="6" s="1"/>
  <c r="AG202" i="6" a="1"/>
  <c r="AG202" i="6" s="1"/>
  <c r="AF202" i="6" a="1"/>
  <c r="AF202" i="6" s="1"/>
  <c r="AG201" i="6" a="1"/>
  <c r="AG201" i="6" s="1"/>
  <c r="AF201" i="6" a="1"/>
  <c r="AF201" i="6" s="1"/>
  <c r="AG200" i="6" a="1"/>
  <c r="AG200" i="6" s="1"/>
  <c r="AF200" i="6" a="1"/>
  <c r="AF200" i="6" s="1"/>
  <c r="AG199" i="6" a="1"/>
  <c r="AG199" i="6" s="1"/>
  <c r="AF199" i="6" a="1"/>
  <c r="AF199" i="6" s="1"/>
  <c r="AG198" i="6" a="1"/>
  <c r="AG198" i="6" s="1"/>
  <c r="AF198" i="6" a="1"/>
  <c r="AF198" i="6" s="1"/>
  <c r="AG197" i="6" a="1"/>
  <c r="AG197" i="6" s="1"/>
  <c r="AF197" i="6" a="1"/>
  <c r="AF197" i="6" s="1"/>
  <c r="AG196" i="6" a="1"/>
  <c r="AG196" i="6" s="1"/>
  <c r="AF196" i="6" a="1"/>
  <c r="AF196" i="6" s="1"/>
  <c r="AG195" i="6" a="1"/>
  <c r="AG195" i="6" s="1"/>
  <c r="AF195" i="6" a="1"/>
  <c r="AF195" i="6" s="1"/>
  <c r="AG194" i="6" a="1"/>
  <c r="AG194" i="6" s="1"/>
  <c r="AF194" i="6" a="1"/>
  <c r="AF194" i="6" s="1"/>
  <c r="AG193" i="6" a="1"/>
  <c r="AG193" i="6" s="1"/>
  <c r="AF193" i="6" a="1"/>
  <c r="AF193" i="6" s="1"/>
  <c r="AG192" i="6" a="1"/>
  <c r="AG192" i="6" s="1"/>
  <c r="AF192" i="6" a="1"/>
  <c r="AF192" i="6" s="1"/>
  <c r="AG191" i="6" a="1"/>
  <c r="AG191" i="6" s="1"/>
  <c r="AF191" i="6" a="1"/>
  <c r="AF191" i="6" s="1"/>
  <c r="AG190" i="6" a="1"/>
  <c r="AG190" i="6" s="1"/>
  <c r="AF190" i="6" a="1"/>
  <c r="AF190" i="6" s="1"/>
  <c r="AG189" i="6" a="1"/>
  <c r="AG189" i="6" s="1"/>
  <c r="AF189" i="6" a="1"/>
  <c r="AF189" i="6" s="1"/>
  <c r="AG188" i="6" a="1"/>
  <c r="AG188" i="6" s="1"/>
  <c r="AF188" i="6" a="1"/>
  <c r="AF188" i="6" s="1"/>
  <c r="AG187" i="6" a="1"/>
  <c r="AG187" i="6" s="1"/>
  <c r="AF187" i="6" a="1"/>
  <c r="AF187" i="6" s="1"/>
  <c r="AG186" i="6" a="1"/>
  <c r="AG186" i="6" s="1"/>
  <c r="AF186" i="6" a="1"/>
  <c r="AF186" i="6" s="1"/>
  <c r="AG185" i="6" a="1"/>
  <c r="AG185" i="6" s="1"/>
  <c r="AF185" i="6" a="1"/>
  <c r="AF185" i="6" s="1"/>
  <c r="AG184" i="6" a="1"/>
  <c r="AG184" i="6" s="1"/>
  <c r="AF184" i="6" a="1"/>
  <c r="AF184" i="6" s="1"/>
  <c r="AG183" i="6" a="1"/>
  <c r="AG183" i="6" s="1"/>
  <c r="AF183" i="6" a="1"/>
  <c r="AF183" i="6" s="1"/>
  <c r="AG182" i="6" a="1"/>
  <c r="AG182" i="6" s="1"/>
  <c r="AF182" i="6" a="1"/>
  <c r="AF182" i="6" s="1"/>
  <c r="AG181" i="6" a="1"/>
  <c r="AG181" i="6" s="1"/>
  <c r="AF181" i="6" a="1"/>
  <c r="AF181" i="6" s="1"/>
  <c r="AG180" i="6" a="1"/>
  <c r="AG180" i="6" s="1"/>
  <c r="AF180" i="6" a="1"/>
  <c r="AF180" i="6" s="1"/>
  <c r="AG179" i="6" a="1"/>
  <c r="AG179" i="6" s="1"/>
  <c r="AF179" i="6" a="1"/>
  <c r="AF179" i="6" s="1"/>
  <c r="AG178" i="6" a="1"/>
  <c r="AG178" i="6" s="1"/>
  <c r="AF178" i="6" a="1"/>
  <c r="AF178" i="6" s="1"/>
  <c r="AG177" i="6" a="1"/>
  <c r="AG177" i="6" s="1"/>
  <c r="AF177" i="6" a="1"/>
  <c r="AF177" i="6" s="1"/>
  <c r="AG176" i="6" a="1"/>
  <c r="AG176" i="6" s="1"/>
  <c r="AF176" i="6" a="1"/>
  <c r="AF176" i="6" s="1"/>
  <c r="AG175" i="6" a="1"/>
  <c r="AG175" i="6" s="1"/>
  <c r="AF175" i="6" a="1"/>
  <c r="AF175" i="6" s="1"/>
  <c r="AG174" i="6" a="1"/>
  <c r="AG174" i="6" s="1"/>
  <c r="AF174" i="6" a="1"/>
  <c r="AF174" i="6" s="1"/>
  <c r="AG173" i="6" a="1"/>
  <c r="AG173" i="6" s="1"/>
  <c r="AF173" i="6" a="1"/>
  <c r="AF173" i="6" s="1"/>
  <c r="AG172" i="6" a="1"/>
  <c r="AG172" i="6" s="1"/>
  <c r="AF172" i="6" a="1"/>
  <c r="AF172" i="6" s="1"/>
  <c r="AG171" i="6" a="1"/>
  <c r="AG171" i="6" s="1"/>
  <c r="AF171" i="6" a="1"/>
  <c r="AF171" i="6" s="1"/>
  <c r="AG170" i="6" a="1"/>
  <c r="AG170" i="6" s="1"/>
  <c r="AF170" i="6" a="1"/>
  <c r="AF170" i="6" s="1"/>
  <c r="AG169" i="6" a="1"/>
  <c r="AG169" i="6" s="1"/>
  <c r="AF169" i="6" a="1"/>
  <c r="AF169" i="6" s="1"/>
  <c r="AG168" i="6" a="1"/>
  <c r="AG168" i="6" s="1"/>
  <c r="AF168" i="6" a="1"/>
  <c r="AF168" i="6" s="1"/>
  <c r="AG167" i="6" a="1"/>
  <c r="AG167" i="6" s="1"/>
  <c r="AF167" i="6" a="1"/>
  <c r="AF167" i="6" s="1"/>
  <c r="AG166" i="6" a="1"/>
  <c r="AG166" i="6" s="1"/>
  <c r="AF166" i="6" a="1"/>
  <c r="AF166" i="6" s="1"/>
  <c r="AG165" i="6" a="1"/>
  <c r="AG165" i="6" s="1"/>
  <c r="AF165" i="6" a="1"/>
  <c r="AF165" i="6" s="1"/>
  <c r="AG164" i="6" a="1"/>
  <c r="AG164" i="6" s="1"/>
  <c r="AF164" i="6" a="1"/>
  <c r="AF164" i="6" s="1"/>
  <c r="AG163" i="6" a="1"/>
  <c r="AG163" i="6" s="1"/>
  <c r="AF163" i="6" a="1"/>
  <c r="AF163" i="6" s="1"/>
  <c r="AG162" i="6" a="1"/>
  <c r="AG162" i="6" s="1"/>
  <c r="AF162" i="6" a="1"/>
  <c r="AF162" i="6" s="1"/>
  <c r="AG161" i="6" a="1"/>
  <c r="AG161" i="6" s="1"/>
  <c r="AF161" i="6" a="1"/>
  <c r="AF161" i="6" s="1"/>
  <c r="AG160" i="6" a="1"/>
  <c r="AG160" i="6" s="1"/>
  <c r="AF160" i="6" a="1"/>
  <c r="AF160" i="6" s="1"/>
  <c r="AG159" i="6" a="1"/>
  <c r="AG159" i="6" s="1"/>
  <c r="AF159" i="6" a="1"/>
  <c r="AF159" i="6" s="1"/>
  <c r="AG158" i="6" a="1"/>
  <c r="AG158" i="6" s="1"/>
  <c r="AF158" i="6" a="1"/>
  <c r="AF158" i="6" s="1"/>
  <c r="AG157" i="6" a="1"/>
  <c r="AG157" i="6" s="1"/>
  <c r="AF157" i="6" a="1"/>
  <c r="AF157" i="6" s="1"/>
  <c r="AG156" i="6" a="1"/>
  <c r="AG156" i="6" s="1"/>
  <c r="AF156" i="6" a="1"/>
  <c r="AF156" i="6" s="1"/>
  <c r="AG155" i="6" a="1"/>
  <c r="AG155" i="6" s="1"/>
  <c r="AF155" i="6" a="1"/>
  <c r="AF155" i="6" s="1"/>
  <c r="AG154" i="6" a="1"/>
  <c r="AG154" i="6" s="1"/>
  <c r="AF154" i="6" a="1"/>
  <c r="AF154" i="6" s="1"/>
  <c r="AG153" i="6" a="1"/>
  <c r="AG153" i="6" s="1"/>
  <c r="AF153" i="6" a="1"/>
  <c r="AF153" i="6" s="1"/>
  <c r="AG152" i="6" a="1"/>
  <c r="AG152" i="6" s="1"/>
  <c r="AF152" i="6" a="1"/>
  <c r="AF152" i="6" s="1"/>
  <c r="AG151" i="6" a="1"/>
  <c r="AG151" i="6" s="1"/>
  <c r="AF151" i="6" a="1"/>
  <c r="AF151" i="6" s="1"/>
  <c r="AG150" i="6" a="1"/>
  <c r="AG150" i="6" s="1"/>
  <c r="AF150" i="6" a="1"/>
  <c r="AF150" i="6" s="1"/>
  <c r="AG149" i="6" a="1"/>
  <c r="AG149" i="6" s="1"/>
  <c r="AF149" i="6" a="1"/>
  <c r="AF149" i="6" s="1"/>
  <c r="AG148" i="6" a="1"/>
  <c r="AG148" i="6" s="1"/>
  <c r="AF148" i="6" a="1"/>
  <c r="AF148" i="6" s="1"/>
  <c r="AG147" i="6" a="1"/>
  <c r="AG147" i="6" s="1"/>
  <c r="AF147" i="6" a="1"/>
  <c r="AF147" i="6" s="1"/>
  <c r="AG146" i="6" a="1"/>
  <c r="AG146" i="6" s="1"/>
  <c r="AF146" i="6" a="1"/>
  <c r="AF146" i="6" s="1"/>
  <c r="AG145" i="6" a="1"/>
  <c r="AG145" i="6" s="1"/>
  <c r="AF145" i="6" a="1"/>
  <c r="AF145" i="6" s="1"/>
  <c r="AG144" i="6" a="1"/>
  <c r="AG144" i="6" s="1"/>
  <c r="AF144" i="6" a="1"/>
  <c r="AF144" i="6" s="1"/>
  <c r="AG143" i="6" a="1"/>
  <c r="AG143" i="6" s="1"/>
  <c r="AF143" i="6" a="1"/>
  <c r="AF143" i="6" s="1"/>
  <c r="AG142" i="6" a="1"/>
  <c r="AG142" i="6" s="1"/>
  <c r="AF142" i="6" a="1"/>
  <c r="AF142" i="6" s="1"/>
  <c r="AG141" i="6" a="1"/>
  <c r="AG141" i="6" s="1"/>
  <c r="AF141" i="6" a="1"/>
  <c r="AF141" i="6" s="1"/>
  <c r="AG140" i="6" a="1"/>
  <c r="AG140" i="6" s="1"/>
  <c r="AF140" i="6" a="1"/>
  <c r="AF140" i="6" s="1"/>
  <c r="AG139" i="6" a="1"/>
  <c r="AG139" i="6" s="1"/>
  <c r="AF139" i="6" a="1"/>
  <c r="AF139" i="6" s="1"/>
  <c r="AG138" i="6" a="1"/>
  <c r="AG138" i="6" s="1"/>
  <c r="AF138" i="6" a="1"/>
  <c r="AF138" i="6" s="1"/>
  <c r="AG137" i="6" a="1"/>
  <c r="AG137" i="6" s="1"/>
  <c r="AF137" i="6" a="1"/>
  <c r="AF137" i="6" s="1"/>
  <c r="AG136" i="6" a="1"/>
  <c r="AG136" i="6" s="1"/>
  <c r="AF136" i="6" a="1"/>
  <c r="AF136" i="6" s="1"/>
  <c r="AG135" i="6" a="1"/>
  <c r="AG135" i="6" s="1"/>
  <c r="AF135" i="6" a="1"/>
  <c r="AF135" i="6" s="1"/>
  <c r="AG134" i="6" a="1"/>
  <c r="AG134" i="6" s="1"/>
  <c r="AF134" i="6" a="1"/>
  <c r="AF134" i="6" s="1"/>
  <c r="AG133" i="6" a="1"/>
  <c r="AG133" i="6" s="1"/>
  <c r="AF133" i="6" a="1"/>
  <c r="AF133" i="6" s="1"/>
  <c r="AG132" i="6" a="1"/>
  <c r="AG132" i="6" s="1"/>
  <c r="AF132" i="6" a="1"/>
  <c r="AF132" i="6" s="1"/>
  <c r="AG131" i="6" a="1"/>
  <c r="AG131" i="6" s="1"/>
  <c r="AF131" i="6" a="1"/>
  <c r="AF131" i="6" s="1"/>
  <c r="AG130" i="6" a="1"/>
  <c r="AG130" i="6" s="1"/>
  <c r="AF130" i="6" a="1"/>
  <c r="AF130" i="6" s="1"/>
  <c r="AG129" i="6" a="1"/>
  <c r="AG129" i="6" s="1"/>
  <c r="AF129" i="6" a="1"/>
  <c r="AF129" i="6" s="1"/>
  <c r="AG128" i="6" a="1"/>
  <c r="AG128" i="6" s="1"/>
  <c r="AF128" i="6" a="1"/>
  <c r="AF128" i="6" s="1"/>
  <c r="AG127" i="6" a="1"/>
  <c r="AG127" i="6" s="1"/>
  <c r="AF127" i="6" a="1"/>
  <c r="AF127" i="6" s="1"/>
  <c r="AG126" i="6" a="1"/>
  <c r="AG126" i="6" s="1"/>
  <c r="AF126" i="6" a="1"/>
  <c r="AF126" i="6" s="1"/>
  <c r="AG125" i="6" a="1"/>
  <c r="AG125" i="6" s="1"/>
  <c r="AF125" i="6" a="1"/>
  <c r="AF125" i="6" s="1"/>
  <c r="AG124" i="6" a="1"/>
  <c r="AG124" i="6" s="1"/>
  <c r="AF124" i="6" a="1"/>
  <c r="AF124" i="6" s="1"/>
  <c r="AG123" i="6" a="1"/>
  <c r="AG123" i="6" s="1"/>
  <c r="AF123" i="6" a="1"/>
  <c r="AF123" i="6" s="1"/>
  <c r="AG122" i="6" a="1"/>
  <c r="AG122" i="6" s="1"/>
  <c r="AF122" i="6" a="1"/>
  <c r="AF122" i="6" s="1"/>
  <c r="AG121" i="6" a="1"/>
  <c r="AG121" i="6" s="1"/>
  <c r="AF121" i="6" a="1"/>
  <c r="AF121" i="6" s="1"/>
  <c r="AG120" i="6" a="1"/>
  <c r="AG120" i="6" s="1"/>
  <c r="AF120" i="6" a="1"/>
  <c r="AF120" i="6" s="1"/>
  <c r="AG119" i="6" a="1"/>
  <c r="AG119" i="6" s="1"/>
  <c r="AF119" i="6" a="1"/>
  <c r="AF119" i="6" s="1"/>
  <c r="AG118" i="6" a="1"/>
  <c r="AG118" i="6" s="1"/>
  <c r="AF118" i="6" a="1"/>
  <c r="AF118" i="6" s="1"/>
  <c r="AG117" i="6" a="1"/>
  <c r="AG117" i="6" s="1"/>
  <c r="AF117" i="6" a="1"/>
  <c r="AF117" i="6" s="1"/>
  <c r="AG116" i="6" a="1"/>
  <c r="AG116" i="6" s="1"/>
  <c r="AF116" i="6" a="1"/>
  <c r="AF116" i="6" s="1"/>
  <c r="AG115" i="6" a="1"/>
  <c r="AG115" i="6" s="1"/>
  <c r="AF115" i="6" a="1"/>
  <c r="AF115" i="6" s="1"/>
  <c r="AG114" i="6" a="1"/>
  <c r="AG114" i="6" s="1"/>
  <c r="AF114" i="6" a="1"/>
  <c r="AF114" i="6" s="1"/>
  <c r="AG113" i="6" a="1"/>
  <c r="AG113" i="6" s="1"/>
  <c r="AF113" i="6" a="1"/>
  <c r="AF113" i="6" s="1"/>
  <c r="AG112" i="6" a="1"/>
  <c r="AG112" i="6" s="1"/>
  <c r="AF112" i="6" a="1"/>
  <c r="AF112" i="6" s="1"/>
  <c r="AG111" i="6" a="1"/>
  <c r="AG111" i="6" s="1"/>
  <c r="AF111" i="6" a="1"/>
  <c r="AF111" i="6" s="1"/>
  <c r="AG110" i="6" a="1"/>
  <c r="AG110" i="6" s="1"/>
  <c r="AF110" i="6" a="1"/>
  <c r="AF110" i="6" s="1"/>
  <c r="AG109" i="6" a="1"/>
  <c r="AG109" i="6" s="1"/>
  <c r="AF109" i="6" a="1"/>
  <c r="AF109" i="6" s="1"/>
  <c r="AG108" i="6" a="1"/>
  <c r="AG108" i="6" s="1"/>
  <c r="AF108" i="6" a="1"/>
  <c r="AF108" i="6" s="1"/>
  <c r="AG107" i="6" a="1"/>
  <c r="AG107" i="6" s="1"/>
  <c r="AF107" i="6" a="1"/>
  <c r="AF107" i="6" s="1"/>
  <c r="AG106" i="6" a="1"/>
  <c r="AG106" i="6" s="1"/>
  <c r="AF106" i="6" a="1"/>
  <c r="AF106" i="6" s="1"/>
  <c r="AG105" i="6" a="1"/>
  <c r="AG105" i="6" s="1"/>
  <c r="AF105" i="6" a="1"/>
  <c r="AF105" i="6" s="1"/>
  <c r="AG104" i="6" a="1"/>
  <c r="AG104" i="6" s="1"/>
  <c r="AF104" i="6" a="1"/>
  <c r="AF104" i="6" s="1"/>
  <c r="AG103" i="6" a="1"/>
  <c r="AG103" i="6" s="1"/>
  <c r="AF103" i="6" a="1"/>
  <c r="AF103" i="6" s="1"/>
  <c r="AG102" i="6" a="1"/>
  <c r="AG102" i="6" s="1"/>
  <c r="AF102" i="6" a="1"/>
  <c r="AF102" i="6" s="1"/>
  <c r="AG101" i="6" a="1"/>
  <c r="AG101" i="6" s="1"/>
  <c r="AF101" i="6" a="1"/>
  <c r="AF101" i="6" s="1"/>
  <c r="AG100" i="6" a="1"/>
  <c r="AG100" i="6" s="1"/>
  <c r="AF100" i="6" a="1"/>
  <c r="AF100" i="6" s="1"/>
  <c r="AG99" i="6" a="1"/>
  <c r="AG99" i="6" s="1"/>
  <c r="AF99" i="6" a="1"/>
  <c r="AF99" i="6" s="1"/>
  <c r="AG98" i="6" a="1"/>
  <c r="AG98" i="6" s="1"/>
  <c r="AF98" i="6" a="1"/>
  <c r="AF98" i="6" s="1"/>
  <c r="AG97" i="6" a="1"/>
  <c r="AG97" i="6" s="1"/>
  <c r="AF97" i="6" a="1"/>
  <c r="AF97" i="6" s="1"/>
  <c r="AG96" i="6" a="1"/>
  <c r="AG96" i="6" s="1"/>
  <c r="AF96" i="6" a="1"/>
  <c r="AF96" i="6" s="1"/>
  <c r="AG95" i="6" a="1"/>
  <c r="AG95" i="6" s="1"/>
  <c r="AF95" i="6" a="1"/>
  <c r="AF95" i="6" s="1"/>
  <c r="AG94" i="6" a="1"/>
  <c r="AG94" i="6" s="1"/>
  <c r="AF94" i="6" a="1"/>
  <c r="AF94" i="6" s="1"/>
  <c r="AG93" i="6" a="1"/>
  <c r="AG93" i="6" s="1"/>
  <c r="AF93" i="6" a="1"/>
  <c r="AF93" i="6" s="1"/>
  <c r="AG92" i="6" a="1"/>
  <c r="AG92" i="6" s="1"/>
  <c r="AF92" i="6" a="1"/>
  <c r="AF92" i="6" s="1"/>
  <c r="AG91" i="6" a="1"/>
  <c r="AG91" i="6" s="1"/>
  <c r="AF91" i="6" a="1"/>
  <c r="AF91" i="6" s="1"/>
  <c r="AG90" i="6" a="1"/>
  <c r="AG90" i="6" s="1"/>
  <c r="AF90" i="6" a="1"/>
  <c r="AF90" i="6" s="1"/>
  <c r="AG89" i="6" a="1"/>
  <c r="AG89" i="6" s="1"/>
  <c r="AF89" i="6" a="1"/>
  <c r="AF89" i="6" s="1"/>
  <c r="AG88" i="6" a="1"/>
  <c r="AG88" i="6" s="1"/>
  <c r="AF88" i="6" a="1"/>
  <c r="AF88" i="6" s="1"/>
  <c r="AG87" i="6" a="1"/>
  <c r="AG87" i="6" s="1"/>
  <c r="AF87" i="6" a="1"/>
  <c r="AF87" i="6" s="1"/>
  <c r="AG86" i="6" a="1"/>
  <c r="AG86" i="6" s="1"/>
  <c r="AF86" i="6" a="1"/>
  <c r="AF86" i="6" s="1"/>
  <c r="AG85" i="6" a="1"/>
  <c r="AG85" i="6" s="1"/>
  <c r="AF85" i="6" a="1"/>
  <c r="AF85" i="6" s="1"/>
  <c r="AG84" i="6" a="1"/>
  <c r="AG84" i="6" s="1"/>
  <c r="AF84" i="6" a="1"/>
  <c r="AF84" i="6" s="1"/>
  <c r="AG83" i="6" a="1"/>
  <c r="AG83" i="6" s="1"/>
  <c r="AF83" i="6" a="1"/>
  <c r="AF83" i="6" s="1"/>
  <c r="AG82" i="6" a="1"/>
  <c r="AG82" i="6" s="1"/>
  <c r="AF82" i="6" a="1"/>
  <c r="AF82" i="6" s="1"/>
  <c r="AG81" i="6" a="1"/>
  <c r="AG81" i="6" s="1"/>
  <c r="AF81" i="6" a="1"/>
  <c r="AF81" i="6" s="1"/>
  <c r="AG80" i="6" a="1"/>
  <c r="AG80" i="6" s="1"/>
  <c r="AF80" i="6" a="1"/>
  <c r="AF80" i="6" s="1"/>
  <c r="AG79" i="6" a="1"/>
  <c r="AG79" i="6" s="1"/>
  <c r="AF79" i="6" a="1"/>
  <c r="AF79" i="6" s="1"/>
  <c r="AG78" i="6" a="1"/>
  <c r="AG78" i="6" s="1"/>
  <c r="AF78" i="6" a="1"/>
  <c r="AF78" i="6" s="1"/>
  <c r="AG77" i="6" a="1"/>
  <c r="AG77" i="6" s="1"/>
  <c r="AF77" i="6" a="1"/>
  <c r="AF77" i="6" s="1"/>
  <c r="AG76" i="6" a="1"/>
  <c r="AG76" i="6" s="1"/>
  <c r="AF76" i="6" a="1"/>
  <c r="AF76" i="6" s="1"/>
  <c r="AG75" i="6" a="1"/>
  <c r="AG75" i="6" s="1"/>
  <c r="AF75" i="6" a="1"/>
  <c r="AF75" i="6" s="1"/>
  <c r="AG74" i="6" a="1"/>
  <c r="AG74" i="6" s="1"/>
  <c r="AF74" i="6" a="1"/>
  <c r="AF74" i="6" s="1"/>
  <c r="AG73" i="6" a="1"/>
  <c r="AG73" i="6" s="1"/>
  <c r="AF73" i="6" a="1"/>
  <c r="AF73" i="6" s="1"/>
  <c r="AG72" i="6" a="1"/>
  <c r="AG72" i="6" s="1"/>
  <c r="AF72" i="6" a="1"/>
  <c r="AF72" i="6" s="1"/>
  <c r="AG71" i="6" a="1"/>
  <c r="AG71" i="6" s="1"/>
  <c r="AF71" i="6" a="1"/>
  <c r="AF71" i="6" s="1"/>
  <c r="AG70" i="6" a="1"/>
  <c r="AG70" i="6" s="1"/>
  <c r="AF70" i="6" a="1"/>
  <c r="AF70" i="6" s="1"/>
  <c r="AG69" i="6" a="1"/>
  <c r="AG69" i="6" s="1"/>
  <c r="AF69" i="6" a="1"/>
  <c r="AF69" i="6" s="1"/>
  <c r="AG68" i="6" a="1"/>
  <c r="AG68" i="6" s="1"/>
  <c r="AF68" i="6" a="1"/>
  <c r="AF68" i="6" s="1"/>
  <c r="AG67" i="6" a="1"/>
  <c r="AG67" i="6" s="1"/>
  <c r="AF67" i="6" a="1"/>
  <c r="AF67" i="6" s="1"/>
  <c r="AG66" i="6" a="1"/>
  <c r="AG66" i="6" s="1"/>
  <c r="AF66" i="6" a="1"/>
  <c r="AF66" i="6" s="1"/>
  <c r="AG65" i="6" a="1"/>
  <c r="AG65" i="6" s="1"/>
  <c r="AF65" i="6" a="1"/>
  <c r="AF65" i="6" s="1"/>
  <c r="AG64" i="6" a="1"/>
  <c r="AG64" i="6" s="1"/>
  <c r="AF64" i="6" a="1"/>
  <c r="AF64" i="6" s="1"/>
  <c r="AG63" i="6" a="1"/>
  <c r="AG63" i="6" s="1"/>
  <c r="AF63" i="6" a="1"/>
  <c r="AF63" i="6" s="1"/>
  <c r="AG62" i="6" a="1"/>
  <c r="AG62" i="6" s="1"/>
  <c r="AF62" i="6" a="1"/>
  <c r="AF62" i="6" s="1"/>
  <c r="AG61" i="6" a="1"/>
  <c r="AG61" i="6" s="1"/>
  <c r="AF61" i="6" a="1"/>
  <c r="AF61" i="6" s="1"/>
  <c r="AG60" i="6" a="1"/>
  <c r="AG60" i="6" s="1"/>
  <c r="AF60" i="6" a="1"/>
  <c r="AF60" i="6" s="1"/>
  <c r="AG59" i="6" a="1"/>
  <c r="AG59" i="6" s="1"/>
  <c r="AF59" i="6" a="1"/>
  <c r="AF59" i="6" s="1"/>
  <c r="AG58" i="6" a="1"/>
  <c r="AG58" i="6" s="1"/>
  <c r="AF58" i="6" a="1"/>
  <c r="AF58" i="6" s="1"/>
  <c r="AG57" i="6" a="1"/>
  <c r="AG57" i="6" s="1"/>
  <c r="AF57" i="6" a="1"/>
  <c r="AF57" i="6" s="1"/>
  <c r="AG56" i="6" a="1"/>
  <c r="AG56" i="6" s="1"/>
  <c r="AF56" i="6" a="1"/>
  <c r="AF56" i="6" s="1"/>
  <c r="AG55" i="6" a="1"/>
  <c r="AG55" i="6" s="1"/>
  <c r="AF55" i="6" a="1"/>
  <c r="AF55" i="6" s="1"/>
  <c r="AG54" i="6" a="1"/>
  <c r="AG54" i="6" s="1"/>
  <c r="AF54" i="6" a="1"/>
  <c r="AF54" i="6" s="1"/>
  <c r="AG53" i="6" a="1"/>
  <c r="AG53" i="6" s="1"/>
  <c r="AF53" i="6" a="1"/>
  <c r="AF53" i="6" s="1"/>
  <c r="AG52" i="6" a="1"/>
  <c r="AG52" i="6" s="1"/>
  <c r="AF52" i="6" a="1"/>
  <c r="AF52" i="6" s="1"/>
  <c r="AG51" i="6" a="1"/>
  <c r="AG51" i="6" s="1"/>
  <c r="AF51" i="6" a="1"/>
  <c r="AF51" i="6" s="1"/>
  <c r="AG50" i="6" a="1"/>
  <c r="AG50" i="6" s="1"/>
  <c r="AF50" i="6" a="1"/>
  <c r="AF50" i="6" s="1"/>
  <c r="AG49" i="6" a="1"/>
  <c r="AG49" i="6" s="1"/>
  <c r="AF49" i="6" a="1"/>
  <c r="AF49" i="6" s="1"/>
  <c r="AG48" i="6" a="1"/>
  <c r="AG48" i="6" s="1"/>
  <c r="AF48" i="6" a="1"/>
  <c r="AF48" i="6" s="1"/>
  <c r="AG47" i="6" a="1"/>
  <c r="AG47" i="6" s="1"/>
  <c r="AF47" i="6" a="1"/>
  <c r="AF47" i="6" s="1"/>
  <c r="AG46" i="6" a="1"/>
  <c r="AG46" i="6" s="1"/>
  <c r="AF46" i="6" a="1"/>
  <c r="AF46" i="6" s="1"/>
  <c r="AG45" i="6" a="1"/>
  <c r="AG45" i="6" s="1"/>
  <c r="AF45" i="6" a="1"/>
  <c r="AF45" i="6" s="1"/>
  <c r="AG44" i="6" a="1"/>
  <c r="AG44" i="6" s="1"/>
  <c r="AF44" i="6" a="1"/>
  <c r="AF44" i="6" s="1"/>
  <c r="AG43" i="6" a="1"/>
  <c r="AG43" i="6" s="1"/>
  <c r="AF43" i="6" a="1"/>
  <c r="AF43" i="6" s="1"/>
  <c r="AG42" i="6" a="1"/>
  <c r="AG42" i="6" s="1"/>
  <c r="AF42" i="6" a="1"/>
  <c r="AF42" i="6" s="1"/>
  <c r="AG41" i="6" a="1"/>
  <c r="AG41" i="6" s="1"/>
  <c r="AF41" i="6" a="1"/>
  <c r="AF41" i="6" s="1"/>
  <c r="AG40" i="6" a="1"/>
  <c r="AG40" i="6" s="1"/>
  <c r="AF40" i="6" a="1"/>
  <c r="AF40" i="6" s="1"/>
  <c r="AG39" i="6" a="1"/>
  <c r="AG39" i="6" s="1"/>
  <c r="AF39" i="6" a="1"/>
  <c r="AF39" i="6" s="1"/>
  <c r="AG38" i="6" a="1"/>
  <c r="AG38" i="6" s="1"/>
  <c r="AF38" i="6" a="1"/>
  <c r="AF38" i="6" s="1"/>
  <c r="AG37" i="6" a="1"/>
  <c r="AG37" i="6" s="1"/>
  <c r="AF37" i="6" a="1"/>
  <c r="AF37" i="6" s="1"/>
  <c r="AG36" i="6" a="1"/>
  <c r="AG36" i="6" s="1"/>
  <c r="AF36" i="6" a="1"/>
  <c r="AF36" i="6" s="1"/>
  <c r="AG35" i="6" a="1"/>
  <c r="AG35" i="6" s="1"/>
  <c r="AF35" i="6" a="1"/>
  <c r="AF35" i="6" s="1"/>
  <c r="AG34" i="6" a="1"/>
  <c r="AG34" i="6" s="1"/>
  <c r="AF34" i="6" a="1"/>
  <c r="AF34" i="6" s="1"/>
  <c r="AG33" i="6" a="1"/>
  <c r="AG33" i="6" s="1"/>
  <c r="AF33" i="6" a="1"/>
  <c r="AF33" i="6" s="1"/>
  <c r="AG32" i="6" a="1"/>
  <c r="AG32" i="6" s="1"/>
  <c r="AF32" i="6" a="1"/>
  <c r="AF32" i="6" s="1"/>
  <c r="AG31" i="6" a="1"/>
  <c r="AG31" i="6" s="1"/>
  <c r="AF31" i="6" a="1"/>
  <c r="AF31" i="6" s="1"/>
  <c r="AG30" i="6" a="1"/>
  <c r="AG30" i="6" s="1"/>
  <c r="AF30" i="6" a="1"/>
  <c r="AF30" i="6" s="1"/>
  <c r="AG29" i="6" a="1"/>
  <c r="AG29" i="6" s="1"/>
  <c r="AF29" i="6" a="1"/>
  <c r="AF29" i="6" s="1"/>
  <c r="AG28" i="6" a="1"/>
  <c r="AG28" i="6" s="1"/>
  <c r="AF28" i="6" a="1"/>
  <c r="AF28" i="6" s="1"/>
  <c r="AG27" i="6" a="1"/>
  <c r="AG27" i="6" s="1"/>
  <c r="AF27" i="6" a="1"/>
  <c r="AF27" i="6" s="1"/>
  <c r="AG26" i="6" a="1"/>
  <c r="AG26" i="6" s="1"/>
  <c r="AF26" i="6" a="1"/>
  <c r="AF26" i="6" s="1"/>
  <c r="AG25" i="6" a="1"/>
  <c r="AG25" i="6" s="1"/>
  <c r="AF25" i="6" a="1"/>
  <c r="AF25" i="6" s="1"/>
  <c r="AG24" i="6" a="1"/>
  <c r="AG24" i="6" s="1"/>
  <c r="AF24" i="6" a="1"/>
  <c r="AF24" i="6" s="1"/>
  <c r="AG23" i="6" a="1"/>
  <c r="AG23" i="6" s="1"/>
  <c r="AF23" i="6" a="1"/>
  <c r="AF23" i="6" s="1"/>
  <c r="AG22" i="6" a="1"/>
  <c r="AG22" i="6" s="1"/>
  <c r="AF22" i="6" a="1"/>
  <c r="AF22" i="6" s="1"/>
  <c r="AG21" i="6" a="1"/>
  <c r="AG21" i="6" s="1"/>
  <c r="AF21" i="6" a="1"/>
  <c r="AF21" i="6" s="1"/>
  <c r="AG20" i="6" a="1"/>
  <c r="AG20" i="6" s="1"/>
  <c r="AF20" i="6" a="1"/>
  <c r="AF20" i="6" s="1"/>
  <c r="AG19" i="6" a="1"/>
  <c r="AG19" i="6" s="1"/>
  <c r="AF19" i="6" a="1"/>
  <c r="AF19" i="6" s="1"/>
  <c r="AG18" i="6" a="1"/>
  <c r="AG18" i="6" s="1"/>
  <c r="AF18" i="6" a="1"/>
  <c r="AF18" i="6" s="1"/>
  <c r="AG17" i="6" a="1"/>
  <c r="AG17" i="6" s="1"/>
  <c r="AF17" i="6" a="1"/>
  <c r="AF17" i="6" s="1"/>
  <c r="AG16" i="6" a="1"/>
  <c r="AG16" i="6" s="1"/>
  <c r="AF16" i="6" a="1"/>
  <c r="AF16" i="6" s="1"/>
  <c r="AG15" i="6" a="1"/>
  <c r="AG15" i="6" s="1"/>
  <c r="AF15" i="6" a="1"/>
  <c r="AF15" i="6" s="1"/>
  <c r="AG14" i="6" a="1"/>
  <c r="AG14" i="6" s="1"/>
  <c r="AF14" i="6" a="1"/>
  <c r="AF14" i="6" s="1"/>
  <c r="AG13" i="6" a="1"/>
  <c r="AG13" i="6" s="1"/>
  <c r="AF13" i="6" a="1"/>
  <c r="AF13" i="6" s="1"/>
  <c r="AG12" i="6" a="1"/>
  <c r="AG12" i="6" s="1"/>
  <c r="AF12" i="6" a="1"/>
  <c r="AF12" i="6" s="1"/>
  <c r="AG11" i="6" a="1"/>
  <c r="AG11" i="6" s="1"/>
  <c r="AF11" i="6" a="1"/>
  <c r="AF11" i="6" s="1"/>
  <c r="AG10" i="6" a="1"/>
  <c r="AG10" i="6" s="1"/>
  <c r="AF10" i="6" a="1"/>
  <c r="AF10" i="6" s="1"/>
  <c r="AG9" i="6" a="1"/>
  <c r="AG9" i="6" s="1"/>
  <c r="AF9" i="6" a="1"/>
  <c r="AF9" i="6" s="1"/>
  <c r="AG8" i="6" a="1"/>
  <c r="AG8" i="6" s="1"/>
  <c r="AF8" i="6" a="1"/>
  <c r="AF8" i="6" s="1"/>
  <c r="AG7" i="6" a="1"/>
  <c r="AG7" i="6" s="1"/>
  <c r="AF7" i="6" a="1"/>
  <c r="AF7" i="6" s="1"/>
  <c r="AG6" i="6" a="1"/>
  <c r="AG6" i="6" s="1"/>
  <c r="AF6" i="6" a="1"/>
  <c r="AF6" i="6" s="1"/>
  <c r="AG5" i="6" a="1"/>
  <c r="AG5" i="6" s="1"/>
  <c r="AF5" i="6" a="1"/>
  <c r="AF5" i="6" s="1"/>
  <c r="AG4" i="6" a="1"/>
  <c r="AG4" i="6" s="1"/>
  <c r="AF4" i="6" a="1"/>
  <c r="AF4" i="6" s="1"/>
  <c r="AG3" i="6" a="1"/>
  <c r="AG3" i="6" s="1"/>
  <c r="AF3" i="6" a="1"/>
  <c r="AF3" i="6" s="1"/>
  <c r="AF2" i="6" a="1"/>
  <c r="AF2" i="6" s="1"/>
  <c r="AG2" i="6" a="1"/>
  <c r="AG2" i="6" s="1"/>
  <c r="C9" i="5" a="1"/>
  <c r="C9" i="5" s="1"/>
  <c r="AH457" i="6" l="1"/>
  <c r="AH119" i="6"/>
  <c r="AH280" i="6"/>
  <c r="AH178" i="6"/>
  <c r="AH182" i="6"/>
  <c r="AH250" i="6"/>
  <c r="AH270" i="6"/>
  <c r="AH55" i="6"/>
  <c r="AH63" i="6"/>
  <c r="AH67" i="6"/>
  <c r="AH75" i="6"/>
  <c r="AH347" i="6"/>
  <c r="AH383" i="6"/>
  <c r="AH438" i="6"/>
  <c r="AH32" i="6"/>
  <c r="AH56" i="6"/>
  <c r="AH128" i="6"/>
  <c r="AH228" i="6"/>
  <c r="AH17" i="6"/>
  <c r="AH287" i="6"/>
  <c r="AH306" i="6"/>
  <c r="AH310" i="6"/>
  <c r="AH515" i="6"/>
  <c r="AH38" i="6"/>
  <c r="AH327" i="6"/>
  <c r="AH377" i="6"/>
  <c r="AH257" i="6"/>
  <c r="AH64" i="6"/>
  <c r="AH368" i="6"/>
  <c r="AH97" i="6"/>
  <c r="AH115" i="6"/>
  <c r="AH304" i="6"/>
  <c r="AH308" i="6"/>
  <c r="AH492" i="6"/>
  <c r="AH255" i="6"/>
  <c r="AH127" i="6"/>
  <c r="AH163" i="6"/>
  <c r="AH156" i="6"/>
  <c r="AH466" i="6"/>
  <c r="AH514" i="6"/>
  <c r="AH210" i="6"/>
  <c r="AH214" i="6"/>
  <c r="AH222" i="6"/>
  <c r="AH344" i="6"/>
  <c r="AH459" i="6"/>
  <c r="AH68" i="6"/>
  <c r="AH247" i="6"/>
  <c r="AH412" i="6"/>
  <c r="AH416" i="6"/>
  <c r="AH420" i="6"/>
  <c r="AH428" i="6"/>
  <c r="AH469" i="6"/>
  <c r="AH488" i="6"/>
  <c r="AH65" i="6"/>
  <c r="AH73" i="6"/>
  <c r="AH77" i="6"/>
  <c r="AH87" i="6"/>
  <c r="AH112" i="6"/>
  <c r="AH186" i="6"/>
  <c r="AH232" i="6"/>
  <c r="AH274" i="6"/>
  <c r="AH342" i="6"/>
  <c r="AH395" i="6"/>
  <c r="AH413" i="6"/>
  <c r="AH448" i="6"/>
  <c r="AH452" i="6"/>
  <c r="AH11" i="6"/>
  <c r="AH31" i="6"/>
  <c r="AH50" i="6"/>
  <c r="AH80" i="6"/>
  <c r="AH105" i="6"/>
  <c r="AH131" i="6"/>
  <c r="AH154" i="6"/>
  <c r="AH194" i="6"/>
  <c r="AH263" i="6"/>
  <c r="AH332" i="6"/>
  <c r="AH349" i="6"/>
  <c r="AH365" i="6"/>
  <c r="AH410" i="6"/>
  <c r="AH456" i="6"/>
  <c r="AH92" i="6"/>
  <c r="AH162" i="6"/>
  <c r="AH198" i="6"/>
  <c r="AH202" i="6"/>
  <c r="AH206" i="6"/>
  <c r="AH260" i="6"/>
  <c r="AH294" i="6"/>
  <c r="AH343" i="6"/>
  <c r="AH422" i="6"/>
  <c r="AH426" i="6"/>
  <c r="AH430" i="6"/>
  <c r="AH434" i="6"/>
  <c r="AH501" i="6"/>
  <c r="AH351" i="6"/>
  <c r="AH400" i="6"/>
  <c r="AH415" i="6"/>
  <c r="AH423" i="6"/>
  <c r="AH431" i="6"/>
  <c r="AH454" i="6"/>
  <c r="AH472" i="6"/>
  <c r="AH96" i="6"/>
  <c r="AH133" i="6"/>
  <c r="AH148" i="6"/>
  <c r="AH188" i="6"/>
  <c r="AH192" i="6"/>
  <c r="AH254" i="6"/>
  <c r="AH322" i="6"/>
  <c r="AH336" i="6"/>
  <c r="AH367" i="6"/>
  <c r="AH390" i="6"/>
  <c r="AH476" i="6"/>
  <c r="AH33" i="6"/>
  <c r="AH211" i="6"/>
  <c r="AH297" i="6"/>
  <c r="AH72" i="6"/>
  <c r="AH84" i="6"/>
  <c r="AH160" i="6"/>
  <c r="AH175" i="6"/>
  <c r="AH207" i="6"/>
  <c r="AH217" i="6"/>
  <c r="AH241" i="6"/>
  <c r="AH264" i="6"/>
  <c r="AH357" i="6"/>
  <c r="AH20" i="6"/>
  <c r="AH197" i="6"/>
  <c r="AH291" i="6"/>
  <c r="AH461" i="6"/>
  <c r="AH477" i="6"/>
  <c r="AH495" i="6"/>
  <c r="AH516" i="6"/>
  <c r="AH14" i="6"/>
  <c r="AH27" i="6"/>
  <c r="AH39" i="6"/>
  <c r="AH76" i="6"/>
  <c r="AH116" i="6"/>
  <c r="AH129" i="6"/>
  <c r="AH145" i="6"/>
  <c r="AH151" i="6"/>
  <c r="AH170" i="6"/>
  <c r="AH204" i="6"/>
  <c r="AH231" i="6"/>
  <c r="AH242" i="6"/>
  <c r="AH246" i="6"/>
  <c r="AH285" i="6"/>
  <c r="AH309" i="6"/>
  <c r="AH312" i="6"/>
  <c r="AH331" i="6"/>
  <c r="AH338" i="6"/>
  <c r="AH350" i="6"/>
  <c r="AH354" i="6"/>
  <c r="AH364" i="6"/>
  <c r="AH374" i="6"/>
  <c r="AH408" i="6"/>
  <c r="AH465" i="6"/>
  <c r="AH475" i="6"/>
  <c r="AH485" i="6"/>
  <c r="AH499" i="6"/>
  <c r="AH503" i="6"/>
  <c r="AH48" i="6"/>
  <c r="AH74" i="6"/>
  <c r="AH122" i="6"/>
  <c r="AH445" i="6"/>
  <c r="AH21" i="6"/>
  <c r="AH40" i="6"/>
  <c r="AH54" i="6"/>
  <c r="AH165" i="6"/>
  <c r="AH219" i="6"/>
  <c r="AH329" i="6"/>
  <c r="AH362" i="6"/>
  <c r="AH389" i="6"/>
  <c r="AH392" i="6"/>
  <c r="AH446" i="6"/>
  <c r="AH483" i="6"/>
  <c r="AH500" i="6"/>
  <c r="AH15" i="6"/>
  <c r="AH143" i="6"/>
  <c r="AH36" i="6"/>
  <c r="AH85" i="6"/>
  <c r="AH12" i="6"/>
  <c r="AH19" i="6"/>
  <c r="AH51" i="6"/>
  <c r="AH95" i="6"/>
  <c r="AH111" i="6"/>
  <c r="AH137" i="6"/>
  <c r="AH153" i="6"/>
  <c r="AH172" i="6"/>
  <c r="AH267" i="6"/>
  <c r="AH396" i="6"/>
  <c r="AH440" i="6"/>
  <c r="AH487" i="6"/>
  <c r="AH26" i="6"/>
  <c r="AH42" i="6"/>
  <c r="AH35" i="6"/>
  <c r="AH41" i="6"/>
  <c r="AH44" i="6"/>
  <c r="AH103" i="6"/>
  <c r="AH135" i="6"/>
  <c r="AH142" i="6"/>
  <c r="AH387" i="6"/>
  <c r="AH397" i="6"/>
  <c r="AH404" i="6"/>
  <c r="AH421" i="6"/>
  <c r="AH429" i="6"/>
  <c r="AH437" i="6"/>
  <c r="AH451" i="6"/>
  <c r="AH467" i="6"/>
  <c r="AH16" i="6"/>
  <c r="AH53" i="6"/>
  <c r="AH66" i="6"/>
  <c r="AH70" i="6"/>
  <c r="AH373" i="6"/>
  <c r="AH9" i="6"/>
  <c r="AH29" i="6"/>
  <c r="AH58" i="6"/>
  <c r="AH381" i="6"/>
  <c r="AH24" i="6"/>
  <c r="AH22" i="6"/>
  <c r="AH45" i="6"/>
  <c r="AH59" i="6"/>
  <c r="AH79" i="6"/>
  <c r="AH104" i="6"/>
  <c r="AH120" i="6"/>
  <c r="AH341" i="6"/>
  <c r="AH345" i="6"/>
  <c r="AH355" i="6"/>
  <c r="AH371" i="6"/>
  <c r="AH419" i="6"/>
  <c r="AH427" i="6"/>
  <c r="AH435" i="6"/>
  <c r="AH496" i="6"/>
  <c r="AH8" i="6"/>
  <c r="AH90" i="6"/>
  <c r="AH23" i="6"/>
  <c r="AH34" i="6"/>
  <c r="AH37" i="6"/>
  <c r="AH71" i="6"/>
  <c r="AH88" i="6"/>
  <c r="AH109" i="6"/>
  <c r="AH114" i="6"/>
  <c r="AH199" i="6"/>
  <c r="AH223" i="6"/>
  <c r="AH251" i="6"/>
  <c r="AH283" i="6"/>
  <c r="AH307" i="6"/>
  <c r="AH352" i="6"/>
  <c r="AH356" i="6"/>
  <c r="AH443" i="6"/>
  <c r="AH10" i="6"/>
  <c r="AH28" i="6"/>
  <c r="AH46" i="6"/>
  <c r="AH52" i="6"/>
  <c r="AH57" i="6"/>
  <c r="AH69" i="6"/>
  <c r="AH82" i="6"/>
  <c r="AH118" i="6"/>
  <c r="AH179" i="6"/>
  <c r="AH363" i="6"/>
  <c r="AH379" i="6"/>
  <c r="AH403" i="6"/>
  <c r="AH453" i="6"/>
  <c r="AH136" i="6"/>
  <c r="AH144" i="6"/>
  <c r="AH227" i="6"/>
  <c r="AH240" i="6"/>
  <c r="AH272" i="6"/>
  <c r="AH296" i="6"/>
  <c r="AH299" i="6"/>
  <c r="AH393" i="6"/>
  <c r="AH436" i="6"/>
  <c r="AH444" i="6"/>
  <c r="AH462" i="6"/>
  <c r="AH473" i="6"/>
  <c r="AH43" i="6"/>
  <c r="AH49" i="6"/>
  <c r="AH60" i="6"/>
  <c r="AH91" i="6"/>
  <c r="AH101" i="6"/>
  <c r="AH113" i="6"/>
  <c r="AH158" i="6"/>
  <c r="AH164" i="6"/>
  <c r="AH190" i="6"/>
  <c r="AH212" i="6"/>
  <c r="AH235" i="6"/>
  <c r="AH243" i="6"/>
  <c r="AH248" i="6"/>
  <c r="AH258" i="6"/>
  <c r="AH275" i="6"/>
  <c r="AH288" i="6"/>
  <c r="AH302" i="6"/>
  <c r="AH315" i="6"/>
  <c r="AH320" i="6"/>
  <c r="AH323" i="6"/>
  <c r="AH340" i="6"/>
  <c r="AH348" i="6"/>
  <c r="AH353" i="6"/>
  <c r="AH360" i="6"/>
  <c r="AH372" i="6"/>
  <c r="AH388" i="6"/>
  <c r="AH439" i="6"/>
  <c r="AH447" i="6"/>
  <c r="AH455" i="6"/>
  <c r="AH460" i="6"/>
  <c r="AH481" i="6"/>
  <c r="AH494" i="6"/>
  <c r="AH505" i="6"/>
  <c r="AH140" i="6"/>
  <c r="AH159" i="6"/>
  <c r="AH167" i="6"/>
  <c r="AH183" i="6"/>
  <c r="AH191" i="6"/>
  <c r="AH215" i="6"/>
  <c r="AH256" i="6"/>
  <c r="AH317" i="6"/>
  <c r="AH346" i="6"/>
  <c r="AH401" i="6"/>
  <c r="AH405" i="6"/>
  <c r="AH409" i="6"/>
  <c r="AH411" i="6"/>
  <c r="AH489" i="6"/>
  <c r="AH497" i="6"/>
  <c r="AH508" i="6"/>
  <c r="AH98" i="6"/>
  <c r="AH117" i="6"/>
  <c r="AH121" i="6"/>
  <c r="AH180" i="6"/>
  <c r="AH259" i="6"/>
  <c r="AH303" i="6"/>
  <c r="AH311" i="6"/>
  <c r="AH334" i="6"/>
  <c r="AH517" i="6"/>
  <c r="AH61" i="6"/>
  <c r="AH81" i="6"/>
  <c r="AH89" i="6"/>
  <c r="AH106" i="6"/>
  <c r="AH125" i="6"/>
  <c r="AH149" i="6"/>
  <c r="AH203" i="6"/>
  <c r="AH208" i="6"/>
  <c r="AH236" i="6"/>
  <c r="AH262" i="6"/>
  <c r="AH279" i="6"/>
  <c r="AH281" i="6"/>
  <c r="AH286" i="6"/>
  <c r="AH316" i="6"/>
  <c r="AH318" i="6"/>
  <c r="AH324" i="6"/>
  <c r="AH361" i="6"/>
  <c r="AH424" i="6"/>
  <c r="AH432" i="6"/>
  <c r="AH509" i="6"/>
  <c r="AH512" i="6"/>
  <c r="AH141" i="6"/>
  <c r="AH155" i="6"/>
  <c r="AH168" i="6"/>
  <c r="AH171" i="6"/>
  <c r="AH176" i="6"/>
  <c r="AH184" i="6"/>
  <c r="AH187" i="6"/>
  <c r="AH195" i="6"/>
  <c r="AH216" i="6"/>
  <c r="AH221" i="6"/>
  <c r="AH239" i="6"/>
  <c r="AH249" i="6"/>
  <c r="AH265" i="6"/>
  <c r="AH271" i="6"/>
  <c r="AH292" i="6"/>
  <c r="AH298" i="6"/>
  <c r="AH330" i="6"/>
  <c r="AH339" i="6"/>
  <c r="AH384" i="6"/>
  <c r="AH417" i="6"/>
  <c r="AH425" i="6"/>
  <c r="AH433" i="6"/>
  <c r="AH441" i="6"/>
  <c r="AH449" i="6"/>
  <c r="AH464" i="6"/>
  <c r="AH480" i="6"/>
  <c r="AH493" i="6"/>
  <c r="AH504" i="6"/>
  <c r="AH518" i="6"/>
  <c r="AH108" i="6"/>
  <c r="AH123" i="6"/>
  <c r="AH130" i="6"/>
  <c r="AH138" i="6"/>
  <c r="AH146" i="6"/>
  <c r="AH152" i="6"/>
  <c r="AH166" i="6"/>
  <c r="AH174" i="6"/>
  <c r="AH224" i="6"/>
  <c r="AH369" i="6"/>
  <c r="AH385" i="6"/>
  <c r="AH513" i="6"/>
  <c r="AH47" i="6"/>
  <c r="AH7" i="6"/>
  <c r="AH25" i="6"/>
  <c r="AH13" i="6"/>
  <c r="AH18" i="6"/>
  <c r="AH30" i="6"/>
  <c r="AH86" i="6"/>
  <c r="AH110" i="6"/>
  <c r="AH147" i="6"/>
  <c r="AH196" i="6"/>
  <c r="AH6" i="6"/>
  <c r="AH94" i="6"/>
  <c r="AH126" i="6"/>
  <c r="AH200" i="6"/>
  <c r="AH78" i="6"/>
  <c r="AH99" i="6"/>
  <c r="AH124" i="6"/>
  <c r="AH102" i="6"/>
  <c r="AH134" i="6"/>
  <c r="AH62" i="6"/>
  <c r="AH83" i="6"/>
  <c r="AH93" i="6"/>
  <c r="AH100" i="6"/>
  <c r="AH107" i="6"/>
  <c r="AH132" i="6"/>
  <c r="AH139" i="6"/>
  <c r="AH150" i="6"/>
  <c r="AH169" i="6"/>
  <c r="AH201" i="6"/>
  <c r="AH245" i="6"/>
  <c r="AH252" i="6"/>
  <c r="AH266" i="6"/>
  <c r="AH273" i="6"/>
  <c r="AH278" i="6"/>
  <c r="AH321" i="6"/>
  <c r="AH333" i="6"/>
  <c r="AH173" i="6"/>
  <c r="AH205" i="6"/>
  <c r="AH226" i="6"/>
  <c r="AH233" i="6"/>
  <c r="AH238" i="6"/>
  <c r="AH269" i="6"/>
  <c r="AH276" i="6"/>
  <c r="AH290" i="6"/>
  <c r="AH295" i="6"/>
  <c r="AH300" i="6"/>
  <c r="AH305" i="6"/>
  <c r="AH326" i="6"/>
  <c r="AH366" i="6"/>
  <c r="AH402" i="6"/>
  <c r="AH484" i="6"/>
  <c r="AH177" i="6"/>
  <c r="AH209" i="6"/>
  <c r="AH229" i="6"/>
  <c r="AH293" i="6"/>
  <c r="AH319" i="6"/>
  <c r="AH181" i="6"/>
  <c r="AH213" i="6"/>
  <c r="AH253" i="6"/>
  <c r="AH185" i="6"/>
  <c r="AH220" i="6"/>
  <c r="AH234" i="6"/>
  <c r="AH277" i="6"/>
  <c r="AH284" i="6"/>
  <c r="AH157" i="6"/>
  <c r="AH189" i="6"/>
  <c r="AH237" i="6"/>
  <c r="AH244" i="6"/>
  <c r="AH301" i="6"/>
  <c r="AH161" i="6"/>
  <c r="AH193" i="6"/>
  <c r="AH218" i="6"/>
  <c r="AH225" i="6"/>
  <c r="AH230" i="6"/>
  <c r="AH261" i="6"/>
  <c r="AH268" i="6"/>
  <c r="AH282" i="6"/>
  <c r="AH289" i="6"/>
  <c r="AH314" i="6"/>
  <c r="AH325" i="6"/>
  <c r="AH328" i="6"/>
  <c r="AH376" i="6"/>
  <c r="AH468" i="6"/>
  <c r="AH386" i="6"/>
  <c r="AH407" i="6"/>
  <c r="AH414" i="6"/>
  <c r="AH450" i="6"/>
  <c r="AH471" i="6"/>
  <c r="AH478" i="6"/>
  <c r="AH502" i="6"/>
  <c r="AH313" i="6"/>
  <c r="AH474" i="6"/>
  <c r="AH490" i="6"/>
  <c r="AH507" i="6"/>
  <c r="AH358" i="6"/>
  <c r="AH370" i="6"/>
  <c r="AH391" i="6"/>
  <c r="AH398" i="6"/>
  <c r="AH510" i="6"/>
  <c r="AH394" i="6"/>
  <c r="AH458" i="6"/>
  <c r="AH479" i="6"/>
  <c r="AH498" i="6"/>
  <c r="AH375" i="6"/>
  <c r="AH382" i="6"/>
  <c r="AH418" i="6"/>
  <c r="AH486" i="6"/>
  <c r="AH335" i="6"/>
  <c r="AH337" i="6"/>
  <c r="AH359" i="6"/>
  <c r="AH378" i="6"/>
  <c r="AH380" i="6"/>
  <c r="AH399" i="6"/>
  <c r="AH406" i="6"/>
  <c r="AH442" i="6"/>
  <c r="AH463" i="6"/>
  <c r="AH470" i="6"/>
  <c r="AH482" i="6"/>
  <c r="AH491" i="6"/>
  <c r="AH506" i="6"/>
  <c r="AH511" i="6"/>
  <c r="AH3" i="6"/>
  <c r="AH5" i="6"/>
  <c r="AH4" i="6"/>
  <c r="AH2" i="6"/>
  <c r="C10" i="5" l="1" a="1"/>
  <c r="C10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<sst xmlns="http://schemas.openxmlformats.org/spreadsheetml/2006/main" count="4307" uniqueCount="647">
  <si>
    <t>Player</t>
  </si>
  <si>
    <t>passing_yards</t>
  </si>
  <si>
    <t>passing_td</t>
  </si>
  <si>
    <t>int</t>
  </si>
  <si>
    <t>rush_yards</t>
  </si>
  <si>
    <t>rush_td</t>
  </si>
  <si>
    <t>rec_yards</t>
  </si>
  <si>
    <t>rec_td</t>
  </si>
  <si>
    <t>rec</t>
  </si>
  <si>
    <t>Sam Darnold</t>
  </si>
  <si>
    <t>Gardner Minshew</t>
  </si>
  <si>
    <t>Matthew Stafford</t>
  </si>
  <si>
    <t>Anthony Richardson</t>
  </si>
  <si>
    <t>Kyler Murray</t>
  </si>
  <si>
    <t>Bo Nix</t>
  </si>
  <si>
    <t>Daniel Jones</t>
  </si>
  <si>
    <t>Jared Goff</t>
  </si>
  <si>
    <t>Jayden Daniels</t>
  </si>
  <si>
    <t>Josh Allen</t>
  </si>
  <si>
    <t>Lamar Jackson</t>
  </si>
  <si>
    <t>Derek Carr</t>
  </si>
  <si>
    <t>Aaron Rodgers</t>
  </si>
  <si>
    <t>Jalen Hurts</t>
  </si>
  <si>
    <t>Will Levis</t>
  </si>
  <si>
    <t>Deshaun Watson</t>
  </si>
  <si>
    <t>Jordan Love</t>
  </si>
  <si>
    <t>Trevor Lawrence</t>
  </si>
  <si>
    <t>Kirk Cousins</t>
  </si>
  <si>
    <t>Brock Purdy</t>
  </si>
  <si>
    <t>Dak Prescott</t>
  </si>
  <si>
    <t>Tua Tagovailoa</t>
  </si>
  <si>
    <t>Caleb Williams</t>
  </si>
  <si>
    <t>Joe Burrow</t>
  </si>
  <si>
    <t>Bryce Young</t>
  </si>
  <si>
    <t>Baker Mayfield</t>
  </si>
  <si>
    <t>Patrick Mahomes</t>
  </si>
  <si>
    <t>David Njoku</t>
  </si>
  <si>
    <t>Jayden Reed</t>
  </si>
  <si>
    <t>Terry McLaurin</t>
  </si>
  <si>
    <t>Tyler Lockett</t>
  </si>
  <si>
    <t>Chris Godwin</t>
  </si>
  <si>
    <t>Jake Ferguson</t>
  </si>
  <si>
    <t>Pat Freiermuth</t>
  </si>
  <si>
    <t>Tank Dell</t>
  </si>
  <si>
    <t>Jaxon Smith-Njigba</t>
  </si>
  <si>
    <t>Kyle Pitts</t>
  </si>
  <si>
    <t>Dalton Kincaid</t>
  </si>
  <si>
    <t>Christian Watson</t>
  </si>
  <si>
    <t>Christian Kirk</t>
  </si>
  <si>
    <t>Mike Williams</t>
  </si>
  <si>
    <t>Tee Higgins</t>
  </si>
  <si>
    <t>Adam Thielen</t>
  </si>
  <si>
    <t>Keenan Allen</t>
  </si>
  <si>
    <t>Deebo Samuel</t>
  </si>
  <si>
    <t>George Kittle</t>
  </si>
  <si>
    <t>Amari Cooper</t>
  </si>
  <si>
    <t>Dalton Schultz</t>
  </si>
  <si>
    <t>Courtland Sutton</t>
  </si>
  <si>
    <t>Joshua Palmer</t>
  </si>
  <si>
    <t>Jaylen Waddle</t>
  </si>
  <si>
    <t>Chris Olave</t>
  </si>
  <si>
    <t>Nico Collins</t>
  </si>
  <si>
    <t>Zay Flowers</t>
  </si>
  <si>
    <t>Garrett Wilson</t>
  </si>
  <si>
    <t>Tyreek Hill</t>
  </si>
  <si>
    <t>Stefon Diggs</t>
  </si>
  <si>
    <t>Justin Jefferson</t>
  </si>
  <si>
    <t>Rome Odunze</t>
  </si>
  <si>
    <t>Sam LaPorta</t>
  </si>
  <si>
    <t>Amon-Ra St Brown</t>
  </si>
  <si>
    <t>Brock Bowers</t>
  </si>
  <si>
    <t>Drake London</t>
  </si>
  <si>
    <t>Travis Kelce</t>
  </si>
  <si>
    <t>Ladd McConkey</t>
  </si>
  <si>
    <t>Ja'Marr Chase</t>
  </si>
  <si>
    <t>Davante Adams</t>
  </si>
  <si>
    <t>Cooper Kupp</t>
  </si>
  <si>
    <t>Xavier Worthy</t>
  </si>
  <si>
    <t>CeeDee Lamb</t>
  </si>
  <si>
    <t>Puka Nacua</t>
  </si>
  <si>
    <t>Keon Coleman</t>
  </si>
  <si>
    <t>DJ Moore</t>
  </si>
  <si>
    <t>Mike Evans</t>
  </si>
  <si>
    <t>George Pickens</t>
  </si>
  <si>
    <t>Xavier Legette</t>
  </si>
  <si>
    <t>Mark Andrews</t>
  </si>
  <si>
    <t>Diontae Johnson</t>
  </si>
  <si>
    <t>Calvin Ridley</t>
  </si>
  <si>
    <t>Christian McCaffrey</t>
  </si>
  <si>
    <t>Jerry Jeudy</t>
  </si>
  <si>
    <t>Raheem Mostert</t>
  </si>
  <si>
    <t>Devin Singletary</t>
  </si>
  <si>
    <t>Breece Hall</t>
  </si>
  <si>
    <t>Isiah Pacheco</t>
  </si>
  <si>
    <t>James Cook</t>
  </si>
  <si>
    <t>Rachaad White</t>
  </si>
  <si>
    <t>Bijan Robinson</t>
  </si>
  <si>
    <t>Zamir White</t>
  </si>
  <si>
    <t>De'Von Achane</t>
  </si>
  <si>
    <t>Joe Mixon</t>
  </si>
  <si>
    <t>Aaron Jones</t>
  </si>
  <si>
    <t>Ezekiel Elliott</t>
  </si>
  <si>
    <t>Alvin Kamara</t>
  </si>
  <si>
    <t>Jonathan Taylor</t>
  </si>
  <si>
    <t>Saquon Barkley</t>
  </si>
  <si>
    <t>Josh Jacobs</t>
  </si>
  <si>
    <t>Derrick Henry</t>
  </si>
  <si>
    <t>D'Andre Swift</t>
  </si>
  <si>
    <t>Tony Pollard</t>
  </si>
  <si>
    <t>Zack Moss</t>
  </si>
  <si>
    <t>Khalil Shakir</t>
  </si>
  <si>
    <t>auction_val</t>
  </si>
  <si>
    <t>ppr_rank</t>
  </si>
  <si>
    <t>Blake Corum</t>
  </si>
  <si>
    <t>Jameson Williams</t>
  </si>
  <si>
    <t>Trey Benson</t>
  </si>
  <si>
    <t>Nick Chubb</t>
  </si>
  <si>
    <t>Zach Charbonnet</t>
  </si>
  <si>
    <t>Jerome Ford</t>
  </si>
  <si>
    <t>Gus Edwards</t>
  </si>
  <si>
    <t>Chase Brown</t>
  </si>
  <si>
    <t>Rashid Shaheed</t>
  </si>
  <si>
    <t>Kendre Miller</t>
  </si>
  <si>
    <t>Curtis Samuel</t>
  </si>
  <si>
    <t>Tyler Allgeier</t>
  </si>
  <si>
    <t>MarShawn Lloyd</t>
  </si>
  <si>
    <t>Darnell Mooney</t>
  </si>
  <si>
    <t>Jakobi Meyers</t>
  </si>
  <si>
    <t>Ty Chandler</t>
  </si>
  <si>
    <t>DeMario Douglas</t>
  </si>
  <si>
    <t>Antonio Gibson</t>
  </si>
  <si>
    <t>Adonai Mitchell</t>
  </si>
  <si>
    <t>Jaleel McLaughlin</t>
  </si>
  <si>
    <t>Dallas Goedert</t>
  </si>
  <si>
    <t>Rico Dowdle</t>
  </si>
  <si>
    <t>Jaylen Wright</t>
  </si>
  <si>
    <t>Romeo Doubs</t>
  </si>
  <si>
    <t>Brandin Cooks</t>
  </si>
  <si>
    <t>Gabe Davis</t>
  </si>
  <si>
    <t>Dontayvion Wicks</t>
  </si>
  <si>
    <t>Jahan Dotson</t>
  </si>
  <si>
    <t>Kendrick Bourne</t>
  </si>
  <si>
    <t>Chuba Hubbard</t>
  </si>
  <si>
    <t>Jalen Tolbert</t>
  </si>
  <si>
    <t>Josh Downs</t>
  </si>
  <si>
    <t>Ray Davis</t>
  </si>
  <si>
    <t>Keaton Mitchell</t>
  </si>
  <si>
    <t>Ja'Lynn Polk</t>
  </si>
  <si>
    <t>Alexander Mattison</t>
  </si>
  <si>
    <t>Cole Kmet</t>
  </si>
  <si>
    <t>Ricky Pearsall</t>
  </si>
  <si>
    <t>Justin Herbert</t>
  </si>
  <si>
    <t>Noah Fant</t>
  </si>
  <si>
    <t>Kimani Vidal</t>
  </si>
  <si>
    <t>Ben Sinnott</t>
  </si>
  <si>
    <t>Tyler Conklin</t>
  </si>
  <si>
    <t>Michael Wilson</t>
  </si>
  <si>
    <t>Miles Sanders</t>
  </si>
  <si>
    <t>Khalil Herbert</t>
  </si>
  <si>
    <t>Clyde Edwards-Helaire</t>
  </si>
  <si>
    <t>Taysom Hill</t>
  </si>
  <si>
    <t>Chigoziem Okonkwo</t>
  </si>
  <si>
    <t>Hunter Henry</t>
  </si>
  <si>
    <t>Juwan Johnson</t>
  </si>
  <si>
    <t>Braelon Allen</t>
  </si>
  <si>
    <t>Demarcus Robinson</t>
  </si>
  <si>
    <t>Wan'Dale Robinson</t>
  </si>
  <si>
    <t>Tyler Boyd</t>
  </si>
  <si>
    <t>Tre Tucker</t>
  </si>
  <si>
    <t>Tucker Kraft</t>
  </si>
  <si>
    <t>Luke Musgrave</t>
  </si>
  <si>
    <t>Jalin Hyatt</t>
  </si>
  <si>
    <t>Rashod Bateman</t>
  </si>
  <si>
    <t>Jamaal Williams</t>
  </si>
  <si>
    <t>Tank Bigsby</t>
  </si>
  <si>
    <t>Cade Otton</t>
  </si>
  <si>
    <t>Hayden Hurst</t>
  </si>
  <si>
    <t>Geno Smith</t>
  </si>
  <si>
    <t>Russell Wilson</t>
  </si>
  <si>
    <t>Kenneth Gainwell</t>
  </si>
  <si>
    <t>Bucky Irving</t>
  </si>
  <si>
    <t>Darius Slayton</t>
  </si>
  <si>
    <t>Justice Hill</t>
  </si>
  <si>
    <t>D'Onta Foreman</t>
  </si>
  <si>
    <t>Jalen McMillan</t>
  </si>
  <si>
    <t>Zay Jones</t>
  </si>
  <si>
    <t>Jermaine Burton</t>
  </si>
  <si>
    <t>Quentin Johnston</t>
  </si>
  <si>
    <t>Luke McCaffrey</t>
  </si>
  <si>
    <t>Malachi Corley</t>
  </si>
  <si>
    <t>Dameon Pierce</t>
  </si>
  <si>
    <t>Ty Johnson</t>
  </si>
  <si>
    <t>Samaje Perine</t>
  </si>
  <si>
    <t>Roschon Johnson</t>
  </si>
  <si>
    <t>Eric Gray</t>
  </si>
  <si>
    <t>Isaiah Davis</t>
  </si>
  <si>
    <t>Trey Sermon</t>
  </si>
  <si>
    <t>D'Ernest Johnson</t>
  </si>
  <si>
    <t>Trayveon Williams</t>
  </si>
  <si>
    <t>Trey Palmer</t>
  </si>
  <si>
    <t>Josh Reynolds</t>
  </si>
  <si>
    <t>Isaiah Likely</t>
  </si>
  <si>
    <t>Jonnu Smith</t>
  </si>
  <si>
    <t>Dawson Knox</t>
  </si>
  <si>
    <t>Kalif Raymond</t>
  </si>
  <si>
    <t>Andrei Iosivas</t>
  </si>
  <si>
    <t>Van Jefferson</t>
  </si>
  <si>
    <t>AJ Dillon</t>
  </si>
  <si>
    <t>Drake Maye</t>
  </si>
  <si>
    <t>Cedric Tillman</t>
  </si>
  <si>
    <t>Jonathan Mingo</t>
  </si>
  <si>
    <t>Nelson Agholor</t>
  </si>
  <si>
    <t>Elijah Moore</t>
  </si>
  <si>
    <t>Xavier Gipson</t>
  </si>
  <si>
    <t>Ameer Abdullah</t>
  </si>
  <si>
    <t>Audric Estime</t>
  </si>
  <si>
    <t>Cordarrelle Patterson</t>
  </si>
  <si>
    <t>Dare Ogunbowale</t>
  </si>
  <si>
    <t>Julius Chestnut</t>
  </si>
  <si>
    <t>Will Shipley</t>
  </si>
  <si>
    <t>Theo Johnson</t>
  </si>
  <si>
    <t>Gerald Everett</t>
  </si>
  <si>
    <t>Colby Parkinson</t>
  </si>
  <si>
    <t>Greg Dulcich</t>
  </si>
  <si>
    <t>KaVontae Turpin</t>
  </si>
  <si>
    <t>KhaDarel Hodge</t>
  </si>
  <si>
    <t>Aidan O'Connell</t>
  </si>
  <si>
    <t>Jacoby Brissett</t>
  </si>
  <si>
    <t>Kenny McIntosh</t>
  </si>
  <si>
    <t>Craig Reynolds</t>
  </si>
  <si>
    <t>Jordan Mason</t>
  </si>
  <si>
    <t>JaMycal Hasty</t>
  </si>
  <si>
    <t>Kyle Juszczyk</t>
  </si>
  <si>
    <t>Jase McClellan</t>
  </si>
  <si>
    <t>Isaac Guerendo</t>
  </si>
  <si>
    <t>Justin Fields</t>
  </si>
  <si>
    <t>Daniel Bellinger</t>
  </si>
  <si>
    <t>Zach Ertz</t>
  </si>
  <si>
    <t>Mike Gesicki</t>
  </si>
  <si>
    <t>Michael Mayer</t>
  </si>
  <si>
    <t>Sam Howell</t>
  </si>
  <si>
    <t>Tyrod Taylor</t>
  </si>
  <si>
    <t>Joe Flacco</t>
  </si>
  <si>
    <t>Jake Browning</t>
  </si>
  <si>
    <t>Ronnie Rivers</t>
  </si>
  <si>
    <t>Deuce Vaughn</t>
  </si>
  <si>
    <t>Dylan Laube</t>
  </si>
  <si>
    <t>Johnny Mundt</t>
  </si>
  <si>
    <t>Tyler Higbee</t>
  </si>
  <si>
    <t>Noah Gray</t>
  </si>
  <si>
    <t>Will Dissly</t>
  </si>
  <si>
    <t>Jeremy Ruckert</t>
  </si>
  <si>
    <t>Tommy Tremble</t>
  </si>
  <si>
    <t>Kylen Granson</t>
  </si>
  <si>
    <t>Austin Hooper</t>
  </si>
  <si>
    <t>Connor Heyward</t>
  </si>
  <si>
    <t>Ja'Tavion Sanders</t>
  </si>
  <si>
    <t>Adam Trautman</t>
  </si>
  <si>
    <t>Josh Oliver</t>
  </si>
  <si>
    <t>Jameis Winston</t>
  </si>
  <si>
    <t>Nick Mullens</t>
  </si>
  <si>
    <t>Jarrett Stidham</t>
  </si>
  <si>
    <t>Drew Lock</t>
  </si>
  <si>
    <t>Mason Rudolph</t>
  </si>
  <si>
    <t>Carson Wentz</t>
  </si>
  <si>
    <t>Jimmy Garoppolo</t>
  </si>
  <si>
    <t>Kenny Pickett</t>
  </si>
  <si>
    <t>Marcus Mariota</t>
  </si>
  <si>
    <t>Mitchell Trubisky</t>
  </si>
  <si>
    <t>Roman Wilson</t>
  </si>
  <si>
    <t>Treylon Burks</t>
  </si>
  <si>
    <t>Tutu Atwell</t>
  </si>
  <si>
    <t>Jauan Jennings</t>
  </si>
  <si>
    <t>Noah Brown</t>
  </si>
  <si>
    <t>Greg Dortch</t>
  </si>
  <si>
    <t>Brandon Powell</t>
  </si>
  <si>
    <t>Justin Watson</t>
  </si>
  <si>
    <t>Jake Bobo</t>
  </si>
  <si>
    <t>Drew Ogletree</t>
  </si>
  <si>
    <t>Devontez Walker</t>
  </si>
  <si>
    <t>Tyquan Thornton</t>
  </si>
  <si>
    <t>Troy Franklin</t>
  </si>
  <si>
    <t>Foster Moreau</t>
  </si>
  <si>
    <t>Trenton Irwin</t>
  </si>
  <si>
    <t>Josh Whyle</t>
  </si>
  <si>
    <t>Brock Wright</t>
  </si>
  <si>
    <t>Bub Means</t>
  </si>
  <si>
    <t>Alec Pierce</t>
  </si>
  <si>
    <t>Mo Alie-Cox</t>
  </si>
  <si>
    <t>Allen Lazard</t>
  </si>
  <si>
    <t>Durham Smythe</t>
  </si>
  <si>
    <t>Jordan Akins</t>
  </si>
  <si>
    <t>Ryan Flournoy</t>
  </si>
  <si>
    <t>Elijah Higgins</t>
  </si>
  <si>
    <t>Ian Thomas</t>
  </si>
  <si>
    <t>Cooper Rush</t>
  </si>
  <si>
    <t>Darnell Washington</t>
  </si>
  <si>
    <t>Dyami Brown</t>
  </si>
  <si>
    <t>Joshua Dobbs</t>
  </si>
  <si>
    <t>Tyson Bagent</t>
  </si>
  <si>
    <t>Devin Duvernay</t>
  </si>
  <si>
    <t>Josh Johnson</t>
  </si>
  <si>
    <t>Jamison Crowder</t>
  </si>
  <si>
    <t>Derius Davis</t>
  </si>
  <si>
    <t>Kyle Trask</t>
  </si>
  <si>
    <t>Luke Schoonmaker</t>
  </si>
  <si>
    <t>Davis Allen</t>
  </si>
  <si>
    <t>Mac Jones</t>
  </si>
  <si>
    <t>Hendon Hooker</t>
  </si>
  <si>
    <t>Brevin Jordan</t>
  </si>
  <si>
    <t>Casey Washington</t>
  </si>
  <si>
    <t>Spencer Rattler</t>
  </si>
  <si>
    <t>Malik Washington</t>
  </si>
  <si>
    <t>Drew Sample</t>
  </si>
  <si>
    <t>Brenton Strange</t>
  </si>
  <si>
    <t>Andy Dalton</t>
  </si>
  <si>
    <t>Tanner Hudson</t>
  </si>
  <si>
    <t>Jordan Whittington</t>
  </si>
  <si>
    <t>Skyy Moore</t>
  </si>
  <si>
    <t>Bo Melton</t>
  </si>
  <si>
    <t>Pharaoh Brown</t>
  </si>
  <si>
    <t>Mack Hollins</t>
  </si>
  <si>
    <t>Stone Smartt</t>
  </si>
  <si>
    <t>Jalen Nailor</t>
  </si>
  <si>
    <t>David Moore</t>
  </si>
  <si>
    <t>Johnny Wilson</t>
  </si>
  <si>
    <t>Alec Ingold</t>
  </si>
  <si>
    <t>Javon Baker</t>
  </si>
  <si>
    <t>Payne Durham</t>
  </si>
  <si>
    <t>Israel Abanikanda</t>
  </si>
  <si>
    <t>AJ Barner</t>
  </si>
  <si>
    <t>Nick Westbrook-Ikhine</t>
  </si>
  <si>
    <t>Carson Steele</t>
  </si>
  <si>
    <t>Peyton Hendershot</t>
  </si>
  <si>
    <t>Charlie Woerner</t>
  </si>
  <si>
    <t>Luke Farrell</t>
  </si>
  <si>
    <t>Ko Kieft</t>
  </si>
  <si>
    <t>Marquez Valdes-Scantling</t>
  </si>
  <si>
    <t>Lucas Krull</t>
  </si>
  <si>
    <t>Brenden Rice</t>
  </si>
  <si>
    <t>Anthony Gould</t>
  </si>
  <si>
    <t>Tip Reiman</t>
  </si>
  <si>
    <t>Grant Calcaterra</t>
  </si>
  <si>
    <t>John Bates</t>
  </si>
  <si>
    <t>Ainias Smith</t>
  </si>
  <si>
    <t>Rasheen Ali</t>
  </si>
  <si>
    <t>Olamide Zaccheaus</t>
  </si>
  <si>
    <t>Braxton Berrios</t>
  </si>
  <si>
    <t>Tyler Scott</t>
  </si>
  <si>
    <t>David Bell</t>
  </si>
  <si>
    <t>Scotty Miller</t>
  </si>
  <si>
    <t>Jalen Brooks</t>
  </si>
  <si>
    <t>Sean Tucker</t>
  </si>
  <si>
    <t>Cam Akers</t>
  </si>
  <si>
    <t>Raheem Blackshear</t>
  </si>
  <si>
    <t>DeeJay Dallas</t>
  </si>
  <si>
    <t>Avery Williams</t>
  </si>
  <si>
    <t>DJ Turner</t>
  </si>
  <si>
    <t>Sione Vaki</t>
  </si>
  <si>
    <t>Hunter Luepke</t>
  </si>
  <si>
    <t>Charlie Jones</t>
  </si>
  <si>
    <t>Adam Prentice</t>
  </si>
  <si>
    <t>Jared Wiley</t>
  </si>
  <si>
    <t>Deonte Harty</t>
  </si>
  <si>
    <t>Ross Dwelley</t>
  </si>
  <si>
    <t>Cade Stover</t>
  </si>
  <si>
    <t>Dallin Holker</t>
  </si>
  <si>
    <t>Harrison Bryant</t>
  </si>
  <si>
    <t>Quintin Morris</t>
  </si>
  <si>
    <t>Tyler Goodson</t>
  </si>
  <si>
    <t>Marcedes Lewis</t>
  </si>
  <si>
    <t>Malik Heath</t>
  </si>
  <si>
    <t>Julian Hill</t>
  </si>
  <si>
    <t>Tyler Johnson</t>
  </si>
  <si>
    <t>Nick Vannett</t>
  </si>
  <si>
    <t>Chris Manhertz</t>
  </si>
  <si>
    <t>MyCole Pruitt</t>
  </si>
  <si>
    <t>Parker Washington</t>
  </si>
  <si>
    <t>Britain Covey</t>
  </si>
  <si>
    <t>Jordan Matthews</t>
  </si>
  <si>
    <t>Mecole Hardman</t>
  </si>
  <si>
    <t>Eric Saubert</t>
  </si>
  <si>
    <t>Jacob Cowing</t>
  </si>
  <si>
    <t>Jaheim Bell</t>
  </si>
  <si>
    <t>Jamari Thrash</t>
  </si>
  <si>
    <t>Nate Adkins</t>
  </si>
  <si>
    <t>Chris Moore</t>
  </si>
  <si>
    <t>Charlie Kolar</t>
  </si>
  <si>
    <t>Tim Jones</t>
  </si>
  <si>
    <t>Will Mallory</t>
  </si>
  <si>
    <t>Ashton Dulin</t>
  </si>
  <si>
    <t>Patrick Ricard</t>
  </si>
  <si>
    <t>Xavier Hutchinson</t>
  </si>
  <si>
    <t>Travis Homer</t>
  </si>
  <si>
    <t>Hassan Haskins</t>
  </si>
  <si>
    <t>Devin Culp</t>
  </si>
  <si>
    <t>Ben Sims</t>
  </si>
  <si>
    <t>Brady Russell</t>
  </si>
  <si>
    <t>Khari Blasingame</t>
  </si>
  <si>
    <t>Hunter Long</t>
  </si>
  <si>
    <t>Jordan Mims</t>
  </si>
  <si>
    <t>Jeremy McNichols</t>
  </si>
  <si>
    <t>Ronnie Bell</t>
  </si>
  <si>
    <t>Jha'Quan Jackson</t>
  </si>
  <si>
    <t>DeAndre Carter</t>
  </si>
  <si>
    <t>Gunner Olszewski</t>
  </si>
  <si>
    <t>Tylan Wallace</t>
  </si>
  <si>
    <t>Devaughn Vele</t>
  </si>
  <si>
    <t>Dante Pettis</t>
  </si>
  <si>
    <t>Steven Sims</t>
  </si>
  <si>
    <t>Jahmyr Gibbs</t>
  </si>
  <si>
    <t>Kyren Williams</t>
  </si>
  <si>
    <t>DK Metcalf</t>
  </si>
  <si>
    <t>Brandon Aiyuk</t>
  </si>
  <si>
    <t>DeVonta Smith</t>
  </si>
  <si>
    <t>Malik Nabers</t>
  </si>
  <si>
    <t>Rhamondre Stevenson</t>
  </si>
  <si>
    <t>Trey McBride</t>
  </si>
  <si>
    <t>Jonathon Brooks</t>
  </si>
  <si>
    <t>David Montgomery</t>
  </si>
  <si>
    <t>James Conner</t>
  </si>
  <si>
    <t>Evan Engram</t>
  </si>
  <si>
    <t>Jaylen Warren</t>
  </si>
  <si>
    <t>Najee Harris</t>
  </si>
  <si>
    <t>Rashee Rice</t>
  </si>
  <si>
    <t>Tyjae Spears</t>
  </si>
  <si>
    <t>Javonte Williams</t>
  </si>
  <si>
    <t>DeAndre Hopkins</t>
  </si>
  <si>
    <t>Marquise Brown</t>
  </si>
  <si>
    <t>Jordan Addison</t>
  </si>
  <si>
    <t>Austin Ekeler</t>
  </si>
  <si>
    <t>CJ Stroud</t>
  </si>
  <si>
    <t>AJ Brown</t>
  </si>
  <si>
    <t>JK Dobbins</t>
  </si>
  <si>
    <t>TJ Hockenson</t>
  </si>
  <si>
    <t>KJ Osborn</t>
  </si>
  <si>
    <t>AT Perry</t>
  </si>
  <si>
    <t>CJ Ham</t>
  </si>
  <si>
    <t>Odell Beckham</t>
  </si>
  <si>
    <t>Marvin Harrison</t>
  </si>
  <si>
    <t>Brian Thomas</t>
  </si>
  <si>
    <t>Michael Pittman</t>
  </si>
  <si>
    <t>Travis Etienne</t>
  </si>
  <si>
    <t>Brian Robinson</t>
  </si>
  <si>
    <t>Marvin Mims</t>
  </si>
  <si>
    <t>Laviska Shenault</t>
  </si>
  <si>
    <t>Erick All</t>
  </si>
  <si>
    <t>Trent Sherfield</t>
  </si>
  <si>
    <t>Cedrick Wilson</t>
  </si>
  <si>
    <t>Velus Jones</t>
  </si>
  <si>
    <t>Pierre Strong</t>
  </si>
  <si>
    <t>John Stephens</t>
  </si>
  <si>
    <t>DJ Chark</t>
  </si>
  <si>
    <t>Tyrone Tracy</t>
  </si>
  <si>
    <t>Michael Penix</t>
  </si>
  <si>
    <t>Category</t>
  </si>
  <si>
    <t>Pts</t>
  </si>
  <si>
    <t>DK Players are mapped</t>
  </si>
  <si>
    <t>Desc</t>
  </si>
  <si>
    <t>Checks</t>
  </si>
  <si>
    <t>Status</t>
  </si>
  <si>
    <t>OPOY</t>
  </si>
  <si>
    <t>OROY</t>
  </si>
  <si>
    <t>Michael Pratt</t>
  </si>
  <si>
    <t>Kendall Milton</t>
  </si>
  <si>
    <t>Sam Hartman</t>
  </si>
  <si>
    <t>Cody Schrader</t>
  </si>
  <si>
    <t>Marcus Rosemy-Jacksaint</t>
  </si>
  <si>
    <t>Dillon Johnson</t>
  </si>
  <si>
    <t>Daijun Edwards</t>
  </si>
  <si>
    <t>Cornelius Johnson</t>
  </si>
  <si>
    <t>Joshua Cephus</t>
  </si>
  <si>
    <t>Jordan Travis</t>
  </si>
  <si>
    <t>Jawhar Jordan</t>
  </si>
  <si>
    <t>Tahj Washington</t>
  </si>
  <si>
    <t>Jalen Coker</t>
  </si>
  <si>
    <t>Miyan Williams</t>
  </si>
  <si>
    <t>Deshaun Fenwick</t>
  </si>
  <si>
    <t>Tanner McLachlan</t>
  </si>
  <si>
    <t>Taulia Tagovailoa</t>
  </si>
  <si>
    <t>Amarius Mims</t>
  </si>
  <si>
    <t>Olumuyiwa Fashanu</t>
  </si>
  <si>
    <t>Frank Gore</t>
  </si>
  <si>
    <t>Tyler Guyton</t>
  </si>
  <si>
    <t>Troy Fautanu</t>
  </si>
  <si>
    <t>Joe Alt</t>
  </si>
  <si>
    <t>JC Latham</t>
  </si>
  <si>
    <t>Taliese Fuaga</t>
  </si>
  <si>
    <t>Austin Reed</t>
  </si>
  <si>
    <t>Kareem Hunt</t>
  </si>
  <si>
    <t>Michael Gallup</t>
  </si>
  <si>
    <t>Dalvin Cook</t>
  </si>
  <si>
    <t>JuJu Smith-Schuster</t>
  </si>
  <si>
    <t>Kenneth Walker</t>
  </si>
  <si>
    <t>John Metchie</t>
  </si>
  <si>
    <t>Ray-Ray McCloud</t>
  </si>
  <si>
    <t>Calvin Austin</t>
  </si>
  <si>
    <t>int_DK</t>
  </si>
  <si>
    <t>int_ESPN</t>
  </si>
  <si>
    <t>int_diff</t>
  </si>
  <si>
    <t>passing_td_DK</t>
  </si>
  <si>
    <t>passing_td_ESPN</t>
  </si>
  <si>
    <t>passing_td_diff</t>
  </si>
  <si>
    <t>passing_yards_DK</t>
  </si>
  <si>
    <t>passing_yards_ESPN</t>
  </si>
  <si>
    <t>passing_yards_diff</t>
  </si>
  <si>
    <t>rec_DK</t>
  </si>
  <si>
    <t>rec_ESPN</t>
  </si>
  <si>
    <t>rec_td_DK</t>
  </si>
  <si>
    <t>rec_td_ESPN</t>
  </si>
  <si>
    <t>rec_td_diff</t>
  </si>
  <si>
    <t>rec_yards_DK</t>
  </si>
  <si>
    <t>rec_yards_ESPN</t>
  </si>
  <si>
    <t>rec_yards_diff</t>
  </si>
  <si>
    <t>rec_diff</t>
  </si>
  <si>
    <t>rush_td_DK</t>
  </si>
  <si>
    <t>rush_td_ESPN</t>
  </si>
  <si>
    <t>rush_td_diff</t>
  </si>
  <si>
    <t>rush_yards_DK</t>
  </si>
  <si>
    <t>rush_yards_ESPN</t>
  </si>
  <si>
    <t>rush_yards_diff</t>
  </si>
  <si>
    <t>comment</t>
  </si>
  <si>
    <t>score_diff</t>
  </si>
  <si>
    <t>Joe Milton</t>
  </si>
  <si>
    <t>passing_td overestimated by 8</t>
  </si>
  <si>
    <t>passing_td overestimated by 3</t>
  </si>
  <si>
    <t>passing_td overestimated by 4</t>
  </si>
  <si>
    <t>passing_td overestimated by 2</t>
  </si>
  <si>
    <t>passing_td overestimated by 1</t>
  </si>
  <si>
    <t>rec_td overestimated by 1</t>
  </si>
  <si>
    <t>rush_td overestimated by 0</t>
  </si>
  <si>
    <t>position</t>
  </si>
  <si>
    <t>RB</t>
  </si>
  <si>
    <t>WR</t>
  </si>
  <si>
    <t>QB</t>
  </si>
  <si>
    <t>TE</t>
  </si>
  <si>
    <t>rec_yards underestimated by 114</t>
  </si>
  <si>
    <t>rec_yards underestimated by 108</t>
  </si>
  <si>
    <t>rec_td underestimated by 2</t>
  </si>
  <si>
    <t>rec_td underestimated by 1</t>
  </si>
  <si>
    <t>rec_yards underestimated by 122</t>
  </si>
  <si>
    <t>rec_yards underestimated by 139</t>
  </si>
  <si>
    <t>rec_yards underestimated by 129</t>
  </si>
  <si>
    <t>rec_yards underestimated by 64</t>
  </si>
  <si>
    <t>rec_yards underestimated by 97</t>
  </si>
  <si>
    <t>rec_yards underestimated by 165</t>
  </si>
  <si>
    <t>rush_td underestimated by 1</t>
  </si>
  <si>
    <t>Values</t>
  </si>
  <si>
    <t>Hide</t>
  </si>
  <si>
    <t>total_score_ESPN</t>
  </si>
  <si>
    <t>total_score_DK</t>
  </si>
  <si>
    <t>Error Formulas</t>
  </si>
  <si>
    <t>Skylar Thompson</t>
  </si>
  <si>
    <t>Zach Pascal</t>
  </si>
  <si>
    <t>TODO</t>
  </si>
  <si>
    <t>Create single player analytics page</t>
  </si>
  <si>
    <t>Move ipynb to xlwings so everything runs on one file (currently copy and paste)</t>
  </si>
  <si>
    <t>Add additional sources to get more accurate projections and over/unders</t>
  </si>
  <si>
    <t>Hotkeys</t>
  </si>
  <si>
    <t>ctrl + e</t>
  </si>
  <si>
    <t>Removes player from all pivots. Cell holding player must be active within pivot table.</t>
  </si>
  <si>
    <t>passing_yards overestimated by 373</t>
  </si>
  <si>
    <t>rush_td overestimated by 1</t>
  </si>
  <si>
    <t>passing_yards overestimated by 296</t>
  </si>
  <si>
    <t>passing_yards underestimated by 462</t>
  </si>
  <si>
    <t>passing_yards underestimated by 411</t>
  </si>
  <si>
    <t>passing_yards underestimated by 495</t>
  </si>
  <si>
    <t>passing_yards overestimated by 180</t>
  </si>
  <si>
    <t>passing_yards underestimated by 329</t>
  </si>
  <si>
    <t>passing_yards underestimated by 367</t>
  </si>
  <si>
    <t>passing_yards overestimated by 316</t>
  </si>
  <si>
    <t>rec_yards underestimated by 116</t>
  </si>
  <si>
    <t>rec_yards underestimated by 118</t>
  </si>
  <si>
    <t>rec_yards underestimated by 159</t>
  </si>
  <si>
    <t>rec_yards underestimated by 156</t>
  </si>
  <si>
    <t>rec_yards underestimated by 82</t>
  </si>
  <si>
    <t>rec_yards underestimated by 94</t>
  </si>
  <si>
    <t>rec_yards underestimated by 95</t>
  </si>
  <si>
    <t>rec_yards underestimated by 238</t>
  </si>
  <si>
    <t>rec_yards underestimated by 150</t>
  </si>
  <si>
    <t>rec_yards underestimated by 177</t>
  </si>
  <si>
    <t>rec_yards underestimated by 161</t>
  </si>
  <si>
    <t>rec_yards underestimated by 221</t>
  </si>
  <si>
    <t>rush_yards underestimated by 71</t>
  </si>
  <si>
    <t>rush_yards underestimated by 176</t>
  </si>
  <si>
    <t>rush_yards underestimated by 127</t>
  </si>
  <si>
    <t>rush_yards underestimated by 99</t>
  </si>
  <si>
    <t>rush_yards underestimated by 84</t>
  </si>
  <si>
    <t>Jeff Wilson</t>
  </si>
  <si>
    <t>Blake Watson</t>
  </si>
  <si>
    <t>Bryce Ford-Wheaton</t>
  </si>
  <si>
    <t>Taylor Heinicke</t>
  </si>
  <si>
    <t>Isaiah Williams</t>
  </si>
  <si>
    <t>Davis Mills</t>
  </si>
  <si>
    <t>Malik Willis</t>
  </si>
  <si>
    <t>Clayton Tune</t>
  </si>
  <si>
    <t>Jakob Johnson</t>
  </si>
  <si>
    <t>Grant DuBose</t>
  </si>
  <si>
    <t>Trishton Jackson</t>
  </si>
  <si>
    <t>Byron Pringle</t>
  </si>
  <si>
    <t>Ramel Keyton</t>
  </si>
  <si>
    <t>Brevyn Spann-Ford</t>
  </si>
  <si>
    <t>Kayshon Boutte</t>
  </si>
  <si>
    <t>Xavier Weaver</t>
  </si>
  <si>
    <t>Tyreik McAllister</t>
  </si>
  <si>
    <t>Colson Yankoff</t>
  </si>
  <si>
    <t>Chris Conley</t>
  </si>
  <si>
    <t>Jake Tonges</t>
  </si>
  <si>
    <t>Tanner Conner</t>
  </si>
  <si>
    <t>Thomas Odukoya</t>
  </si>
  <si>
    <t>Simi Fehoko</t>
  </si>
  <si>
    <t>Mason Tipton</t>
  </si>
  <si>
    <t>Patrick Taylor</t>
  </si>
  <si>
    <t>Robert Woods</t>
  </si>
  <si>
    <t>Brenden Bates</t>
  </si>
  <si>
    <t>Nick Muse</t>
  </si>
  <si>
    <t>Kameron Johnson</t>
  </si>
  <si>
    <t>Travis Vokolek</t>
  </si>
  <si>
    <t>Dareke Young</t>
  </si>
  <si>
    <t>British Brooks</t>
  </si>
  <si>
    <t>Parker Hesse</t>
  </si>
  <si>
    <t>Irvin Charles</t>
  </si>
  <si>
    <t>Emanuel Wilson</t>
  </si>
  <si>
    <t>Emari Demercado</t>
  </si>
  <si>
    <t>auction</t>
  </si>
  <si>
    <t xml:space="preserve"> OPOY</t>
  </si>
  <si>
    <t xml:space="preserve"> OROY</t>
  </si>
  <si>
    <t>Rank</t>
  </si>
  <si>
    <t>Error Margin</t>
  </si>
  <si>
    <t>DK Projection</t>
  </si>
  <si>
    <t>Notes</t>
  </si>
  <si>
    <t>Auction is the average amount spent on a player in Auction leagues</t>
  </si>
  <si>
    <t>OPOY = Offensive Player of the Year</t>
  </si>
  <si>
    <t>OROY = Offensive Rookie of the Year. I lean on this more than DK Projections</t>
  </si>
  <si>
    <t>Error Margin is difference between DraftKings and ESPN projections.</t>
  </si>
  <si>
    <t>Make sure you set  "Scoring" tab to your league settings first.</t>
  </si>
  <si>
    <r>
      <rPr>
        <b/>
        <sz val="11"/>
        <color rgb="FF006600"/>
        <rFont val="Aptos Narrow"/>
        <family val="2"/>
        <scheme val="minor"/>
      </rPr>
      <t>ctrl + e</t>
    </r>
    <r>
      <rPr>
        <sz val="11"/>
        <color theme="1"/>
        <rFont val="Aptos Narrow"/>
        <family val="2"/>
        <scheme val="minor"/>
      </rPr>
      <t xml:space="preserve"> to remove player</t>
    </r>
  </si>
  <si>
    <t/>
  </si>
  <si>
    <t>Show</t>
  </si>
  <si>
    <t>If you're going to sort or filter, use the far left dropdown</t>
  </si>
  <si>
    <t>Parent Position</t>
  </si>
  <si>
    <t>HIDE</t>
  </si>
  <si>
    <t>FLEX</t>
  </si>
  <si>
    <t>Child Pos</t>
  </si>
  <si>
    <t>Parent Pos</t>
  </si>
  <si>
    <t>Filtering by Parent Pos or Child Pos will update color scale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</si>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</sst>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66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BDDE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3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3" borderId="3" xfId="0" applyFill="1" applyBorder="1"/>
    <xf numFmtId="0" fontId="0" fillId="3" borderId="5" xfId="0" applyFill="1" applyBorder="1"/>
    <xf numFmtId="0" fontId="2" fillId="2" borderId="4" xfId="2" applyBorder="1"/>
    <xf numFmtId="3" fontId="0" fillId="0" borderId="0" xfId="0" applyNumberFormat="1"/>
    <xf numFmtId="0" fontId="0" fillId="4" borderId="0" xfId="0" applyFill="1"/>
    <xf numFmtId="164" fontId="0" fillId="4" borderId="0" xfId="1" applyNumberFormat="1" applyFont="1" applyFill="1"/>
    <xf numFmtId="0" fontId="0" fillId="0" borderId="0" xfId="0" pivotButton="1"/>
    <xf numFmtId="0" fontId="3" fillId="0" borderId="0" xfId="0" applyFont="1"/>
    <xf numFmtId="38" fontId="0" fillId="0" borderId="0" xfId="0" applyNumberFormat="1"/>
    <xf numFmtId="0" fontId="4" fillId="0" borderId="0" xfId="0" applyFont="1"/>
    <xf numFmtId="0" fontId="2" fillId="2" borderId="6" xfId="2" applyBorder="1"/>
    <xf numFmtId="0" fontId="4" fillId="3" borderId="1" xfId="0" applyFont="1" applyFill="1" applyBorder="1"/>
    <xf numFmtId="0" fontId="4" fillId="3" borderId="2" xfId="0" applyFont="1" applyFill="1" applyBorder="1"/>
    <xf numFmtId="0" fontId="0" fillId="0" borderId="1" xfId="0" applyBorder="1"/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8" xfId="0" applyBorder="1"/>
    <xf numFmtId="0" fontId="0" fillId="0" borderId="6" xfId="0" applyBorder="1"/>
    <xf numFmtId="0" fontId="0" fillId="3" borderId="1" xfId="0" applyFill="1" applyBorder="1"/>
    <xf numFmtId="0" fontId="0" fillId="3" borderId="7" xfId="0" applyFill="1" applyBorder="1"/>
    <xf numFmtId="0" fontId="0" fillId="3" borderId="2" xfId="0" applyFill="1" applyBorder="1"/>
    <xf numFmtId="0" fontId="0" fillId="3" borderId="0" xfId="0" applyFill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41" fontId="0" fillId="0" borderId="0" xfId="0" applyNumberFormat="1"/>
    <xf numFmtId="0" fontId="0" fillId="0" borderId="0" xfId="0" applyNumberFormat="1"/>
  </cellXfs>
  <cellStyles count="3">
    <cellStyle name="Comma" xfId="1" builtinId="3"/>
    <cellStyle name="Good" xfId="2" builtinId="26"/>
    <cellStyle name="Normal" xfId="0" builtinId="0"/>
  </cellStyles>
  <dxfs count="49"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</dxf>
    <dxf>
      <numFmt numFmtId="6" formatCode="#,##0_);[Red]\(#,##0\)"/>
    </dxf>
    <dxf>
      <numFmt numFmtId="3" formatCode="#,##0"/>
    </dxf>
    <dxf>
      <numFmt numFmtId="33" formatCode="_(* #,##0_);_(* \(#,##0\);_(* &quot;-&quot;_);_(@_)"/>
    </dxf>
    <dxf>
      <numFmt numFmtId="33" formatCode="_(* #,##0_);_(* \(#,##0\);_(* &quot;-&quot;_);_(@_)"/>
    </dxf>
    <dxf>
      <font>
        <color auto="1"/>
      </font>
    </dxf>
    <dxf>
      <numFmt numFmtId="6" formatCode="#,##0_);[Red]\(#,##0\)"/>
    </dxf>
    <dxf>
      <numFmt numFmtId="3" formatCode="#,##0"/>
    </dxf>
    <dxf>
      <numFmt numFmtId="33" formatCode="_(* #,##0_);_(* \(#,##0\);_(* &quot;-&quot;_);_(@_)"/>
    </dxf>
    <dxf>
      <numFmt numFmtId="33" formatCode="_(* #,##0_);_(* \(#,##0\);_(* &quot;-&quot;_);_(@_)"/>
    </dxf>
    <dxf>
      <font>
        <color auto="1"/>
      </font>
    </dxf>
    <dxf>
      <numFmt numFmtId="6" formatCode="#,##0_);[Red]\(#,##0\)"/>
    </dxf>
    <dxf>
      <numFmt numFmtId="3" formatCode="#,##0"/>
    </dxf>
    <dxf>
      <numFmt numFmtId="33" formatCode="_(* #,##0_);_(* \(#,##0\);_(* &quot;-&quot;_);_(@_)"/>
    </dxf>
    <dxf>
      <numFmt numFmtId="33" formatCode="_(* #,##0_);_(* \(#,##0\);_(* &quot;-&quot;_);_(@_)"/>
    </dxf>
    <dxf>
      <font>
        <color auto="1"/>
      </font>
    </dxf>
    <dxf>
      <numFmt numFmtId="6" formatCode="#,##0_);[Red]\(#,##0\)"/>
    </dxf>
    <dxf>
      <numFmt numFmtId="3" formatCode="#,##0"/>
    </dxf>
    <dxf>
      <numFmt numFmtId="33" formatCode="_(* #,##0_);_(* \(#,##0\);_(* &quot;-&quot;_);_(@_)"/>
    </dxf>
    <dxf>
      <numFmt numFmtId="33" formatCode="_(* #,##0_);_(* \(#,##0\);_(* &quot;-&quot;_);_(@_)"/>
    </dxf>
    <dxf>
      <font>
        <color auto="1"/>
      </font>
    </dxf>
    <dxf>
      <numFmt numFmtId="6" formatCode="#,##0_);[Red]\(#,##0\)"/>
    </dxf>
    <dxf>
      <numFmt numFmtId="3" formatCode="#,##0"/>
    </dxf>
    <dxf>
      <numFmt numFmtId="33" formatCode="_(* #,##0_);_(* \(#,##0\);_(* &quot;-&quot;_);_(@_)"/>
    </dxf>
    <dxf>
      <numFmt numFmtId="33" formatCode="_(* #,##0_);_(* \(#,##0\);_(* &quot;-&quot;_);_(@_)"/>
    </dxf>
    <dxf>
      <font>
        <color auto="1"/>
      </font>
    </dxf>
    <dxf>
      <numFmt numFmtId="6" formatCode="#,##0_);[Red]\(#,##0\)"/>
    </dxf>
    <dxf>
      <numFmt numFmtId="3" formatCode="#,##0"/>
    </dxf>
    <dxf>
      <numFmt numFmtId="33" formatCode="_(* #,##0_);_(* \(#,##0\);_(* &quot;-&quot;_);_(@_)"/>
    </dxf>
    <dxf>
      <numFmt numFmtId="33" formatCode="_(* #,##0_);_(* \(#,##0\);_(* &quot;-&quot;_);_(@_)"/>
    </dxf>
    <dxf>
      <font>
        <color auto="1"/>
      </font>
    </dxf>
    <dxf>
      <numFmt numFmtId="6" formatCode="#,##0_);[Red]\(#,##0\)"/>
    </dxf>
    <dxf>
      <numFmt numFmtId="3" formatCode="#,##0"/>
    </dxf>
    <dxf>
      <numFmt numFmtId="33" formatCode="_(* #,##0_);_(* \(#,##0\);_(* &quot;-&quot;_);_(@_)"/>
    </dxf>
    <dxf>
      <numFmt numFmtId="33" formatCode="_(* #,##0_);_(* \(#,##0\);_(* &quot;-&quot;_);_(@_)"/>
    </dxf>
    <dxf>
      <font>
        <b/>
        <i val="0"/>
        <color rgb="FFC00000"/>
      </font>
      <fill>
        <patternFill>
          <bgColor rgb="FFFFCCCC"/>
        </patternFill>
      </fill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" formatCode="#,##0"/>
    </dxf>
    <dxf>
      <numFmt numFmtId="6" formatCode="#,##0_);[Red]\(#,##0\)"/>
    </dxf>
    <dxf>
      <font>
        <color auto="1"/>
      </font>
    </dxf>
  </dxfs>
  <tableStyles count="0" defaultTableStyle="TableStyleMedium2" defaultPivotStyle="PivotStyleLight16"/>
  <colors>
    <mruColors>
      <color rgb="FF006600"/>
      <color rgb="FFFF7979"/>
      <color rgb="FFFF9999"/>
      <color rgb="FFFFCCCC"/>
      <color rgb="FFBDDEFF"/>
      <color rgb="FFCCE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23/09/relationships/Python" Target="pyth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k Viola" refreshedDate="45539.367315046293" createdVersion="8" refreshedVersion="8" minRefreshableVersion="3" recordCount="517" xr:uid="{F4F83CB7-5BC3-4552-9073-76F38785BFA0}">
  <cacheSource type="worksheet">
    <worksheetSource name="rPivotSource"/>
  </cacheSource>
  <cacheFields count="38">
    <cacheField name="Player" numFmtId="0">
      <sharedItems count="587">
        <s v="Sam Darnold"/>
        <s v="Gardner Minshew"/>
        <s v="Matthew Stafford"/>
        <s v="Anthony Richardson"/>
        <s v="Kyler Murray"/>
        <s v="Bo Nix"/>
        <s v="Daniel Jones"/>
        <s v="Jared Goff"/>
        <s v="Jayden Daniels"/>
        <s v="Josh Allen"/>
        <s v="Lamar Jackson"/>
        <s v="Derek Carr"/>
        <s v="Aaron Rodgers"/>
        <s v="Jalen Hurts"/>
        <s v="Will Levis"/>
        <s v="Deshaun Watson"/>
        <s v="Jordan Love"/>
        <s v="Trevor Lawrence"/>
        <s v="Kirk Cousins"/>
        <s v="Brock Purdy"/>
        <s v="Dak Prescott"/>
        <s v="Tua Tagovailoa"/>
        <s v="Caleb Williams"/>
        <s v="Joe Burrow"/>
        <s v="Bryce Young"/>
        <s v="CJ Stroud"/>
        <s v="Baker Mayfield"/>
        <s v="Patrick Mahomes"/>
        <s v="David Njoku"/>
        <s v="Jayden Reed"/>
        <s v="Terry McLaurin"/>
        <s v="Tyler Lockett"/>
        <s v="Brandon Aiyuk"/>
        <s v="Chris Godwin"/>
        <s v="Jake Ferguson"/>
        <s v="Pat Freiermuth"/>
        <s v="Tank Dell"/>
        <s v="Jaxon Smith-Njigba"/>
        <s v="Kyle Pitts"/>
        <s v="Dalton Kincaid"/>
        <s v="Christian Watson"/>
        <s v="Christian Kirk"/>
        <s v="Mike Williams"/>
        <s v="Tee Higgins"/>
        <s v="Adam Thielen"/>
        <s v="Keenan Allen"/>
        <s v="Deebo Samuel"/>
        <s v="George Kittle"/>
        <s v="Amari Cooper"/>
        <s v="Dalton Schultz"/>
        <s v="Courtland Sutton"/>
        <s v="Joshua Palmer"/>
        <s v="Jaylen Waddle"/>
        <s v="Chris Olave"/>
        <s v="Nico Collins"/>
        <s v="AJ Brown"/>
        <s v="Marvin Harrison"/>
        <s v="Zay Flowers"/>
        <s v="Garrett Wilson"/>
        <s v="Tyreek Hill"/>
        <s v="Stefon Diggs"/>
        <s v="Justin Jefferson"/>
        <s v="Malik Nabers"/>
        <s v="Rome Odunze"/>
        <s v="Sam LaPorta"/>
        <s v="DeVonta Smith"/>
        <s v="Amon-Ra St Brown"/>
        <s v="Brock Bowers"/>
        <s v="Drake London"/>
        <s v="Travis Kelce"/>
        <s v="Ladd McConkey"/>
        <s v="Ja'Marr Chase"/>
        <s v="Brian Thomas"/>
        <s v="Davante Adams"/>
        <s v="Cooper Kupp"/>
        <s v="Xavier Worthy"/>
        <s v="CeeDee Lamb"/>
        <s v="Puka Nacua"/>
        <s v="Keon Coleman"/>
        <s v="DJ Moore"/>
        <s v="DK Metcalf"/>
        <s v="Mike Evans"/>
        <s v="George Pickens"/>
        <s v="Xavier Legette"/>
        <s v="Mark Andrews"/>
        <s v="Michael Pittman"/>
        <s v="Diontae Johnson"/>
        <s v="Calvin Ridley"/>
        <s v="Christian McCaffrey"/>
        <s v="Jerry Jeudy"/>
        <s v="Raheem Mostert"/>
        <s v="Devin Singletary"/>
        <s v="Breece Hall"/>
        <s v="Isiah Pacheco"/>
        <s v="James Cook"/>
        <s v="Travis Etienne"/>
        <s v="Rachaad White"/>
        <s v="Bijan Robinson"/>
        <s v="Zamir White"/>
        <s v="De'Von Achane"/>
        <s v="Joe Mixon"/>
        <s v="Aaron Jones"/>
        <s v="Ezekiel Elliott"/>
        <s v="Alvin Kamara"/>
        <s v="Jonathan Taylor"/>
        <s v="Saquon Barkley"/>
        <s v="Josh Jacobs"/>
        <s v="Derrick Henry"/>
        <s v="D'Andre Swift"/>
        <s v="Tony Pollard"/>
        <s v="Zack Moss"/>
        <s v="Khalil Shakir"/>
        <s v="Drake Maye"/>
        <s v="MarShawn Lloyd"/>
        <s v="Adonai Mitchell"/>
        <s v="Malachi Corley"/>
        <s v="Trey Benson"/>
        <s v="Jermaine Burton"/>
        <s v="Blake Corum"/>
        <s v="Ja'Lynn Polk"/>
        <s v="Michael Penix"/>
        <s v="Jonathon Brooks"/>
        <s v="Braelon Allen"/>
        <s v="Jaylen Wright"/>
        <s v="Troy Franklin"/>
        <s v="Audric Estime"/>
        <s v="Spencer Rattler"/>
        <s v="Roman Wilson"/>
        <s v="Ricky Pearsall"/>
        <s v="Jalen McMillan"/>
        <s v="Isaac Guerendo"/>
        <s v="Devontez Walker"/>
        <s v="Will Shipley"/>
        <s v="Bucky Irving"/>
        <s v="Joe Milton"/>
        <s v="Ben Sinnott"/>
        <s v="Rasheen Ali"/>
        <s v="Jaheim Bell"/>
        <s v="Michael Pratt"/>
        <s v="Kendall Milton"/>
        <s v="Theo Johnson"/>
        <s v="Sam Hartman"/>
        <s v="Ainias Smith"/>
        <s v="Cody Schrader"/>
        <s v="Ray Davis"/>
        <s v="Isaiah Davis"/>
        <s v="Dylan Laube"/>
        <s v="Marcus Rosemy-Jacksaint"/>
        <s v="Dillon Johnson"/>
        <s v="Luke McCaffrey"/>
        <s v="Dallin Holker"/>
        <s v="Daijun Edwards"/>
        <s v="Kimani Vidal"/>
        <s v="Cornelius Johnson"/>
        <s v="Carson Steele"/>
        <s v="Joshua Cephus"/>
        <s v="Cade Stover"/>
        <s v="Jordan Travis"/>
        <s v="Johnny Wilson"/>
        <s v="Brenden Rice"/>
        <s v="Jawhar Jordan"/>
        <s v="Tahj Washington"/>
        <s v="Ja'Tavion Sanders"/>
        <s v="Jase McClellan"/>
        <s v="AJ Barner"/>
        <s v="Jared Wiley"/>
        <s v="Jamari Thrash"/>
        <s v="Jalen Coker"/>
        <s v="Miyan Williams"/>
        <s v="Erick All"/>
        <s v="Malik Washington"/>
        <s v="Deshaun Fenwick"/>
        <s v="Tyrone Tracy"/>
        <s v="Tip Reiman"/>
        <s v="Tanner McLachlan"/>
        <s v="Taulia Tagovailoa"/>
        <s v="Amarius Mims"/>
        <s v="Olumuyiwa Fashanu"/>
        <s v="Frank Gore"/>
        <s v="Tyler Guyton"/>
        <s v="Troy Fautanu"/>
        <s v="Joe Alt"/>
        <s v="JC Latham"/>
        <s v="Taliese Fuaga"/>
        <s v="Austin Reed"/>
        <s v="Jahmyr Gibbs"/>
        <s v="Kyren Williams"/>
        <s v="Kenneth Walker"/>
        <s v="Justin Herbert"/>
        <s v="Rashee Rice"/>
        <s v="Austin Ekeler"/>
        <s v="Tyjae Spears"/>
        <s v="Brian Robinson"/>
        <s v="David Montgomery"/>
        <s v="Keaton Mitchell"/>
        <s v="Gus Edwards"/>
        <s v="Justin Fields"/>
        <s v="Geno Smith"/>
        <s v="Josh Downs"/>
        <s v="TJ Hockenson"/>
        <s v="Jaylen Warren"/>
        <s v="Rhamondre Stevenson"/>
        <s v="James Conner"/>
        <s v="Nick Chubb"/>
        <s v="Najee Harris"/>
        <s v="JK Dobbins"/>
        <s v="Chuba Hubbard"/>
        <s v="Gabe Davis"/>
        <s v="Taysom Hill"/>
        <s v="Sam Howell"/>
        <s v="Jerome Ford"/>
        <s v="Russell Wilson"/>
        <s v="Javonte Williams"/>
        <s v="DeAndre Hopkins"/>
        <s v="Jakobi Meyers"/>
        <s v="Ty Chandler"/>
        <s v="Kareem Hunt"/>
        <s v="Trey McBride"/>
        <s v="Cole Kmet"/>
        <s v="Marquise Brown"/>
        <s v="Evan Engram"/>
        <s v="Mac Jones"/>
        <s v="Jimmy Garoppolo"/>
        <s v="Zach Charbonnet"/>
        <s v="Tyler Boyd"/>
        <s v="Rashid Shaheed"/>
        <s v="Miles Sanders"/>
        <s v="Romeo Doubs"/>
        <s v="Jauan Jennings"/>
        <s v="Jameson Williams"/>
        <s v="Dontayvion Wicks"/>
        <s v="Brandin Cooks"/>
        <s v="Odell Beckham"/>
        <s v="Kenny Pickett"/>
        <s v="Michael Gallup"/>
        <s v="AJ Dillon"/>
        <s v="Jordan Addison"/>
        <s v="Tyler Higbee"/>
        <s v="Roschon Johnson"/>
        <s v="Dallas Goedert"/>
        <s v="Quentin Johnston"/>
        <s v="Jamaal Williams"/>
        <s v="Khalil Herbert"/>
        <s v="Jalin Hyatt"/>
        <s v="Dameon Pierce"/>
        <s v="Dalvin Cook"/>
        <s v="Antonio Gibson"/>
        <s v="JuJu Smith-Schuster"/>
        <s v="Michael Mayer"/>
        <s v="Chase Brown"/>
        <s v="Rico Dowdle"/>
        <s v="Michael Wilson"/>
        <s v="Jordan Mason"/>
        <s v="Tre Tucker"/>
        <s v="Curtis Samuel"/>
        <s v="Jaleel McLaughlin"/>
        <s v="Darnell Mooney"/>
        <s v="DeMario Douglas"/>
        <s v="Tyler Allgeier"/>
        <s v="Tyler Conklin"/>
        <s v="Laviska Shenault"/>
        <s v="Nick Westbrook-Ikhine"/>
        <s v="Payne Durham"/>
        <s v="Alec Ingold"/>
        <s v="Lucas Krull"/>
        <s v="Grant Calcaterra"/>
        <s v="David Moore"/>
        <s v="Skylar Thompson"/>
        <s v="Mack Hollins"/>
        <s v="Pharaoh Brown"/>
        <s v="Marquez Valdes-Scantling"/>
        <s v="Bo Melton"/>
        <s v="Casey Washington"/>
        <s v="Charlie Woerner"/>
        <s v="Eric Saubert"/>
        <s v="Ko Kieft"/>
        <s v="Mecole Hardman"/>
        <s v="Raheem Blackshear"/>
        <s v="Jeff Wilson"/>
        <s v="Scotty Miller"/>
        <s v="David Bell"/>
        <s v="John Stephens"/>
        <s v="Jamison Crowder"/>
        <s v="Blake Watson"/>
        <s v="Bryce Ford-Wheaton"/>
        <s v="Hassan Haskins"/>
        <s v="Luke Farrell"/>
        <s v="John Bates"/>
        <s v="Jordan Mims"/>
        <s v="Harrison Bryant"/>
        <s v="MyCole Pruitt"/>
        <s v="Skyy Moore"/>
        <s v="Brevin Jordan"/>
        <s v="Jordan Whittington"/>
        <s v="Mo Alie-Cox"/>
        <s v="Taylor Heinicke"/>
        <s v="Devaughn Vele"/>
        <s v="Joshua Dobbs"/>
        <s v="Darnell Washington"/>
        <s v="Drew Ogletree"/>
        <s v="Cooper Rush"/>
        <s v="Ian Thomas"/>
        <s v="Elijah Higgins"/>
        <s v="Ryan Flournoy"/>
        <s v="Stone Smartt"/>
        <s v="Braxton Berrios"/>
        <s v="Jake Bobo"/>
        <s v="Durham Smythe"/>
        <s v="Isaiah Williams"/>
        <s v="Bub Means"/>
        <s v="Will Mallory"/>
        <s v="Davis Mills"/>
        <s v="Malik Willis"/>
        <s v="KJ Osborn"/>
        <s v="Tanner Hudson"/>
        <s v="Andy Dalton"/>
        <s v="Brenton Strange"/>
        <s v="Drew Sample"/>
        <s v="Clayton Tune"/>
        <s v="Hendon Hooker"/>
        <s v="Tyson Bagent"/>
        <s v="Javon Baker"/>
        <s v="Davis Allen"/>
        <s v="Kyle Trask"/>
        <s v="Derius Davis"/>
        <s v="Josh Johnson"/>
        <s v="Brandon Powell"/>
        <s v="Devin Duvernay"/>
        <s v="Jalen Brooks"/>
        <s v="Jakob Johnson"/>
        <s v="Anthony Gould"/>
        <s v="Grant DuBose"/>
        <s v="DeAndre Carter"/>
        <s v="Ronnie Bell"/>
        <s v="Travis Homer"/>
        <s v="Xavier Hutchinson"/>
        <s v="Jha'Quan Jackson"/>
        <s v="Velus Jones"/>
        <s v="DeeJay Dallas"/>
        <s v="Trent Sherfield"/>
        <s v="Tylan Wallace"/>
        <s v="Trishton Jackson"/>
        <s v="Byron Pringle"/>
        <s v="Patrick Ricard"/>
        <s v="Tim Jones"/>
        <s v="Ramel Keyton"/>
        <s v="Charlie Kolar"/>
        <s v="Brevyn Spann-Ford"/>
        <s v="Kayshon Boutte"/>
        <s v="Chris Moore"/>
        <s v="Devin Culp"/>
        <s v="Xavier Weaver"/>
        <s v="Josh Whyle"/>
        <s v="Steven Sims"/>
        <s v="Hunter Long"/>
        <s v="Zach Pascal"/>
        <s v="Khari Blasingame"/>
        <s v="Ashton Dulin"/>
        <s v="Tyreik McAllister"/>
        <s v="Colson Yankoff"/>
        <s v="Chris Conley"/>
        <s v="Jake Tonges"/>
        <s v="Nick Vannett"/>
        <s v="Brady Russell"/>
        <s v="Jacob Cowing"/>
        <s v="Julian Hill"/>
        <s v="Tanner Conner"/>
        <s v="Thomas Odukoya"/>
        <s v="Simi Fehoko"/>
        <s v="Nate Adkins"/>
        <s v="Mason Tipton"/>
        <s v="Parker Washington"/>
        <s v="Ross Dwelley"/>
        <s v="AT Perry"/>
        <s v="Deonte Harty"/>
        <s v="Peyton Hendershot"/>
        <s v="Adam Prentice"/>
        <s v="Charlie Jones"/>
        <s v="Hunter Luepke"/>
        <s v="Tyler Scott"/>
        <s v="Sione Vaki"/>
        <s v="Patrick Taylor"/>
        <s v="DJ Turner"/>
        <s v="Robert Woods"/>
        <s v="Avery Williams"/>
        <s v="Brenden Bates"/>
        <s v="Nick Muse"/>
        <s v="Kameron Johnson"/>
        <s v="Travis Vokolek"/>
        <s v="Dareke Young"/>
        <s v="Britain Covey"/>
        <s v="Jordan Matthews"/>
        <s v="British Brooks"/>
        <s v="Chris Manhertz"/>
        <s v="Tyler Johnson"/>
        <s v="Parker Hesse"/>
        <s v="Quintin Morris"/>
        <s v="Ben Sims"/>
        <s v="Malik Heath"/>
        <s v="Marcedes Lewis"/>
        <s v="CJ Ham"/>
        <s v="Gunner Olszewski"/>
        <s v="Irvin Charles"/>
        <s v="Brock Wright"/>
        <s v="JaMycal Hasty"/>
        <s v="Foster Moreau"/>
        <s v="Marvin Mims"/>
        <s v="Eric Gray"/>
        <s v="Trey Sermon"/>
        <s v="Deuce Vaughn"/>
        <s v="Justice Hill"/>
        <s v="Ty Johnson"/>
        <s v="Trey Palmer"/>
        <s v="Ray-Ray McCloud"/>
        <s v="Andrei Iosivas"/>
        <s v="Zay Jones"/>
        <s v="Tank Bigsby"/>
        <s v="Emanuel Wilson"/>
        <s v="Cordarrelle Patterson"/>
        <s v="Cedric Tillman"/>
        <s v="Trayveon Williams"/>
        <s v="Tyler Goodson"/>
        <s v="Van Jefferson"/>
        <s v="D'Ernest Johnson"/>
        <s v="Dawson Knox"/>
        <s v="Jonnu Smith"/>
        <s v="Isaiah Likely"/>
        <s v="Kalif Raymond"/>
        <s v="Jonathan Mingo"/>
        <s v="Emari Demercado"/>
        <s v="Kenneth Gainwell"/>
        <s v="Jahan Dotson"/>
        <s v="D'Onta Foreman"/>
        <s v="DJ Chark"/>
        <s v="Samaje Perine"/>
        <s v="Clyde Edwards-Helaire"/>
        <s v="Juwan Johnson"/>
        <s v="Hunter Henry"/>
        <s v="Chigoziem Okonkwo"/>
        <s v="Demarcus Robinson"/>
        <s v="Wan'Dale Robinson"/>
        <s v="Kendrick Bourne"/>
        <s v="Kendre Miller"/>
        <s v="Hayden Hurst"/>
        <s v="Cade Otton"/>
        <s v="Noah Fant"/>
        <s v="Alexander Mattison"/>
        <s v="Rashod Bateman"/>
        <s v="Josh Reynolds"/>
        <s v="Darius Slayton"/>
        <s v="Jalen Tolbert"/>
        <s v="Tucker Kraft"/>
        <s v="Luke Musgrave"/>
        <s v="Greg Dortch"/>
        <s v="Elijah Moore"/>
        <s v="Connor Heyward"/>
        <s v="Johnny Mundt"/>
        <s v="Jarrett Stidham"/>
        <s v="Carson Wentz"/>
        <s v="Mason Rudolph"/>
        <s v="Drew Lock"/>
        <s v="Nick Mullens"/>
        <s v="Adam Trautman"/>
        <s v="Josh Oliver"/>
        <s v="Jordan Akins"/>
        <s v="Austin Hooper"/>
        <s v="Daniel Bellinger"/>
        <s v="Jeremy Ruckert"/>
        <s v="Will Dissly"/>
        <s v="Tommy Tremble"/>
        <s v="Noah Gray"/>
        <s v="Marcus Mariota"/>
        <s v="Mitchell Trubisky"/>
        <s v="Jameis Winston"/>
        <s v="Tyquan Thornton"/>
        <s v="Luke Schoonmaker"/>
        <s v="Jalen Nailor"/>
        <s v="Justin Watson"/>
        <s v="John Metchie"/>
        <s v="Cedrick Wilson"/>
        <s v="Allen Lazard"/>
        <s v="Alec Pierce"/>
        <s v="Trenton Irwin"/>
        <s v="Tutu Atwell"/>
        <s v="Treylon Burks"/>
        <s v="Olamide Zaccheaus"/>
        <s v="KaVontae Turpin"/>
        <s v="Calvin Austin"/>
        <s v="Noah Brown"/>
        <s v="Israel Abanikanda"/>
        <s v="Nelson Agholor"/>
        <s v="Cam Akers"/>
        <s v="Xavier Gipson"/>
        <s v="Mike Gesicki"/>
        <s v="Kylen Granson"/>
        <s v="Colby Parkinson"/>
        <s v="KhaDarel Hodge"/>
        <s v="Craig Reynolds"/>
        <s v="Kenny McIntosh"/>
        <s v="Julius Chestnut"/>
        <s v="Ameer Abdullah"/>
        <s v="Jeremy McNichols"/>
        <s v="Dyami Brown"/>
        <s v="Jacoby Brissett"/>
        <s v="Sean Tucker"/>
        <s v="Zach Ertz"/>
        <s v="Jake Browning"/>
        <s v="Joe Flacco"/>
        <s v="Tyrod Taylor"/>
        <s v="Greg Dulcich"/>
        <s v="Dare Ogunbowale"/>
        <s v="Gerald Everett"/>
        <s v="Aidan O'Connell"/>
        <s v="Ronnie Rivers"/>
        <s v="Pierre Strong"/>
        <s v="Kyle Juszczyk"/>
        <s v="Dante Pettis"/>
        <s v="Elijah Mitchell" u="1"/>
        <s v="Jaret Patterson" u="1"/>
        <s v="Myles Gaskin" u="1"/>
        <s v="Chris Brooks" u="1"/>
        <s v="Chris Blair" u="1"/>
        <s v="Darrynton Evans" u="1"/>
        <s v="Parris Campbell" u="1"/>
        <s v="Kevin Harris" u="1"/>
        <s v="Dante Miller" u="1"/>
        <s v="Michael Burton" u="1"/>
        <s v="Sterling Shepard" u="1"/>
        <s v="Ihmir Smith-Marsette" u="1"/>
        <s v="Kene Nwangwu" u="1"/>
        <s v="La'Mical Perine" u="1"/>
        <s v="Irv Smith" u="1"/>
        <s v="Isaiah McKenzie" u="1"/>
        <s v="Easton Stick" u="1"/>
        <s v="Desmond Ridder" u="1"/>
        <s v="Case Keenum" u="1"/>
        <s v="Donovan Peoples-Jones" u="1"/>
        <s v="Kadarius Toney" u="1"/>
        <s v="Andrew Beck" u="1"/>
        <s v="Deneric Prince" u="1"/>
        <s v="Cole Turner" u="1"/>
        <s v="Danny Gray" u="1"/>
        <s v="Cameron Latu" u="1"/>
        <s v="Tom Kennedy" u="1"/>
        <s v="Kyle Philips" u="1"/>
        <s v="Rakim Jarrett" u="1"/>
        <s v="River Cracraft" u="1"/>
        <s v="Tyler Davis" u="1"/>
        <s v="Zach Evans" u="1"/>
        <s v="Brandon Johnson" u="1"/>
        <s v="Jalen Guyton" u="1"/>
        <s v="Zach Gentry" u="1"/>
        <s v="Sean Clifford" u="1"/>
        <s v="Chris Evans" u="1"/>
        <s v="Samori Toure" u="1"/>
        <s v="Keilan Robinson" u="1"/>
        <s v="James Proche" u="1"/>
        <s v="Tyrion Davis-Price" u="1"/>
        <s v="Kristian Wilkerson" u="1"/>
        <s v="Josiah Deguara" u="1"/>
        <s v="Dee Eskridge" u="1"/>
        <s v="James Mitchell" u="1"/>
        <s v="Robert Tonyan" u="1"/>
        <s v="Kenny Yeboah" u="1"/>
        <s v="Jason Brownlee" u="1"/>
        <s v="Donald Parham" u="1"/>
        <s v="Albert Okwuegbunam" u="1"/>
        <s v="Jalen Reagor" u="1"/>
        <s v="Quez Watkins" u="1"/>
        <s v="Isaiah Hodgins" u="1"/>
        <s v="Blake Whiteheart" u="1"/>
        <s v="Brayden Willis" u="1"/>
        <s v="Equanimeous St Brown" u="1"/>
        <s v="Maurice Alexander" u="1"/>
        <s v="Justin Shorter" u="1"/>
        <s v="Royce Freeman" u="1"/>
        <s v="Michael Carter" u="1"/>
        <s v="Nyheim Hines" u="1"/>
        <s v="Chase Edmonds" u="1"/>
        <s v="Chris Rodriguez" u="1"/>
        <s v="Evan Hull" u="1"/>
        <s v="Tim Patrick" u="1"/>
        <s v="Montrell Washington" u="1"/>
        <s v="Giovanni Ricci" u="1"/>
        <s v="Mike White" u="1"/>
        <s v="Jelani Woods" u="1"/>
        <s v="Boston Scott" u="1"/>
      </sharedItems>
    </cacheField>
    <cacheField name="position" numFmtId="0">
      <sharedItems containsMixedTypes="1" containsNumber="1" containsInteger="1" minValue="0" maxValue="0" count="5">
        <s v="QB"/>
        <s v="TE"/>
        <s v="WR"/>
        <s v="RB"/>
        <n v="0"/>
      </sharedItems>
    </cacheField>
    <cacheField name="int_DK" numFmtId="0">
      <sharedItems containsSemiMixedTypes="0" containsString="0" containsNumber="1" minValue="0" maxValue="12.5"/>
    </cacheField>
    <cacheField name="int_ESPN" numFmtId="0">
      <sharedItems containsSemiMixedTypes="0" containsString="0" containsNumber="1" minValue="0" maxValue="13.52611355"/>
    </cacheField>
    <cacheField name="int_diff" numFmtId="0">
      <sharedItems containsSemiMixedTypes="0" containsString="0" containsNumber="1" minValue="-3.6577141100000001" maxValue="0.369793389999999"/>
    </cacheField>
    <cacheField name="passing_td_DK" numFmtId="0">
      <sharedItems containsSemiMixedTypes="0" containsString="0" containsNumber="1" minValue="0" maxValue="34.5"/>
    </cacheField>
    <cacheField name="passing_td_ESPN" numFmtId="0">
      <sharedItems containsSemiMixedTypes="0" containsString="0" containsNumber="1" minValue="0" maxValue="33.231996950000003"/>
    </cacheField>
    <cacheField name="passing_td_diff" numFmtId="0">
      <sharedItems containsSemiMixedTypes="0" containsString="0" containsNumber="1" minValue="-1.61156859999999" maxValue="8.5774385290000001"/>
    </cacheField>
    <cacheField name="passing_yards_DK" numFmtId="0">
      <sharedItems containsSemiMixedTypes="0" containsString="0" containsNumber="1" minValue="0" maxValue="4350.5"/>
    </cacheField>
    <cacheField name="passing_yards_ESPN" numFmtId="0">
      <sharedItems containsSemiMixedTypes="0" containsString="0" containsNumber="1" minValue="0" maxValue="4127.8768389999996"/>
    </cacheField>
    <cacheField name="passing_yards_diff" numFmtId="0">
      <sharedItems containsSemiMixedTypes="0" containsString="0" containsNumber="1" minValue="-495.09881799999903" maxValue="766.98760200000004"/>
    </cacheField>
    <cacheField name="rec_DK" numFmtId="0">
      <sharedItems containsSemiMixedTypes="0" containsString="0" containsNumber="1" minValue="0" maxValue="105.5"/>
    </cacheField>
    <cacheField name="rec_ESPN" numFmtId="0">
      <sharedItems containsSemiMixedTypes="0" containsString="0" containsNumber="1" minValue="0" maxValue="112.85836329999999"/>
    </cacheField>
    <cacheField name="rec_td_DK" numFmtId="0">
      <sharedItems containsSemiMixedTypes="0" containsString="0" containsNumber="1" minValue="0" maxValue="9.5"/>
    </cacheField>
    <cacheField name="rec_td_ESPN" numFmtId="0">
      <sharedItems containsSemiMixedTypes="0" containsString="0" containsNumber="1" minValue="0" maxValue="9.0705794520000005"/>
    </cacheField>
    <cacheField name="rec_td_diff" numFmtId="0">
      <sharedItems containsSemiMixedTypes="0" containsString="0" containsNumber="1" minValue="-2.8491682200000001" maxValue="1.780854478"/>
    </cacheField>
    <cacheField name="rec_yards_DK" numFmtId="0">
      <sharedItems containsSemiMixedTypes="0" containsString="0" containsNumber="1" minValue="0" maxValue="1375.5"/>
    </cacheField>
    <cacheField name="rec_yards_ESPN" numFmtId="0">
      <sharedItems containsSemiMixedTypes="0" containsString="0" containsNumber="1" minValue="0" maxValue="1435.9199599999999"/>
    </cacheField>
    <cacheField name="rec_yards_diff" numFmtId="0">
      <sharedItems containsSemiMixedTypes="0" containsString="0" containsNumber="1" minValue="-238.91673599999899" maxValue="63.023596599999998"/>
    </cacheField>
    <cacheField name="rec_diff" numFmtId="0">
      <sharedItems containsSemiMixedTypes="0" containsString="0" containsNumber="1" minValue="-13.734961389999899" maxValue="10.00987207"/>
    </cacheField>
    <cacheField name="rush_td_DK" numFmtId="0">
      <sharedItems containsSemiMixedTypes="0" containsString="0" containsNumber="1" minValue="0" maxValue="10.5"/>
    </cacheField>
    <cacheField name="rush_td_ESPN" numFmtId="0">
      <sharedItems containsSemiMixedTypes="0" containsString="0" containsNumber="1" minValue="0" maxValue="11.89892905"/>
    </cacheField>
    <cacheField name="rush_td_diff" numFmtId="0">
      <sharedItems containsSemiMixedTypes="0" containsString="0" containsNumber="1" minValue="-1.7311669240000001" maxValue="1.6736561249999999"/>
    </cacheField>
    <cacheField name="rush_yards_DK" numFmtId="0">
      <sharedItems containsSemiMixedTypes="0" containsString="0" containsNumber="1" minValue="0" maxValue="1150.5"/>
    </cacheField>
    <cacheField name="rush_yards_ESPN" numFmtId="0">
      <sharedItems containsSemiMixedTypes="0" containsString="0" containsNumber="1" minValue="0" maxValue="1218.158443"/>
    </cacheField>
    <cacheField name="rush_yards_diff" numFmtId="0">
      <sharedItems containsSemiMixedTypes="0" containsString="0" containsNumber="1" minValue="-176.72064030000001" maxValue="53.747170399999902"/>
    </cacheField>
    <cacheField name="ppr_rank" numFmtId="0">
      <sharedItems containsSemiMixedTypes="0" containsString="0" containsNumber="1" containsInteger="1" minValue="0" maxValue="1370"/>
    </cacheField>
    <cacheField name="auction_val" numFmtId="0">
      <sharedItems containsSemiMixedTypes="0" containsString="0" containsNumber="1" containsInteger="1" minValue="0" maxValue="57"/>
    </cacheField>
    <cacheField name="OPOY" numFmtId="0">
      <sharedItems containsSemiMixedTypes="0" containsString="0" containsNumber="1" containsInteger="1" minValue="0" maxValue="50000"/>
    </cacheField>
    <cacheField name="OROY" numFmtId="0">
      <sharedItems containsSemiMixedTypes="0" containsString="0" containsNumber="1" containsInteger="1" minValue="0" maxValue="50000"/>
    </cacheField>
    <cacheField name="comment" numFmtId="0">
      <sharedItems containsBlank="1" count="118">
        <s v="passing_yards overestimated by 373"/>
        <s v="passing_td overestimated by 8"/>
        <s v=""/>
        <s v="passing_td overestimated by 4"/>
        <s v="rush_td overestimated by 1"/>
        <s v="passing_yards overestimated by 296"/>
        <s v="passing_yards underestimated by 462"/>
        <s v="passing_yards underestimated by 411"/>
        <s v="passing_yards underestimated by 495"/>
        <s v="passing_yards overestimated by 180"/>
        <s v="passing_td overestimated by 3"/>
        <s v="passing_td overestimated by 2"/>
        <s v="passing_yards underestimated by 329"/>
        <s v="passing_td overestimated by 1"/>
        <s v="passing_yards underestimated by 367"/>
        <s v="passing_yards overestimated by 316"/>
        <s v="rec_yards underestimated by 116"/>
        <s v="rec_yards underestimated by 122"/>
        <s v="rec_yards underestimated by 114"/>
        <s v="rec_yards underestimated by 118"/>
        <s v="rec_yards underestimated by 108"/>
        <s v="rec_td overestimated by 1"/>
        <s v="rec_td underestimated by 2"/>
        <s v="rec_td underestimated by 1"/>
        <s v="rec_yards underestimated by 159"/>
        <s v="rec_yards underestimated by 156"/>
        <s v="rec_yards underestimated by 82"/>
        <s v="rec_yards underestimated by 94"/>
        <s v="rec_yards underestimated by 95"/>
        <s v="rec_yards underestimated by 238"/>
        <s v="rec_yards underestimated by 150"/>
        <s v="rec_yards underestimated by 177"/>
        <s v="rec_yards underestimated by 129"/>
        <s v="rec_yards underestimated by 64"/>
        <s v="rec_yards underestimated by 97"/>
        <s v="rec_yards underestimated by 139"/>
        <s v="rec_yards underestimated by 165"/>
        <s v="rec_yards underestimated by 161"/>
        <s v="rec_yards underestimated by 221"/>
        <s v="rush_td underestimated by 1"/>
        <s v="rush_yards underestimated by 71"/>
        <s v="rush_yards underestimated by 176"/>
        <s v="rush_yards underestimated by 127"/>
        <s v="rush_yards underestimated by 99"/>
        <s v="rush_yards underestimated by 84"/>
        <s v="rush_td overestimated by 0"/>
        <m u="1"/>
        <s v="passing_yards overestimated by 383" u="1"/>
        <s v="passing_yards overestimated by 295" u="1"/>
        <s v="passing_yards underestimated by 468" u="1"/>
        <s v="passing_yards underestimated by 409" u="1"/>
        <s v="passing_yards underestimated by 483" u="1"/>
        <s v="passing_yards overestimated by 175" u="1"/>
        <s v="passing_yards underestimated by 323" u="1"/>
        <s v="passing_yards underestimated by 344" u="1"/>
        <s v="passing_yards overestimated by 318" u="1"/>
        <s v="rec_yards underestimated by 120" u="1"/>
        <s v="rec_yards underestimated by 113" u="1"/>
        <s v="rec_yards underestimated by 158" u="1"/>
        <s v="rec_yards underestimated by 155" u="1"/>
        <s v="rec_yards underestimated by 62" u="1"/>
        <s v="rec underestimated by 13" u="1"/>
        <s v="rec_yards underestimated by 92" u="1"/>
        <s v="rec_yards underestimated by 96" u="1"/>
        <s v="rec_yards underestimated by 236" u="1"/>
        <s v="rec_yards underestimated by 140" u="1"/>
        <s v="rec_yards underestimated by 124" u="1"/>
        <s v="rec_yards underestimated by 134" u="1"/>
        <s v="rec_yards underestimated by 160" u="1"/>
        <s v="rec_yards underestimated by 219" u="1"/>
        <s v="rush_yards underestimated by 64" u="1"/>
        <s v="rush_yards underestimated by 175" u="1"/>
        <s v="rush_yards underestimated by 124" u="1"/>
        <s v="rush_yards underestimated by 104" u="1"/>
        <s v="rush_yards underestimated by 83" u="1"/>
        <s v="passing_yards underestimated by 410" u="1"/>
        <s v="passing_yards underestimated by 324" u="1"/>
        <s v="passing_yards underestimated by 343" u="1"/>
        <s v="passing_yards overestimated by 319" u="1"/>
        <s v="rec_yards underestimated by 67" u="1"/>
        <s v="rec_yards underestimated by 98" u="1"/>
        <s v="rec_yards underestimated by 133" u="1"/>
        <s v="rush_yards underestimated by 65" u="1"/>
        <s v="passing_yards underestimated by -468" u="1"/>
        <s v="passing_yards underestimated by -410" u="1"/>
        <s v="passing_yards underestimated by -483" u="1"/>
        <s v="passing_yards underestimated by -324" u="1"/>
        <s v="passing_yards underestimated by -343" u="1"/>
        <s v="rec_yards underestimated by -120" u="1"/>
        <s v="rec_yards underestimated by -114" u="1"/>
        <s v="rec_yards underestimated by -108" u="1"/>
        <s v="rec_td underestimated by -2" u="1"/>
        <s v="rec_td underestimated by -1" u="1"/>
        <s v="rec_yards underestimated by -158" u="1"/>
        <s v="rec_yards underestimated by -155" u="1"/>
        <s v="rec_yards underestimated by -67" u="1"/>
        <s v="rec underestimated by -13" u="1"/>
        <s v="rec_yards underestimated by -122" u="1"/>
        <s v="rec_yards underestimated by -92" u="1"/>
        <s v="rec_yards underestimated by -98" u="1"/>
        <s v="rec_yards underestimated by -236" u="1"/>
        <s v="rec_yards underestimated by -139" u="1"/>
        <s v="rec_yards underestimated by -129" u="1"/>
        <s v="rec_yards underestimated by -64" u="1"/>
        <s v="rec_yards underestimated by -96" u="1"/>
        <s v="rec_yards underestimated by -140" u="1"/>
        <s v="rec_yards underestimated by -97" u="1"/>
        <s v="rec_yards underestimated by -165" u="1"/>
        <s v="rec_yards underestimated by -124" u="1"/>
        <s v="rec_yards underestimated by -133" u="1"/>
        <s v="rec_yards underestimated by -160" u="1"/>
        <s v="rec_yards underestimated by -219" u="1"/>
        <s v="rush_td underestimated by -1" u="1"/>
        <s v="rush_yards underestimated by -65" u="1"/>
        <s v="rush_yards underestimated by -175" u="1"/>
        <s v="rush_yards underestimated by -124" u="1"/>
        <s v="rush_yards underestimated by -104" u="1"/>
        <s v="rush_yards underestimated by -83" u="1"/>
      </sharedItems>
    </cacheField>
    <cacheField name="total_score_ESPN" numFmtId="164">
      <sharedItems containsSemiMixedTypes="0" containsString="0" containsNumber="1" minValue="0" maxValue="319.46143973000005"/>
    </cacheField>
    <cacheField name="score_diff" numFmtId="164">
      <sharedItems containsSemiMixedTypes="0" containsString="0" containsNumber="1" minValue="-64.989258196000009" maxValue="29.567647820000005"/>
    </cacheField>
    <cacheField name="total_score_DK" numFmtId="164">
      <sharedItems containsSemiMixedTypes="0" containsString="0" containsNumber="1" minValue="0" maxValue="319.20887258799996"/>
    </cacheField>
    <cacheField name="Parent Position" numFmtId="164">
      <sharedItems count="2">
        <s v="QB"/>
        <s v="FLEX"/>
      </sharedItems>
    </cacheField>
    <cacheField name="Hide" numFmtId="164">
      <sharedItems containsBlank="1" count="4">
        <m/>
        <s v="HIDE"/>
        <b v="1" u="1"/>
        <s v="" u="1"/>
      </sharedItems>
    </cacheField>
    <cacheField name="abs_diff" numFmtId="0" formula=" ABS(score_diff)" databaseField="0"/>
    <cacheField name="comment_" numFmtId="0" formula=" IF(comment,comment,&quot;&quot;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7">
  <r>
    <x v="0"/>
    <x v="0"/>
    <n v="0"/>
    <n v="12.60124042"/>
    <n v="0"/>
    <n v="19.5"/>
    <n v="17.0504389"/>
    <n v="2.4495610999999999"/>
    <n v="3500.5"/>
    <n v="3127.1638910000001"/>
    <n v="373.336108999999"/>
    <n v="0"/>
    <n v="0"/>
    <n v="0"/>
    <n v="0"/>
    <n v="0"/>
    <n v="0"/>
    <n v="0"/>
    <n v="0"/>
    <n v="0"/>
    <n v="0"/>
    <n v="2.4149513310000001"/>
    <n v="0"/>
    <n v="0"/>
    <n v="180.36373259999999"/>
    <n v="0"/>
    <n v="423"/>
    <n v="0"/>
    <n v="0"/>
    <n v="0"/>
    <x v="0"/>
    <n v="200.61191164600004"/>
    <n v="-24.731688759999962"/>
    <n v="175.88022288600007"/>
    <x v="0"/>
    <x v="0"/>
  </r>
  <r>
    <x v="1"/>
    <x v="0"/>
    <n v="0"/>
    <n v="6.7068598399999999"/>
    <n v="0"/>
    <n v="18.5"/>
    <n v="9.9225614709999999"/>
    <n v="8.5774385290000001"/>
    <n v="2925.5"/>
    <n v="2158.5123979999998"/>
    <n v="766.98760200000004"/>
    <n v="0"/>
    <n v="0"/>
    <n v="0"/>
    <n v="0"/>
    <n v="0"/>
    <n v="0"/>
    <n v="0"/>
    <n v="0"/>
    <n v="0"/>
    <n v="0"/>
    <n v="1.5828317169999999"/>
    <n v="0"/>
    <n v="0"/>
    <n v="100.1357481"/>
    <n v="0"/>
    <n v="388"/>
    <n v="0"/>
    <n v="20000"/>
    <n v="0"/>
    <x v="1"/>
    <n v="132.12758723599998"/>
    <n v="-64.989258196000009"/>
    <n v="67.138329039999974"/>
    <x v="0"/>
    <x v="0"/>
  </r>
  <r>
    <x v="2"/>
    <x v="0"/>
    <n v="10.5"/>
    <n v="12.4294683"/>
    <n v="-1.9294682999999999"/>
    <n v="22.5"/>
    <n v="23.142974049999999"/>
    <n v="-0.64297404999999896"/>
    <n v="3900.5"/>
    <n v="4056.0946260000001"/>
    <n v="-155.59462600000001"/>
    <n v="0"/>
    <n v="0"/>
    <n v="0"/>
    <n v="0"/>
    <n v="0"/>
    <n v="0"/>
    <n v="0"/>
    <n v="0"/>
    <n v="0"/>
    <n v="0"/>
    <n v="0.97853151100000002"/>
    <n v="0"/>
    <n v="0"/>
    <n v="68.192145319999995"/>
    <n v="0"/>
    <n v="270"/>
    <n v="0"/>
    <n v="20000"/>
    <n v="0"/>
    <x v="2"/>
    <n v="242.647148238"/>
    <n v="4.9367446399999961"/>
    <n v="247.583892878"/>
    <x v="0"/>
    <x v="0"/>
  </r>
  <r>
    <x v="3"/>
    <x v="0"/>
    <n v="9.5"/>
    <n v="11.785359270000001"/>
    <n v="-2.2853592699999998"/>
    <n v="18.5"/>
    <n v="15.935090600000001"/>
    <n v="2.5649093999999901"/>
    <n v="3200.5"/>
    <n v="3388.6800790000002"/>
    <n v="-188.18007900000001"/>
    <n v="0"/>
    <n v="0"/>
    <n v="0"/>
    <n v="0"/>
    <n v="0"/>
    <n v="0"/>
    <n v="0"/>
    <n v="0"/>
    <n v="0"/>
    <n v="7.5"/>
    <n v="9.0709624810000005"/>
    <n v="-1.570962481"/>
    <n v="550.5"/>
    <n v="544.28095029999997"/>
    <n v="6.2190497000000198"/>
    <n v="62"/>
    <n v="9"/>
    <n v="5000"/>
    <n v="0"/>
    <x v="2"/>
    <n v="284.570716936"/>
    <n v="1.5007169360000372"/>
    <n v="286.07143387200006"/>
    <x v="0"/>
    <x v="0"/>
  </r>
  <r>
    <x v="4"/>
    <x v="0"/>
    <n v="9.5"/>
    <n v="11.57715576"/>
    <n v="-2.0771557600000001"/>
    <n v="21.5"/>
    <n v="17.390881629999999"/>
    <n v="4.10911837"/>
    <n v="3550.5"/>
    <n v="3565.7942979999998"/>
    <n v="-15.294297999999699"/>
    <n v="0"/>
    <n v="0"/>
    <n v="0"/>
    <n v="0"/>
    <n v="0"/>
    <n v="0"/>
    <n v="0"/>
    <n v="0"/>
    <n v="0"/>
    <n v="0"/>
    <n v="5.2320703039999996"/>
    <n v="0"/>
    <n v="475.5"/>
    <n v="487.24725169999999"/>
    <n v="-11.7472516999999"/>
    <n v="105"/>
    <n v="3"/>
    <n v="10000"/>
    <n v="0"/>
    <x v="3"/>
    <n v="269.15813391400002"/>
    <n v="-18.804287910000021"/>
    <n v="250.35384600399999"/>
    <x v="0"/>
    <x v="0"/>
  </r>
  <r>
    <x v="5"/>
    <x v="0"/>
    <n v="0"/>
    <n v="12.75008006"/>
    <n v="0"/>
    <n v="18.5"/>
    <n v="16.811417670000001"/>
    <n v="1.68858232999999"/>
    <n v="3100.5"/>
    <n v="3153.6845130000002"/>
    <n v="-53.184513000000102"/>
    <n v="0"/>
    <n v="0"/>
    <n v="0"/>
    <n v="0"/>
    <n v="0"/>
    <n v="0"/>
    <n v="0"/>
    <n v="0"/>
    <n v="0"/>
    <n v="3.5"/>
    <n v="1.8263438750000001"/>
    <n v="1.6736561249999999"/>
    <n v="0"/>
    <n v="189.396795"/>
    <n v="0"/>
    <n v="318"/>
    <n v="0"/>
    <n v="20000"/>
    <n v="1000"/>
    <x v="4"/>
    <n v="197.79063383000005"/>
    <n v="-14.668885549999956"/>
    <n v="183.12174828000008"/>
    <x v="0"/>
    <x v="0"/>
  </r>
  <r>
    <x v="6"/>
    <x v="0"/>
    <n v="8.5"/>
    <n v="10.675378520000001"/>
    <n v="-2.1753785200000002"/>
    <n v="16.5"/>
    <n v="14.021176410000001"/>
    <n v="2.47882358999999"/>
    <n v="2800.5"/>
    <n v="3284.9904489999999"/>
    <n v="-484.49044899999899"/>
    <n v="0"/>
    <n v="0"/>
    <n v="0"/>
    <n v="0"/>
    <n v="0"/>
    <n v="0"/>
    <n v="0"/>
    <n v="0"/>
    <n v="0"/>
    <n v="0"/>
    <n v="2.9789552879999999"/>
    <n v="0"/>
    <n v="0"/>
    <n v="486.45426509999999"/>
    <n v="0"/>
    <n v="277"/>
    <n v="0"/>
    <n v="20000"/>
    <n v="0"/>
    <x v="2"/>
    <n v="232.65272479800001"/>
    <n v="5.1135665599999989"/>
    <n v="237.76629135800002"/>
    <x v="0"/>
    <x v="0"/>
  </r>
  <r>
    <x v="7"/>
    <x v="0"/>
    <n v="10.5"/>
    <n v="10.13020661"/>
    <n v="0.369793389999999"/>
    <n v="25.5"/>
    <n v="23.136184020000002"/>
    <n v="2.3638159799999898"/>
    <n v="4050.5"/>
    <n v="3753.5334859999998"/>
    <n v="296.96651400000002"/>
    <n v="0"/>
    <n v="0"/>
    <n v="0"/>
    <n v="0"/>
    <n v="0"/>
    <n v="0"/>
    <n v="0"/>
    <n v="0"/>
    <n v="0"/>
    <n v="0"/>
    <n v="1.8281136899999999"/>
    <n v="0"/>
    <n v="0"/>
    <n v="51.167192069999999"/>
    <n v="0"/>
    <n v="214"/>
    <n v="0"/>
    <n v="15000"/>
    <n v="0"/>
    <x v="5"/>
    <n v="238.51106364699999"/>
    <n v="-20.594337699999961"/>
    <n v="217.91672594700003"/>
    <x v="0"/>
    <x v="0"/>
  </r>
  <r>
    <x v="8"/>
    <x v="0"/>
    <n v="12.5"/>
    <n v="13.52611355"/>
    <n v="-1.02611354999999"/>
    <n v="18.5"/>
    <n v="15.21986693"/>
    <n v="3.28013306999999"/>
    <n v="3150.5"/>
    <n v="3461.8488189999998"/>
    <n v="-311.34881899999903"/>
    <n v="0"/>
    <n v="0"/>
    <n v="0"/>
    <n v="0"/>
    <n v="0"/>
    <n v="0"/>
    <n v="0"/>
    <n v="0"/>
    <n v="0"/>
    <n v="5.5"/>
    <n v="5.0886542849999996"/>
    <n v="0.411345715"/>
    <n v="550.5"/>
    <n v="587.23477349999996"/>
    <n v="-36.734773499999903"/>
    <n v="117"/>
    <n v="2"/>
    <n v="12000"/>
    <n v="475"/>
    <x v="2"/>
    <n v="261.55659644000002"/>
    <n v="-1.5134035599999893"/>
    <n v="260.04319288000005"/>
    <x v="0"/>
    <x v="0"/>
  </r>
  <r>
    <x v="9"/>
    <x v="0"/>
    <n v="12.5"/>
    <n v="12.45175399"/>
    <n v="4.8246009999999701E-2"/>
    <n v="27.5"/>
    <n v="23.02469404"/>
    <n v="4.47530596"/>
    <n v="3750.5"/>
    <n v="3752.977198"/>
    <n v="-2.47719800000004"/>
    <n v="0"/>
    <n v="0"/>
    <n v="0"/>
    <n v="0"/>
    <n v="0"/>
    <n v="0"/>
    <n v="0"/>
    <n v="0"/>
    <n v="0"/>
    <n v="9.5"/>
    <n v="8.5714553149999997"/>
    <n v="0.92854468499999998"/>
    <n v="480.5"/>
    <n v="495.73247429999998"/>
    <n v="-15.2324742999999"/>
    <n v="35"/>
    <n v="22"/>
    <n v="6500"/>
    <n v="0"/>
    <x v="3"/>
    <n v="318.31633541999997"/>
    <n v="-21.753664580000006"/>
    <n v="296.56267083999995"/>
    <x v="0"/>
    <x v="0"/>
  </r>
  <r>
    <x v="10"/>
    <x v="0"/>
    <n v="7.5"/>
    <n v="11.157714110000001"/>
    <n v="-3.6577141100000001"/>
    <n v="22.5"/>
    <n v="22.00716384"/>
    <n v="0.49283615999999902"/>
    <n v="3250.5"/>
    <n v="3396.2095100000001"/>
    <n v="-145.70950999999999"/>
    <n v="0"/>
    <n v="0"/>
    <n v="0"/>
    <n v="0"/>
    <n v="0"/>
    <n v="0"/>
    <n v="0"/>
    <n v="0"/>
    <n v="0"/>
    <n v="4.5"/>
    <n v="5.6808812739999999"/>
    <n v="-1.1808812739999901"/>
    <n v="675.5"/>
    <n v="737.42541110000002"/>
    <n v="-61.925411099999998"/>
    <n v="51"/>
    <n v="13"/>
    <n v="7000"/>
    <n v="0"/>
    <x v="2"/>
    <n v="309.38943629400001"/>
    <n v="9.8194362939999458"/>
    <n v="319.20887258799996"/>
    <x v="0"/>
    <x v="0"/>
  </r>
  <r>
    <x v="11"/>
    <x v="0"/>
    <n v="11.5"/>
    <n v="11.161446919999999"/>
    <n v="0.33855308000000001"/>
    <n v="21.5"/>
    <n v="20.586038670000001"/>
    <n v="0.91396132999999902"/>
    <n v="3350.5"/>
    <n v="3813.2749739999999"/>
    <n v="-462.77497399999902"/>
    <n v="0"/>
    <n v="0"/>
    <n v="0"/>
    <n v="0"/>
    <n v="0"/>
    <n v="0"/>
    <n v="0"/>
    <n v="0"/>
    <n v="0"/>
    <n v="0"/>
    <n v="0.48928778899999997"/>
    <n v="0"/>
    <n v="0"/>
    <n v="83.00616599"/>
    <n v="0"/>
    <n v="383"/>
    <n v="0"/>
    <n v="20000"/>
    <n v="0"/>
    <x v="6"/>
    <n v="223.78860313300001"/>
    <n v="15.532259799999967"/>
    <n v="239.32086293299997"/>
    <x v="0"/>
    <x v="0"/>
  </r>
  <r>
    <x v="12"/>
    <x v="0"/>
    <n v="7.5"/>
    <n v="9.0527273430000008"/>
    <n v="-1.5527273429999999"/>
    <n v="26.5"/>
    <n v="27.210867029999999"/>
    <n v="-0.71086702999999896"/>
    <n v="3650.5"/>
    <n v="3849.855204"/>
    <n v="-199.35520399999899"/>
    <n v="0"/>
    <n v="0"/>
    <n v="0"/>
    <n v="0"/>
    <n v="0"/>
    <n v="0"/>
    <n v="0"/>
    <n v="0"/>
    <n v="0"/>
    <n v="0"/>
    <n v="2.0730321940000001"/>
    <n v="0"/>
    <n v="0"/>
    <n v="109.46645100000001"/>
    <n v="0"/>
    <n v="144"/>
    <n v="2"/>
    <n v="10000"/>
    <n v="0"/>
    <x v="2"/>
    <n v="268.117059858"/>
    <n v="7.7122215939999563"/>
    <n v="275.82928145199998"/>
    <x v="0"/>
    <x v="0"/>
  </r>
  <r>
    <x v="13"/>
    <x v="0"/>
    <n v="10.5"/>
    <n v="11.26852585"/>
    <n v="-0.76852584999999896"/>
    <n v="22.5"/>
    <n v="20.94957325"/>
    <n v="1.55042674999999"/>
    <n v="3600.5"/>
    <n v="3623.4440220000001"/>
    <n v="-22.9440220000001"/>
    <n v="0"/>
    <n v="0"/>
    <n v="0"/>
    <n v="0"/>
    <n v="0"/>
    <n v="0"/>
    <n v="0"/>
    <n v="0"/>
    <n v="0"/>
    <n v="9.5"/>
    <n v="9.9441202050000008"/>
    <n v="-0.44412020499999999"/>
    <n v="550.5"/>
    <n v="535.97716319999995"/>
    <n v="14.5228368"/>
    <n v="39"/>
    <n v="21"/>
    <n v="6000"/>
    <n v="0"/>
    <x v="2"/>
    <n v="319.46143973000005"/>
    <n v="-5.6085602699999528"/>
    <n v="313.85287946000011"/>
    <x v="0"/>
    <x v="0"/>
  </r>
  <r>
    <x v="14"/>
    <x v="0"/>
    <n v="12.5"/>
    <n v="12.543527689999999"/>
    <n v="-4.3527689999999397E-2"/>
    <n v="20.5"/>
    <n v="20.508465489999999"/>
    <n v="-8.46548999999896E-3"/>
    <n v="3400.5"/>
    <n v="3812.2506800000001"/>
    <n v="-411.75067999999999"/>
    <n v="0"/>
    <n v="0"/>
    <n v="0"/>
    <n v="0"/>
    <n v="0"/>
    <n v="0"/>
    <n v="0"/>
    <n v="0"/>
    <n v="0"/>
    <n v="0"/>
    <n v="2.0445339890000001"/>
    <n v="0"/>
    <n v="0"/>
    <n v="162.89434510000001"/>
    <n v="0"/>
    <n v="282"/>
    <n v="0"/>
    <n v="20000"/>
    <n v="0"/>
    <x v="7"/>
    <n v="237.99347222400004"/>
    <n v="16.416833779999997"/>
    <n v="254.41030600400003"/>
    <x v="0"/>
    <x v="0"/>
  </r>
  <r>
    <x v="15"/>
    <x v="0"/>
    <n v="9.5"/>
    <n v="10.616827260000001"/>
    <n v="-1.11682726"/>
    <n v="19.5"/>
    <n v="20.653771410000001"/>
    <n v="-1.1537714100000001"/>
    <n v="3300.5"/>
    <n v="3795.5988179999999"/>
    <n v="-495.09881799999903"/>
    <n v="0"/>
    <n v="0"/>
    <n v="0"/>
    <n v="0"/>
    <n v="0"/>
    <n v="0"/>
    <n v="0"/>
    <n v="0"/>
    <n v="0"/>
    <n v="0"/>
    <n v="2.5575046960000001"/>
    <n v="0"/>
    <n v="0"/>
    <n v="361.92465950000002"/>
    <n v="0"/>
    <n v="166"/>
    <n v="1"/>
    <n v="15000"/>
    <n v="0"/>
    <x v="8"/>
    <n v="264.74287796599998"/>
    <n v="22.185383839999965"/>
    <n v="286.92826180599997"/>
    <x v="0"/>
    <x v="0"/>
  </r>
  <r>
    <x v="16"/>
    <x v="0"/>
    <n v="10.5"/>
    <n v="12.648819899999999"/>
    <n v="-2.1488198999999901"/>
    <n v="27.5"/>
    <n v="26.395372519999999"/>
    <n v="1.10462748"/>
    <n v="3900.5"/>
    <n v="3720.2118930000001"/>
    <n v="180.288106999999"/>
    <n v="0"/>
    <n v="0"/>
    <n v="0"/>
    <n v="0"/>
    <n v="0"/>
    <n v="0"/>
    <n v="0"/>
    <n v="0"/>
    <n v="0"/>
    <n v="0"/>
    <n v="2.5393800679999998"/>
    <n v="0"/>
    <n v="0"/>
    <n v="209.40185600000001"/>
    <n v="0"/>
    <n v="107"/>
    <n v="3"/>
    <n v="7500"/>
    <n v="0"/>
    <x v="9"/>
    <n v="265.26879200799999"/>
    <n v="-15.927673999999939"/>
    <n v="249.34111800800005"/>
    <x v="0"/>
    <x v="0"/>
  </r>
  <r>
    <x v="17"/>
    <x v="0"/>
    <n v="12.5"/>
    <n v="12.457242770000001"/>
    <n v="4.2757229999999397E-2"/>
    <n v="22.5"/>
    <n v="20.464372099999999"/>
    <n v="2.0356279000000002"/>
    <n v="3800.5"/>
    <n v="3770.7600779999998"/>
    <n v="29.739922000000199"/>
    <n v="0"/>
    <n v="0"/>
    <n v="0"/>
    <n v="0"/>
    <n v="0"/>
    <n v="0"/>
    <n v="0"/>
    <n v="0"/>
    <n v="0"/>
    <n v="0"/>
    <n v="3.1615680089999998"/>
    <n v="0"/>
    <n v="0"/>
    <n v="281.47992679999999"/>
    <n v="0"/>
    <n v="168"/>
    <n v="1"/>
    <n v="15000"/>
    <n v="0"/>
    <x v="2"/>
    <n v="254.89080671400001"/>
    <n v="-9.2465940200000105"/>
    <n v="245.644212694"/>
    <x v="0"/>
    <x v="0"/>
  </r>
  <r>
    <x v="18"/>
    <x v="0"/>
    <n v="8.5"/>
    <n v="11.03075484"/>
    <n v="-2.5307548400000002"/>
    <n v="27.5"/>
    <n v="24.85774893"/>
    <n v="2.6422510699999999"/>
    <n v="3800.5"/>
    <n v="3958.1655820000001"/>
    <n v="-157.665582"/>
    <n v="0"/>
    <n v="0"/>
    <n v="0"/>
    <n v="0"/>
    <n v="0"/>
    <n v="0"/>
    <n v="0"/>
    <n v="0"/>
    <n v="0"/>
    <n v="0"/>
    <n v="1.5868922599999999"/>
    <n v="0"/>
    <n v="0"/>
    <n v="117.8267172"/>
    <n v="0"/>
    <n v="149"/>
    <n v="2"/>
    <n v="10000"/>
    <n v="0"/>
    <x v="2"/>
    <n v="257.00013460000002"/>
    <n v="-9.3238906799999999"/>
    <n v="247.67624392000002"/>
    <x v="0"/>
    <x v="0"/>
  </r>
  <r>
    <x v="19"/>
    <x v="0"/>
    <n v="9.5"/>
    <n v="10.775035559999999"/>
    <n v="-1.2750355599999901"/>
    <n v="28.5"/>
    <n v="24.182402750000001"/>
    <n v="4.3175972499999897"/>
    <n v="3900.5"/>
    <n v="3909.1096830000001"/>
    <n v="-8.6096830000001301"/>
    <n v="0"/>
    <n v="0"/>
    <n v="0"/>
    <n v="0"/>
    <n v="0"/>
    <n v="0"/>
    <n v="0"/>
    <n v="0"/>
    <n v="0"/>
    <n v="0"/>
    <n v="2.3089634600000002"/>
    <n v="0"/>
    <n v="0"/>
    <n v="173.09462529999999"/>
    <n v="0"/>
    <n v="109"/>
    <n v="3"/>
    <n v="10000"/>
    <n v="0"/>
    <x v="3"/>
    <n v="262.70717049000007"/>
    <n v="-19.476072799999933"/>
    <n v="243.23109769000013"/>
    <x v="0"/>
    <x v="0"/>
  </r>
  <r>
    <x v="20"/>
    <x v="0"/>
    <n v="9.5"/>
    <n v="12.279953709999999"/>
    <n v="-2.7799537099999898"/>
    <n v="30.5"/>
    <n v="26.615168409999999"/>
    <n v="3.8848315900000001"/>
    <n v="4100.5"/>
    <n v="4078.9691189999999"/>
    <n v="21.5308810000001"/>
    <n v="0"/>
    <n v="0"/>
    <n v="0"/>
    <n v="0"/>
    <n v="0"/>
    <n v="0"/>
    <n v="0"/>
    <n v="0"/>
    <n v="0"/>
    <n v="0"/>
    <n v="2.0471772279999998"/>
    <n v="0"/>
    <n v="0"/>
    <n v="227.11273890000001"/>
    <n v="0"/>
    <n v="69"/>
    <n v="8"/>
    <n v="10000"/>
    <n v="0"/>
    <x v="10"/>
    <n v="280.05386823799995"/>
    <n v="-21.960469019999984"/>
    <n v="258.09339921799994"/>
    <x v="0"/>
    <x v="0"/>
  </r>
  <r>
    <x v="21"/>
    <x v="0"/>
    <n v="10.5"/>
    <n v="11.97313737"/>
    <n v="-1.4731373699999999"/>
    <n v="25.5"/>
    <n v="22.915737289999999"/>
    <n v="2.58426271"/>
    <n v="4100.5"/>
    <n v="4025.1765190000001"/>
    <n v="75.323480999999902"/>
    <n v="0"/>
    <n v="0"/>
    <n v="0"/>
    <n v="0"/>
    <n v="0"/>
    <n v="0"/>
    <n v="0"/>
    <n v="0"/>
    <n v="0"/>
    <n v="0"/>
    <n v="1.034898155"/>
    <n v="0"/>
    <n v="0"/>
    <n v="113.79734740000001"/>
    <n v="0"/>
    <n v="212"/>
    <n v="0"/>
    <n v="15000"/>
    <n v="0"/>
    <x v="11"/>
    <n v="246.31285885"/>
    <n v="-16.296264819999998"/>
    <n v="230.01659402999999"/>
    <x v="0"/>
    <x v="0"/>
  </r>
  <r>
    <x v="22"/>
    <x v="0"/>
    <n v="11.5"/>
    <n v="13.18917398"/>
    <n v="-1.6891739799999901"/>
    <n v="23.5"/>
    <n v="22.964714870000002"/>
    <n v="0.535285129999998"/>
    <n v="3500.5"/>
    <n v="3537.9534250000002"/>
    <n v="-37.453425000000102"/>
    <n v="0"/>
    <n v="0"/>
    <n v="0"/>
    <n v="0"/>
    <n v="0"/>
    <n v="0"/>
    <n v="0"/>
    <n v="0"/>
    <n v="0"/>
    <n v="0"/>
    <n v="3.17266388"/>
    <n v="0"/>
    <n v="0"/>
    <n v="311.11597039999998"/>
    <n v="0"/>
    <n v="164"/>
    <n v="1"/>
    <n v="7500"/>
    <n v="135"/>
    <x v="2"/>
    <n v="257.14622884000005"/>
    <n v="-4.0213514799999679"/>
    <n v="253.12487736000008"/>
    <x v="0"/>
    <x v="0"/>
  </r>
  <r>
    <x v="23"/>
    <x v="0"/>
    <n v="9.5"/>
    <n v="11.370627710000001"/>
    <n v="-1.8706277099999999"/>
    <n v="28.5"/>
    <n v="26.767267329999999"/>
    <n v="1.7327326700000001"/>
    <n v="4000.5"/>
    <n v="4127.8768389999996"/>
    <n v="-127.37683899999899"/>
    <n v="0"/>
    <n v="0"/>
    <n v="0"/>
    <n v="0"/>
    <n v="0"/>
    <n v="0"/>
    <n v="0"/>
    <n v="0"/>
    <n v="0"/>
    <n v="0"/>
    <n v="2.575149626"/>
    <n v="0"/>
    <n v="0"/>
    <n v="174.03090209999999"/>
    <n v="0"/>
    <n v="67"/>
    <n v="9"/>
    <n v="7500"/>
    <n v="0"/>
    <x v="2"/>
    <n v="282.29687542599999"/>
    <n v="-5.5771125400000416"/>
    <n v="276.71976288599996"/>
    <x v="0"/>
    <x v="0"/>
  </r>
  <r>
    <x v="24"/>
    <x v="0"/>
    <n v="10.5"/>
    <n v="11.63658468"/>
    <n v="-1.1365846799999999"/>
    <n v="18.5"/>
    <n v="20.111568599999998"/>
    <n v="-1.61156859999999"/>
    <n v="3200.5"/>
    <n v="3530.0175939999999"/>
    <n v="-329.51759399999901"/>
    <n v="0"/>
    <n v="0"/>
    <n v="0"/>
    <n v="0"/>
    <n v="0"/>
    <n v="0"/>
    <n v="0"/>
    <n v="0"/>
    <n v="0"/>
    <n v="0"/>
    <n v="0.81496349499999998"/>
    <n v="0"/>
    <n v="0"/>
    <n v="267.50821860000002"/>
    <n v="0"/>
    <n v="275"/>
    <n v="0"/>
    <n v="20000"/>
    <n v="0"/>
    <x v="12"/>
    <n v="230.01441163000001"/>
    <n v="17.353808799999921"/>
    <n v="247.36822042999992"/>
    <x v="0"/>
    <x v="0"/>
  </r>
  <r>
    <x v="25"/>
    <x v="0"/>
    <n v="9.5"/>
    <n v="10.746518439999999"/>
    <n v="-1.24651843999999"/>
    <n v="28.5"/>
    <n v="26.874842009999998"/>
    <n v="1.6251579899999999"/>
    <n v="4150.5"/>
    <n v="4048.706326"/>
    <n v="101.793674"/>
    <n v="0"/>
    <n v="0"/>
    <n v="0"/>
    <n v="0"/>
    <n v="0"/>
    <n v="0"/>
    <n v="0"/>
    <n v="0"/>
    <n v="0"/>
    <n v="0"/>
    <n v="2.525954783"/>
    <n v="0"/>
    <n v="0"/>
    <n v="181.8641551"/>
    <n v="0"/>
    <n v="64"/>
    <n v="9"/>
    <n v="6500"/>
    <n v="0"/>
    <x v="13"/>
    <n v="281.29672840800004"/>
    <n v="-13.065415799999979"/>
    <n v="268.23131260800005"/>
    <x v="0"/>
    <x v="0"/>
  </r>
  <r>
    <x v="26"/>
    <x v="0"/>
    <n v="11.5"/>
    <n v="12.10537236"/>
    <n v="-0.60537236000000005"/>
    <n v="23.5"/>
    <n v="23.609087079999998"/>
    <n v="-0.109087079999998"/>
    <n v="3550.5"/>
    <n v="3918.4828520000001"/>
    <n v="-367.98285199999998"/>
    <n v="0"/>
    <n v="0"/>
    <n v="0"/>
    <n v="0"/>
    <n v="0"/>
    <n v="0"/>
    <n v="0"/>
    <n v="0"/>
    <n v="0"/>
    <n v="0"/>
    <n v="1.2398660029999999"/>
    <n v="0"/>
    <n v="0"/>
    <n v="161.07863420000001"/>
    <n v="0"/>
    <n v="314"/>
    <n v="0"/>
    <n v="25000"/>
    <n v="0"/>
    <x v="14"/>
    <n v="250.511977118"/>
    <n v="13.944917679999993"/>
    <n v="264.45689479800001"/>
    <x v="0"/>
    <x v="0"/>
  </r>
  <r>
    <x v="27"/>
    <x v="0"/>
    <n v="9.5"/>
    <n v="10.938401259999999"/>
    <n v="-1.43840125999999"/>
    <n v="34.5"/>
    <n v="33.231996950000003"/>
    <n v="1.2680030499999899"/>
    <n v="4350.5"/>
    <n v="4033.5526530000002"/>
    <n v="316.94734699999901"/>
    <n v="0"/>
    <n v="0"/>
    <n v="0"/>
    <n v="0"/>
    <n v="0"/>
    <n v="0"/>
    <n v="0"/>
    <n v="0"/>
    <n v="0"/>
    <n v="0"/>
    <n v="0.98335099500000001"/>
    <n v="0"/>
    <n v="0"/>
    <n v="337.07539750000001"/>
    <n v="0"/>
    <n v="53"/>
    <n v="13"/>
    <n v="5500"/>
    <n v="0"/>
    <x v="15"/>
    <n v="312.00093712000006"/>
    <n v="-20.626708599999901"/>
    <n v="291.37422852000014"/>
    <x v="0"/>
    <x v="0"/>
  </r>
  <r>
    <x v="28"/>
    <x v="1"/>
    <n v="0"/>
    <n v="0"/>
    <n v="0"/>
    <n v="0"/>
    <n v="0"/>
    <n v="0"/>
    <n v="0"/>
    <n v="0"/>
    <n v="0"/>
    <n v="65.5"/>
    <n v="64.045631729999997"/>
    <n v="5.5"/>
    <n v="5.3229086900000002"/>
    <n v="0.177091309999999"/>
    <n v="725.5"/>
    <n v="753.88920889999997"/>
    <n v="-28.3892088999999"/>
    <n v="1.45436827"/>
    <n v="0"/>
    <n v="0"/>
    <n v="0"/>
    <n v="0"/>
    <n v="0"/>
    <n v="0"/>
    <n v="120"/>
    <n v="2"/>
    <n v="20000"/>
    <n v="0"/>
    <x v="2"/>
    <n v="139.349188895"/>
    <n v="1.0491888949999959"/>
    <n v="140.39837778999998"/>
    <x v="1"/>
    <x v="0"/>
  </r>
  <r>
    <x v="29"/>
    <x v="2"/>
    <n v="0"/>
    <n v="0"/>
    <n v="0"/>
    <n v="0"/>
    <n v="0"/>
    <n v="0"/>
    <n v="0"/>
    <n v="0"/>
    <n v="0"/>
    <n v="0"/>
    <n v="62.779271139999999"/>
    <n v="4.5"/>
    <n v="5.0808281710000003"/>
    <n v="-0.58082817099999995"/>
    <n v="775.5"/>
    <n v="766.56783180000002"/>
    <n v="8.9321681999999694"/>
    <n v="0"/>
    <n v="0"/>
    <n v="0.57400680000000004"/>
    <n v="0"/>
    <n v="0"/>
    <n v="86.037444170000001"/>
    <n v="0"/>
    <n v="95"/>
    <n v="4"/>
    <n v="12000"/>
    <n v="0"/>
    <x v="2"/>
    <n v="150.57917299300001"/>
    <n v="2.5917522060000029"/>
    <n v="153.17092519900001"/>
    <x v="1"/>
    <x v="0"/>
  </r>
  <r>
    <x v="30"/>
    <x v="2"/>
    <n v="0"/>
    <n v="0"/>
    <n v="0"/>
    <n v="0"/>
    <n v="0"/>
    <n v="0"/>
    <n v="0"/>
    <n v="0"/>
    <n v="0"/>
    <n v="0"/>
    <n v="74.656419630000002"/>
    <n v="4.5"/>
    <n v="3.250391048"/>
    <n v="1.249608952"/>
    <n v="925.5"/>
    <n v="1008.80313"/>
    <n v="-83.303129999999996"/>
    <n v="0"/>
    <n v="0"/>
    <n v="0"/>
    <n v="0"/>
    <n v="0"/>
    <n v="0"/>
    <n v="0"/>
    <n v="80"/>
    <n v="6"/>
    <n v="12000"/>
    <n v="0"/>
    <x v="2"/>
    <n v="157.71086910299999"/>
    <n v="0.83265928800000033"/>
    <n v="158.543528391"/>
    <x v="1"/>
    <x v="0"/>
  </r>
  <r>
    <x v="31"/>
    <x v="2"/>
    <n v="0"/>
    <n v="0"/>
    <n v="0"/>
    <n v="0"/>
    <n v="0"/>
    <n v="0"/>
    <n v="0"/>
    <n v="0"/>
    <n v="0"/>
    <n v="0"/>
    <n v="68.871762910000001"/>
    <n v="4.5"/>
    <n v="4.1906564120000001"/>
    <n v="0.309343587999999"/>
    <n v="775.5"/>
    <n v="762.41489520000005"/>
    <n v="13.0851047999999"/>
    <n v="0"/>
    <n v="0"/>
    <n v="0"/>
    <n v="0"/>
    <n v="0"/>
    <n v="0"/>
    <n v="0"/>
    <n v="131"/>
    <n v="2"/>
    <n v="15000"/>
    <n v="0"/>
    <x v="2"/>
    <n v="135.821309447"/>
    <n v="-3.1645720079999839"/>
    <n v="132.65673743900001"/>
    <x v="1"/>
    <x v="0"/>
  </r>
  <r>
    <x v="32"/>
    <x v="2"/>
    <n v="0"/>
    <n v="0"/>
    <n v="0"/>
    <n v="0"/>
    <n v="0"/>
    <n v="0"/>
    <n v="0"/>
    <n v="0"/>
    <n v="0"/>
    <n v="0"/>
    <n v="75.214403309999994"/>
    <n v="5.5"/>
    <n v="6.8254017779999998"/>
    <n v="-1.32540177799999"/>
    <n v="950.5"/>
    <n v="1067.241217"/>
    <n v="-116.74121700000001"/>
    <n v="0"/>
    <n v="0"/>
    <n v="0"/>
    <n v="0"/>
    <n v="0"/>
    <n v="0"/>
    <n v="0"/>
    <n v="33"/>
    <n v="24"/>
    <n v="12000"/>
    <n v="0"/>
    <x v="16"/>
    <n v="185.28373402300002"/>
    <n v="19.626532367999943"/>
    <n v="204.91026639099996"/>
    <x v="1"/>
    <x v="0"/>
  </r>
  <r>
    <x v="33"/>
    <x v="2"/>
    <n v="0"/>
    <n v="0"/>
    <n v="0"/>
    <n v="0"/>
    <n v="0"/>
    <n v="0"/>
    <n v="0"/>
    <n v="0"/>
    <n v="0"/>
    <n v="0"/>
    <n v="81.394802229999996"/>
    <n v="4.5"/>
    <n v="5.3493986720000004"/>
    <n v="-0.84939867199999997"/>
    <n v="850.5"/>
    <n v="972.50487669999995"/>
    <n v="-122.004876699999"/>
    <n v="0"/>
    <n v="0"/>
    <n v="0.25733065500000002"/>
    <n v="0"/>
    <n v="0"/>
    <n v="24.335856239999998"/>
    <n v="0"/>
    <n v="58"/>
    <n v="10"/>
    <n v="15000"/>
    <n v="0"/>
    <x v="17"/>
    <n v="174.021850371"/>
    <n v="17.296879701999902"/>
    <n v="191.3187300729999"/>
    <x v="1"/>
    <x v="0"/>
  </r>
  <r>
    <x v="34"/>
    <x v="1"/>
    <n v="0"/>
    <n v="0"/>
    <n v="0"/>
    <n v="0"/>
    <n v="0"/>
    <n v="0"/>
    <n v="0"/>
    <n v="0"/>
    <n v="0"/>
    <n v="0"/>
    <n v="65.429859820000004"/>
    <n v="5.5"/>
    <n v="5.4408097619999998"/>
    <n v="5.91902380000002E-2"/>
    <n v="675.5"/>
    <n v="674.98195999999996"/>
    <n v="0.51804000000004102"/>
    <n v="0"/>
    <n v="0"/>
    <n v="0"/>
    <n v="0"/>
    <n v="0"/>
    <n v="0"/>
    <n v="0"/>
    <n v="121"/>
    <n v="2"/>
    <n v="25000"/>
    <n v="0"/>
    <x v="2"/>
    <n v="132.85798448200001"/>
    <n v="-0.40694542800000533"/>
    <n v="132.45103905400001"/>
    <x v="1"/>
    <x v="0"/>
  </r>
  <r>
    <x v="35"/>
    <x v="1"/>
    <n v="0"/>
    <n v="0"/>
    <n v="0"/>
    <n v="0"/>
    <n v="0"/>
    <n v="0"/>
    <n v="0"/>
    <n v="0"/>
    <n v="0"/>
    <n v="0"/>
    <n v="56.8728956"/>
    <n v="3.5"/>
    <n v="3.8548246900000001"/>
    <n v="-0.35482469"/>
    <n v="475.5"/>
    <n v="589.60385880000001"/>
    <n v="-114.1038588"/>
    <n v="0"/>
    <n v="0"/>
    <n v="0"/>
    <n v="0"/>
    <n v="0"/>
    <n v="0"/>
    <n v="0"/>
    <n v="172"/>
    <n v="1"/>
    <n v="0"/>
    <n v="0"/>
    <x v="18"/>
    <n v="110.52578182000001"/>
    <n v="13.53933402"/>
    <n v="124.06511584"/>
    <x v="1"/>
    <x v="0"/>
  </r>
  <r>
    <x v="36"/>
    <x v="2"/>
    <n v="0"/>
    <n v="0"/>
    <n v="0"/>
    <n v="0"/>
    <n v="0"/>
    <n v="0"/>
    <n v="0"/>
    <n v="0"/>
    <n v="0"/>
    <n v="0"/>
    <n v="70.44518875"/>
    <n v="4.5"/>
    <n v="5.8129586819999997"/>
    <n v="-1.3129586819999901"/>
    <n v="825.5"/>
    <n v="943.60996709999995"/>
    <n v="-118.109967099999"/>
    <n v="0"/>
    <n v="0"/>
    <n v="0.583340529"/>
    <n v="0"/>
    <n v="0"/>
    <n v="92.943872459999994"/>
    <n v="0"/>
    <n v="59"/>
    <n v="10"/>
    <n v="15000"/>
    <n v="0"/>
    <x v="19"/>
    <n v="177.25577359700003"/>
    <n v="19.688748801999843"/>
    <n v="196.94452239899988"/>
    <x v="1"/>
    <x v="0"/>
  </r>
  <r>
    <x v="37"/>
    <x v="2"/>
    <n v="0"/>
    <n v="0"/>
    <n v="0"/>
    <n v="0"/>
    <n v="0"/>
    <n v="0"/>
    <n v="0"/>
    <n v="0"/>
    <n v="0"/>
    <n v="64.5"/>
    <n v="75.358557790000006"/>
    <n v="4.5"/>
    <n v="4.7357705829999999"/>
    <n v="-0.23577058299999901"/>
    <n v="775.5"/>
    <n v="883.85265679999998"/>
    <n v="-108.352656799999"/>
    <n v="-10.858557790000001"/>
    <n v="0"/>
    <n v="0"/>
    <n v="0"/>
    <n v="0"/>
    <n v="0"/>
    <n v="0"/>
    <n v="82"/>
    <n v="6"/>
    <n v="15000"/>
    <n v="0"/>
    <x v="20"/>
    <n v="154.47916807300001"/>
    <n v="17.679168072999893"/>
    <n v="172.1583361459999"/>
    <x v="1"/>
    <x v="0"/>
  </r>
  <r>
    <x v="38"/>
    <x v="1"/>
    <n v="0"/>
    <n v="0"/>
    <n v="0"/>
    <n v="0"/>
    <n v="0"/>
    <n v="0"/>
    <n v="0"/>
    <n v="0"/>
    <n v="0"/>
    <n v="0"/>
    <n v="59.859840320000004"/>
    <n v="4.5"/>
    <n v="4.1826102479999996"/>
    <n v="0.31738975200000002"/>
    <n v="750.5"/>
    <n v="821.81264399999998"/>
    <n v="-71.312643999999906"/>
    <n v="0"/>
    <n v="0"/>
    <n v="0"/>
    <n v="0"/>
    <n v="0"/>
    <n v="0"/>
    <n v="0"/>
    <n v="87"/>
    <n v="5"/>
    <n v="25000"/>
    <n v="0"/>
    <x v="2"/>
    <n v="137.20684604799999"/>
    <n v="5.2269258879999914"/>
    <n v="142.43377193599997"/>
    <x v="1"/>
    <x v="0"/>
  </r>
  <r>
    <x v="39"/>
    <x v="1"/>
    <n v="0"/>
    <n v="0"/>
    <n v="0"/>
    <n v="0"/>
    <n v="0"/>
    <n v="0"/>
    <n v="0"/>
    <n v="0"/>
    <n v="0"/>
    <n v="80.5"/>
    <n v="75.408418690000005"/>
    <n v="5.5"/>
    <n v="3.9805674839999998"/>
    <n v="1.519432516"/>
    <n v="750.5"/>
    <n v="734.7416819"/>
    <n v="15.758318099999901"/>
    <n v="5.0915813099999898"/>
    <n v="0"/>
    <n v="0"/>
    <n v="0"/>
    <n v="0"/>
    <n v="0"/>
    <n v="0"/>
    <n v="84"/>
    <n v="5"/>
    <n v="25000"/>
    <n v="0"/>
    <x v="21"/>
    <n v="135.06178243900001"/>
    <n v="-13.238217560999985"/>
    <n v="121.82356487800003"/>
    <x v="1"/>
    <x v="0"/>
  </r>
  <r>
    <x v="40"/>
    <x v="2"/>
    <n v="0"/>
    <n v="0"/>
    <n v="0"/>
    <n v="0"/>
    <n v="0"/>
    <n v="0"/>
    <n v="0"/>
    <n v="0"/>
    <n v="0"/>
    <n v="0"/>
    <n v="54.921708219999999"/>
    <n v="5.5"/>
    <n v="7.6054809260000003"/>
    <n v="-2.1054809259999998"/>
    <n v="750.5"/>
    <n v="840.59734639999999"/>
    <n v="-90.097346399999907"/>
    <n v="0"/>
    <n v="0"/>
    <n v="0.30300000999999999"/>
    <n v="0"/>
    <n v="0"/>
    <n v="38.151383690000003"/>
    <n v="0"/>
    <n v="93"/>
    <n v="4"/>
    <n v="15000"/>
    <n v="0"/>
    <x v="22"/>
    <n v="162.78661273500003"/>
    <n v="21.642620195999989"/>
    <n v="184.42923293100003"/>
    <x v="1"/>
    <x v="0"/>
  </r>
  <r>
    <x v="41"/>
    <x v="2"/>
    <n v="0"/>
    <n v="0"/>
    <n v="0"/>
    <n v="0"/>
    <n v="0"/>
    <n v="0"/>
    <n v="0"/>
    <n v="0"/>
    <n v="0"/>
    <n v="0"/>
    <n v="83.502809600000006"/>
    <n v="4.5"/>
    <n v="4.4107176480000003"/>
    <n v="8.9282351999999607E-2"/>
    <n v="900.5"/>
    <n v="951.24973"/>
    <n v="-50.74973"/>
    <n v="0"/>
    <n v="0"/>
    <n v="7.8779418000000004E-2"/>
    <n v="0"/>
    <n v="0"/>
    <n v="11.898150660000001"/>
    <n v="0"/>
    <n v="81"/>
    <n v="6"/>
    <n v="25000"/>
    <n v="0"/>
    <x v="2"/>
    <n v="165.00317526200001"/>
    <n v="4.5392788880000019"/>
    <n v="169.54245415000003"/>
    <x v="1"/>
    <x v="0"/>
  </r>
  <r>
    <x v="42"/>
    <x v="2"/>
    <n v="0"/>
    <n v="0"/>
    <n v="0"/>
    <n v="0"/>
    <n v="0"/>
    <n v="0"/>
    <n v="0"/>
    <n v="0"/>
    <n v="0"/>
    <n v="0"/>
    <n v="56.192311529999998"/>
    <n v="4.5"/>
    <n v="5.7070077570000004"/>
    <n v="-1.207007757"/>
    <n v="725.5"/>
    <n v="763.00172469999995"/>
    <n v="-37.501724699999897"/>
    <n v="0"/>
    <n v="0"/>
    <n v="0"/>
    <n v="0"/>
    <n v="0"/>
    <n v="0"/>
    <n v="0"/>
    <n v="130"/>
    <n v="2"/>
    <n v="15000"/>
    <n v="0"/>
    <x v="23"/>
    <n v="138.638374777"/>
    <n v="10.992219011999989"/>
    <n v="149.63059378899999"/>
    <x v="1"/>
    <x v="0"/>
  </r>
  <r>
    <x v="43"/>
    <x v="2"/>
    <n v="0"/>
    <n v="0"/>
    <n v="0"/>
    <n v="0"/>
    <n v="0"/>
    <n v="0"/>
    <n v="0"/>
    <n v="0"/>
    <n v="0"/>
    <n v="65.5"/>
    <n v="70.039379179999997"/>
    <n v="5.5"/>
    <n v="7.1905227629999997"/>
    <n v="-1.6905227629999899"/>
    <n v="875.5"/>
    <n v="1034.7869470000001"/>
    <n v="-159.286947"/>
    <n v="-4.5393791799999903"/>
    <n v="0"/>
    <n v="0"/>
    <n v="0"/>
    <n v="0"/>
    <n v="0"/>
    <n v="0"/>
    <n v="56"/>
    <n v="11"/>
    <n v="10000"/>
    <n v="0"/>
    <x v="24"/>
    <n v="181.64152086799999"/>
    <n v="28.341520867999936"/>
    <n v="209.98304173599993"/>
    <x v="1"/>
    <x v="0"/>
  </r>
  <r>
    <x v="44"/>
    <x v="2"/>
    <n v="0"/>
    <n v="0"/>
    <n v="0"/>
    <n v="0"/>
    <n v="0"/>
    <n v="0"/>
    <n v="0"/>
    <n v="0"/>
    <n v="0"/>
    <n v="0"/>
    <n v="73.993799580000001"/>
    <n v="3.5"/>
    <n v="4.6112006939999999"/>
    <n v="-1.1112006939999901"/>
    <n v="550.5"/>
    <n v="706.89500129999999"/>
    <n v="-156.39500129999999"/>
    <n v="0"/>
    <n v="0"/>
    <n v="0"/>
    <n v="0"/>
    <n v="0"/>
    <n v="0"/>
    <n v="0"/>
    <n v="175"/>
    <n v="1"/>
    <n v="25000"/>
    <n v="0"/>
    <x v="25"/>
    <n v="135.35360408399998"/>
    <n v="22.306704293999942"/>
    <n v="157.66030837799991"/>
    <x v="1"/>
    <x v="0"/>
  </r>
  <r>
    <x v="45"/>
    <x v="2"/>
    <n v="0"/>
    <n v="0"/>
    <n v="0"/>
    <n v="0"/>
    <n v="0"/>
    <n v="0"/>
    <n v="0"/>
    <n v="0"/>
    <n v="0"/>
    <n v="71.5"/>
    <n v="84.51208561"/>
    <n v="4.5"/>
    <n v="4.792893168"/>
    <n v="-0.29289316799999998"/>
    <n v="800.5"/>
    <n v="883.11043410000002"/>
    <n v="-82.610434100000006"/>
    <n v="-13.01208561"/>
    <n v="0"/>
    <n v="9.3697954E-2"/>
    <n v="0"/>
    <n v="0"/>
    <n v="12.44118701"/>
    <n v="0"/>
    <n v="79"/>
    <n v="6"/>
    <n v="10000"/>
    <n v="0"/>
    <x v="26"/>
    <n v="161.130751648"/>
    <n v="16.524445223000001"/>
    <n v="177.65519687099999"/>
    <x v="1"/>
    <x v="0"/>
  </r>
  <r>
    <x v="46"/>
    <x v="2"/>
    <n v="0"/>
    <n v="0"/>
    <n v="0"/>
    <n v="0"/>
    <n v="0"/>
    <n v="0"/>
    <n v="0"/>
    <n v="0"/>
    <n v="0"/>
    <n v="62.5"/>
    <n v="62.283604330000003"/>
    <n v="5.5"/>
    <n v="5.606564745"/>
    <n v="-0.106564745"/>
    <n v="800.5"/>
    <n v="923.13895260000004"/>
    <n v="-122.6389526"/>
    <n v="0.21639566999999699"/>
    <n v="0"/>
    <n v="2.8095470840000001"/>
    <n v="0"/>
    <n v="0"/>
    <n v="164.32474300000001"/>
    <n v="0"/>
    <n v="32"/>
    <n v="25"/>
    <n v="5000"/>
    <n v="0"/>
    <x v="17"/>
    <n v="190.38484269900002"/>
    <n v="12.795085895000001"/>
    <n v="203.17992859400002"/>
    <x v="1"/>
    <x v="0"/>
  </r>
  <r>
    <x v="47"/>
    <x v="1"/>
    <n v="0"/>
    <n v="0"/>
    <n v="0"/>
    <n v="0"/>
    <n v="0"/>
    <n v="0"/>
    <n v="0"/>
    <n v="0"/>
    <n v="0"/>
    <n v="59.5"/>
    <n v="62.877652320000003"/>
    <n v="5.5"/>
    <n v="4.6686795139999999"/>
    <n v="0.83132048599999997"/>
    <n v="750.5"/>
    <n v="845.17383199999995"/>
    <n v="-94.673831999999905"/>
    <n v="-3.3776523200000002"/>
    <n v="0"/>
    <n v="0"/>
    <n v="0"/>
    <n v="0"/>
    <n v="0"/>
    <n v="0"/>
    <n v="83"/>
    <n v="6"/>
    <n v="15000"/>
    <n v="0"/>
    <x v="2"/>
    <n v="143.968286444"/>
    <n v="6.1682864439999925"/>
    <n v="150.13657288799999"/>
    <x v="1"/>
    <x v="0"/>
  </r>
  <r>
    <x v="48"/>
    <x v="2"/>
    <n v="0"/>
    <n v="0"/>
    <n v="0"/>
    <n v="0"/>
    <n v="0"/>
    <n v="0"/>
    <n v="0"/>
    <n v="0"/>
    <n v="0"/>
    <n v="65.5"/>
    <n v="73.462050550000001"/>
    <n v="5.5"/>
    <n v="5.4450453660000004"/>
    <n v="5.4954633999999503E-2"/>
    <n v="950.5"/>
    <n v="1045.366671"/>
    <n v="-94.866670999999997"/>
    <n v="-7.9620505499999998"/>
    <n v="0"/>
    <n v="0"/>
    <n v="0"/>
    <n v="0"/>
    <n v="0"/>
    <n v="0"/>
    <n v="77"/>
    <n v="7"/>
    <n v="10000"/>
    <n v="0"/>
    <x v="27"/>
    <n v="173.93796457100001"/>
    <n v="13.137964571000003"/>
    <n v="187.07592914200001"/>
    <x v="1"/>
    <x v="0"/>
  </r>
  <r>
    <x v="49"/>
    <x v="1"/>
    <n v="0"/>
    <n v="0"/>
    <n v="0"/>
    <n v="0"/>
    <n v="0"/>
    <n v="0"/>
    <n v="0"/>
    <n v="0"/>
    <n v="0"/>
    <n v="0"/>
    <n v="53.592605849999998"/>
    <n v="3.5"/>
    <n v="4.2467287999999996"/>
    <n v="-0.74672879999999897"/>
    <n v="550.5"/>
    <n v="543.47935240000004"/>
    <n v="7.0206475999999602"/>
    <n v="0"/>
    <n v="0"/>
    <n v="0"/>
    <n v="0"/>
    <n v="0"/>
    <n v="0"/>
    <n v="0"/>
    <n v="173"/>
    <n v="1"/>
    <n v="25000"/>
    <n v="0"/>
    <x v="2"/>
    <n v="106.624610965"/>
    <n v="3.778308039999998"/>
    <n v="110.402919005"/>
    <x v="1"/>
    <x v="0"/>
  </r>
  <r>
    <x v="50"/>
    <x v="2"/>
    <n v="0"/>
    <n v="0"/>
    <n v="0"/>
    <n v="0"/>
    <n v="0"/>
    <n v="0"/>
    <n v="0"/>
    <n v="0"/>
    <n v="0"/>
    <n v="60.5"/>
    <n v="71.186665950000005"/>
    <n v="5.5"/>
    <n v="4.9572877259999997"/>
    <n v="0.54271227399999999"/>
    <n v="800.5"/>
    <n v="896.49218180000003"/>
    <n v="-95.992181799999997"/>
    <n v="-10.68666595"/>
    <n v="0"/>
    <n v="0"/>
    <n v="0"/>
    <n v="0"/>
    <n v="0"/>
    <n v="0"/>
    <n v="94"/>
    <n v="4"/>
    <n v="15000"/>
    <n v="0"/>
    <x v="28"/>
    <n v="154.98627751100003"/>
    <n v="11.686277511"/>
    <n v="166.67255502200004"/>
    <x v="1"/>
    <x v="0"/>
  </r>
  <r>
    <x v="51"/>
    <x v="2"/>
    <n v="0"/>
    <n v="0"/>
    <n v="0"/>
    <n v="0"/>
    <n v="0"/>
    <n v="0"/>
    <n v="0"/>
    <n v="0"/>
    <n v="0"/>
    <n v="0"/>
    <n v="60.381814609999999"/>
    <n v="0"/>
    <n v="4.4020102400000001"/>
    <n v="0"/>
    <n v="700.5"/>
    <n v="727.20626849999996"/>
    <n v="-26.706268499999901"/>
    <n v="0"/>
    <n v="0"/>
    <n v="0"/>
    <n v="0"/>
    <n v="0"/>
    <n v="0"/>
    <n v="0"/>
    <n v="180"/>
    <n v="1"/>
    <n v="0"/>
    <n v="0"/>
    <x v="2"/>
    <n v="129.323595595"/>
    <n v="2.6706268499999903"/>
    <n v="131.99422244499999"/>
    <x v="1"/>
    <x v="0"/>
  </r>
  <r>
    <x v="52"/>
    <x v="2"/>
    <n v="0"/>
    <n v="0"/>
    <n v="0"/>
    <n v="0"/>
    <n v="0"/>
    <n v="0"/>
    <n v="0"/>
    <n v="0"/>
    <n v="0"/>
    <n v="74.5"/>
    <n v="80.725202319999994"/>
    <n v="5.5"/>
    <n v="4.749267208"/>
    <n v="0.75073279199999998"/>
    <n v="1000.5"/>
    <n v="1067.566624"/>
    <n v="-67.066624000000004"/>
    <n v="-6.2252023199999904"/>
    <n v="0"/>
    <n v="0.238319274"/>
    <n v="0"/>
    <n v="0"/>
    <n v="24.918192770000001"/>
    <n v="0"/>
    <n v="46"/>
    <n v="17"/>
    <n v="12000"/>
    <n v="0"/>
    <x v="2"/>
    <n v="179.53660172900001"/>
    <n v="5.3148668079999961"/>
    <n v="184.85146853700002"/>
    <x v="1"/>
    <x v="0"/>
  </r>
  <r>
    <x v="53"/>
    <x v="2"/>
    <n v="0"/>
    <n v="0"/>
    <n v="0"/>
    <n v="0"/>
    <n v="0"/>
    <n v="0"/>
    <n v="0"/>
    <n v="0"/>
    <n v="0"/>
    <n v="82.5"/>
    <n v="86.457998140000001"/>
    <n v="5.5"/>
    <n v="5.6055695940000003"/>
    <n v="-0.105569594"/>
    <n v="1025.5"/>
    <n v="1264.4167359999999"/>
    <n v="-238.91673599999899"/>
    <n v="-3.9579981399999999"/>
    <n v="0"/>
    <n v="0"/>
    <n v="0"/>
    <n v="0"/>
    <n v="0"/>
    <n v="0"/>
    <n v="18"/>
    <n v="37"/>
    <n v="10000"/>
    <n v="0"/>
    <x v="29"/>
    <n v="203.304090234"/>
    <n v="26.5040902339999"/>
    <n v="229.8081804679999"/>
    <x v="1"/>
    <x v="0"/>
  </r>
  <r>
    <x v="54"/>
    <x v="2"/>
    <n v="0"/>
    <n v="0"/>
    <n v="0"/>
    <n v="0"/>
    <n v="0"/>
    <n v="0"/>
    <n v="0"/>
    <n v="0"/>
    <n v="0"/>
    <n v="72.5"/>
    <n v="78.100504330000007"/>
    <n v="5.5"/>
    <n v="7.525567272"/>
    <n v="-2.025567272"/>
    <n v="1050.5"/>
    <n v="1068.9827700000001"/>
    <n v="-18.482769999999999"/>
    <n v="-5.6005043299999997"/>
    <n v="0"/>
    <n v="0"/>
    <n v="0"/>
    <n v="0"/>
    <n v="0"/>
    <n v="0"/>
    <n v="26"/>
    <n v="30"/>
    <n v="6500"/>
    <n v="0"/>
    <x v="22"/>
    <n v="191.10193279700002"/>
    <n v="16.801932796999999"/>
    <n v="207.90386559400002"/>
    <x v="1"/>
    <x v="0"/>
  </r>
  <r>
    <x v="55"/>
    <x v="2"/>
    <n v="0"/>
    <n v="0"/>
    <n v="0"/>
    <n v="0"/>
    <n v="0"/>
    <n v="0"/>
    <n v="0"/>
    <n v="0"/>
    <n v="0"/>
    <n v="87.5"/>
    <n v="89.755443260000007"/>
    <n v="8.5"/>
    <n v="7.6339362839999998"/>
    <n v="0.86606371599999998"/>
    <n v="1250.5"/>
    <n v="1250.9910190000001"/>
    <n v="-0.491019000000051"/>
    <n v="-2.2554432599999998"/>
    <n v="0"/>
    <n v="0"/>
    <n v="0"/>
    <n v="0"/>
    <n v="0"/>
    <n v="0"/>
    <n v="11"/>
    <n v="48"/>
    <n v="3000"/>
    <n v="0"/>
    <x v="2"/>
    <n v="215.78044123400002"/>
    <n v="-4.0195587659999941"/>
    <n v="211.76088246800003"/>
    <x v="1"/>
    <x v="0"/>
  </r>
  <r>
    <x v="56"/>
    <x v="2"/>
    <n v="0"/>
    <n v="0"/>
    <n v="0"/>
    <n v="0"/>
    <n v="0"/>
    <n v="0"/>
    <n v="0"/>
    <n v="0"/>
    <n v="0"/>
    <n v="82.5"/>
    <n v="82.44161991"/>
    <n v="6.5"/>
    <n v="5.6701490379999999"/>
    <n v="0.82985096199999997"/>
    <n v="1000.5"/>
    <n v="1113.8022550000001"/>
    <n v="-113.302255"/>
    <n v="5.8380089999999898E-2"/>
    <n v="0"/>
    <n v="0"/>
    <n v="0"/>
    <n v="0"/>
    <n v="0"/>
    <n v="0"/>
    <n v="22"/>
    <n v="33"/>
    <n v="12000"/>
    <n v="650"/>
    <x v="2"/>
    <n v="186.62192968300002"/>
    <n v="6.3219296830000014"/>
    <n v="192.94385936600003"/>
    <x v="1"/>
    <x v="0"/>
  </r>
  <r>
    <x v="57"/>
    <x v="2"/>
    <n v="0"/>
    <n v="0"/>
    <n v="0"/>
    <n v="0"/>
    <n v="0"/>
    <n v="0"/>
    <n v="0"/>
    <n v="0"/>
    <n v="0"/>
    <n v="72.5"/>
    <n v="78.466350730000002"/>
    <n v="5.5"/>
    <n v="5.5574943350000003"/>
    <n v="-5.7494335000000299E-2"/>
    <n v="925.5"/>
    <n v="971.51958890000003"/>
    <n v="-46.019588900000002"/>
    <n v="-5.9663507300000003"/>
    <n v="0"/>
    <n v="0.50729034200000001"/>
    <n v="0"/>
    <n v="0"/>
    <n v="55.43273336"/>
    <n v="0"/>
    <n v="49"/>
    <n v="15"/>
    <n v="15000"/>
    <n v="0"/>
    <x v="2"/>
    <n v="178.317115653"/>
    <n v="7.9301002650000028"/>
    <n v="186.24721591799999"/>
    <x v="1"/>
    <x v="0"/>
  </r>
  <r>
    <x v="58"/>
    <x v="2"/>
    <n v="0"/>
    <n v="0"/>
    <n v="0"/>
    <n v="0"/>
    <n v="0"/>
    <n v="0"/>
    <n v="0"/>
    <n v="0"/>
    <n v="0"/>
    <n v="90.5"/>
    <n v="80.49012793"/>
    <n v="7.5"/>
    <n v="9.0705794520000005"/>
    <n v="-1.570579452"/>
    <n v="1125.5"/>
    <n v="1139.6464289999999"/>
    <n v="-14.146428999999801"/>
    <n v="10.00987207"/>
    <n v="0"/>
    <n v="0.19817676000000001"/>
    <n v="0"/>
    <n v="0"/>
    <n v="23.66450116"/>
    <n v="0"/>
    <n v="13"/>
    <n v="45"/>
    <n v="3000"/>
    <n v="0"/>
    <x v="2"/>
    <n v="212.18869425300002"/>
    <n v="5.8331835769999794"/>
    <n v="218.02187782999999"/>
    <x v="1"/>
    <x v="0"/>
  </r>
  <r>
    <x v="59"/>
    <x v="2"/>
    <n v="0"/>
    <n v="0"/>
    <n v="0"/>
    <n v="0"/>
    <n v="0"/>
    <n v="0"/>
    <n v="0"/>
    <n v="0"/>
    <n v="0"/>
    <n v="97.5"/>
    <n v="105.8088125"/>
    <n v="9.5"/>
    <n v="7.7191455219999998"/>
    <n v="1.780854478"/>
    <n v="1375.5"/>
    <n v="1435.9199599999999"/>
    <n v="-60.419959999999897"/>
    <n v="-8.3088125000000002"/>
    <n v="0"/>
    <n v="0.26433866"/>
    <n v="0"/>
    <n v="0"/>
    <n v="24.96510808"/>
    <n v="0"/>
    <n v="5"/>
    <n v="54"/>
    <n v="700"/>
    <n v="0"/>
    <x v="2"/>
    <n v="246.89381815000002"/>
    <n v="-0.48872461800000888"/>
    <n v="246.405093532"/>
    <x v="1"/>
    <x v="0"/>
  </r>
  <r>
    <x v="60"/>
    <x v="2"/>
    <n v="0"/>
    <n v="0"/>
    <n v="0"/>
    <n v="0"/>
    <n v="0"/>
    <n v="0"/>
    <n v="0"/>
    <n v="0"/>
    <n v="0"/>
    <n v="74.5"/>
    <n v="86.979652229999999"/>
    <n v="5.5"/>
    <n v="5.7470948369999997"/>
    <n v="-0.24709483699999901"/>
    <n v="900.5"/>
    <n v="1050.8262810000001"/>
    <n v="-150.32628099999999"/>
    <n v="-12.479652229999999"/>
    <n v="0"/>
    <n v="7.8458304000000006E-2"/>
    <n v="0"/>
    <n v="0"/>
    <n v="11.80761813"/>
    <n v="0"/>
    <n v="44"/>
    <n v="19"/>
    <n v="7500"/>
    <n v="0"/>
    <x v="30"/>
    <n v="184.70653487400003"/>
    <n v="22.755023236999996"/>
    <n v="207.46155811100002"/>
    <x v="1"/>
    <x v="0"/>
  </r>
  <r>
    <x v="61"/>
    <x v="2"/>
    <n v="0"/>
    <n v="0"/>
    <n v="0"/>
    <n v="0"/>
    <n v="0"/>
    <n v="0"/>
    <n v="0"/>
    <n v="0"/>
    <n v="0"/>
    <n v="94.5"/>
    <n v="106.1879926"/>
    <n v="7.5"/>
    <n v="6.6250065930000002"/>
    <n v="0.87499340699999895"/>
    <n v="1300.5"/>
    <n v="1358.8997629999999"/>
    <n v="-58.399762999999801"/>
    <n v="-11.687992599999999"/>
    <n v="0"/>
    <n v="9.5277438000000006E-2"/>
    <n v="0"/>
    <n v="0"/>
    <n v="10.22366442"/>
    <n v="0"/>
    <n v="8"/>
    <n v="52"/>
    <n v="1300"/>
    <n v="0"/>
    <x v="2"/>
    <n v="230.32804322799998"/>
    <n v="6.4340121579999865"/>
    <n v="236.76205538599996"/>
    <x v="1"/>
    <x v="0"/>
  </r>
  <r>
    <x v="62"/>
    <x v="2"/>
    <n v="0"/>
    <n v="0"/>
    <n v="0"/>
    <n v="0"/>
    <n v="0"/>
    <n v="0"/>
    <n v="0"/>
    <n v="0"/>
    <n v="0"/>
    <n v="74.5"/>
    <n v="82.31971068"/>
    <n v="5.5"/>
    <n v="5.4669062869999996"/>
    <n v="3.3093713000000399E-2"/>
    <n v="900.5"/>
    <n v="1077.518824"/>
    <n v="-177.018824"/>
    <n v="-7.81971068"/>
    <n v="0"/>
    <n v="0"/>
    <n v="0"/>
    <n v="0"/>
    <n v="0"/>
    <n v="0"/>
    <n v="27"/>
    <n v="30"/>
    <n v="15000"/>
    <n v="1400"/>
    <x v="31"/>
    <n v="181.71317546199998"/>
    <n v="21.413175461999998"/>
    <n v="203.12635092399998"/>
    <x v="1"/>
    <x v="0"/>
  </r>
  <r>
    <x v="63"/>
    <x v="2"/>
    <n v="0"/>
    <n v="0"/>
    <n v="0"/>
    <n v="0"/>
    <n v="0"/>
    <n v="0"/>
    <n v="0"/>
    <n v="0"/>
    <n v="0"/>
    <n v="0"/>
    <n v="59.738536109999998"/>
    <n v="4.5"/>
    <n v="5.5486749929999997"/>
    <n v="-1.0486749929999899"/>
    <n v="675.5"/>
    <n v="804.71239349999996"/>
    <n v="-129.212393499999"/>
    <n v="0"/>
    <n v="0"/>
    <n v="9.6280887999999995E-2"/>
    <n v="0"/>
    <n v="0"/>
    <n v="12.845802519999999"/>
    <n v="0"/>
    <n v="99"/>
    <n v="4"/>
    <n v="20000"/>
    <n v="7000"/>
    <x v="32"/>
    <n v="145.494822943"/>
    <n v="19.21328930799984"/>
    <n v="164.70811225099985"/>
    <x v="1"/>
    <x v="0"/>
  </r>
  <r>
    <x v="64"/>
    <x v="1"/>
    <n v="0"/>
    <n v="0"/>
    <n v="0"/>
    <n v="0"/>
    <n v="0"/>
    <n v="0"/>
    <n v="0"/>
    <n v="0"/>
    <n v="0"/>
    <n v="82.5"/>
    <n v="84.110996639999996"/>
    <n v="7.5"/>
    <n v="6.5732571770000003"/>
    <n v="0.92674282299999899"/>
    <n v="850.5"/>
    <n v="859.7639782"/>
    <n v="-9.2639781999999897"/>
    <n v="-1.61099663999999"/>
    <n v="0"/>
    <n v="0"/>
    <n v="0"/>
    <n v="0"/>
    <n v="0"/>
    <n v="0"/>
    <n v="37"/>
    <n v="22"/>
    <n v="15000"/>
    <n v="0"/>
    <x v="2"/>
    <n v="167.471439202"/>
    <n v="-3.8285607980000007"/>
    <n v="163.64287840399999"/>
    <x v="1"/>
    <x v="0"/>
  </r>
  <r>
    <x v="65"/>
    <x v="2"/>
    <n v="0"/>
    <n v="0"/>
    <n v="0"/>
    <n v="0"/>
    <n v="0"/>
    <n v="0"/>
    <n v="0"/>
    <n v="0"/>
    <n v="0"/>
    <n v="72.5"/>
    <n v="83.935632960000007"/>
    <n v="6.5"/>
    <n v="6.3272390920000001"/>
    <n v="0.17276090799999899"/>
    <n v="975.5"/>
    <n v="1039.561242"/>
    <n v="-64.061241999999993"/>
    <n v="-11.43563296"/>
    <n v="0"/>
    <n v="0"/>
    <n v="0"/>
    <n v="0"/>
    <n v="0"/>
    <n v="0"/>
    <n v="45"/>
    <n v="18"/>
    <n v="12000"/>
    <n v="0"/>
    <x v="33"/>
    <n v="183.88737523200001"/>
    <n v="11.087375232000007"/>
    <n v="194.97475046400001"/>
    <x v="1"/>
    <x v="0"/>
  </r>
  <r>
    <x v="66"/>
    <x v="2"/>
    <n v="0"/>
    <n v="0"/>
    <n v="0"/>
    <n v="0"/>
    <n v="0"/>
    <n v="0"/>
    <n v="0"/>
    <n v="0"/>
    <n v="0"/>
    <n v="105.5"/>
    <n v="109.56019019999999"/>
    <n v="8.5"/>
    <n v="7.3654043160000002"/>
    <n v="1.13459568399999"/>
    <n v="1250.5"/>
    <n v="1263.6232869999999"/>
    <n v="-13.123286999999801"/>
    <n v="-4.0601901999999903"/>
    <n v="0"/>
    <n v="0.25987584000000002"/>
    <n v="0"/>
    <n v="0"/>
    <n v="29.206890749999999"/>
    <n v="0"/>
    <n v="6"/>
    <n v="53"/>
    <n v="1800"/>
    <n v="0"/>
    <x v="2"/>
    <n v="229.81479381100002"/>
    <n v="-3.4651503039999647"/>
    <n v="226.34964350700005"/>
    <x v="1"/>
    <x v="0"/>
  </r>
  <r>
    <x v="67"/>
    <x v="1"/>
    <n v="0"/>
    <n v="0"/>
    <n v="0"/>
    <n v="0"/>
    <n v="0"/>
    <n v="0"/>
    <n v="0"/>
    <n v="0"/>
    <n v="0"/>
    <n v="0"/>
    <n v="56.543111500000002"/>
    <n v="4.5"/>
    <n v="3.7966898250000001"/>
    <n v="0.70331017499999904"/>
    <n v="650.5"/>
    <n v="649.37202000000002"/>
    <n v="1.12797999999997"/>
    <n v="0"/>
    <n v="0"/>
    <n v="0"/>
    <n v="0"/>
    <n v="0"/>
    <n v="0"/>
    <n v="0"/>
    <n v="135"/>
    <n v="2"/>
    <n v="20000"/>
    <n v="5000"/>
    <x v="2"/>
    <n v="115.9888967"/>
    <n v="-4.3326590499999913"/>
    <n v="111.65623765000001"/>
    <x v="1"/>
    <x v="0"/>
  </r>
  <r>
    <x v="68"/>
    <x v="2"/>
    <n v="0"/>
    <n v="0"/>
    <n v="0"/>
    <n v="0"/>
    <n v="0"/>
    <n v="0"/>
    <n v="0"/>
    <n v="0"/>
    <n v="0"/>
    <n v="81.5"/>
    <n v="83.311058900000006"/>
    <n v="6.5"/>
    <n v="6.8241921320000003"/>
    <n v="-0.32419213200000002"/>
    <n v="1000.5"/>
    <n v="1021.439201"/>
    <n v="-20.939201000000001"/>
    <n v="-1.8110588999999999"/>
    <n v="0"/>
    <n v="0"/>
    <n v="0"/>
    <n v="0"/>
    <n v="0"/>
    <n v="0"/>
    <n v="23"/>
    <n v="32"/>
    <n v="5000"/>
    <n v="0"/>
    <x v="2"/>
    <n v="184.74460234200001"/>
    <n v="4.9446023419999996"/>
    <n v="189.689204684"/>
    <x v="1"/>
    <x v="0"/>
  </r>
  <r>
    <x v="69"/>
    <x v="1"/>
    <n v="0"/>
    <n v="0"/>
    <n v="0"/>
    <n v="0"/>
    <n v="0"/>
    <n v="0"/>
    <n v="0"/>
    <n v="0"/>
    <n v="0"/>
    <n v="80.5"/>
    <n v="82.842308470000006"/>
    <n v="6.5"/>
    <n v="7.0909349099999996"/>
    <n v="-0.59093490999999898"/>
    <n v="900.5"/>
    <n v="837.47640339999998"/>
    <n v="63.023596599999998"/>
    <n v="-2.3423084699999999"/>
    <n v="0"/>
    <n v="3.9870083000000001E-2"/>
    <n v="0"/>
    <n v="0"/>
    <n v="0.68514563500000003"/>
    <n v="0"/>
    <n v="38"/>
    <n v="22"/>
    <n v="10000"/>
    <n v="0"/>
    <x v="2"/>
    <n v="168.02213909650001"/>
    <n v="-1.5855959650000067"/>
    <n v="166.4365431315"/>
    <x v="1"/>
    <x v="0"/>
  </r>
  <r>
    <x v="70"/>
    <x v="2"/>
    <n v="0"/>
    <n v="0"/>
    <n v="0"/>
    <n v="0"/>
    <n v="0"/>
    <n v="0"/>
    <n v="0"/>
    <n v="0"/>
    <n v="0"/>
    <n v="0"/>
    <n v="63.649976580000001"/>
    <n v="4.5"/>
    <n v="4.8557623440000004"/>
    <n v="-0.35576234400000001"/>
    <n v="725.5"/>
    <n v="802.46539900000005"/>
    <n v="-76.965399000000005"/>
    <n v="0"/>
    <n v="0"/>
    <n v="7.4318295000000006E-2"/>
    <n v="0"/>
    <n v="0"/>
    <n v="13.67908203"/>
    <n v="0"/>
    <n v="111"/>
    <n v="3"/>
    <n v="50000"/>
    <n v="3500"/>
    <x v="2"/>
    <n v="143.01992022700003"/>
    <n v="9.8311139640000018"/>
    <n v="152.85103419100002"/>
    <x v="1"/>
    <x v="0"/>
  </r>
  <r>
    <x v="71"/>
    <x v="2"/>
    <n v="0"/>
    <n v="0"/>
    <n v="0"/>
    <n v="0"/>
    <n v="0"/>
    <n v="0"/>
    <n v="0"/>
    <n v="0"/>
    <n v="0"/>
    <n v="98.5"/>
    <n v="105.8864786"/>
    <n v="8.5"/>
    <n v="8.2969312350000006"/>
    <n v="0.20306876499999901"/>
    <n v="1250.5"/>
    <n v="1347.9209719999999"/>
    <n v="-97.420971999999793"/>
    <n v="-7.3864786000000002"/>
    <n v="0"/>
    <n v="0.15580259499999999"/>
    <n v="0"/>
    <n v="0"/>
    <n v="18.157686930000001"/>
    <n v="0"/>
    <n v="7"/>
    <n v="53"/>
    <n v="1200"/>
    <n v="0"/>
    <x v="34"/>
    <n v="240.26750817300001"/>
    <n v="12.216923909999986"/>
    <n v="252.484432083"/>
    <x v="1"/>
    <x v="0"/>
  </r>
  <r>
    <x v="72"/>
    <x v="2"/>
    <n v="0"/>
    <n v="0"/>
    <n v="0"/>
    <n v="0"/>
    <n v="0"/>
    <n v="0"/>
    <n v="0"/>
    <n v="0"/>
    <n v="0"/>
    <n v="0"/>
    <n v="61.385361209999999"/>
    <n v="4.5"/>
    <n v="4.8189823839999999"/>
    <n v="-0.31898238399999901"/>
    <n v="750.5"/>
    <n v="814.55663909999998"/>
    <n v="-64.056639099999899"/>
    <n v="0"/>
    <n v="0"/>
    <n v="0"/>
    <n v="0"/>
    <n v="0"/>
    <n v="0"/>
    <n v="0"/>
    <n v="114"/>
    <n v="2"/>
    <n v="50000"/>
    <n v="5000"/>
    <x v="2"/>
    <n v="141.06223881900002"/>
    <n v="8.3195582139999846"/>
    <n v="149.381797033"/>
    <x v="1"/>
    <x v="0"/>
  </r>
  <r>
    <x v="73"/>
    <x v="2"/>
    <n v="0"/>
    <n v="0"/>
    <n v="0"/>
    <n v="0"/>
    <n v="0"/>
    <n v="0"/>
    <n v="0"/>
    <n v="0"/>
    <n v="0"/>
    <n v="84.5"/>
    <n v="89.122284769999993"/>
    <n v="6.5"/>
    <n v="5.1065542730000004"/>
    <n v="1.39344572699999"/>
    <n v="1025.5"/>
    <n v="1148.109741"/>
    <n v="-122.609740999999"/>
    <n v="-4.6222847699999896"/>
    <n v="0"/>
    <n v="0"/>
    <n v="0"/>
    <n v="0"/>
    <n v="0"/>
    <n v="0"/>
    <n v="21"/>
    <n v="34"/>
    <n v="7500"/>
    <n v="0"/>
    <x v="2"/>
    <n v="190.01144212299999"/>
    <n v="6.211442122999955"/>
    <n v="196.22288424599995"/>
    <x v="1"/>
    <x v="0"/>
  </r>
  <r>
    <x v="74"/>
    <x v="2"/>
    <n v="0"/>
    <n v="0"/>
    <n v="0"/>
    <n v="0"/>
    <n v="0"/>
    <n v="0"/>
    <n v="0"/>
    <n v="0"/>
    <n v="0"/>
    <n v="79.5"/>
    <n v="78.103868869999999"/>
    <n v="6.5"/>
    <n v="6.4832966140000003"/>
    <n v="1.6703385999999602E-2"/>
    <n v="950.5"/>
    <n v="996.56367439999997"/>
    <n v="-46.063674399999897"/>
    <n v="1.3961311300000001"/>
    <n v="0"/>
    <n v="0.103571154"/>
    <n v="0"/>
    <n v="0"/>
    <n v="11.96084898"/>
    <n v="0"/>
    <n v="47"/>
    <n v="17"/>
    <n v="6000"/>
    <n v="0"/>
    <x v="2"/>
    <n v="179.425593381"/>
    <n v="3.8080815589999921"/>
    <n v="183.23367493999999"/>
    <x v="1"/>
    <x v="0"/>
  </r>
  <r>
    <x v="75"/>
    <x v="2"/>
    <n v="0"/>
    <n v="0"/>
    <n v="0"/>
    <n v="0"/>
    <n v="0"/>
    <n v="0"/>
    <n v="0"/>
    <n v="0"/>
    <n v="0"/>
    <n v="0"/>
    <n v="56.38100214"/>
    <n v="4.5"/>
    <n v="6.340266765"/>
    <n v="-1.840266765"/>
    <n v="750.5"/>
    <n v="761.91854890000002"/>
    <n v="-11.418548899999999"/>
    <n v="0"/>
    <n v="0"/>
    <n v="0.278512912"/>
    <n v="0"/>
    <n v="0"/>
    <n v="35.196831799999998"/>
    <n v="0"/>
    <n v="98"/>
    <n v="4"/>
    <n v="0"/>
    <n v="2200"/>
    <x v="23"/>
    <n v="147.61471720200001"/>
    <n v="12.183455479999999"/>
    <n v="159.798172682"/>
    <x v="1"/>
    <x v="0"/>
  </r>
  <r>
    <x v="76"/>
    <x v="2"/>
    <n v="0"/>
    <n v="0"/>
    <n v="0"/>
    <n v="0"/>
    <n v="0"/>
    <n v="0"/>
    <n v="0"/>
    <n v="0"/>
    <n v="0"/>
    <n v="104.5"/>
    <n v="112.85836329999999"/>
    <n v="9.5"/>
    <n v="8.5502473630000004"/>
    <n v="0.94975263699999901"/>
    <n v="1350.5"/>
    <n v="1406.527327"/>
    <n v="-56.027327"/>
    <n v="-8.3583632999999899"/>
    <n v="0"/>
    <n v="0.78298634"/>
    <n v="0"/>
    <n v="0"/>
    <n v="85.893220159999998"/>
    <n v="0"/>
    <n v="4"/>
    <n v="55"/>
    <n v="1000"/>
    <n v="0"/>
    <x v="2"/>
    <n v="261.67063858399996"/>
    <n v="4.0833985280000018"/>
    <n v="265.75403711199993"/>
    <x v="1"/>
    <x v="0"/>
  </r>
  <r>
    <x v="77"/>
    <x v="2"/>
    <n v="0"/>
    <n v="0"/>
    <n v="0"/>
    <n v="0"/>
    <n v="0"/>
    <n v="0"/>
    <n v="0"/>
    <n v="0"/>
    <n v="0"/>
    <n v="85.5"/>
    <n v="88.52396238"/>
    <n v="6.5"/>
    <n v="5.8816697700000002"/>
    <n v="0.61833022999999898"/>
    <n v="1150.5"/>
    <n v="1237.816294"/>
    <n v="-87.3162939999999"/>
    <n v="-3.0239623799999999"/>
    <n v="0"/>
    <n v="0.652338062"/>
    <n v="0"/>
    <n v="0"/>
    <n v="77.240782240000001"/>
    <n v="0"/>
    <n v="12"/>
    <n v="46"/>
    <n v="2800"/>
    <n v="0"/>
    <x v="2"/>
    <n v="214.971735806"/>
    <n v="6.5336292099999964"/>
    <n v="221.50536501599998"/>
    <x v="1"/>
    <x v="0"/>
  </r>
  <r>
    <x v="78"/>
    <x v="2"/>
    <n v="0"/>
    <n v="0"/>
    <n v="0"/>
    <n v="0"/>
    <n v="0"/>
    <n v="0"/>
    <n v="0"/>
    <n v="0"/>
    <n v="0"/>
    <n v="0"/>
    <n v="58.952453669999997"/>
    <n v="4.5"/>
    <n v="4.9550540410000004"/>
    <n v="-0.45505404100000002"/>
    <n v="675.5"/>
    <n v="814.61080159999995"/>
    <n v="-139.11080159999901"/>
    <n v="0"/>
    <n v="0"/>
    <n v="0"/>
    <n v="0"/>
    <n v="0"/>
    <n v="0"/>
    <n v="0"/>
    <n v="113"/>
    <n v="3"/>
    <n v="20000"/>
    <n v="3500"/>
    <x v="35"/>
    <n v="140.66763124099998"/>
    <n v="16.6414044059999"/>
    <n v="157.30903564699989"/>
    <x v="1"/>
    <x v="0"/>
  </r>
  <r>
    <x v="79"/>
    <x v="2"/>
    <n v="0"/>
    <n v="0"/>
    <n v="0"/>
    <n v="0"/>
    <n v="0"/>
    <n v="0"/>
    <n v="0"/>
    <n v="0"/>
    <n v="0"/>
    <n v="68.5"/>
    <n v="77.372182480000006"/>
    <n v="6.5"/>
    <n v="6.6947263149999996"/>
    <n v="-0.19472631499999901"/>
    <n v="950.5"/>
    <n v="1048.235212"/>
    <n v="-97.735212000000004"/>
    <n v="-8.8721824799999993"/>
    <n v="0"/>
    <n v="9.5130708999999994E-2"/>
    <n v="0"/>
    <n v="0"/>
    <n v="12.63974966"/>
    <n v="0"/>
    <n v="34"/>
    <n v="23"/>
    <n v="10000"/>
    <n v="0"/>
    <x v="34"/>
    <n v="185.51272955000002"/>
    <n v="15.377970329999995"/>
    <n v="200.89069988"/>
    <x v="1"/>
    <x v="0"/>
  </r>
  <r>
    <x v="80"/>
    <x v="2"/>
    <n v="0"/>
    <n v="0"/>
    <n v="0"/>
    <n v="0"/>
    <n v="0"/>
    <n v="0"/>
    <n v="0"/>
    <n v="0"/>
    <n v="0"/>
    <n v="67.5"/>
    <n v="69.573018300000001"/>
    <n v="6.5"/>
    <n v="8.2051118729999999"/>
    <n v="-1.7051118729999999"/>
    <n v="1000.5"/>
    <n v="1070.4863519999999"/>
    <n v="-69.986351999999897"/>
    <n v="-2.0730183000000002"/>
    <n v="0"/>
    <n v="0"/>
    <n v="0"/>
    <n v="0"/>
    <n v="0"/>
    <n v="0"/>
    <n v="31"/>
    <n v="26"/>
    <n v="6000"/>
    <n v="0"/>
    <x v="23"/>
    <n v="191.06581558799999"/>
    <n v="18.265815587999988"/>
    <n v="209.33163117599997"/>
    <x v="1"/>
    <x v="0"/>
  </r>
  <r>
    <x v="81"/>
    <x v="2"/>
    <n v="0"/>
    <n v="0"/>
    <n v="0"/>
    <n v="0"/>
    <n v="0"/>
    <n v="0"/>
    <n v="0"/>
    <n v="0"/>
    <n v="0"/>
    <n v="68.5"/>
    <n v="77.114572300000006"/>
    <n v="8.5"/>
    <n v="7.435436793"/>
    <n v="1.064563207"/>
    <n v="1050.5"/>
    <n v="1137.9072550000001"/>
    <n v="-87.407255000000006"/>
    <n v="-8.6145723000000007"/>
    <n v="0"/>
    <n v="0"/>
    <n v="0"/>
    <n v="0"/>
    <n v="0"/>
    <n v="0"/>
    <n v="20"/>
    <n v="35"/>
    <n v="7500"/>
    <n v="0"/>
    <x v="2"/>
    <n v="196.96063240800001"/>
    <n v="6.6606324080000023"/>
    <n v="203.62126481600001"/>
    <x v="1"/>
    <x v="0"/>
  </r>
  <r>
    <x v="82"/>
    <x v="2"/>
    <n v="0"/>
    <n v="0"/>
    <n v="0"/>
    <n v="0"/>
    <n v="0"/>
    <n v="0"/>
    <n v="0"/>
    <n v="0"/>
    <n v="0"/>
    <n v="0"/>
    <n v="71.029840640000003"/>
    <n v="4.5"/>
    <n v="4.557735278"/>
    <n v="-5.7735278000000001E-2"/>
    <n v="925.5"/>
    <n v="1091.3722769999999"/>
    <n v="-165.872276999999"/>
    <n v="0"/>
    <n v="0"/>
    <n v="0.211371686"/>
    <n v="0"/>
    <n v="0"/>
    <n v="28.532366939999999"/>
    <n v="0"/>
    <n v="57"/>
    <n v="11"/>
    <n v="12000"/>
    <n v="0"/>
    <x v="36"/>
    <n v="176.12002649800002"/>
    <n v="16.933639367999902"/>
    <n v="193.0536658659999"/>
    <x v="1"/>
    <x v="0"/>
  </r>
  <r>
    <x v="83"/>
    <x v="2"/>
    <n v="0"/>
    <n v="0"/>
    <n v="0"/>
    <n v="0"/>
    <n v="0"/>
    <n v="0"/>
    <n v="0"/>
    <n v="0"/>
    <n v="0"/>
    <n v="0"/>
    <n v="46.340764780000001"/>
    <n v="3.5"/>
    <n v="3.085782069"/>
    <n v="0.41421793099999998"/>
    <n v="500.5"/>
    <n v="609.57128079999995"/>
    <n v="-109.071280799999"/>
    <n v="0"/>
    <n v="0"/>
    <n v="0.32062824099999998"/>
    <n v="0"/>
    <n v="0"/>
    <n v="38.936171190000003"/>
    <n v="0"/>
    <n v="191"/>
    <n v="1"/>
    <n v="0"/>
    <n v="7500"/>
    <x v="2"/>
    <n v="108.45958944899999"/>
    <n v="8.4218204939999008"/>
    <n v="116.88140994299989"/>
    <x v="1"/>
    <x v="0"/>
  </r>
  <r>
    <x v="84"/>
    <x v="1"/>
    <n v="0"/>
    <n v="0"/>
    <n v="0"/>
    <n v="0"/>
    <n v="0"/>
    <n v="0"/>
    <n v="0"/>
    <n v="0"/>
    <n v="0"/>
    <n v="67.5"/>
    <n v="73.735570269999997"/>
    <n v="6.5"/>
    <n v="6.9943424040000002"/>
    <n v="-0.49434240400000001"/>
    <n v="800.5"/>
    <n v="819.7098694"/>
    <n v="-19.209869399999999"/>
    <n v="-6.2355702699999904"/>
    <n v="0"/>
    <n v="0"/>
    <n v="0"/>
    <n v="0"/>
    <n v="0"/>
    <n v="0"/>
    <n v="55"/>
    <n v="12"/>
    <n v="25000"/>
    <n v="0"/>
    <x v="2"/>
    <n v="160.804826499"/>
    <n v="8.0048264989999964"/>
    <n v="168.80965299799999"/>
    <x v="1"/>
    <x v="0"/>
  </r>
  <r>
    <x v="85"/>
    <x v="2"/>
    <n v="0"/>
    <n v="0"/>
    <n v="0"/>
    <n v="0"/>
    <n v="0"/>
    <n v="0"/>
    <n v="0"/>
    <n v="0"/>
    <n v="0"/>
    <n v="85.5"/>
    <n v="99.234961389999995"/>
    <n v="5.5"/>
    <n v="4.0196772059999999"/>
    <n v="1.4803227940000001"/>
    <n v="950.5"/>
    <n v="1089.644178"/>
    <n v="-139.14417800000001"/>
    <n v="-13.734961389999899"/>
    <n v="0"/>
    <n v="0"/>
    <n v="0"/>
    <n v="0"/>
    <n v="0"/>
    <n v="0"/>
    <n v="19"/>
    <n v="36"/>
    <n v="10000"/>
    <n v="0"/>
    <x v="35"/>
    <n v="182.699961731"/>
    <n v="11.899961730999951"/>
    <n v="194.59992346199996"/>
    <x v="1"/>
    <x v="0"/>
  </r>
  <r>
    <x v="86"/>
    <x v="2"/>
    <n v="0"/>
    <n v="0"/>
    <n v="0"/>
    <n v="0"/>
    <n v="0"/>
    <n v="0"/>
    <n v="0"/>
    <n v="0"/>
    <n v="0"/>
    <n v="71.5"/>
    <n v="71.593339409999999"/>
    <n v="4.5"/>
    <n v="6.2306102799999996"/>
    <n v="-1.7306102799999901"/>
    <n v="825.5"/>
    <n v="986.94498759999999"/>
    <n v="-161.44498759999999"/>
    <n v="-9.3339409999998596E-2"/>
    <n v="0"/>
    <n v="8.7638385999999999E-2"/>
    <n v="0"/>
    <n v="0"/>
    <n v="13.009039720000001"/>
    <n v="0"/>
    <n v="78"/>
    <n v="6"/>
    <n v="20000"/>
    <n v="0"/>
    <x v="37"/>
    <n v="173.70156443299996"/>
    <n v="26.574830144999943"/>
    <n v="200.27639457799989"/>
    <x v="1"/>
    <x v="0"/>
  </r>
  <r>
    <x v="87"/>
    <x v="2"/>
    <n v="0"/>
    <n v="0"/>
    <n v="0"/>
    <n v="0"/>
    <n v="0"/>
    <n v="0"/>
    <n v="0"/>
    <n v="0"/>
    <n v="0"/>
    <n v="0"/>
    <n v="72.997157090000002"/>
    <n v="4.5"/>
    <n v="7.3491682200000001"/>
    <n v="-2.8491682200000001"/>
    <n v="875.5"/>
    <n v="1000.2263850000001"/>
    <n v="-124.72638499999999"/>
    <n v="0"/>
    <n v="0"/>
    <n v="0.144708534"/>
    <n v="0"/>
    <n v="0"/>
    <n v="18.823418780000001"/>
    <n v="0"/>
    <n v="48"/>
    <n v="15"/>
    <n v="15000"/>
    <n v="0"/>
    <x v="22"/>
    <n v="183.36681944700001"/>
    <n v="29.567647820000005"/>
    <n v="212.934467267"/>
    <x v="1"/>
    <x v="0"/>
  </r>
  <r>
    <x v="88"/>
    <x v="3"/>
    <n v="0"/>
    <n v="0"/>
    <n v="0"/>
    <n v="0"/>
    <n v="0"/>
    <n v="0"/>
    <n v="0"/>
    <n v="0"/>
    <n v="0"/>
    <n v="62.5"/>
    <n v="67.313641129999993"/>
    <n v="5.5"/>
    <n v="3.853017146"/>
    <n v="1.646982854"/>
    <n v="500.5"/>
    <n v="526.40418390000002"/>
    <n v="-25.9041839"/>
    <n v="-4.8136411299999899"/>
    <n v="10.5"/>
    <n v="11.89892905"/>
    <n v="-1.39892904999999"/>
    <n v="1150.5"/>
    <n v="1218.158443"/>
    <n v="-67.658443000000005"/>
    <n v="1"/>
    <n v="57"/>
    <n v="850"/>
    <n v="0"/>
    <x v="21"/>
    <n v="302.62476043100003"/>
    <n v="10.274760430999937"/>
    <n v="312.89952086199997"/>
    <x v="1"/>
    <x v="0"/>
  </r>
  <r>
    <x v="89"/>
    <x v="2"/>
    <n v="0"/>
    <n v="0"/>
    <n v="0"/>
    <n v="0"/>
    <n v="0"/>
    <n v="0"/>
    <n v="0"/>
    <n v="0"/>
    <n v="0"/>
    <n v="0"/>
    <n v="61.459535780000003"/>
    <n v="3.5"/>
    <n v="4.0160872029999997"/>
    <n v="-0.516087202999999"/>
    <n v="700.5"/>
    <n v="922.21809570000005"/>
    <n v="-221.71809569999999"/>
    <n v="0"/>
    <n v="0"/>
    <n v="0"/>
    <n v="0"/>
    <n v="0"/>
    <n v="0"/>
    <n v="0"/>
    <n v="155"/>
    <n v="1"/>
    <n v="20000"/>
    <n v="0"/>
    <x v="38"/>
    <n v="147.048100678"/>
    <n v="25.268332787999995"/>
    <n v="172.31643346599998"/>
    <x v="1"/>
    <x v="0"/>
  </r>
  <r>
    <x v="90"/>
    <x v="3"/>
    <n v="0"/>
    <n v="0"/>
    <n v="0"/>
    <n v="0"/>
    <n v="0"/>
    <n v="0"/>
    <n v="0"/>
    <n v="0"/>
    <n v="0"/>
    <n v="0"/>
    <n v="26.14410328"/>
    <n v="0"/>
    <n v="1.17131322"/>
    <n v="0"/>
    <n v="0"/>
    <n v="188.3206696"/>
    <n v="0"/>
    <n v="0"/>
    <n v="7.5"/>
    <n v="7.9227431490000004"/>
    <n v="-0.42274314899999998"/>
    <n v="675.5"/>
    <n v="720.40550710000002"/>
    <n v="-44.905507100000001"/>
    <n v="122"/>
    <n v="2"/>
    <n v="10000"/>
    <n v="0"/>
    <x v="2"/>
    <n v="158.50900752400003"/>
    <n v="7.0270096039999999"/>
    <n v="165.53601712800003"/>
    <x v="1"/>
    <x v="0"/>
  </r>
  <r>
    <x v="91"/>
    <x v="3"/>
    <n v="0"/>
    <n v="0"/>
    <n v="0"/>
    <n v="0"/>
    <n v="0"/>
    <n v="0"/>
    <n v="0"/>
    <n v="0"/>
    <n v="0"/>
    <n v="0"/>
    <n v="35.492156629999997"/>
    <n v="0"/>
    <n v="0.59553220900000003"/>
    <n v="0"/>
    <n v="0"/>
    <n v="224.91261299999999"/>
    <n v="0"/>
    <n v="0"/>
    <n v="4.5"/>
    <n v="4.5807278370000004"/>
    <n v="-8.0727837000000399E-2"/>
    <n v="725.5"/>
    <n v="787.06253419999996"/>
    <n v="-61.562534199999902"/>
    <n v="103"/>
    <n v="3"/>
    <n v="25000"/>
    <n v="0"/>
    <x v="2"/>
    <n v="150.001153311"/>
    <n v="6.6406204419999932"/>
    <n v="156.641773753"/>
    <x v="1"/>
    <x v="0"/>
  </r>
  <r>
    <x v="92"/>
    <x v="3"/>
    <n v="0"/>
    <n v="0"/>
    <n v="0"/>
    <n v="0"/>
    <n v="0"/>
    <n v="0"/>
    <n v="0"/>
    <n v="0"/>
    <n v="0"/>
    <n v="0"/>
    <n v="67.80669872"/>
    <n v="0"/>
    <n v="2.5352651819999998"/>
    <n v="0"/>
    <n v="0"/>
    <n v="546.4325169"/>
    <n v="0"/>
    <n v="0"/>
    <n v="7.5"/>
    <n v="7.9822839019999998"/>
    <n v="-0.48228390199999899"/>
    <n v="1050.5"/>
    <n v="1049.4063679999999"/>
    <n v="1.0936320000000701"/>
    <n v="3"/>
    <n v="55"/>
    <n v="1500"/>
    <n v="0"/>
    <x v="2"/>
    <n v="256.59253235400001"/>
    <n v="2.7843402119999872"/>
    <n v="259.37687256599997"/>
    <x v="1"/>
    <x v="0"/>
  </r>
  <r>
    <x v="93"/>
    <x v="3"/>
    <n v="0"/>
    <n v="0"/>
    <n v="0"/>
    <n v="0"/>
    <n v="0"/>
    <n v="0"/>
    <n v="0"/>
    <n v="0"/>
    <n v="0"/>
    <n v="0"/>
    <n v="45.45333342"/>
    <n v="0"/>
    <n v="2.0488881280000002"/>
    <n v="0"/>
    <n v="0"/>
    <n v="290.18322669999998"/>
    <n v="0"/>
    <n v="0"/>
    <n v="6.5"/>
    <n v="8.2311669240000001"/>
    <n v="-1.7311669240000001"/>
    <n v="900.5"/>
    <n v="978.72175319999997"/>
    <n v="-78.221753199999895"/>
    <n v="16"/>
    <n v="40"/>
    <n v="10000"/>
    <n v="0"/>
    <x v="39"/>
    <n v="211.29749501200001"/>
    <n v="18.209176863999989"/>
    <n v="229.50667187600001"/>
    <x v="1"/>
    <x v="0"/>
  </r>
  <r>
    <x v="94"/>
    <x v="3"/>
    <n v="0"/>
    <n v="0"/>
    <n v="0"/>
    <n v="0"/>
    <n v="0"/>
    <n v="0"/>
    <n v="0"/>
    <n v="0"/>
    <n v="0"/>
    <n v="0"/>
    <n v="49.255515029999998"/>
    <n v="0"/>
    <n v="2.3653872549999999"/>
    <n v="0"/>
    <n v="0"/>
    <n v="406.01022160000002"/>
    <n v="0"/>
    <n v="0"/>
    <n v="4.5"/>
    <n v="4.3515844220000002"/>
    <n v="0.14841557799999899"/>
    <n v="925.5"/>
    <n v="935.20860879999998"/>
    <n v="-9.7086087999999702"/>
    <n v="29"/>
    <n v="28"/>
    <n v="7500"/>
    <n v="0"/>
    <x v="2"/>
    <n v="199.05147061700001"/>
    <n v="8.036741200000308E-2"/>
    <n v="199.13183802900002"/>
    <x v="1"/>
    <x v="0"/>
  </r>
  <r>
    <x v="95"/>
    <x v="3"/>
    <n v="0"/>
    <n v="0"/>
    <n v="0"/>
    <n v="0"/>
    <n v="0"/>
    <n v="0"/>
    <n v="0"/>
    <n v="0"/>
    <n v="0"/>
    <n v="0"/>
    <n v="46.70183609"/>
    <n v="0"/>
    <n v="1.138724874"/>
    <n v="0"/>
    <n v="0"/>
    <n v="355.03243179999998"/>
    <n v="0"/>
    <n v="0"/>
    <n v="6.5"/>
    <n v="6.990935243"/>
    <n v="-0.49093524300000002"/>
    <n v="925.5"/>
    <n v="950.97773199999995"/>
    <n v="-25.4777319999999"/>
    <n v="17"/>
    <n v="38"/>
    <n v="7500"/>
    <n v="0"/>
    <x v="2"/>
    <n v="202.72989512700002"/>
    <n v="5.4933846579999903"/>
    <n v="208.22327978500002"/>
    <x v="1"/>
    <x v="0"/>
  </r>
  <r>
    <x v="96"/>
    <x v="3"/>
    <n v="0"/>
    <n v="0"/>
    <n v="0"/>
    <n v="0"/>
    <n v="0"/>
    <n v="0"/>
    <n v="0"/>
    <n v="0"/>
    <n v="0"/>
    <n v="0"/>
    <n v="53.61480246"/>
    <n v="0"/>
    <n v="1.7239678190000001"/>
    <n v="0"/>
    <n v="0"/>
    <n v="395.13540449999999"/>
    <n v="0"/>
    <n v="0"/>
    <n v="5.5"/>
    <n v="6.1387052769999997"/>
    <n v="-0.63870527699999902"/>
    <n v="825.5"/>
    <n v="863.15660349999996"/>
    <n v="-37.656603499999903"/>
    <n v="25"/>
    <n v="31"/>
    <n v="10000"/>
    <n v="0"/>
    <x v="2"/>
    <n v="199.812640606"/>
    <n v="7.5978920119999849"/>
    <n v="207.41053261799999"/>
    <x v="1"/>
    <x v="0"/>
  </r>
  <r>
    <x v="97"/>
    <x v="3"/>
    <n v="0"/>
    <n v="0"/>
    <n v="0"/>
    <n v="0"/>
    <n v="0"/>
    <n v="0"/>
    <n v="0"/>
    <n v="0"/>
    <n v="0"/>
    <n v="0"/>
    <n v="64.231886270000004"/>
    <n v="0"/>
    <n v="4.1379154949999997"/>
    <n v="0"/>
    <n v="0"/>
    <n v="564.34513059999995"/>
    <n v="0"/>
    <n v="0"/>
    <n v="6.5"/>
    <n v="7.6910078579999999"/>
    <n v="-1.1910078579999901"/>
    <n v="1000.5"/>
    <n v="1030.7824370000001"/>
    <n v="-30.282437000000002"/>
    <n v="2"/>
    <n v="56"/>
    <n v="1800"/>
    <n v="0"/>
    <x v="39"/>
    <n v="262.60224001300003"/>
    <n v="10.174290847999941"/>
    <n v="272.77653086099997"/>
    <x v="1"/>
    <x v="0"/>
  </r>
  <r>
    <x v="98"/>
    <x v="3"/>
    <n v="0"/>
    <n v="0"/>
    <n v="0"/>
    <n v="0"/>
    <n v="0"/>
    <n v="0"/>
    <n v="0"/>
    <n v="0"/>
    <n v="0"/>
    <n v="0"/>
    <n v="35.347358710000002"/>
    <n v="0"/>
    <n v="0.78411001300000005"/>
    <n v="0"/>
    <n v="0"/>
    <n v="246.12559060000001"/>
    <n v="0"/>
    <n v="0"/>
    <n v="4.5"/>
    <n v="5.3187264560000003"/>
    <n v="-0.81872645600000005"/>
    <n v="800.5"/>
    <n v="871.59981230000005"/>
    <n v="-71.099812299999996"/>
    <n v="76"/>
    <n v="7"/>
    <n v="12000"/>
    <n v="0"/>
    <x v="40"/>
    <n v="166.06323845900002"/>
    <n v="12.022339966000001"/>
    <n v="178.08557842500002"/>
    <x v="1"/>
    <x v="0"/>
  </r>
  <r>
    <x v="99"/>
    <x v="3"/>
    <n v="0"/>
    <n v="0"/>
    <n v="0"/>
    <n v="0"/>
    <n v="0"/>
    <n v="0"/>
    <n v="0"/>
    <n v="0"/>
    <n v="0"/>
    <n v="0"/>
    <n v="46.547634979999998"/>
    <n v="0"/>
    <n v="2.5368537679999998"/>
    <n v="0"/>
    <n v="0"/>
    <n v="391.30836740000001"/>
    <n v="0"/>
    <n v="0"/>
    <n v="7.5"/>
    <n v="5.9363907859999996"/>
    <n v="1.563609214"/>
    <n v="750.5"/>
    <n v="749.18884519999995"/>
    <n v="1.3111548000000499"/>
    <n v="43"/>
    <n v="19"/>
    <n v="6000"/>
    <n v="0"/>
    <x v="2"/>
    <n v="188.16300607400001"/>
    <n v="-9.5127707640000061"/>
    <n v="178.65023531"/>
    <x v="1"/>
    <x v="0"/>
  </r>
  <r>
    <x v="100"/>
    <x v="3"/>
    <n v="0"/>
    <n v="0"/>
    <n v="0"/>
    <n v="0"/>
    <n v="0"/>
    <n v="0"/>
    <n v="0"/>
    <n v="0"/>
    <n v="0"/>
    <n v="0"/>
    <n v="42.594751670000001"/>
    <n v="0"/>
    <n v="2.9044979299999998"/>
    <n v="0"/>
    <n v="0"/>
    <n v="299.5688371"/>
    <n v="0"/>
    <n v="0"/>
    <n v="6.5"/>
    <n v="6.704902637"/>
    <n v="-0.204902637"/>
    <n v="850.5"/>
    <n v="884.65459450000003"/>
    <n v="-34.154594500000002"/>
    <n v="41"/>
    <n v="21"/>
    <n v="15000"/>
    <n v="0"/>
    <x v="2"/>
    <n v="197.37612239700002"/>
    <n v="4.6448752720000002"/>
    <n v="202.02099766900002"/>
    <x v="1"/>
    <x v="0"/>
  </r>
  <r>
    <x v="101"/>
    <x v="3"/>
    <n v="0"/>
    <n v="0"/>
    <n v="0"/>
    <n v="0"/>
    <n v="0"/>
    <n v="0"/>
    <n v="0"/>
    <n v="0"/>
    <n v="0"/>
    <n v="0"/>
    <n v="43.198821160000001"/>
    <n v="0"/>
    <n v="1.848297775"/>
    <n v="0"/>
    <n v="0"/>
    <n v="342.65862090000002"/>
    <n v="0"/>
    <n v="0"/>
    <n v="5.5"/>
    <n v="4.4379902380000003"/>
    <n v="1.06200976199999"/>
    <n v="750.5"/>
    <n v="755.36764249999999"/>
    <n v="-4.8676424999999801"/>
    <n v="75"/>
    <n v="7"/>
    <n v="12000"/>
    <n v="0"/>
    <x v="2"/>
    <n v="169.11976499799999"/>
    <n v="-5.8852943219999414"/>
    <n v="163.23447067600006"/>
    <x v="1"/>
    <x v="0"/>
  </r>
  <r>
    <x v="102"/>
    <x v="3"/>
    <n v="0"/>
    <n v="0"/>
    <n v="0"/>
    <n v="0"/>
    <n v="0"/>
    <n v="0"/>
    <n v="0"/>
    <n v="0"/>
    <n v="0"/>
    <n v="0"/>
    <n v="32.110698020000001"/>
    <n v="0"/>
    <n v="1.090138643"/>
    <n v="0"/>
    <n v="0"/>
    <n v="216.677346"/>
    <n v="0"/>
    <n v="0"/>
    <n v="0"/>
    <n v="6.3246496329999999"/>
    <n v="0"/>
    <n v="575.5"/>
    <n v="752.22064030000001"/>
    <n v="-176.72064030000001"/>
    <n v="124"/>
    <n v="2"/>
    <n v="25000"/>
    <n v="0"/>
    <x v="41"/>
    <n v="157.43387729599999"/>
    <n v="17.672064030000001"/>
    <n v="175.10594132599999"/>
    <x v="1"/>
    <x v="0"/>
  </r>
  <r>
    <x v="103"/>
    <x v="3"/>
    <n v="0"/>
    <n v="0"/>
    <n v="0"/>
    <n v="0"/>
    <n v="0"/>
    <n v="0"/>
    <n v="0"/>
    <n v="0"/>
    <n v="0"/>
    <n v="0"/>
    <n v="67.826318470000004"/>
    <n v="0"/>
    <n v="1.8603031800000001"/>
    <n v="0"/>
    <n v="0"/>
    <n v="497.55178069999999"/>
    <n v="0"/>
    <n v="0"/>
    <n v="4.5"/>
    <n v="4.6353202370000002"/>
    <n v="-0.13532023700000001"/>
    <n v="625.5"/>
    <n v="752.84350099999995"/>
    <n v="-127.34350099999899"/>
    <n v="28"/>
    <n v="29"/>
    <n v="10000"/>
    <n v="0"/>
    <x v="42"/>
    <n v="197.926427907"/>
    <n v="13.5462715219999"/>
    <n v="211.4726994289999"/>
    <x v="1"/>
    <x v="0"/>
  </r>
  <r>
    <x v="104"/>
    <x v="3"/>
    <n v="0"/>
    <n v="0"/>
    <n v="0"/>
    <n v="0"/>
    <n v="0"/>
    <n v="0"/>
    <n v="0"/>
    <n v="0"/>
    <n v="0"/>
    <n v="0"/>
    <n v="41.314067809999997"/>
    <n v="0"/>
    <n v="1.4462940520000001"/>
    <n v="0"/>
    <n v="0"/>
    <n v="319.72616249999999"/>
    <n v="0"/>
    <n v="0"/>
    <n v="8.5"/>
    <n v="9.7820691350000004"/>
    <n v="-1.282069135"/>
    <n v="1075.5"/>
    <n v="1174.858017"/>
    <n v="-99.358017000000004"/>
    <n v="9"/>
    <n v="51"/>
    <n v="2800"/>
    <n v="0"/>
    <x v="43"/>
    <n v="237.48563097700003"/>
    <n v="17.628216510000001"/>
    <n v="255.11384748700004"/>
    <x v="1"/>
    <x v="0"/>
  </r>
  <r>
    <x v="105"/>
    <x v="3"/>
    <n v="0"/>
    <n v="0"/>
    <n v="0"/>
    <n v="0"/>
    <n v="0"/>
    <n v="0"/>
    <n v="0"/>
    <n v="0"/>
    <n v="0"/>
    <n v="0"/>
    <n v="46.040619100000001"/>
    <n v="0"/>
    <n v="2.3757154420000002"/>
    <n v="0"/>
    <n v="0"/>
    <n v="360.34718420000002"/>
    <n v="0"/>
    <n v="0"/>
    <n v="7.5"/>
    <n v="8.7860475289999993"/>
    <n v="-1.28604752899999"/>
    <n v="1000.5"/>
    <n v="1044.3385060000001"/>
    <n v="-43.838506000000002"/>
    <n v="10"/>
    <n v="50"/>
    <n v="2200"/>
    <n v="0"/>
    <x v="39"/>
    <n v="230.45945639600001"/>
    <n v="12.100135773999941"/>
    <n v="242.55959216999995"/>
    <x v="1"/>
    <x v="0"/>
  </r>
  <r>
    <x v="106"/>
    <x v="3"/>
    <n v="0"/>
    <n v="0"/>
    <n v="0"/>
    <n v="0"/>
    <n v="0"/>
    <n v="0"/>
    <n v="0"/>
    <n v="0"/>
    <n v="0"/>
    <n v="0"/>
    <n v="42.015658889999997"/>
    <n v="0"/>
    <n v="1.5267205349999999"/>
    <n v="0"/>
    <n v="0"/>
    <n v="325.44137979999999"/>
    <n v="0"/>
    <n v="0"/>
    <n v="7.5"/>
    <n v="6.6993324489999999"/>
    <n v="0.80066755099999998"/>
    <n v="950.5"/>
    <n v="959.48837860000003"/>
    <n v="-8.9883786000000292"/>
    <n v="30"/>
    <n v="27"/>
    <n v="12000"/>
    <n v="0"/>
    <x v="2"/>
    <n v="198.85712318899999"/>
    <n v="-3.9051674459999965"/>
    <n v="194.95195574299998"/>
    <x v="1"/>
    <x v="0"/>
  </r>
  <r>
    <x v="107"/>
    <x v="3"/>
    <n v="0"/>
    <n v="0"/>
    <n v="0"/>
    <n v="0"/>
    <n v="0"/>
    <n v="0"/>
    <n v="0"/>
    <n v="0"/>
    <n v="0"/>
    <n v="0"/>
    <n v="27.22548591"/>
    <n v="0"/>
    <n v="1.1151121770000001"/>
    <n v="0"/>
    <n v="0"/>
    <n v="223.2960191"/>
    <n v="0"/>
    <n v="0"/>
    <n v="10.5"/>
    <n v="11.48918877"/>
    <n v="-0.98918877000000005"/>
    <n v="975.5"/>
    <n v="1060.2649550000001"/>
    <n v="-84.7649550000001"/>
    <n v="24"/>
    <n v="32"/>
    <n v="5000"/>
    <n v="0"/>
    <x v="44"/>
    <n v="217.59464604700003"/>
    <n v="14.41162812000001"/>
    <n v="232.00627416700004"/>
    <x v="1"/>
    <x v="0"/>
  </r>
  <r>
    <x v="108"/>
    <x v="3"/>
    <n v="0"/>
    <n v="0"/>
    <n v="0"/>
    <n v="0"/>
    <n v="0"/>
    <n v="0"/>
    <n v="0"/>
    <n v="0"/>
    <n v="0"/>
    <n v="0"/>
    <n v="34.82745671"/>
    <n v="0"/>
    <n v="1.387834107"/>
    <n v="0"/>
    <n v="0"/>
    <n v="249.2422631"/>
    <n v="0"/>
    <n v="0"/>
    <n v="5.5"/>
    <n v="5.1275603729999997"/>
    <n v="0.372439627"/>
    <n v="725.5"/>
    <n v="831.59694139999999"/>
    <n v="-106.096941399999"/>
    <n v="72"/>
    <n v="8"/>
    <n v="12000"/>
    <n v="0"/>
    <x v="2"/>
    <n v="164.590015685"/>
    <n v="8.3750563779999005"/>
    <n v="172.96507206299989"/>
    <x v="1"/>
    <x v="0"/>
  </r>
  <r>
    <x v="109"/>
    <x v="3"/>
    <n v="0"/>
    <n v="0"/>
    <n v="0"/>
    <n v="0"/>
    <n v="0"/>
    <n v="0"/>
    <n v="0"/>
    <n v="0"/>
    <n v="0"/>
    <n v="0"/>
    <n v="38.095198109999998"/>
    <n v="0"/>
    <n v="1.013365072"/>
    <n v="0"/>
    <n v="0"/>
    <n v="245.5219361"/>
    <n v="0"/>
    <n v="0"/>
    <n v="5.5"/>
    <n v="5.110948789"/>
    <n v="0.38905121099999901"/>
    <n v="775.5"/>
    <n v="742.75700080000001"/>
    <n v="32.7429991999999"/>
    <n v="101"/>
    <n v="3"/>
    <n v="15000"/>
    <n v="0"/>
    <x v="2"/>
    <n v="154.62137591100003"/>
    <n v="-5.6086071859999844"/>
    <n v="149.01276872500006"/>
    <x v="1"/>
    <x v="0"/>
  </r>
  <r>
    <x v="110"/>
    <x v="3"/>
    <n v="0"/>
    <n v="0"/>
    <n v="0"/>
    <n v="0"/>
    <n v="0"/>
    <n v="0"/>
    <n v="0"/>
    <n v="0"/>
    <n v="0"/>
    <n v="0"/>
    <n v="30.334626"/>
    <n v="0"/>
    <n v="1.04865078"/>
    <n v="0"/>
    <n v="0"/>
    <n v="206.603396"/>
    <n v="0"/>
    <n v="0"/>
    <n v="6.5"/>
    <n v="5.5886300020000004"/>
    <n v="0.91136999799999896"/>
    <n v="700.5"/>
    <n v="646.75282960000004"/>
    <n v="53.747170399999902"/>
    <n v="126"/>
    <n v="2"/>
    <n v="0"/>
    <n v="0"/>
    <x v="45"/>
    <n v="140.326620252"/>
    <n v="-10.842937027999984"/>
    <n v="129.483683224"/>
    <x v="1"/>
    <x v="0"/>
  </r>
  <r>
    <x v="111"/>
    <x v="2"/>
    <n v="0"/>
    <n v="0"/>
    <n v="0"/>
    <n v="0"/>
    <n v="0"/>
    <n v="0"/>
    <n v="0"/>
    <n v="0"/>
    <n v="0"/>
    <n v="62.5"/>
    <n v="60.375152890000003"/>
    <n v="0"/>
    <n v="3.6154112669999998"/>
    <n v="0"/>
    <n v="0"/>
    <n v="720.36365179999996"/>
    <n v="0"/>
    <n v="2.1248471099999899"/>
    <n v="0"/>
    <n v="0"/>
    <n v="0"/>
    <n v="0"/>
    <n v="0"/>
    <n v="0"/>
    <n v="160"/>
    <n v="1"/>
    <n v="20000"/>
    <n v="0"/>
    <x v="2"/>
    <n v="123.916409227"/>
    <n v="-1.062423554999995"/>
    <n v="122.85398567200001"/>
    <x v="1"/>
    <x v="0"/>
  </r>
  <r>
    <x v="112"/>
    <x v="0"/>
    <n v="0"/>
    <n v="12.56713358"/>
    <n v="0"/>
    <n v="0"/>
    <n v="15.577754260000001"/>
    <n v="0"/>
    <n v="0"/>
    <n v="3203.5242410000001"/>
    <n v="0"/>
    <n v="0"/>
    <n v="0"/>
    <n v="0"/>
    <n v="0"/>
    <n v="0"/>
    <n v="0"/>
    <n v="0"/>
    <n v="0"/>
    <n v="0"/>
    <n v="0"/>
    <n v="2.3699670089999998"/>
    <n v="0"/>
    <n v="0"/>
    <n v="308.82247580000001"/>
    <n v="0"/>
    <n v="386"/>
    <n v="0"/>
    <n v="30000"/>
    <n v="2000"/>
    <x v="2"/>
    <n v="210.41976915400005"/>
    <n v="0"/>
    <n v="210.41976915400005"/>
    <x v="0"/>
    <x v="0"/>
  </r>
  <r>
    <x v="113"/>
    <x v="3"/>
    <n v="0"/>
    <n v="0"/>
    <n v="0"/>
    <n v="0"/>
    <n v="0"/>
    <n v="0"/>
    <n v="0"/>
    <n v="0"/>
    <n v="0"/>
    <n v="0"/>
    <n v="16.532312579999999"/>
    <n v="0"/>
    <n v="0.71061741099999998"/>
    <n v="0"/>
    <n v="0"/>
    <n v="116.4293303"/>
    <n v="0"/>
    <n v="0"/>
    <n v="0"/>
    <n v="1.4275378999999999"/>
    <n v="0"/>
    <n v="0"/>
    <n v="244.21154949999999"/>
    <n v="0"/>
    <n v="204"/>
    <n v="1"/>
    <n v="0"/>
    <n v="6000"/>
    <x v="2"/>
    <n v="57.159176135999999"/>
    <n v="0"/>
    <n v="57.159176135999999"/>
    <x v="1"/>
    <x v="0"/>
  </r>
  <r>
    <x v="114"/>
    <x v="2"/>
    <n v="0"/>
    <n v="0"/>
    <n v="0"/>
    <n v="0"/>
    <n v="0"/>
    <n v="0"/>
    <n v="0"/>
    <n v="0"/>
    <n v="0"/>
    <n v="0"/>
    <n v="45.986977090000003"/>
    <n v="0"/>
    <n v="3.3478108419999999"/>
    <n v="0"/>
    <n v="0"/>
    <n v="638.11252560000003"/>
    <n v="0"/>
    <n v="0"/>
    <n v="0"/>
    <n v="0"/>
    <n v="0"/>
    <n v="0"/>
    <n v="0"/>
    <n v="0"/>
    <n v="189"/>
    <n v="1"/>
    <n v="30000"/>
    <n v="7500"/>
    <x v="2"/>
    <n v="106.89160615700001"/>
    <n v="0"/>
    <n v="106.89160615700001"/>
    <x v="1"/>
    <x v="0"/>
  </r>
  <r>
    <x v="115"/>
    <x v="2"/>
    <n v="0"/>
    <n v="0"/>
    <n v="0"/>
    <n v="0"/>
    <n v="0"/>
    <n v="0"/>
    <n v="0"/>
    <n v="0"/>
    <n v="0"/>
    <n v="0"/>
    <n v="30.196847890000001"/>
    <n v="0"/>
    <n v="2.1414665620000002"/>
    <n v="0"/>
    <n v="0"/>
    <n v="335.33298389999999"/>
    <n v="0"/>
    <n v="0"/>
    <n v="0"/>
    <n v="0.45192023399999998"/>
    <n v="0"/>
    <n v="0"/>
    <n v="53.919125229999999"/>
    <n v="0"/>
    <n v="334"/>
    <n v="0"/>
    <n v="0"/>
    <n v="7500"/>
    <x v="2"/>
    <n v="69.583955634000006"/>
    <n v="0"/>
    <n v="69.583955634000006"/>
    <x v="1"/>
    <x v="0"/>
  </r>
  <r>
    <x v="116"/>
    <x v="3"/>
    <n v="0"/>
    <n v="0"/>
    <n v="0"/>
    <n v="0"/>
    <n v="0"/>
    <n v="0"/>
    <n v="0"/>
    <n v="0"/>
    <n v="0"/>
    <n v="0"/>
    <n v="25.647238000000002"/>
    <n v="0"/>
    <n v="0.83653710100000001"/>
    <n v="0"/>
    <n v="0"/>
    <n v="181.73639700000001"/>
    <n v="0"/>
    <n v="0"/>
    <n v="0"/>
    <n v="3.2924050920000001"/>
    <n v="0"/>
    <n v="0"/>
    <n v="556.0722657"/>
    <n v="0"/>
    <n v="181"/>
    <n v="1"/>
    <n v="0"/>
    <n v="7500"/>
    <x v="2"/>
    <n v="111.378138428"/>
    <n v="0"/>
    <n v="111.378138428"/>
    <x v="1"/>
    <x v="0"/>
  </r>
  <r>
    <x v="117"/>
    <x v="2"/>
    <n v="0"/>
    <n v="0"/>
    <n v="0"/>
    <n v="0"/>
    <n v="0"/>
    <n v="0"/>
    <n v="0"/>
    <n v="0"/>
    <n v="0"/>
    <n v="0"/>
    <n v="26.554466340000001"/>
    <n v="0"/>
    <n v="1.953508636"/>
    <n v="0"/>
    <n v="0"/>
    <n v="309.4201142"/>
    <n v="0"/>
    <n v="0"/>
    <n v="0"/>
    <n v="0"/>
    <n v="0"/>
    <n v="0"/>
    <n v="0"/>
    <n v="0"/>
    <n v="420"/>
    <n v="0"/>
    <n v="0"/>
    <n v="7500"/>
    <x v="2"/>
    <n v="55.940296406000002"/>
    <n v="0"/>
    <n v="55.940296406000002"/>
    <x v="1"/>
    <x v="0"/>
  </r>
  <r>
    <x v="118"/>
    <x v="3"/>
    <n v="0"/>
    <n v="0"/>
    <n v="0"/>
    <n v="0"/>
    <n v="0"/>
    <n v="0"/>
    <n v="0"/>
    <n v="0"/>
    <n v="0"/>
    <n v="0"/>
    <n v="17.691747159999998"/>
    <n v="0"/>
    <n v="0.67052919899999996"/>
    <n v="0"/>
    <n v="0"/>
    <n v="129.6048831"/>
    <n v="0"/>
    <n v="0"/>
    <n v="0"/>
    <n v="4.2209609099999996"/>
    <n v="0"/>
    <n v="0"/>
    <n v="563.15569519999997"/>
    <n v="0"/>
    <n v="182"/>
    <n v="1"/>
    <n v="20000"/>
    <n v="7500"/>
    <x v="2"/>
    <n v="107.47087206399999"/>
    <n v="0"/>
    <n v="107.47087206399999"/>
    <x v="1"/>
    <x v="0"/>
  </r>
  <r>
    <x v="119"/>
    <x v="2"/>
    <n v="0"/>
    <n v="0"/>
    <n v="0"/>
    <n v="0"/>
    <n v="0"/>
    <n v="0"/>
    <n v="0"/>
    <n v="0"/>
    <n v="0"/>
    <n v="0"/>
    <n v="55.881329970000003"/>
    <n v="0"/>
    <n v="2.9222094470000002"/>
    <n v="0"/>
    <n v="0"/>
    <n v="695.75820720000002"/>
    <n v="0"/>
    <n v="0"/>
    <n v="0"/>
    <n v="0"/>
    <n v="0"/>
    <n v="0"/>
    <n v="0"/>
    <n v="0"/>
    <n v="162"/>
    <n v="1"/>
    <n v="0"/>
    <n v="10000"/>
    <x v="2"/>
    <n v="115.04974238700001"/>
    <n v="0"/>
    <n v="115.04974238700001"/>
    <x v="1"/>
    <x v="0"/>
  </r>
  <r>
    <x v="120"/>
    <x v="0"/>
    <n v="0"/>
    <n v="1.8625164999999999"/>
    <n v="0"/>
    <n v="0"/>
    <n v="3.5516003469999999"/>
    <n v="0"/>
    <n v="0"/>
    <n v="470.29901860000001"/>
    <n v="0"/>
    <n v="0"/>
    <n v="0"/>
    <n v="0"/>
    <n v="0"/>
    <n v="0"/>
    <n v="0"/>
    <n v="0"/>
    <n v="0"/>
    <n v="0"/>
    <n v="0"/>
    <n v="0.18874587700000001"/>
    <n v="0"/>
    <n v="0"/>
    <n v="15.360693380000001"/>
    <n v="0"/>
    <n v="450"/>
    <n v="0"/>
    <n v="20000"/>
    <n v="10000"/>
    <x v="2"/>
    <n v="31.961873732000001"/>
    <n v="0"/>
    <n v="31.961873732000001"/>
    <x v="0"/>
    <x v="0"/>
  </r>
  <r>
    <x v="121"/>
    <x v="3"/>
    <n v="0"/>
    <n v="0"/>
    <n v="0"/>
    <n v="0"/>
    <n v="0"/>
    <n v="0"/>
    <n v="0"/>
    <n v="0"/>
    <n v="0"/>
    <n v="0"/>
    <n v="23.619981419999998"/>
    <n v="0"/>
    <n v="0.83119949400000004"/>
    <n v="0"/>
    <n v="0"/>
    <n v="174.000023"/>
    <n v="0"/>
    <n v="0"/>
    <n v="0"/>
    <n v="4.8356369020000001"/>
    <n v="0"/>
    <n v="0"/>
    <n v="656.35878530000002"/>
    <n v="0"/>
    <n v="128"/>
    <n v="2"/>
    <n v="0"/>
    <n v="10000"/>
    <x v="2"/>
    <n v="128.84688991600001"/>
    <n v="0"/>
    <n v="128.84688991600001"/>
    <x v="1"/>
    <x v="0"/>
  </r>
  <r>
    <x v="122"/>
    <x v="3"/>
    <n v="0"/>
    <n v="0"/>
    <n v="0"/>
    <n v="0"/>
    <n v="0"/>
    <n v="0"/>
    <n v="0"/>
    <n v="0"/>
    <n v="0"/>
    <n v="0"/>
    <n v="13.086808980000001"/>
    <n v="0"/>
    <n v="0.56454516399999999"/>
    <n v="0"/>
    <n v="0"/>
    <n v="93.326489280000004"/>
    <n v="0"/>
    <n v="0"/>
    <n v="0"/>
    <n v="2.6793903999999999"/>
    <n v="0"/>
    <n v="0"/>
    <n v="338.73691769999999"/>
    <n v="0"/>
    <n v="325"/>
    <n v="0"/>
    <n v="0"/>
    <n v="10000"/>
    <x v="2"/>
    <n v="69.213358572000004"/>
    <n v="0"/>
    <n v="69.213358572000004"/>
    <x v="1"/>
    <x v="0"/>
  </r>
  <r>
    <x v="123"/>
    <x v="3"/>
    <n v="0"/>
    <n v="0"/>
    <n v="0"/>
    <n v="0"/>
    <n v="0"/>
    <n v="0"/>
    <n v="0"/>
    <n v="0"/>
    <n v="0"/>
    <n v="0"/>
    <n v="12.50927555"/>
    <n v="0"/>
    <n v="0.49851373700000001"/>
    <n v="0"/>
    <n v="0"/>
    <n v="90.289441460000006"/>
    <n v="0"/>
    <n v="0"/>
    <n v="0"/>
    <n v="1.494482571"/>
    <n v="0"/>
    <n v="0"/>
    <n v="225.9791085"/>
    <n v="0"/>
    <n v="201"/>
    <n v="1"/>
    <n v="0"/>
    <n v="10000"/>
    <x v="2"/>
    <n v="49.839470619000004"/>
    <n v="0"/>
    <n v="49.839470619000004"/>
    <x v="1"/>
    <x v="0"/>
  </r>
  <r>
    <x v="124"/>
    <x v="2"/>
    <n v="0"/>
    <n v="0"/>
    <n v="0"/>
    <n v="0"/>
    <n v="0"/>
    <n v="0"/>
    <n v="0"/>
    <n v="0"/>
    <n v="0"/>
    <n v="0"/>
    <n v="33.15138735"/>
    <n v="0"/>
    <n v="2.0108440349999999"/>
    <n v="0"/>
    <n v="0"/>
    <n v="420.69197559999998"/>
    <n v="0"/>
    <n v="0"/>
    <n v="0"/>
    <n v="0"/>
    <n v="0"/>
    <n v="0"/>
    <n v="0"/>
    <n v="0"/>
    <n v="333"/>
    <n v="0"/>
    <n v="30000"/>
    <n v="12000"/>
    <x v="2"/>
    <n v="70.709955444999991"/>
    <n v="0"/>
    <n v="70.709955444999991"/>
    <x v="1"/>
    <x v="0"/>
  </r>
  <r>
    <x v="125"/>
    <x v="3"/>
    <n v="0"/>
    <n v="0"/>
    <n v="0"/>
    <n v="0"/>
    <n v="0"/>
    <n v="0"/>
    <n v="0"/>
    <n v="0"/>
    <n v="0"/>
    <n v="0"/>
    <n v="16.71612373"/>
    <n v="0"/>
    <n v="0.56707874999999996"/>
    <n v="0"/>
    <n v="0"/>
    <n v="120.4386822"/>
    <n v="0"/>
    <n v="0"/>
    <n v="0"/>
    <n v="1.1905374010000001"/>
    <n v="0"/>
    <n v="0"/>
    <n v="205.33974230000001"/>
    <n v="0"/>
    <n v="347"/>
    <n v="0"/>
    <n v="0"/>
    <n v="15000"/>
    <x v="2"/>
    <n v="51.481601221000005"/>
    <n v="0"/>
    <n v="51.481601221000005"/>
    <x v="1"/>
    <x v="0"/>
  </r>
  <r>
    <x v="126"/>
    <x v="0"/>
    <n v="0"/>
    <n v="1.5516168349999999"/>
    <n v="0"/>
    <n v="0"/>
    <n v="2.798411958"/>
    <n v="0"/>
    <n v="0"/>
    <n v="473.37704450000001"/>
    <n v="0"/>
    <n v="0"/>
    <n v="0"/>
    <n v="0"/>
    <n v="0"/>
    <n v="0"/>
    <n v="0"/>
    <n v="0"/>
    <n v="0"/>
    <n v="0"/>
    <n v="0"/>
    <n v="0.18832575800000001"/>
    <n v="0"/>
    <n v="0"/>
    <n v="24.365169179999999"/>
    <n v="0"/>
    <n v="1033"/>
    <n v="0"/>
    <n v="0"/>
    <n v="15000"/>
    <x v="2"/>
    <n v="30.591967407999999"/>
    <n v="0"/>
    <n v="30.591967407999999"/>
    <x v="0"/>
    <x v="1"/>
  </r>
  <r>
    <x v="127"/>
    <x v="2"/>
    <n v="0"/>
    <n v="0"/>
    <n v="0"/>
    <n v="0"/>
    <n v="0"/>
    <n v="0"/>
    <n v="0"/>
    <n v="0"/>
    <n v="0"/>
    <n v="0"/>
    <n v="24.814561789999999"/>
    <n v="0"/>
    <n v="1.6775248199999999"/>
    <n v="0"/>
    <n v="0"/>
    <n v="318.60201360000002"/>
    <n v="0"/>
    <n v="0"/>
    <n v="0"/>
    <n v="0"/>
    <n v="0"/>
    <n v="0"/>
    <n v="0"/>
    <n v="0"/>
    <n v="980"/>
    <n v="0"/>
    <n v="0"/>
    <n v="15000"/>
    <x v="2"/>
    <n v="54.332631175000003"/>
    <n v="0"/>
    <n v="54.332631175000003"/>
    <x v="1"/>
    <x v="0"/>
  </r>
  <r>
    <x v="128"/>
    <x v="2"/>
    <n v="0"/>
    <n v="0"/>
    <n v="0"/>
    <n v="0"/>
    <n v="0"/>
    <n v="0"/>
    <n v="0"/>
    <n v="0"/>
    <n v="0"/>
    <n v="0"/>
    <n v="26.531712089999999"/>
    <n v="0"/>
    <n v="2.43197017"/>
    <n v="0"/>
    <n v="0"/>
    <n v="352.6883244"/>
    <n v="0"/>
    <n v="0"/>
    <n v="0"/>
    <n v="0.27278292500000001"/>
    <n v="0"/>
    <n v="0"/>
    <n v="28.969495389999999"/>
    <n v="0"/>
    <n v="370"/>
    <n v="0"/>
    <n v="0"/>
    <n v="15000"/>
    <x v="2"/>
    <n v="67.660156594"/>
    <n v="0"/>
    <n v="67.660156594"/>
    <x v="1"/>
    <x v="0"/>
  </r>
  <r>
    <x v="129"/>
    <x v="2"/>
    <n v="0"/>
    <n v="0"/>
    <n v="0"/>
    <n v="0"/>
    <n v="0"/>
    <n v="0"/>
    <n v="0"/>
    <n v="0"/>
    <n v="0"/>
    <n v="0"/>
    <n v="43.480784249999999"/>
    <n v="0"/>
    <n v="3.2799893980000001"/>
    <n v="0"/>
    <n v="0"/>
    <n v="534.88746760000004"/>
    <n v="0"/>
    <n v="0"/>
    <n v="0"/>
    <n v="0"/>
    <n v="0"/>
    <n v="0"/>
    <n v="0"/>
    <n v="0"/>
    <n v="305"/>
    <n v="0"/>
    <n v="0"/>
    <n v="15000"/>
    <x v="2"/>
    <n v="94.909075273000013"/>
    <n v="0"/>
    <n v="94.909075273000013"/>
    <x v="1"/>
    <x v="0"/>
  </r>
  <r>
    <x v="130"/>
    <x v="3"/>
    <n v="0"/>
    <n v="0"/>
    <n v="0"/>
    <n v="0"/>
    <n v="0"/>
    <n v="0"/>
    <n v="0"/>
    <n v="0"/>
    <n v="0"/>
    <n v="0"/>
    <n v="5.5566164569999996"/>
    <n v="0"/>
    <n v="0.25349841299999998"/>
    <n v="0"/>
    <n v="0"/>
    <n v="40.638663080000001"/>
    <n v="0"/>
    <n v="0"/>
    <n v="0"/>
    <n v="1.629401943"/>
    <n v="0"/>
    <n v="0"/>
    <n v="196.37596919999999"/>
    <n v="0"/>
    <n v="398"/>
    <n v="0"/>
    <n v="0"/>
    <n v="15000"/>
    <x v="2"/>
    <n v="37.777173592500006"/>
    <n v="0"/>
    <n v="37.777173592500006"/>
    <x v="1"/>
    <x v="0"/>
  </r>
  <r>
    <x v="131"/>
    <x v="2"/>
    <n v="0"/>
    <n v="0"/>
    <n v="0"/>
    <n v="0"/>
    <n v="0"/>
    <n v="0"/>
    <n v="0"/>
    <n v="0"/>
    <n v="0"/>
    <n v="0"/>
    <n v="12.64299555"/>
    <n v="0"/>
    <n v="1.0587296349999999"/>
    <n v="0"/>
    <n v="0"/>
    <n v="152.3419164"/>
    <n v="0"/>
    <n v="0"/>
    <n v="0"/>
    <n v="0"/>
    <n v="0"/>
    <n v="0"/>
    <n v="0"/>
    <n v="0"/>
    <n v="1013"/>
    <n v="0"/>
    <n v="30000"/>
    <n v="15000"/>
    <x v="2"/>
    <n v="27.908067225000003"/>
    <n v="0"/>
    <n v="27.908067225000003"/>
    <x v="1"/>
    <x v="0"/>
  </r>
  <r>
    <x v="132"/>
    <x v="3"/>
    <n v="0"/>
    <n v="0"/>
    <n v="0"/>
    <n v="0"/>
    <n v="0"/>
    <n v="0"/>
    <n v="0"/>
    <n v="0"/>
    <n v="0"/>
    <n v="0"/>
    <n v="3.8366240920000001"/>
    <n v="0"/>
    <n v="0.15855531"/>
    <n v="0"/>
    <n v="0"/>
    <n v="27.009182089999999"/>
    <n v="0"/>
    <n v="0"/>
    <n v="0"/>
    <n v="0.78908621999999995"/>
    <n v="0"/>
    <n v="0"/>
    <n v="145.2251478"/>
    <n v="0"/>
    <n v="438"/>
    <n v="0"/>
    <n v="0"/>
    <n v="15000"/>
    <x v="2"/>
    <n v="24.827594215000001"/>
    <n v="0"/>
    <n v="24.827594215000001"/>
    <x v="1"/>
    <x v="0"/>
  </r>
  <r>
    <x v="133"/>
    <x v="3"/>
    <n v="0"/>
    <n v="0"/>
    <n v="0"/>
    <n v="0"/>
    <n v="0"/>
    <n v="0"/>
    <n v="0"/>
    <n v="0"/>
    <n v="0"/>
    <n v="0"/>
    <n v="26.596670199999998"/>
    <n v="0"/>
    <n v="1.0567618320000001"/>
    <n v="0"/>
    <n v="0"/>
    <n v="193.06928679999999"/>
    <n v="0"/>
    <n v="0"/>
    <n v="0"/>
    <n v="2.3585781730000002"/>
    <n v="0"/>
    <n v="0"/>
    <n v="447.14397750000001"/>
    <n v="0"/>
    <n v="187"/>
    <n v="1"/>
    <n v="0"/>
    <n v="15000"/>
    <x v="2"/>
    <n v="97.811701560000003"/>
    <n v="0"/>
    <n v="97.811701560000003"/>
    <x v="1"/>
    <x v="0"/>
  </r>
  <r>
    <x v="134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00"/>
    <x v="2"/>
    <n v="0"/>
    <n v="0"/>
    <n v="0"/>
    <x v="1"/>
    <x v="0"/>
  </r>
  <r>
    <x v="135"/>
    <x v="1"/>
    <n v="0"/>
    <n v="0"/>
    <n v="0"/>
    <n v="0"/>
    <n v="0"/>
    <n v="0"/>
    <n v="0"/>
    <n v="0"/>
    <n v="0"/>
    <n v="0"/>
    <n v="32.217311109999997"/>
    <n v="0"/>
    <n v="1.6831501900000001"/>
    <n v="0"/>
    <n v="0"/>
    <n v="324.39804789999999"/>
    <n v="0"/>
    <n v="0"/>
    <n v="0"/>
    <n v="0"/>
    <n v="0"/>
    <n v="0"/>
    <n v="0"/>
    <n v="0"/>
    <n v="416"/>
    <n v="0"/>
    <n v="0"/>
    <n v="15000"/>
    <x v="2"/>
    <n v="58.647361485000005"/>
    <n v="0"/>
    <n v="58.647361485000005"/>
    <x v="1"/>
    <x v="0"/>
  </r>
  <r>
    <x v="136"/>
    <x v="3"/>
    <n v="0"/>
    <n v="0"/>
    <n v="0"/>
    <n v="0"/>
    <n v="0"/>
    <n v="0"/>
    <n v="0"/>
    <n v="0"/>
    <n v="0"/>
    <n v="0"/>
    <n v="3.6059747720000002"/>
    <n v="0"/>
    <n v="0.16803414999999999"/>
    <n v="0"/>
    <n v="0"/>
    <n v="25.909061399999999"/>
    <n v="0"/>
    <n v="0"/>
    <n v="0"/>
    <n v="0.48278763699999999"/>
    <n v="0"/>
    <n v="0"/>
    <n v="70.198910359999999"/>
    <n v="0"/>
    <n v="1068"/>
    <n v="0"/>
    <n v="0"/>
    <n v="20000"/>
    <x v="2"/>
    <n v="15.318715284000001"/>
    <n v="0"/>
    <n v="15.318715284000001"/>
    <x v="1"/>
    <x v="0"/>
  </r>
  <r>
    <x v="137"/>
    <x v="1"/>
    <n v="0"/>
    <n v="0"/>
    <n v="0"/>
    <n v="0"/>
    <n v="0"/>
    <n v="0"/>
    <n v="0"/>
    <n v="0"/>
    <n v="0"/>
    <n v="0"/>
    <n v="3.5872662040000001"/>
    <n v="0"/>
    <n v="0.20038645099999999"/>
    <n v="0"/>
    <n v="0"/>
    <n v="36.267151820000002"/>
    <n v="0"/>
    <n v="0"/>
    <n v="0"/>
    <n v="0"/>
    <n v="0"/>
    <n v="0"/>
    <n v="0"/>
    <n v="0"/>
    <n v="1121"/>
    <n v="0"/>
    <n v="0"/>
    <n v="20000"/>
    <x v="2"/>
    <n v="6.6226669900000008"/>
    <n v="0"/>
    <n v="6.6226669900000008"/>
    <x v="1"/>
    <x v="0"/>
  </r>
  <r>
    <x v="138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"/>
    <x v="2"/>
    <n v="0"/>
    <n v="0"/>
    <n v="0"/>
    <x v="1"/>
    <x v="0"/>
  </r>
  <r>
    <x v="139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"/>
    <x v="2"/>
    <n v="0"/>
    <n v="0"/>
    <n v="0"/>
    <x v="1"/>
    <x v="0"/>
  </r>
  <r>
    <x v="140"/>
    <x v="1"/>
    <n v="0"/>
    <n v="0"/>
    <n v="0"/>
    <n v="0"/>
    <n v="0"/>
    <n v="0"/>
    <n v="0"/>
    <n v="0"/>
    <n v="0"/>
    <n v="0"/>
    <n v="35.92818801"/>
    <n v="0"/>
    <n v="2.027574574"/>
    <n v="0"/>
    <n v="0"/>
    <n v="349.9881934"/>
    <n v="0"/>
    <n v="0"/>
    <n v="0"/>
    <n v="0"/>
    <n v="0"/>
    <n v="0"/>
    <n v="0"/>
    <n v="0"/>
    <n v="413"/>
    <n v="0"/>
    <n v="0"/>
    <n v="20000"/>
    <x v="2"/>
    <n v="65.128360788999998"/>
    <n v="0"/>
    <n v="65.128360788999998"/>
    <x v="1"/>
    <x v="0"/>
  </r>
  <r>
    <x v="14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42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43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039248099999998"/>
    <n v="0"/>
    <n v="0"/>
    <n v="32.167393599999997"/>
    <n v="0"/>
    <n v="1140"/>
    <n v="0"/>
    <n v="0"/>
    <n v="25000"/>
    <x v="2"/>
    <n v="4.9590942459999994"/>
    <n v="0"/>
    <n v="4.9590942459999994"/>
    <x v="1"/>
    <x v="0"/>
  </r>
  <r>
    <x v="144"/>
    <x v="3"/>
    <n v="0"/>
    <n v="0"/>
    <n v="0"/>
    <n v="0"/>
    <n v="0"/>
    <n v="0"/>
    <n v="0"/>
    <n v="0"/>
    <n v="0"/>
    <n v="0"/>
    <n v="12.966582819999999"/>
    <n v="0"/>
    <n v="0.54319423899999997"/>
    <n v="0"/>
    <n v="0"/>
    <n v="94.036189980000003"/>
    <n v="0"/>
    <n v="0"/>
    <n v="0"/>
    <n v="2.4745566729999999"/>
    <n v="0"/>
    <n v="0"/>
    <n v="351.01139879999999"/>
    <n v="0"/>
    <n v="203"/>
    <n v="1"/>
    <n v="0"/>
    <n v="25000"/>
    <x v="2"/>
    <n v="69.094555759999992"/>
    <n v="0"/>
    <n v="69.094555759999992"/>
    <x v="1"/>
    <x v="0"/>
  </r>
  <r>
    <x v="145"/>
    <x v="3"/>
    <n v="0"/>
    <n v="0"/>
    <n v="0"/>
    <n v="0"/>
    <n v="0"/>
    <n v="0"/>
    <n v="0"/>
    <n v="0"/>
    <n v="0"/>
    <n v="0"/>
    <n v="8.9105280219999994"/>
    <n v="0"/>
    <n v="0.382857685"/>
    <n v="0"/>
    <n v="0"/>
    <n v="63.106771430000002"/>
    <n v="0"/>
    <n v="0"/>
    <n v="0"/>
    <n v="1.789062948"/>
    <n v="0"/>
    <n v="0"/>
    <n v="276.19039559999999"/>
    <n v="0"/>
    <n v="352"/>
    <n v="0"/>
    <n v="0"/>
    <n v="25000"/>
    <x v="2"/>
    <n v="51.416504512000003"/>
    <n v="0"/>
    <n v="51.416504512000003"/>
    <x v="1"/>
    <x v="0"/>
  </r>
  <r>
    <x v="146"/>
    <x v="3"/>
    <n v="0"/>
    <n v="0"/>
    <n v="0"/>
    <n v="0"/>
    <n v="0"/>
    <n v="0"/>
    <n v="0"/>
    <n v="0"/>
    <n v="0"/>
    <n v="0"/>
    <n v="8.4683550160000003"/>
    <n v="0"/>
    <n v="0.26856574"/>
    <n v="0"/>
    <n v="0"/>
    <n v="59.677648050000002"/>
    <n v="0"/>
    <n v="0"/>
    <n v="0"/>
    <n v="0.33581804500000001"/>
    <n v="0"/>
    <n v="0"/>
    <n v="62.28965942"/>
    <n v="0"/>
    <n v="457"/>
    <n v="0"/>
    <n v="0"/>
    <n v="25000"/>
    <x v="2"/>
    <n v="20.057210965000003"/>
    <n v="0"/>
    <n v="20.057210965000003"/>
    <x v="1"/>
    <x v="0"/>
  </r>
  <r>
    <x v="14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48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49"/>
    <x v="2"/>
    <n v="0"/>
    <n v="0"/>
    <n v="0"/>
    <n v="0"/>
    <n v="0"/>
    <n v="0"/>
    <n v="0"/>
    <n v="0"/>
    <n v="0"/>
    <n v="0"/>
    <n v="30.84743095"/>
    <n v="0"/>
    <n v="1.475550803"/>
    <n v="0"/>
    <n v="0"/>
    <n v="358.61559920000002"/>
    <n v="0"/>
    <n v="0"/>
    <n v="0"/>
    <n v="0"/>
    <n v="0"/>
    <n v="0"/>
    <n v="0"/>
    <n v="0"/>
    <n v="373"/>
    <n v="0"/>
    <n v="0"/>
    <n v="25000"/>
    <x v="2"/>
    <n v="60.138580213000004"/>
    <n v="0"/>
    <n v="60.138580213000004"/>
    <x v="1"/>
    <x v="0"/>
  </r>
  <r>
    <x v="150"/>
    <x v="1"/>
    <n v="0"/>
    <n v="0"/>
    <n v="0"/>
    <n v="0"/>
    <n v="0"/>
    <n v="0"/>
    <n v="0"/>
    <n v="0"/>
    <n v="0"/>
    <n v="0"/>
    <n v="3.8122440119999998"/>
    <n v="0"/>
    <n v="0.29041360999999999"/>
    <n v="0"/>
    <n v="0"/>
    <n v="39.238063760000003"/>
    <n v="0"/>
    <n v="0"/>
    <n v="0"/>
    <n v="0"/>
    <n v="0"/>
    <n v="0"/>
    <n v="0"/>
    <n v="0"/>
    <n v="1100"/>
    <n v="0"/>
    <n v="0"/>
    <n v="25000"/>
    <x v="2"/>
    <n v="7.5724100419999996"/>
    <n v="0"/>
    <n v="7.5724100419999996"/>
    <x v="1"/>
    <x v="0"/>
  </r>
  <r>
    <x v="15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52"/>
    <x v="3"/>
    <n v="0"/>
    <n v="0"/>
    <n v="0"/>
    <n v="0"/>
    <n v="0"/>
    <n v="0"/>
    <n v="0"/>
    <n v="0"/>
    <n v="0"/>
    <n v="0"/>
    <n v="8.0392219839999992"/>
    <n v="0"/>
    <n v="0.31204059699999998"/>
    <n v="0"/>
    <n v="0"/>
    <n v="55.454737559999998"/>
    <n v="0"/>
    <n v="0"/>
    <n v="0"/>
    <n v="0.75585682200000004"/>
    <n v="0"/>
    <n v="0"/>
    <n v="175.68663280000001"/>
    <n v="0"/>
    <n v="404"/>
    <n v="0"/>
    <n v="0"/>
    <n v="25000"/>
    <x v="2"/>
    <n v="33.541132542"/>
    <n v="0"/>
    <n v="33.541132542"/>
    <x v="1"/>
    <x v="0"/>
  </r>
  <r>
    <x v="153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54"/>
    <x v="3"/>
    <n v="0"/>
    <n v="0"/>
    <n v="0"/>
    <n v="0"/>
    <n v="0"/>
    <n v="0"/>
    <n v="0"/>
    <n v="0"/>
    <n v="0"/>
    <n v="0"/>
    <n v="2.155197314"/>
    <n v="0"/>
    <n v="0.10311005099999999"/>
    <n v="0"/>
    <n v="0"/>
    <n v="15.300900690000001"/>
    <n v="0"/>
    <n v="0"/>
    <n v="0"/>
    <n v="0.35160918400000002"/>
    <n v="0"/>
    <n v="0"/>
    <n v="45.190868850000001"/>
    <n v="0"/>
    <n v="1091"/>
    <n v="0"/>
    <n v="0"/>
    <n v="25000"/>
    <x v="2"/>
    <n v="9.8550910209999998"/>
    <n v="0"/>
    <n v="9.8550910209999998"/>
    <x v="1"/>
    <x v="0"/>
  </r>
  <r>
    <x v="155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56"/>
    <x v="1"/>
    <n v="0"/>
    <n v="0"/>
    <n v="0"/>
    <n v="0"/>
    <n v="0"/>
    <n v="0"/>
    <n v="0"/>
    <n v="0"/>
    <n v="0"/>
    <n v="0"/>
    <n v="3.8471100649999999"/>
    <n v="0"/>
    <n v="0.31220465400000003"/>
    <n v="0"/>
    <n v="0"/>
    <n v="38.528404799999997"/>
    <n v="0"/>
    <n v="0"/>
    <n v="0"/>
    <n v="0"/>
    <n v="0"/>
    <n v="0"/>
    <n v="0"/>
    <n v="0"/>
    <n v="1097"/>
    <n v="0"/>
    <n v="0"/>
    <n v="25000"/>
    <x v="2"/>
    <n v="7.6496234364999998"/>
    <n v="0"/>
    <n v="7.6496234364999998"/>
    <x v="1"/>
    <x v="0"/>
  </r>
  <r>
    <x v="15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58"/>
    <x v="2"/>
    <n v="0"/>
    <n v="0"/>
    <n v="0"/>
    <n v="0"/>
    <n v="0"/>
    <n v="0"/>
    <n v="0"/>
    <n v="0"/>
    <n v="0"/>
    <n v="0"/>
    <n v="9.6788192419999994"/>
    <n v="0"/>
    <n v="0.70648419900000003"/>
    <n v="0"/>
    <n v="0"/>
    <n v="113.0424356"/>
    <n v="0"/>
    <n v="0"/>
    <n v="0"/>
    <n v="0"/>
    <n v="0"/>
    <n v="0"/>
    <n v="0"/>
    <n v="0"/>
    <n v="1052"/>
    <n v="0"/>
    <n v="0"/>
    <n v="25000"/>
    <x v="2"/>
    <n v="20.382558375000002"/>
    <n v="0"/>
    <n v="20.382558375000002"/>
    <x v="1"/>
    <x v="0"/>
  </r>
  <r>
    <x v="159"/>
    <x v="2"/>
    <n v="0"/>
    <n v="0"/>
    <n v="0"/>
    <n v="0"/>
    <n v="0"/>
    <n v="0"/>
    <n v="0"/>
    <n v="0"/>
    <n v="0"/>
    <n v="0"/>
    <n v="3.4242473530000002"/>
    <n v="0"/>
    <n v="0.24618939200000001"/>
    <n v="0"/>
    <n v="0"/>
    <n v="37.797746910000001"/>
    <n v="0"/>
    <n v="0"/>
    <n v="0"/>
    <n v="0"/>
    <n v="0"/>
    <n v="0"/>
    <n v="0"/>
    <n v="0"/>
    <n v="1107"/>
    <n v="0"/>
    <n v="0"/>
    <n v="25000"/>
    <x v="2"/>
    <n v="6.9690347194999998"/>
    <n v="0"/>
    <n v="6.9690347194999998"/>
    <x v="1"/>
    <x v="0"/>
  </r>
  <r>
    <x v="160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1"/>
    <x v="0"/>
  </r>
  <r>
    <x v="16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1"/>
    <x v="0"/>
  </r>
  <r>
    <x v="162"/>
    <x v="1"/>
    <n v="0"/>
    <n v="0"/>
    <n v="0"/>
    <n v="0"/>
    <n v="0"/>
    <n v="0"/>
    <n v="0"/>
    <n v="0"/>
    <n v="0"/>
    <n v="0"/>
    <n v="19.479108660000001"/>
    <n v="0"/>
    <n v="1.1895665470000001"/>
    <n v="0"/>
    <n v="0"/>
    <n v="198.0046079"/>
    <n v="0"/>
    <n v="0"/>
    <n v="0"/>
    <n v="0"/>
    <n v="0"/>
    <n v="0"/>
    <n v="0"/>
    <n v="0"/>
    <n v="471"/>
    <n v="0"/>
    <n v="0"/>
    <n v="30000"/>
    <x v="2"/>
    <n v="36.677414402000004"/>
    <n v="0"/>
    <n v="36.677414402000004"/>
    <x v="1"/>
    <x v="0"/>
  </r>
  <r>
    <x v="163"/>
    <x v="3"/>
    <n v="0"/>
    <n v="0"/>
    <n v="0"/>
    <n v="0"/>
    <n v="0"/>
    <n v="0"/>
    <n v="0"/>
    <n v="0"/>
    <n v="0"/>
    <n v="0"/>
    <n v="4.3284063210000001"/>
    <n v="0"/>
    <n v="0.19681315699999999"/>
    <n v="0"/>
    <n v="0"/>
    <n v="30.16401918"/>
    <n v="0"/>
    <n v="0"/>
    <n v="0"/>
    <n v="0.93239846900000001"/>
    <n v="0"/>
    <n v="0"/>
    <n v="118.40586810000001"/>
    <n v="0"/>
    <n v="437"/>
    <n v="0"/>
    <n v="0"/>
    <n v="30000"/>
    <x v="2"/>
    <n v="23.796461644500003"/>
    <n v="0"/>
    <n v="23.796461644500003"/>
    <x v="1"/>
    <x v="0"/>
  </r>
  <r>
    <x v="164"/>
    <x v="1"/>
    <n v="0"/>
    <n v="0"/>
    <n v="0"/>
    <n v="0"/>
    <n v="0"/>
    <n v="0"/>
    <n v="0"/>
    <n v="0"/>
    <n v="0"/>
    <n v="0"/>
    <n v="9.7240066469999995"/>
    <n v="0"/>
    <n v="0.67857958500000004"/>
    <n v="0"/>
    <n v="0"/>
    <n v="96.832346139999999"/>
    <n v="0"/>
    <n v="0"/>
    <n v="0"/>
    <n v="0"/>
    <n v="0"/>
    <n v="0"/>
    <n v="0"/>
    <n v="0"/>
    <n v="1055"/>
    <n v="0"/>
    <n v="0"/>
    <n v="30000"/>
    <x v="2"/>
    <n v="18.616715447499999"/>
    <n v="0"/>
    <n v="18.616715447499999"/>
    <x v="1"/>
    <x v="0"/>
  </r>
  <r>
    <x v="165"/>
    <x v="1"/>
    <n v="0"/>
    <n v="0"/>
    <n v="0"/>
    <n v="0"/>
    <n v="0"/>
    <n v="0"/>
    <n v="0"/>
    <n v="0"/>
    <n v="0"/>
    <n v="0"/>
    <n v="8.0755037250000008"/>
    <n v="0"/>
    <n v="0.77548048999999997"/>
    <n v="0"/>
    <n v="0"/>
    <n v="81.646897179999996"/>
    <n v="0"/>
    <n v="0"/>
    <n v="0"/>
    <n v="0"/>
    <n v="0"/>
    <n v="0"/>
    <n v="0"/>
    <n v="0"/>
    <n v="1057"/>
    <n v="0"/>
    <n v="0"/>
    <n v="30000"/>
    <x v="2"/>
    <n v="16.855324520499998"/>
    <n v="0"/>
    <n v="16.855324520499998"/>
    <x v="1"/>
    <x v="0"/>
  </r>
  <r>
    <x v="166"/>
    <x v="2"/>
    <n v="0"/>
    <n v="0"/>
    <n v="0"/>
    <n v="0"/>
    <n v="0"/>
    <n v="0"/>
    <n v="0"/>
    <n v="0"/>
    <n v="0"/>
    <n v="0"/>
    <n v="3.2758905610000002"/>
    <n v="0"/>
    <n v="0.219983601"/>
    <n v="0"/>
    <n v="0"/>
    <n v="38.351835600000001"/>
    <n v="0"/>
    <n v="0"/>
    <n v="0"/>
    <n v="0"/>
    <n v="0"/>
    <n v="0"/>
    <n v="0"/>
    <n v="0"/>
    <n v="1120"/>
    <n v="0"/>
    <n v="0"/>
    <n v="30000"/>
    <x v="2"/>
    <n v="6.7930304465000004"/>
    <n v="0"/>
    <n v="6.7930304465000004"/>
    <x v="1"/>
    <x v="0"/>
  </r>
  <r>
    <x v="16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1"/>
    <x v="0"/>
  </r>
  <r>
    <x v="168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1"/>
    <x v="0"/>
  </r>
  <r>
    <x v="169"/>
    <x v="1"/>
    <n v="0"/>
    <n v="0"/>
    <n v="0"/>
    <n v="0"/>
    <n v="0"/>
    <n v="0"/>
    <n v="0"/>
    <n v="0"/>
    <n v="0"/>
    <n v="0"/>
    <n v="8.5854565960000002"/>
    <n v="0"/>
    <n v="0.59918256599999997"/>
    <n v="0"/>
    <n v="0"/>
    <n v="83.960941860000005"/>
    <n v="0"/>
    <n v="0"/>
    <n v="0"/>
    <n v="0"/>
    <n v="0"/>
    <n v="0"/>
    <n v="0"/>
    <n v="0"/>
    <n v="1058"/>
    <n v="0"/>
    <n v="0"/>
    <n v="30000"/>
    <x v="2"/>
    <n v="16.283917880000001"/>
    <n v="0"/>
    <n v="16.283917880000001"/>
    <x v="1"/>
    <x v="0"/>
  </r>
  <r>
    <x v="170"/>
    <x v="2"/>
    <n v="0"/>
    <n v="0"/>
    <n v="0"/>
    <n v="0"/>
    <n v="0"/>
    <n v="0"/>
    <n v="0"/>
    <n v="0"/>
    <n v="0"/>
    <n v="0"/>
    <n v="12.22613546"/>
    <n v="0"/>
    <n v="0.89732455"/>
    <n v="0"/>
    <n v="0"/>
    <n v="148.02027029999999"/>
    <n v="0"/>
    <n v="0"/>
    <n v="0"/>
    <n v="0.103893346"/>
    <n v="0"/>
    <n v="0"/>
    <n v="12.598419010000001"/>
    <n v="0"/>
    <n v="1010"/>
    <n v="0"/>
    <n v="0"/>
    <n v="30000"/>
    <x v="2"/>
    <n v="28.182244037"/>
    <n v="0"/>
    <n v="28.182244037"/>
    <x v="1"/>
    <x v="0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1"/>
    <x v="0"/>
  </r>
  <r>
    <x v="172"/>
    <x v="3"/>
    <n v="0"/>
    <n v="0"/>
    <n v="0"/>
    <n v="0"/>
    <n v="0"/>
    <n v="0"/>
    <n v="0"/>
    <n v="0"/>
    <n v="0"/>
    <n v="0"/>
    <n v="21.860901200000001"/>
    <n v="0"/>
    <n v="0.78060432599999996"/>
    <n v="0"/>
    <n v="0"/>
    <n v="150.0939004"/>
    <n v="0"/>
    <n v="0"/>
    <n v="0"/>
    <n v="1.81334317"/>
    <n v="0"/>
    <n v="0"/>
    <n v="306.04552810000001"/>
    <n v="0"/>
    <n v="202"/>
    <n v="1"/>
    <n v="0"/>
    <n v="30000"/>
    <x v="2"/>
    <n v="72.108078426000006"/>
    <n v="0"/>
    <n v="72.108078426000006"/>
    <x v="1"/>
    <x v="0"/>
  </r>
  <r>
    <x v="173"/>
    <x v="1"/>
    <n v="0"/>
    <n v="0"/>
    <n v="0"/>
    <n v="0"/>
    <n v="0"/>
    <n v="0"/>
    <n v="0"/>
    <n v="0"/>
    <n v="0"/>
    <n v="0"/>
    <n v="7.5929750279999997"/>
    <n v="0"/>
    <n v="0.40742957400000002"/>
    <n v="0"/>
    <n v="0"/>
    <n v="74.197264500000003"/>
    <n v="0"/>
    <n v="0"/>
    <n v="0"/>
    <n v="0"/>
    <n v="0"/>
    <n v="0"/>
    <n v="0"/>
    <n v="0"/>
    <n v="1065"/>
    <n v="0"/>
    <n v="0"/>
    <n v="30000"/>
    <x v="2"/>
    <n v="13.660791408000001"/>
    <n v="0"/>
    <n v="13.660791408000001"/>
    <x v="1"/>
    <x v="0"/>
  </r>
  <r>
    <x v="174"/>
    <x v="1"/>
    <n v="0"/>
    <n v="0"/>
    <n v="0"/>
    <n v="0"/>
    <n v="0"/>
    <n v="0"/>
    <n v="0"/>
    <n v="0"/>
    <n v="0"/>
    <n v="0"/>
    <n v="2.0227128589999999"/>
    <n v="0"/>
    <n v="0.14020363899999999"/>
    <n v="0"/>
    <n v="0"/>
    <n v="19.670010850000001"/>
    <n v="0"/>
    <n v="0"/>
    <n v="0"/>
    <n v="0"/>
    <n v="0"/>
    <n v="0"/>
    <n v="0"/>
    <n v="0"/>
    <n v="1142"/>
    <n v="0"/>
    <n v="0"/>
    <n v="30000"/>
    <x v="2"/>
    <n v="3.8195793485"/>
    <n v="0"/>
    <n v="3.8195793485"/>
    <x v="1"/>
    <x v="0"/>
  </r>
  <r>
    <x v="175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00"/>
    <x v="2"/>
    <n v="0"/>
    <n v="0"/>
    <n v="0"/>
    <x v="1"/>
    <x v="0"/>
  </r>
  <r>
    <x v="176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7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78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79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80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8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82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83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84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85"/>
    <x v="3"/>
    <n v="0"/>
    <n v="0"/>
    <n v="0"/>
    <n v="0"/>
    <n v="0"/>
    <n v="0"/>
    <n v="0"/>
    <n v="0"/>
    <n v="0"/>
    <n v="0"/>
    <n v="50.563625049999999"/>
    <n v="0"/>
    <n v="2.4728966479999999"/>
    <n v="0"/>
    <n v="0"/>
    <n v="374.53922669999997"/>
    <n v="0"/>
    <n v="0"/>
    <n v="0"/>
    <n v="8.2807341769999994"/>
    <n v="0"/>
    <n v="0"/>
    <n v="871.53184069999998"/>
    <n v="0"/>
    <n v="14"/>
    <n v="43"/>
    <n v="2800"/>
    <n v="0"/>
    <x v="2"/>
    <n v="214.41070421500001"/>
    <n v="0"/>
    <n v="214.41070421500001"/>
    <x v="1"/>
    <x v="0"/>
  </r>
  <r>
    <x v="186"/>
    <x v="3"/>
    <n v="0"/>
    <n v="0"/>
    <n v="0"/>
    <n v="0"/>
    <n v="0"/>
    <n v="0"/>
    <n v="0"/>
    <n v="0"/>
    <n v="0"/>
    <n v="0"/>
    <n v="34.564378320000003"/>
    <n v="0"/>
    <n v="1.849704617"/>
    <n v="0"/>
    <n v="0"/>
    <n v="284.58537660000002"/>
    <n v="0"/>
    <n v="0"/>
    <n v="0"/>
    <n v="9.5995676630000002"/>
    <n v="0"/>
    <n v="0"/>
    <n v="1013.32769"/>
    <n v="0"/>
    <n v="15"/>
    <n v="42"/>
    <n v="3000"/>
    <n v="0"/>
    <x v="2"/>
    <n v="215.76912950000002"/>
    <n v="0"/>
    <n v="215.76912950000002"/>
    <x v="1"/>
    <x v="0"/>
  </r>
  <r>
    <x v="187"/>
    <x v="3"/>
    <n v="0"/>
    <n v="0"/>
    <n v="0"/>
    <n v="0"/>
    <n v="0"/>
    <n v="0"/>
    <n v="0"/>
    <n v="0"/>
    <n v="0"/>
    <n v="0"/>
    <n v="30.60568542"/>
    <n v="0"/>
    <n v="0.81348567400000005"/>
    <n v="0"/>
    <n v="0"/>
    <n v="229.26298790000001"/>
    <n v="0"/>
    <n v="0"/>
    <n v="0"/>
    <n v="8.6222896379999998"/>
    <n v="0"/>
    <n v="0"/>
    <n v="1026.900439"/>
    <n v="0"/>
    <n v="42"/>
    <n v="20"/>
    <n v="7500"/>
    <n v="0"/>
    <x v="2"/>
    <n v="197.53383727200003"/>
    <n v="0"/>
    <n v="197.53383727200003"/>
    <x v="1"/>
    <x v="0"/>
  </r>
  <r>
    <x v="188"/>
    <x v="0"/>
    <n v="0"/>
    <n v="9.7123555269999997"/>
    <n v="0"/>
    <n v="0"/>
    <n v="22.965140389999998"/>
    <n v="0"/>
    <n v="0"/>
    <n v="3561.7291839999998"/>
    <n v="0"/>
    <n v="0"/>
    <n v="0"/>
    <n v="0"/>
    <n v="0"/>
    <n v="0"/>
    <n v="0"/>
    <n v="0"/>
    <n v="0"/>
    <n v="0"/>
    <n v="0"/>
    <n v="2.438692063"/>
    <n v="0"/>
    <n v="0"/>
    <n v="256.48208729999999"/>
    <n v="0"/>
    <n v="146"/>
    <n v="2"/>
    <n v="10000"/>
    <n v="0"/>
    <x v="2"/>
    <n v="255.18537897399997"/>
    <n v="0"/>
    <n v="255.18537897399997"/>
    <x v="0"/>
    <x v="0"/>
  </r>
  <r>
    <x v="189"/>
    <x v="2"/>
    <n v="0"/>
    <n v="0"/>
    <n v="0"/>
    <n v="0"/>
    <n v="0"/>
    <n v="0"/>
    <n v="0"/>
    <n v="0"/>
    <n v="0"/>
    <n v="0"/>
    <n v="75.128436199999996"/>
    <n v="0"/>
    <n v="7.6232690009999997"/>
    <n v="0"/>
    <n v="0"/>
    <n v="876.95294460000002"/>
    <n v="0"/>
    <n v="0"/>
    <n v="0"/>
    <n v="9.3215586000000003E-2"/>
    <n v="0"/>
    <n v="0"/>
    <n v="11.2197821"/>
    <n v="0"/>
    <n v="50"/>
    <n v="14"/>
    <n v="10000"/>
    <n v="0"/>
    <x v="2"/>
    <n v="172.68039829200001"/>
    <n v="0"/>
    <n v="172.68039829200001"/>
    <x v="1"/>
    <x v="0"/>
  </r>
  <r>
    <x v="190"/>
    <x v="3"/>
    <n v="0"/>
    <n v="0"/>
    <n v="0"/>
    <n v="0"/>
    <n v="0"/>
    <n v="0"/>
    <n v="0"/>
    <n v="0"/>
    <n v="0"/>
    <n v="0"/>
    <n v="49.365005799999999"/>
    <n v="0"/>
    <n v="2.0062724869999999"/>
    <n v="0"/>
    <n v="0"/>
    <n v="433.0927982"/>
    <n v="0"/>
    <n v="0"/>
    <n v="0"/>
    <n v="3.6817452959999999"/>
    <n v="0"/>
    <n v="0"/>
    <n v="480.4948483"/>
    <n v="0"/>
    <n v="102"/>
    <n v="3"/>
    <n v="10000"/>
    <n v="0"/>
    <x v="2"/>
    <n v="150.169374248"/>
    <n v="0"/>
    <n v="150.169374248"/>
    <x v="1"/>
    <x v="0"/>
  </r>
  <r>
    <x v="191"/>
    <x v="3"/>
    <n v="0"/>
    <n v="0"/>
    <n v="0"/>
    <n v="0"/>
    <n v="0"/>
    <n v="0"/>
    <n v="0"/>
    <n v="0"/>
    <n v="0"/>
    <n v="0"/>
    <n v="49.831258910000003"/>
    <n v="0"/>
    <n v="1.795733016"/>
    <n v="0"/>
    <n v="0"/>
    <n v="402.59024090000003"/>
    <n v="0"/>
    <n v="0"/>
    <n v="0"/>
    <n v="3.2962292710000001"/>
    <n v="0"/>
    <n v="0"/>
    <n v="544.04835490000005"/>
    <n v="0"/>
    <n v="100"/>
    <n v="3"/>
    <n v="10000"/>
    <n v="0"/>
    <x v="2"/>
    <n v="150.13126275700003"/>
    <n v="0"/>
    <n v="150.13126275700003"/>
    <x v="1"/>
    <x v="0"/>
  </r>
  <r>
    <x v="192"/>
    <x v="3"/>
    <n v="0"/>
    <n v="0"/>
    <n v="0"/>
    <n v="0"/>
    <n v="0"/>
    <n v="0"/>
    <n v="0"/>
    <n v="0"/>
    <n v="0"/>
    <n v="0"/>
    <n v="34.922652370000002"/>
    <n v="0"/>
    <n v="1.0953090620000001"/>
    <n v="0"/>
    <n v="0"/>
    <n v="272.61650950000001"/>
    <n v="0"/>
    <n v="0"/>
    <n v="0"/>
    <n v="4.6106573060000002"/>
    <n v="0"/>
    <n v="0"/>
    <n v="841.55001890000005"/>
    <n v="0"/>
    <n v="89"/>
    <n v="5"/>
    <n v="12000"/>
    <n v="0"/>
    <x v="2"/>
    <n v="163.11377723300001"/>
    <n v="0"/>
    <n v="163.11377723300001"/>
    <x v="1"/>
    <x v="0"/>
  </r>
  <r>
    <x v="193"/>
    <x v="3"/>
    <n v="0"/>
    <n v="0"/>
    <n v="0"/>
    <n v="0"/>
    <n v="0"/>
    <n v="0"/>
    <n v="0"/>
    <n v="0"/>
    <n v="0"/>
    <n v="0"/>
    <n v="21.716341"/>
    <n v="0"/>
    <n v="0.70510499199999999"/>
    <n v="0"/>
    <n v="0"/>
    <n v="162.33809400000001"/>
    <n v="0"/>
    <n v="0"/>
    <n v="0"/>
    <n v="9.3596973430000006"/>
    <n v="0"/>
    <n v="0"/>
    <n v="795.14006040000004"/>
    <n v="0"/>
    <n v="92"/>
    <n v="4"/>
    <n v="12000"/>
    <n v="0"/>
    <x v="2"/>
    <n v="166.99479995000002"/>
    <n v="0"/>
    <n v="166.99479995000002"/>
    <x v="1"/>
    <x v="0"/>
  </r>
  <r>
    <x v="194"/>
    <x v="3"/>
    <n v="0"/>
    <n v="0"/>
    <n v="0"/>
    <n v="0"/>
    <n v="0"/>
    <n v="0"/>
    <n v="0"/>
    <n v="0"/>
    <n v="0"/>
    <n v="0"/>
    <n v="10.291793350000001"/>
    <n v="0"/>
    <n v="0.513370561"/>
    <n v="0"/>
    <n v="0"/>
    <n v="78.233353109999996"/>
    <n v="0"/>
    <n v="0"/>
    <n v="0"/>
    <n v="1.396937769"/>
    <n v="0"/>
    <n v="0"/>
    <n v="182.9274379"/>
    <n v="0"/>
    <n v="309"/>
    <n v="0"/>
    <n v="12000"/>
    <n v="0"/>
    <x v="2"/>
    <n v="42.723825755999997"/>
    <n v="0"/>
    <n v="42.723825755999997"/>
    <x v="1"/>
    <x v="0"/>
  </r>
  <r>
    <x v="195"/>
    <x v="3"/>
    <n v="0"/>
    <n v="0"/>
    <n v="0"/>
    <n v="0"/>
    <n v="0"/>
    <n v="0"/>
    <n v="0"/>
    <n v="0"/>
    <n v="0"/>
    <n v="0"/>
    <n v="17.00471288"/>
    <n v="0"/>
    <n v="0.51094088999999998"/>
    <n v="0"/>
    <n v="0"/>
    <n v="134.47753"/>
    <n v="0"/>
    <n v="0"/>
    <n v="0"/>
    <n v="5.7953816170000003"/>
    <n v="0"/>
    <n v="0"/>
    <n v="759.33973630000003"/>
    <n v="0"/>
    <n v="138"/>
    <n v="2"/>
    <n v="15000"/>
    <n v="0"/>
    <x v="2"/>
    <n v="135.722018112"/>
    <n v="0"/>
    <n v="135.722018112"/>
    <x v="1"/>
    <x v="0"/>
  </r>
  <r>
    <x v="196"/>
    <x v="0"/>
    <n v="0"/>
    <n v="3.460064177"/>
    <n v="0"/>
    <n v="0"/>
    <n v="4.5432916250000002"/>
    <n v="0"/>
    <n v="0"/>
    <n v="851.03435239999999"/>
    <n v="0"/>
    <n v="0"/>
    <n v="0"/>
    <n v="0"/>
    <n v="0"/>
    <n v="0"/>
    <n v="0"/>
    <n v="0"/>
    <n v="0"/>
    <n v="0"/>
    <n v="0"/>
    <n v="1.208556368"/>
    <n v="0"/>
    <n v="0"/>
    <n v="216.8349044"/>
    <n v="0"/>
    <n v="431"/>
    <n v="0"/>
    <n v="15000"/>
    <n v="0"/>
    <x v="2"/>
    <n v="74.22924089"/>
    <n v="0"/>
    <n v="74.22924089"/>
    <x v="0"/>
    <x v="0"/>
  </r>
  <r>
    <x v="197"/>
    <x v="0"/>
    <n v="0"/>
    <n v="10.12048555"/>
    <n v="0"/>
    <n v="0"/>
    <n v="19.945276329999999"/>
    <n v="0"/>
    <n v="0"/>
    <n v="3503.6205199999999"/>
    <n v="0"/>
    <n v="0"/>
    <n v="0"/>
    <n v="0"/>
    <n v="0"/>
    <n v="0"/>
    <n v="0"/>
    <n v="0"/>
    <n v="0"/>
    <n v="0"/>
    <n v="0"/>
    <n v="1.4407766360000001"/>
    <n v="0"/>
    <n v="0"/>
    <n v="226.47609700000001"/>
    <n v="0"/>
    <n v="316"/>
    <n v="0"/>
    <n v="15000"/>
    <n v="0"/>
    <x v="2"/>
    <n v="230.97722453599999"/>
    <n v="0"/>
    <n v="230.97722453599999"/>
    <x v="0"/>
    <x v="0"/>
  </r>
  <r>
    <x v="198"/>
    <x v="2"/>
    <n v="0"/>
    <n v="0"/>
    <n v="0"/>
    <n v="0"/>
    <n v="0"/>
    <n v="0"/>
    <n v="0"/>
    <n v="0"/>
    <n v="0"/>
    <n v="0"/>
    <n v="48.730633740000002"/>
    <n v="0"/>
    <n v="2.3573582449999999"/>
    <n v="0"/>
    <n v="0"/>
    <n v="545.86567290000005"/>
    <n v="0"/>
    <n v="0"/>
    <n v="0"/>
    <n v="0"/>
    <n v="0"/>
    <n v="0"/>
    <n v="0"/>
    <n v="0"/>
    <n v="263"/>
    <n v="0"/>
    <n v="15000"/>
    <n v="0"/>
    <x v="2"/>
    <n v="93.096033630000008"/>
    <n v="0"/>
    <n v="93.096033630000008"/>
    <x v="1"/>
    <x v="0"/>
  </r>
  <r>
    <x v="199"/>
    <x v="1"/>
    <n v="0"/>
    <n v="0"/>
    <n v="0"/>
    <n v="0"/>
    <n v="0"/>
    <n v="0"/>
    <n v="0"/>
    <n v="0"/>
    <n v="0"/>
    <n v="0"/>
    <n v="58.33435617"/>
    <n v="0"/>
    <n v="2.594103526"/>
    <n v="0"/>
    <n v="0"/>
    <n v="565.63361640000005"/>
    <n v="0"/>
    <n v="0"/>
    <n v="0"/>
    <n v="0"/>
    <n v="0"/>
    <n v="0"/>
    <n v="0"/>
    <n v="0"/>
    <n v="136"/>
    <n v="2"/>
    <n v="15000"/>
    <n v="0"/>
    <x v="2"/>
    <n v="101.29516088100002"/>
    <n v="0"/>
    <n v="101.29516088100002"/>
    <x v="1"/>
    <x v="0"/>
  </r>
  <r>
    <x v="200"/>
    <x v="3"/>
    <n v="0"/>
    <n v="0"/>
    <n v="0"/>
    <n v="0"/>
    <n v="0"/>
    <n v="0"/>
    <n v="0"/>
    <n v="0"/>
    <n v="0"/>
    <n v="0"/>
    <n v="54.253275340000002"/>
    <n v="0"/>
    <n v="1.3719381239999999"/>
    <n v="0"/>
    <n v="0"/>
    <n v="370.36074839999998"/>
    <n v="0"/>
    <n v="0"/>
    <n v="0"/>
    <n v="3.204946681"/>
    <n v="0"/>
    <n v="0"/>
    <n v="618.74599350000005"/>
    <n v="0"/>
    <n v="91"/>
    <n v="4"/>
    <n v="15000"/>
    <n v="0"/>
    <x v="2"/>
    <n v="153.49862069"/>
    <n v="0"/>
    <n v="153.49862069"/>
    <x v="1"/>
    <x v="0"/>
  </r>
  <r>
    <x v="201"/>
    <x v="3"/>
    <n v="0"/>
    <n v="0"/>
    <n v="0"/>
    <n v="0"/>
    <n v="0"/>
    <n v="0"/>
    <n v="0"/>
    <n v="0"/>
    <n v="0"/>
    <n v="0"/>
    <n v="46.003200530000001"/>
    <n v="0"/>
    <n v="1.005441319"/>
    <n v="0"/>
    <n v="0"/>
    <n v="335.69721980000003"/>
    <n v="0"/>
    <n v="0"/>
    <n v="0"/>
    <n v="4.724317128"/>
    <n v="0"/>
    <n v="0"/>
    <n v="792.14454820000003"/>
    <n v="0"/>
    <n v="71"/>
    <n v="8"/>
    <n v="15000"/>
    <n v="0"/>
    <x v="2"/>
    <n v="170.16432774700002"/>
    <n v="0"/>
    <n v="170.16432774700002"/>
    <x v="1"/>
    <x v="0"/>
  </r>
  <r>
    <x v="202"/>
    <x v="3"/>
    <n v="0"/>
    <n v="0"/>
    <n v="0"/>
    <n v="0"/>
    <n v="0"/>
    <n v="0"/>
    <n v="0"/>
    <n v="0"/>
    <n v="0"/>
    <n v="0"/>
    <n v="33.211255440000002"/>
    <n v="0"/>
    <n v="1.0951549840000001"/>
    <n v="0"/>
    <n v="0"/>
    <n v="223.01487789999999"/>
    <n v="0"/>
    <n v="0"/>
    <n v="0"/>
    <n v="5.7827833699999998"/>
    <n v="0"/>
    <n v="0"/>
    <n v="812.87535700000001"/>
    <n v="0"/>
    <n v="73"/>
    <n v="7"/>
    <n v="15000"/>
    <n v="0"/>
    <x v="2"/>
    <n v="161.46228133400001"/>
    <n v="0"/>
    <n v="161.46228133400001"/>
    <x v="1"/>
    <x v="0"/>
  </r>
  <r>
    <x v="203"/>
    <x v="3"/>
    <n v="0"/>
    <n v="0"/>
    <n v="0"/>
    <n v="0"/>
    <n v="0"/>
    <n v="0"/>
    <n v="0"/>
    <n v="0"/>
    <n v="0"/>
    <n v="0"/>
    <n v="16.576670679999999"/>
    <n v="0"/>
    <n v="0.48849101700000003"/>
    <n v="0"/>
    <n v="0"/>
    <n v="136.94995059999999"/>
    <n v="0"/>
    <n v="0"/>
    <n v="0"/>
    <n v="4.8121108909999997"/>
    <n v="0"/>
    <n v="0"/>
    <n v="725.09937839999998"/>
    <n v="0"/>
    <n v="143"/>
    <n v="2"/>
    <n v="15000"/>
    <n v="0"/>
    <x v="2"/>
    <n v="126.296879688"/>
    <n v="0"/>
    <n v="126.296879688"/>
    <x v="1"/>
    <x v="0"/>
  </r>
  <r>
    <x v="204"/>
    <x v="3"/>
    <n v="0"/>
    <n v="0"/>
    <n v="0"/>
    <n v="0"/>
    <n v="0"/>
    <n v="0"/>
    <n v="0"/>
    <n v="0"/>
    <n v="0"/>
    <n v="0"/>
    <n v="28.025854089999999"/>
    <n v="0"/>
    <n v="1.2380839299999999"/>
    <n v="0"/>
    <n v="0"/>
    <n v="168.7914394"/>
    <n v="0"/>
    <n v="0"/>
    <n v="0"/>
    <n v="5.8633327880000001"/>
    <n v="0"/>
    <n v="0"/>
    <n v="894.73664699999995"/>
    <n v="0"/>
    <n v="90"/>
    <n v="4"/>
    <n v="15000"/>
    <n v="0"/>
    <x v="2"/>
    <n v="162.97423599300001"/>
    <n v="0"/>
    <n v="162.97423599300001"/>
    <x v="1"/>
    <x v="0"/>
  </r>
  <r>
    <x v="205"/>
    <x v="3"/>
    <n v="0"/>
    <n v="0"/>
    <n v="0"/>
    <n v="0"/>
    <n v="0"/>
    <n v="0"/>
    <n v="0"/>
    <n v="0"/>
    <n v="0"/>
    <n v="0"/>
    <n v="30.48626148"/>
    <n v="0"/>
    <n v="1.113728872"/>
    <n v="0"/>
    <n v="0"/>
    <n v="212.56437399999999"/>
    <n v="0"/>
    <n v="0"/>
    <n v="0"/>
    <n v="3.9087798330000001"/>
    <n v="0"/>
    <n v="0"/>
    <n v="743.43807270000002"/>
    <n v="0"/>
    <n v="137"/>
    <n v="2"/>
    <n v="15000"/>
    <n v="0"/>
    <x v="2"/>
    <n v="140.97842764000001"/>
    <n v="0"/>
    <n v="140.97842764000001"/>
    <x v="1"/>
    <x v="0"/>
  </r>
  <r>
    <x v="206"/>
    <x v="3"/>
    <n v="0"/>
    <n v="0"/>
    <n v="0"/>
    <n v="0"/>
    <n v="0"/>
    <n v="0"/>
    <n v="0"/>
    <n v="0"/>
    <n v="0"/>
    <n v="0"/>
    <n v="29.900498349999999"/>
    <n v="0"/>
    <n v="0.65461015700000003"/>
    <n v="0"/>
    <n v="0"/>
    <n v="197.78638770000001"/>
    <n v="0"/>
    <n v="0"/>
    <n v="0"/>
    <n v="4.539012413"/>
    <n v="0"/>
    <n v="0"/>
    <n v="559.34758450000004"/>
    <n v="0"/>
    <n v="141"/>
    <n v="2"/>
    <n v="20000"/>
    <n v="0"/>
    <x v="2"/>
    <n v="121.825381815"/>
    <n v="0"/>
    <n v="121.825381815"/>
    <x v="1"/>
    <x v="0"/>
  </r>
  <r>
    <x v="207"/>
    <x v="2"/>
    <n v="0"/>
    <n v="0"/>
    <n v="0"/>
    <n v="0"/>
    <n v="0"/>
    <n v="0"/>
    <n v="0"/>
    <n v="0"/>
    <n v="0"/>
    <n v="0"/>
    <n v="52.631200270000001"/>
    <n v="0"/>
    <n v="6.4487089810000002"/>
    <n v="0"/>
    <n v="0"/>
    <n v="798.06056660000002"/>
    <n v="0"/>
    <n v="0"/>
    <n v="0"/>
    <n v="0"/>
    <n v="0"/>
    <n v="0"/>
    <n v="0"/>
    <n v="0"/>
    <n v="163"/>
    <n v="1"/>
    <n v="20000"/>
    <n v="0"/>
    <x v="2"/>
    <n v="144.81391068100001"/>
    <n v="0"/>
    <n v="144.81391068100001"/>
    <x v="1"/>
    <x v="0"/>
  </r>
  <r>
    <x v="208"/>
    <x v="1"/>
    <n v="0"/>
    <n v="0.30531790599999997"/>
    <n v="0"/>
    <n v="0"/>
    <n v="0.43689453"/>
    <n v="0"/>
    <n v="0"/>
    <n v="80.026979510000004"/>
    <n v="0"/>
    <n v="0"/>
    <n v="30.577893710000001"/>
    <n v="0"/>
    <n v="2.2661033640000001"/>
    <n v="0"/>
    <n v="0"/>
    <n v="281.80277289999998"/>
    <n v="0"/>
    <n v="0"/>
    <n v="0"/>
    <n v="3.2519525389999999"/>
    <n v="0"/>
    <n v="0"/>
    <n v="300.86809140000003"/>
    <n v="0"/>
    <n v="217"/>
    <n v="0"/>
    <n v="20000"/>
    <n v="0"/>
    <x v="2"/>
    <n v="111.00239019140001"/>
    <n v="0"/>
    <n v="111.00239019140001"/>
    <x v="1"/>
    <x v="0"/>
  </r>
  <r>
    <x v="209"/>
    <x v="0"/>
    <n v="0"/>
    <n v="2.7354253370000001"/>
    <n v="0"/>
    <n v="0"/>
    <n v="4.2747364640000001"/>
    <n v="0"/>
    <n v="0"/>
    <n v="707.57499359999997"/>
    <n v="0"/>
    <n v="0"/>
    <n v="0"/>
    <n v="0"/>
    <n v="0"/>
    <n v="0"/>
    <n v="0"/>
    <n v="0"/>
    <n v="0"/>
    <n v="0"/>
    <n v="0"/>
    <n v="0.73003209400000002"/>
    <n v="0"/>
    <n v="0"/>
    <n v="57.019462779999998"/>
    <n v="0"/>
    <n v="452"/>
    <n v="0"/>
    <n v="20000"/>
    <n v="0"/>
    <x v="2"/>
    <n v="50.013233767999999"/>
    <n v="0"/>
    <n v="50.013233767999999"/>
    <x v="0"/>
    <x v="0"/>
  </r>
  <r>
    <x v="210"/>
    <x v="3"/>
    <n v="0"/>
    <n v="0"/>
    <n v="0"/>
    <n v="0"/>
    <n v="0"/>
    <n v="0"/>
    <n v="0"/>
    <n v="0"/>
    <n v="0"/>
    <n v="0"/>
    <n v="30.056838299999999"/>
    <n v="0"/>
    <n v="1.003851614"/>
    <n v="0"/>
    <n v="0"/>
    <n v="214.68289440000001"/>
    <n v="0"/>
    <n v="0"/>
    <n v="0"/>
    <n v="3.8416748919999999"/>
    <n v="0"/>
    <n v="0"/>
    <n v="627.81513380000001"/>
    <n v="0"/>
    <n v="142"/>
    <n v="2"/>
    <n v="20000"/>
    <n v="0"/>
    <x v="2"/>
    <n v="128.351381006"/>
    <n v="0"/>
    <n v="128.351381006"/>
    <x v="1"/>
    <x v="0"/>
  </r>
  <r>
    <x v="211"/>
    <x v="0"/>
    <n v="0"/>
    <n v="9.2662502070000006"/>
    <n v="0"/>
    <n v="0"/>
    <n v="14.896755669999999"/>
    <n v="0"/>
    <n v="0"/>
    <n v="2905.8574269999999"/>
    <n v="0"/>
    <n v="0"/>
    <n v="0"/>
    <n v="0"/>
    <n v="0"/>
    <n v="0"/>
    <n v="0"/>
    <n v="0"/>
    <n v="0"/>
    <n v="0"/>
    <n v="0"/>
    <n v="2.0205822659999999"/>
    <n v="0"/>
    <n v="0"/>
    <n v="268.7114977"/>
    <n v="0"/>
    <n v="381"/>
    <n v="0"/>
    <n v="20000"/>
    <n v="0"/>
    <x v="2"/>
    <n v="196.28346271200002"/>
    <n v="0"/>
    <n v="196.28346271200002"/>
    <x v="0"/>
    <x v="0"/>
  </r>
  <r>
    <x v="212"/>
    <x v="3"/>
    <n v="0"/>
    <n v="0"/>
    <n v="0"/>
    <n v="0"/>
    <n v="0"/>
    <n v="0"/>
    <n v="0"/>
    <n v="0"/>
    <n v="0"/>
    <n v="0"/>
    <n v="48.85205603"/>
    <n v="0"/>
    <n v="1.3012976190000001"/>
    <n v="0"/>
    <n v="0"/>
    <n v="298.20273179999998"/>
    <n v="0"/>
    <n v="0"/>
    <n v="0"/>
    <n v="4.4220101940000003"/>
    <n v="0"/>
    <n v="0"/>
    <n v="730.57588740000006"/>
    <n v="0"/>
    <n v="88"/>
    <n v="5"/>
    <n v="20000"/>
    <n v="0"/>
    <x v="2"/>
    <n v="161.64373681300003"/>
    <n v="0"/>
    <n v="161.64373681300003"/>
    <x v="1"/>
    <x v="0"/>
  </r>
  <r>
    <x v="213"/>
    <x v="2"/>
    <n v="0"/>
    <n v="0"/>
    <n v="0"/>
    <n v="0"/>
    <n v="0"/>
    <n v="0"/>
    <n v="0"/>
    <n v="0"/>
    <n v="0"/>
    <n v="0"/>
    <n v="65.723936710000004"/>
    <n v="0"/>
    <n v="4.5036341569999996"/>
    <n v="0"/>
    <n v="0"/>
    <n v="857.62627889999999"/>
    <n v="0"/>
    <n v="0"/>
    <n v="0"/>
    <n v="0"/>
    <n v="0"/>
    <n v="0"/>
    <n v="0"/>
    <n v="0"/>
    <n v="116"/>
    <n v="2"/>
    <n v="20000"/>
    <n v="0"/>
    <x v="2"/>
    <n v="145.64640118700001"/>
    <n v="0"/>
    <n v="145.64640118700001"/>
    <x v="1"/>
    <x v="0"/>
  </r>
  <r>
    <x v="214"/>
    <x v="2"/>
    <n v="0"/>
    <n v="9.9941449000000002E-2"/>
    <n v="0"/>
    <n v="0"/>
    <n v="8.6104330000000007E-2"/>
    <n v="0"/>
    <n v="0"/>
    <n v="18.558215619999999"/>
    <n v="0"/>
    <n v="0"/>
    <n v="72.829995719999999"/>
    <n v="0"/>
    <n v="3.369065934"/>
    <n v="0"/>
    <n v="0"/>
    <n v="777.15401340000005"/>
    <n v="0"/>
    <n v="0"/>
    <n v="0"/>
    <n v="0.29534876799999998"/>
    <n v="0"/>
    <n v="0"/>
    <n v="25.475209509999999"/>
    <n v="0"/>
    <n v="115"/>
    <n v="2"/>
    <n v="20000"/>
    <n v="0"/>
    <x v="2"/>
    <n v="139.55127140980002"/>
    <n v="0"/>
    <n v="139.55127140980002"/>
    <x v="1"/>
    <x v="0"/>
  </r>
  <r>
    <x v="215"/>
    <x v="3"/>
    <n v="0"/>
    <n v="0"/>
    <n v="0"/>
    <n v="0"/>
    <n v="0"/>
    <n v="0"/>
    <n v="0"/>
    <n v="0"/>
    <n v="0"/>
    <n v="0"/>
    <n v="22.223513619999999"/>
    <n v="0"/>
    <n v="0.65236639100000005"/>
    <n v="0"/>
    <n v="0"/>
    <n v="156.6830885"/>
    <n v="0"/>
    <n v="0"/>
    <n v="0"/>
    <n v="4.1287056309999999"/>
    <n v="0"/>
    <n v="0"/>
    <n v="684.87013190000005"/>
    <n v="0"/>
    <n v="153"/>
    <n v="1"/>
    <n v="20000"/>
    <n v="0"/>
    <x v="2"/>
    <n v="123.95351098200001"/>
    <n v="0"/>
    <n v="123.95351098200001"/>
    <x v="1"/>
    <x v="0"/>
  </r>
  <r>
    <x v="216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"/>
    <n v="0"/>
    <x v="2"/>
    <n v="0"/>
    <n v="0"/>
    <n v="0"/>
    <x v="1"/>
    <x v="0"/>
  </r>
  <r>
    <x v="217"/>
    <x v="1"/>
    <n v="0"/>
    <n v="0"/>
    <n v="0"/>
    <n v="0"/>
    <n v="0"/>
    <n v="0"/>
    <n v="0"/>
    <n v="0"/>
    <n v="0"/>
    <n v="0"/>
    <n v="82.714891809999997"/>
    <n v="0"/>
    <n v="3.507111369"/>
    <n v="0"/>
    <n v="0"/>
    <n v="791.30613359999995"/>
    <n v="0"/>
    <n v="0"/>
    <n v="0"/>
    <n v="0"/>
    <n v="0"/>
    <n v="0"/>
    <n v="0"/>
    <n v="0"/>
    <n v="60"/>
    <n v="10"/>
    <n v="25000"/>
    <n v="0"/>
    <x v="2"/>
    <n v="141.53072747900001"/>
    <n v="0"/>
    <n v="141.53072747900001"/>
    <x v="1"/>
    <x v="0"/>
  </r>
  <r>
    <x v="218"/>
    <x v="1"/>
    <n v="0"/>
    <n v="0"/>
    <n v="0"/>
    <n v="0"/>
    <n v="0"/>
    <n v="0"/>
    <n v="0"/>
    <n v="0"/>
    <n v="0"/>
    <n v="0"/>
    <n v="49.67327916"/>
    <n v="0"/>
    <n v="3.3075254119999999"/>
    <n v="0"/>
    <n v="0"/>
    <n v="442.33684599999998"/>
    <n v="0"/>
    <n v="0"/>
    <n v="0"/>
    <n v="3.2144565999999999E-2"/>
    <n v="0"/>
    <n v="0"/>
    <n v="0.72951348199999999"/>
    <n v="0"/>
    <n v="222"/>
    <n v="0"/>
    <n v="25000"/>
    <n v="0"/>
    <x v="2"/>
    <n v="89.181295396199985"/>
    <n v="0"/>
    <n v="89.181295396199985"/>
    <x v="1"/>
    <x v="0"/>
  </r>
  <r>
    <x v="219"/>
    <x v="2"/>
    <n v="0"/>
    <n v="0"/>
    <n v="0"/>
    <n v="0"/>
    <n v="0"/>
    <n v="0"/>
    <n v="0"/>
    <n v="0"/>
    <n v="0"/>
    <n v="0"/>
    <n v="43.739649839999998"/>
    <n v="0"/>
    <n v="5.2424850090000001"/>
    <n v="0"/>
    <n v="0"/>
    <n v="639.77668300000005"/>
    <n v="0"/>
    <n v="0"/>
    <n v="0"/>
    <n v="6.6062222000000004E-2"/>
    <n v="0"/>
    <n v="0"/>
    <n v="10.106777210000001"/>
    <n v="0"/>
    <n v="129"/>
    <n v="2"/>
    <n v="25000"/>
    <n v="0"/>
    <x v="2"/>
    <n v="118.70945432699999"/>
    <n v="0"/>
    <n v="118.70945432699999"/>
    <x v="1"/>
    <x v="0"/>
  </r>
  <r>
    <x v="220"/>
    <x v="1"/>
    <n v="0"/>
    <n v="0"/>
    <n v="0"/>
    <n v="0"/>
    <n v="0"/>
    <n v="0"/>
    <n v="0"/>
    <n v="0"/>
    <n v="0"/>
    <n v="0"/>
    <n v="87.000232760000003"/>
    <n v="0"/>
    <n v="3.0881844310000002"/>
    <n v="0"/>
    <n v="0"/>
    <n v="787.50944289999995"/>
    <n v="0"/>
    <n v="0"/>
    <n v="0"/>
    <n v="0"/>
    <n v="0"/>
    <n v="0"/>
    <n v="0"/>
    <n v="0"/>
    <n v="61"/>
    <n v="10"/>
    <n v="25000"/>
    <n v="0"/>
    <x v="2"/>
    <n v="140.78016725600003"/>
    <n v="0"/>
    <n v="140.78016725600003"/>
    <x v="1"/>
    <x v="0"/>
  </r>
  <r>
    <x v="221"/>
    <x v="0"/>
    <n v="0"/>
    <n v="1.7806998780000001"/>
    <n v="0"/>
    <n v="0"/>
    <n v="2.9480546849999998"/>
    <n v="0"/>
    <n v="0"/>
    <n v="508.04134049999999"/>
    <n v="0"/>
    <n v="0"/>
    <n v="0"/>
    <n v="0"/>
    <n v="0"/>
    <n v="0"/>
    <n v="0"/>
    <n v="0"/>
    <n v="0"/>
    <n v="0"/>
    <n v="0"/>
    <n v="0.12070196399999999"/>
    <n v="0"/>
    <n v="0"/>
    <n v="21.636816840000002"/>
    <n v="0"/>
    <n v="1029"/>
    <n v="0"/>
    <n v="25000"/>
    <n v="0"/>
    <x v="2"/>
    <n v="31.440366072"/>
    <n v="0"/>
    <n v="31.440366072"/>
    <x v="0"/>
    <x v="0"/>
  </r>
  <r>
    <x v="222"/>
    <x v="0"/>
    <n v="0"/>
    <n v="1.8369737230000001"/>
    <n v="0"/>
    <n v="0"/>
    <n v="3.452287546"/>
    <n v="0"/>
    <n v="0"/>
    <n v="540.44055909999997"/>
    <n v="0"/>
    <n v="0"/>
    <n v="0"/>
    <n v="0"/>
    <n v="0"/>
    <n v="0"/>
    <n v="0"/>
    <n v="0"/>
    <n v="0"/>
    <n v="0"/>
    <n v="0"/>
    <n v="0.15708129500000001"/>
    <n v="0"/>
    <n v="0"/>
    <n v="7.1571992040000003"/>
    <n v="0"/>
    <n v="483"/>
    <n v="0"/>
    <n v="25000"/>
    <n v="0"/>
    <x v="2"/>
    <n v="33.4110327924"/>
    <n v="0"/>
    <n v="33.4110327924"/>
    <x v="0"/>
    <x v="0"/>
  </r>
  <r>
    <x v="223"/>
    <x v="3"/>
    <n v="0"/>
    <n v="0"/>
    <n v="0"/>
    <n v="0"/>
    <n v="0"/>
    <n v="0"/>
    <n v="0"/>
    <n v="0"/>
    <n v="0"/>
    <n v="0"/>
    <n v="35.50228079"/>
    <n v="0"/>
    <n v="0.97918907899999996"/>
    <n v="0"/>
    <n v="0"/>
    <n v="245.29080970000001"/>
    <n v="0"/>
    <n v="0"/>
    <n v="0"/>
    <n v="3.5135667819999998"/>
    <n v="0"/>
    <n v="0"/>
    <n v="531.49474720000001"/>
    <n v="0"/>
    <n v="151"/>
    <n v="1"/>
    <n v="25000"/>
    <n v="0"/>
    <x v="2"/>
    <n v="122.386231251"/>
    <n v="0"/>
    <n v="122.386231251"/>
    <x v="1"/>
    <x v="0"/>
  </r>
  <r>
    <x v="224"/>
    <x v="2"/>
    <n v="0"/>
    <n v="0"/>
    <n v="0"/>
    <n v="0"/>
    <n v="0"/>
    <n v="0"/>
    <n v="0"/>
    <n v="0"/>
    <n v="0"/>
    <n v="0"/>
    <n v="58.066012149999999"/>
    <n v="0"/>
    <n v="2.4956608409999999"/>
    <n v="0"/>
    <n v="0"/>
    <n v="578.95084429999997"/>
    <n v="0"/>
    <n v="0"/>
    <n v="0"/>
    <n v="6.9436340999999999E-2"/>
    <n v="0"/>
    <n v="0"/>
    <n v="11.579349779999999"/>
    <n v="0"/>
    <n v="288"/>
    <n v="0"/>
    <n v="25000"/>
    <n v="0"/>
    <x v="2"/>
    <n v="103.47660857499999"/>
    <n v="0"/>
    <n v="103.47660857499999"/>
    <x v="1"/>
    <x v="0"/>
  </r>
  <r>
    <x v="225"/>
    <x v="2"/>
    <n v="0"/>
    <n v="0"/>
    <n v="0"/>
    <n v="0"/>
    <n v="0"/>
    <n v="0"/>
    <n v="0"/>
    <n v="0"/>
    <n v="0"/>
    <n v="0"/>
    <n v="54.837478930000003"/>
    <n v="0"/>
    <n v="3.8825715390000002"/>
    <n v="0"/>
    <n v="0"/>
    <n v="750.43068010000002"/>
    <n v="0"/>
    <n v="0"/>
    <n v="0"/>
    <n v="0.14973336400000001"/>
    <n v="0"/>
    <n v="0"/>
    <n v="27.09695541"/>
    <n v="0"/>
    <n v="176"/>
    <n v="1"/>
    <n v="25000"/>
    <n v="0"/>
    <x v="2"/>
    <n v="129.36533243399998"/>
    <n v="0"/>
    <n v="129.36533243399998"/>
    <x v="1"/>
    <x v="0"/>
  </r>
  <r>
    <x v="226"/>
    <x v="3"/>
    <n v="0"/>
    <n v="0"/>
    <n v="0"/>
    <n v="0"/>
    <n v="0"/>
    <n v="0"/>
    <n v="0"/>
    <n v="0"/>
    <n v="0"/>
    <n v="0"/>
    <n v="16.125646870000001"/>
    <n v="0"/>
    <n v="0.25533400099999998"/>
    <n v="0"/>
    <n v="0"/>
    <n v="119.51091700000001"/>
    <n v="0"/>
    <n v="0"/>
    <n v="0"/>
    <n v="2.7144061509999999"/>
    <n v="0"/>
    <n v="0"/>
    <n v="413.81579440000002"/>
    <n v="0"/>
    <n v="205"/>
    <n v="1"/>
    <n v="25000"/>
    <n v="0"/>
    <x v="2"/>
    <n v="79.213935487000001"/>
    <n v="0"/>
    <n v="79.213935487000001"/>
    <x v="1"/>
    <x v="0"/>
  </r>
  <r>
    <x v="227"/>
    <x v="2"/>
    <n v="0"/>
    <n v="0"/>
    <n v="0"/>
    <n v="0"/>
    <n v="0"/>
    <n v="0"/>
    <n v="0"/>
    <n v="0"/>
    <n v="0"/>
    <n v="0"/>
    <n v="49.069691710000001"/>
    <n v="0"/>
    <n v="4.7289009809999998"/>
    <n v="0"/>
    <n v="0"/>
    <n v="594.36897250000004"/>
    <n v="0"/>
    <n v="0"/>
    <n v="0"/>
    <n v="0"/>
    <n v="0"/>
    <n v="0"/>
    <n v="0"/>
    <n v="0"/>
    <n v="194"/>
    <n v="1"/>
    <n v="25000"/>
    <n v="0"/>
    <x v="2"/>
    <n v="112.345148991"/>
    <n v="0"/>
    <n v="112.345148991"/>
    <x v="1"/>
    <x v="0"/>
  </r>
  <r>
    <x v="228"/>
    <x v="2"/>
    <n v="0"/>
    <n v="0"/>
    <n v="0"/>
    <n v="0"/>
    <n v="0"/>
    <n v="0"/>
    <n v="0"/>
    <n v="0"/>
    <n v="0"/>
    <n v="0"/>
    <n v="20.94031283"/>
    <n v="0"/>
    <n v="1.5437586130000001"/>
    <n v="0"/>
    <n v="0"/>
    <n v="266.34596599999998"/>
    <n v="0"/>
    <n v="0"/>
    <n v="0"/>
    <n v="0"/>
    <n v="0"/>
    <n v="0"/>
    <n v="0"/>
    <n v="0"/>
    <n v="986"/>
    <n v="0"/>
    <n v="25000"/>
    <n v="0"/>
    <x v="2"/>
    <n v="46.367304692999994"/>
    <n v="0"/>
    <n v="46.367304692999994"/>
    <x v="1"/>
    <x v="0"/>
  </r>
  <r>
    <x v="229"/>
    <x v="2"/>
    <n v="0"/>
    <n v="0"/>
    <n v="0"/>
    <n v="0"/>
    <n v="0"/>
    <n v="0"/>
    <n v="0"/>
    <n v="0"/>
    <n v="0"/>
    <n v="0"/>
    <n v="53.9697095"/>
    <n v="0"/>
    <n v="4.2041883599999998"/>
    <n v="0"/>
    <n v="0"/>
    <n v="777.41512290000003"/>
    <n v="0"/>
    <n v="0"/>
    <n v="0"/>
    <n v="0.36327989300000002"/>
    <n v="0"/>
    <n v="0"/>
    <n v="33.687174570000003"/>
    <n v="0"/>
    <n v="157"/>
    <n v="1"/>
    <n v="25000"/>
    <n v="0"/>
    <x v="2"/>
    <n v="135.499894015"/>
    <n v="0"/>
    <n v="135.499894015"/>
    <x v="1"/>
    <x v="0"/>
  </r>
  <r>
    <x v="230"/>
    <x v="2"/>
    <n v="0"/>
    <n v="0"/>
    <n v="0"/>
    <n v="0"/>
    <n v="0"/>
    <n v="0"/>
    <n v="0"/>
    <n v="0"/>
    <n v="0"/>
    <n v="0"/>
    <n v="47.23704446"/>
    <n v="0"/>
    <n v="3.8378880500000001"/>
    <n v="0"/>
    <n v="0"/>
    <n v="572.42020339999999"/>
    <n v="0"/>
    <n v="0"/>
    <n v="0"/>
    <n v="0"/>
    <n v="0"/>
    <n v="0"/>
    <n v="0"/>
    <n v="0"/>
    <n v="195"/>
    <n v="1"/>
    <n v="25000"/>
    <n v="0"/>
    <x v="2"/>
    <n v="103.88787087"/>
    <n v="0"/>
    <n v="103.88787087"/>
    <x v="1"/>
    <x v="0"/>
  </r>
  <r>
    <x v="231"/>
    <x v="2"/>
    <n v="0"/>
    <n v="0"/>
    <n v="0"/>
    <n v="0"/>
    <n v="0"/>
    <n v="0"/>
    <n v="0"/>
    <n v="0"/>
    <n v="0"/>
    <n v="0"/>
    <n v="57.295743229999999"/>
    <n v="0"/>
    <n v="4.6901616390000003"/>
    <n v="0"/>
    <n v="0"/>
    <n v="667.89893380000001"/>
    <n v="0"/>
    <n v="0"/>
    <n v="0"/>
    <n v="0.179795025"/>
    <n v="0"/>
    <n v="0"/>
    <n v="26.377629070000001"/>
    <n v="0"/>
    <n v="196"/>
    <n v="1"/>
    <n v="25000"/>
    <n v="0"/>
    <x v="2"/>
    <n v="127.295267886"/>
    <n v="0"/>
    <n v="127.295267886"/>
    <x v="1"/>
    <x v="0"/>
  </r>
  <r>
    <x v="232"/>
    <x v="2"/>
    <n v="0"/>
    <n v="0"/>
    <n v="0"/>
    <n v="0"/>
    <n v="0"/>
    <n v="0"/>
    <n v="0"/>
    <n v="0"/>
    <n v="0"/>
    <n v="0"/>
    <n v="22.853326920000001"/>
    <n v="0"/>
    <n v="2.466196858"/>
    <n v="0"/>
    <n v="0"/>
    <n v="333.35564950000003"/>
    <n v="0"/>
    <n v="0"/>
    <n v="0"/>
    <n v="0"/>
    <n v="0"/>
    <n v="0"/>
    <n v="0"/>
    <n v="0"/>
    <n v="327"/>
    <n v="0"/>
    <n v="25000"/>
    <n v="0"/>
    <x v="2"/>
    <n v="59.559409558000006"/>
    <n v="0"/>
    <n v="59.559409558000006"/>
    <x v="1"/>
    <x v="0"/>
  </r>
  <r>
    <x v="233"/>
    <x v="0"/>
    <n v="0"/>
    <n v="1.4784481300000001"/>
    <n v="0"/>
    <n v="0"/>
    <n v="2.9201329089999999"/>
    <n v="0"/>
    <n v="0"/>
    <n v="463.01447480000002"/>
    <n v="0"/>
    <n v="0"/>
    <n v="0"/>
    <n v="0"/>
    <n v="0"/>
    <n v="0"/>
    <n v="0"/>
    <n v="0"/>
    <n v="0"/>
    <n v="0"/>
    <n v="0"/>
    <n v="0.464527835"/>
    <n v="0"/>
    <n v="0"/>
    <n v="24.585202899999999"/>
    <n v="0"/>
    <n v="484"/>
    <n v="0"/>
    <n v="25000"/>
    <n v="0"/>
    <x v="2"/>
    <n v="32.489901668000002"/>
    <n v="0"/>
    <n v="32.489901668000002"/>
    <x v="0"/>
    <x v="0"/>
  </r>
  <r>
    <x v="234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n v="0"/>
    <x v="2"/>
    <n v="0"/>
    <n v="0"/>
    <n v="0"/>
    <x v="1"/>
    <x v="0"/>
  </r>
  <r>
    <x v="235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n v="0"/>
    <x v="2"/>
    <n v="0"/>
    <n v="0"/>
    <n v="0"/>
    <x v="1"/>
    <x v="0"/>
  </r>
  <r>
    <x v="236"/>
    <x v="2"/>
    <n v="0"/>
    <n v="0"/>
    <n v="0"/>
    <n v="0"/>
    <n v="0"/>
    <n v="0"/>
    <n v="0"/>
    <n v="0"/>
    <n v="0"/>
    <n v="0"/>
    <n v="70.465484480000001"/>
    <n v="0"/>
    <n v="5.1954021340000001"/>
    <n v="0"/>
    <n v="0"/>
    <n v="878.10198849999995"/>
    <n v="0"/>
    <n v="0"/>
    <n v="0"/>
    <n v="0"/>
    <n v="0"/>
    <n v="0"/>
    <n v="0"/>
    <n v="0"/>
    <n v="96"/>
    <n v="4"/>
    <n v="30000"/>
    <n v="0"/>
    <x v="2"/>
    <n v="154.215353894"/>
    <n v="0"/>
    <n v="154.215353894"/>
    <x v="1"/>
    <x v="0"/>
  </r>
  <r>
    <x v="237"/>
    <x v="1"/>
    <n v="0"/>
    <n v="0"/>
    <n v="0"/>
    <n v="0"/>
    <n v="0"/>
    <n v="0"/>
    <n v="0"/>
    <n v="0"/>
    <n v="0"/>
    <n v="0"/>
    <n v="30.79316992"/>
    <n v="0"/>
    <n v="1.388927206"/>
    <n v="0"/>
    <n v="0"/>
    <n v="319.8141"/>
    <n v="0"/>
    <n v="0"/>
    <n v="0"/>
    <n v="0"/>
    <n v="0"/>
    <n v="0"/>
    <n v="0"/>
    <n v="0"/>
    <n v="461"/>
    <n v="0"/>
    <n v="30000"/>
    <n v="0"/>
    <x v="2"/>
    <n v="55.711558195999999"/>
    <n v="0"/>
    <n v="55.711558195999999"/>
    <x v="1"/>
    <x v="0"/>
  </r>
  <r>
    <x v="238"/>
    <x v="3"/>
    <n v="0"/>
    <n v="0"/>
    <n v="0"/>
    <n v="0"/>
    <n v="0"/>
    <n v="0"/>
    <n v="0"/>
    <n v="0"/>
    <n v="0"/>
    <n v="0"/>
    <n v="12.753224550000001"/>
    <n v="0"/>
    <n v="0.44892907999999998"/>
    <n v="0"/>
    <n v="0"/>
    <n v="86.049910740000001"/>
    <n v="0"/>
    <n v="0"/>
    <n v="0"/>
    <n v="1.682356204"/>
    <n v="0"/>
    <n v="0"/>
    <n v="232.9079758"/>
    <n v="0"/>
    <n v="351"/>
    <n v="0"/>
    <n v="30000"/>
    <n v="0"/>
    <x v="2"/>
    <n v="51.060112633000003"/>
    <n v="0"/>
    <n v="51.060112633000003"/>
    <x v="1"/>
    <x v="0"/>
  </r>
  <r>
    <x v="239"/>
    <x v="1"/>
    <n v="0"/>
    <n v="0"/>
    <n v="0"/>
    <n v="0"/>
    <n v="0"/>
    <n v="0"/>
    <n v="0"/>
    <n v="0"/>
    <n v="0"/>
    <n v="0"/>
    <n v="66.132263390000006"/>
    <n v="0"/>
    <n v="2.962020812"/>
    <n v="0"/>
    <n v="0"/>
    <n v="685.42483730000004"/>
    <n v="0"/>
    <n v="0"/>
    <n v="0"/>
    <n v="0"/>
    <n v="0"/>
    <n v="0"/>
    <n v="0"/>
    <n v="0"/>
    <n v="133"/>
    <n v="2"/>
    <n v="30000"/>
    <n v="0"/>
    <x v="2"/>
    <n v="119.380740297"/>
    <n v="0"/>
    <n v="119.380740297"/>
    <x v="1"/>
    <x v="0"/>
  </r>
  <r>
    <x v="240"/>
    <x v="2"/>
    <n v="0"/>
    <n v="0"/>
    <n v="0"/>
    <n v="0"/>
    <n v="0"/>
    <n v="0"/>
    <n v="0"/>
    <n v="0"/>
    <n v="0"/>
    <n v="0"/>
    <n v="36.635683"/>
    <n v="0"/>
    <n v="2.9820870030000002"/>
    <n v="0"/>
    <n v="0"/>
    <n v="464.65340509999999"/>
    <n v="0"/>
    <n v="0"/>
    <n v="0"/>
    <n v="6.8227962000000003E-2"/>
    <n v="0"/>
    <n v="0"/>
    <n v="13.384398940000001"/>
    <n v="0"/>
    <n v="330"/>
    <n v="0"/>
    <n v="30000"/>
    <n v="0"/>
    <x v="2"/>
    <n v="84.423511694000013"/>
    <n v="0"/>
    <n v="84.423511694000013"/>
    <x v="1"/>
    <x v="0"/>
  </r>
  <r>
    <x v="241"/>
    <x v="3"/>
    <n v="0"/>
    <n v="0"/>
    <n v="0"/>
    <n v="0"/>
    <n v="0"/>
    <n v="0"/>
    <n v="0"/>
    <n v="0"/>
    <n v="0"/>
    <n v="0"/>
    <n v="25.182354109999999"/>
    <n v="0"/>
    <n v="0.38063940699999999"/>
    <n v="0"/>
    <n v="0"/>
    <n v="147.67484479999999"/>
    <n v="0"/>
    <n v="0"/>
    <n v="0"/>
    <n v="2.1754234229999998"/>
    <n v="0"/>
    <n v="0"/>
    <n v="402.99562170000002"/>
    <n v="0"/>
    <n v="307"/>
    <n v="0"/>
    <n v="30000"/>
    <n v="0"/>
    <x v="2"/>
    <n v="82.994600684999995"/>
    <n v="0"/>
    <n v="82.994600684999995"/>
    <x v="1"/>
    <x v="0"/>
  </r>
  <r>
    <x v="242"/>
    <x v="3"/>
    <n v="0"/>
    <n v="0"/>
    <n v="0"/>
    <n v="0"/>
    <n v="0"/>
    <n v="0"/>
    <n v="0"/>
    <n v="0"/>
    <n v="0"/>
    <n v="0"/>
    <n v="16.172711209999999"/>
    <n v="0"/>
    <n v="0.66457689200000003"/>
    <n v="0"/>
    <n v="0"/>
    <n v="115.52922580000001"/>
    <n v="0"/>
    <n v="0"/>
    <n v="0"/>
    <n v="2.7763610019999998"/>
    <n v="0"/>
    <n v="0"/>
    <n v="569.01874569999995"/>
    <n v="0"/>
    <n v="197"/>
    <n v="1"/>
    <n v="30000"/>
    <n v="0"/>
    <x v="2"/>
    <n v="97.186780118999991"/>
    <n v="0"/>
    <n v="97.186780118999991"/>
    <x v="1"/>
    <x v="0"/>
  </r>
  <r>
    <x v="243"/>
    <x v="2"/>
    <n v="0"/>
    <n v="0"/>
    <n v="0"/>
    <n v="0"/>
    <n v="0"/>
    <n v="0"/>
    <n v="0"/>
    <n v="0"/>
    <n v="0"/>
    <n v="0"/>
    <n v="52.157705499999999"/>
    <n v="0"/>
    <n v="2.9648013550000001"/>
    <n v="0"/>
    <n v="0"/>
    <n v="672.16754019999996"/>
    <n v="0"/>
    <n v="0"/>
    <n v="0"/>
    <n v="0"/>
    <n v="0"/>
    <n v="0"/>
    <n v="0"/>
    <n v="0"/>
    <n v="211"/>
    <n v="0"/>
    <n v="30000"/>
    <n v="0"/>
    <x v="2"/>
    <n v="111.0844149"/>
    <n v="0"/>
    <n v="111.0844149"/>
    <x v="1"/>
    <x v="0"/>
  </r>
  <r>
    <x v="244"/>
    <x v="3"/>
    <n v="0"/>
    <n v="0"/>
    <n v="0"/>
    <n v="0"/>
    <n v="0"/>
    <n v="0"/>
    <n v="0"/>
    <n v="0"/>
    <n v="0"/>
    <n v="0"/>
    <n v="8.809329172"/>
    <n v="0"/>
    <n v="0.26195182500000003"/>
    <n v="0"/>
    <n v="0"/>
    <n v="58.033025950000003"/>
    <n v="0"/>
    <n v="0"/>
    <n v="0"/>
    <n v="2.1802028529999999"/>
    <n v="0"/>
    <n v="0"/>
    <n v="345.7819609"/>
    <n v="0"/>
    <n v="344"/>
    <n v="0"/>
    <n v="30000"/>
    <n v="0"/>
    <x v="2"/>
    <n v="59.439091339000001"/>
    <n v="0"/>
    <n v="59.439091339000001"/>
    <x v="1"/>
    <x v="0"/>
  </r>
  <r>
    <x v="245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n v="0"/>
    <x v="2"/>
    <n v="0"/>
    <n v="0"/>
    <n v="0"/>
    <x v="1"/>
    <x v="0"/>
  </r>
  <r>
    <x v="246"/>
    <x v="3"/>
    <n v="0"/>
    <n v="0"/>
    <n v="0"/>
    <n v="0"/>
    <n v="0"/>
    <n v="0"/>
    <n v="0"/>
    <n v="0"/>
    <n v="0"/>
    <n v="0"/>
    <n v="39.381098190000003"/>
    <n v="0"/>
    <n v="1.1394230809999999"/>
    <n v="0"/>
    <n v="0"/>
    <n v="283.12206750000001"/>
    <n v="0"/>
    <n v="0"/>
    <n v="0"/>
    <n v="2.6427592849999999"/>
    <n v="0"/>
    <n v="0"/>
    <n v="523.36381219999998"/>
    <n v="0"/>
    <n v="183"/>
    <n v="1"/>
    <n v="40000"/>
    <n v="0"/>
    <x v="2"/>
    <n v="123.03223126099999"/>
    <n v="0"/>
    <n v="123.03223126099999"/>
    <x v="1"/>
    <x v="0"/>
  </r>
  <r>
    <x v="247"/>
    <x v="2"/>
    <n v="0"/>
    <n v="0"/>
    <n v="0"/>
    <n v="0"/>
    <n v="0"/>
    <n v="0"/>
    <n v="0"/>
    <n v="0"/>
    <n v="0"/>
    <n v="0"/>
    <n v="7.9877249670000001"/>
    <n v="0"/>
    <n v="0.643138447"/>
    <n v="0"/>
    <n v="0"/>
    <n v="74.274545939999996"/>
    <n v="0"/>
    <n v="0"/>
    <n v="0"/>
    <n v="0"/>
    <n v="0"/>
    <n v="0"/>
    <n v="0"/>
    <n v="0"/>
    <n v="1061"/>
    <n v="0"/>
    <n v="50000"/>
    <n v="0"/>
    <x v="2"/>
    <n v="15.2801477595"/>
    <n v="0"/>
    <n v="15.2801477595"/>
    <x v="1"/>
    <x v="0"/>
  </r>
  <r>
    <x v="248"/>
    <x v="1"/>
    <n v="0"/>
    <n v="0"/>
    <n v="0"/>
    <n v="0"/>
    <n v="0"/>
    <n v="0"/>
    <n v="0"/>
    <n v="0"/>
    <n v="0"/>
    <n v="0"/>
    <n v="27.064213599999999"/>
    <n v="0"/>
    <n v="1.3035416559999999"/>
    <n v="0"/>
    <n v="0"/>
    <n v="281.93883779999999"/>
    <n v="0"/>
    <n v="0"/>
    <n v="0"/>
    <n v="0"/>
    <n v="0"/>
    <n v="0"/>
    <n v="0"/>
    <n v="0"/>
    <n v="446"/>
    <n v="0"/>
    <n v="50000"/>
    <n v="0"/>
    <x v="2"/>
    <n v="49.547240516000002"/>
    <n v="0"/>
    <n v="49.547240516000002"/>
    <x v="1"/>
    <x v="0"/>
  </r>
  <r>
    <x v="249"/>
    <x v="3"/>
    <n v="0"/>
    <n v="0"/>
    <n v="0"/>
    <n v="0"/>
    <n v="0"/>
    <n v="0"/>
    <n v="0"/>
    <n v="0"/>
    <n v="0"/>
    <n v="0"/>
    <n v="41.422418569999998"/>
    <n v="0"/>
    <n v="1.512152771"/>
    <n v="0"/>
    <n v="0"/>
    <n v="307.9105667"/>
    <n v="0"/>
    <n v="0"/>
    <n v="0"/>
    <n v="4.6564999990000002"/>
    <n v="0"/>
    <n v="0"/>
    <n v="577.03080220000004"/>
    <n v="0"/>
    <n v="123"/>
    <n v="2"/>
    <n v="0"/>
    <n v="0"/>
    <x v="2"/>
    <n v="146.21726279500001"/>
    <n v="0"/>
    <n v="146.21726279500001"/>
    <x v="1"/>
    <x v="0"/>
  </r>
  <r>
    <x v="250"/>
    <x v="3"/>
    <n v="0"/>
    <n v="0"/>
    <n v="0"/>
    <n v="0"/>
    <n v="0"/>
    <n v="0"/>
    <n v="0"/>
    <n v="0"/>
    <n v="0"/>
    <n v="0"/>
    <n v="27.789719770000001"/>
    <n v="0"/>
    <n v="1.050489064"/>
    <n v="0"/>
    <n v="0"/>
    <n v="214.15490560000001"/>
    <n v="0"/>
    <n v="0"/>
    <n v="0"/>
    <n v="3.28167798"/>
    <n v="0"/>
    <n v="0"/>
    <n v="479.06409780000001"/>
    <n v="0"/>
    <n v="188"/>
    <n v="1"/>
    <n v="0"/>
    <n v="0"/>
    <x v="2"/>
    <n v="109.20976248900001"/>
    <n v="0"/>
    <n v="109.20976248900001"/>
    <x v="1"/>
    <x v="0"/>
  </r>
  <r>
    <x v="251"/>
    <x v="2"/>
    <n v="0"/>
    <n v="0"/>
    <n v="0"/>
    <n v="0"/>
    <n v="0"/>
    <n v="0"/>
    <n v="0"/>
    <n v="0"/>
    <n v="0"/>
    <n v="0"/>
    <n v="56.398161999999999"/>
    <n v="0"/>
    <n v="3.3294197900000002"/>
    <n v="0"/>
    <n v="0"/>
    <n v="662.15663629999995"/>
    <n v="0"/>
    <n v="0"/>
    <n v="0"/>
    <n v="0"/>
    <n v="0"/>
    <n v="0"/>
    <n v="0"/>
    <n v="0"/>
    <n v="190"/>
    <n v="1"/>
    <n v="0"/>
    <n v="0"/>
    <x v="2"/>
    <n v="114.39126336999999"/>
    <n v="0"/>
    <n v="114.39126336999999"/>
    <x v="1"/>
    <x v="0"/>
  </r>
  <r>
    <x v="252"/>
    <x v="3"/>
    <n v="0"/>
    <n v="0"/>
    <n v="0"/>
    <n v="0"/>
    <n v="0"/>
    <n v="0"/>
    <n v="0"/>
    <n v="0"/>
    <n v="0"/>
    <n v="0"/>
    <n v="11.357560579999999"/>
    <n v="0"/>
    <n v="0.39503718599999998"/>
    <n v="0"/>
    <n v="0"/>
    <n v="82.754620059999993"/>
    <n v="0"/>
    <n v="0"/>
    <n v="0"/>
    <n v="3.3578393169999998"/>
    <n v="0"/>
    <n v="0"/>
    <n v="397.02744760000002"/>
    <n v="0"/>
    <n v="198"/>
    <n v="1"/>
    <n v="0"/>
    <n v="0"/>
    <x v="2"/>
    <n v="76.174246073999996"/>
    <n v="0"/>
    <n v="76.174246073999996"/>
    <x v="1"/>
    <x v="0"/>
  </r>
  <r>
    <x v="253"/>
    <x v="2"/>
    <n v="0"/>
    <n v="0"/>
    <n v="0"/>
    <n v="0"/>
    <n v="0"/>
    <n v="0"/>
    <n v="0"/>
    <n v="0"/>
    <n v="0"/>
    <n v="0"/>
    <n v="44.176051399999999"/>
    <n v="0"/>
    <n v="2.387668723"/>
    <n v="0"/>
    <n v="0"/>
    <n v="570.67714430000001"/>
    <n v="0"/>
    <n v="0"/>
    <n v="0"/>
    <n v="0.47455097699999998"/>
    <n v="0"/>
    <n v="0"/>
    <n v="77.843278440000006"/>
    <n v="0"/>
    <n v="209"/>
    <n v="1"/>
    <n v="0"/>
    <n v="0"/>
    <x v="2"/>
    <n v="104.113386174"/>
    <n v="0"/>
    <n v="104.113386174"/>
    <x v="1"/>
    <x v="0"/>
  </r>
  <r>
    <x v="254"/>
    <x v="2"/>
    <n v="0"/>
    <n v="0"/>
    <n v="0"/>
    <n v="0"/>
    <n v="0"/>
    <n v="0"/>
    <n v="0"/>
    <n v="0"/>
    <n v="0"/>
    <n v="0"/>
    <n v="63.352359890000002"/>
    <n v="0"/>
    <n v="4.5143897629999996"/>
    <n v="0"/>
    <n v="0"/>
    <n v="646.61673470000005"/>
    <n v="0"/>
    <n v="0"/>
    <n v="0"/>
    <n v="0.90542452799999995"/>
    <n v="0"/>
    <n v="0"/>
    <n v="64.30763528"/>
    <n v="0"/>
    <n v="179"/>
    <n v="1"/>
    <n v="0"/>
    <n v="0"/>
    <x v="2"/>
    <n v="135.28750268900001"/>
    <n v="0"/>
    <n v="135.28750268900001"/>
    <x v="1"/>
    <x v="0"/>
  </r>
  <r>
    <x v="255"/>
    <x v="3"/>
    <n v="0"/>
    <n v="0"/>
    <n v="0"/>
    <n v="0"/>
    <n v="0"/>
    <n v="0"/>
    <n v="0"/>
    <n v="0"/>
    <n v="0"/>
    <n v="0"/>
    <n v="39.904701930000002"/>
    <n v="0"/>
    <n v="1.2035849869999999"/>
    <n v="0"/>
    <n v="0"/>
    <n v="273.26695890000002"/>
    <n v="0"/>
    <n v="0"/>
    <n v="0"/>
    <n v="2.607957377"/>
    <n v="0"/>
    <n v="0"/>
    <n v="472.71854380000002"/>
    <n v="0"/>
    <n v="154"/>
    <n v="1"/>
    <n v="0"/>
    <n v="0"/>
    <x v="2"/>
    <n v="117.42015541900001"/>
    <n v="0"/>
    <n v="117.42015541900001"/>
    <x v="1"/>
    <x v="0"/>
  </r>
  <r>
    <x v="256"/>
    <x v="2"/>
    <n v="0"/>
    <n v="0"/>
    <n v="0"/>
    <n v="0"/>
    <n v="0"/>
    <n v="0"/>
    <n v="0"/>
    <n v="0"/>
    <n v="0"/>
    <n v="0"/>
    <n v="55.686505619999998"/>
    <n v="0"/>
    <n v="5.6055465680000003"/>
    <n v="0"/>
    <n v="0"/>
    <n v="809.60145609999995"/>
    <n v="0"/>
    <n v="0"/>
    <n v="0"/>
    <n v="0.277878034"/>
    <n v="0"/>
    <n v="0"/>
    <n v="25.22295471"/>
    <n v="0"/>
    <n v="158"/>
    <n v="1"/>
    <n v="0"/>
    <n v="0"/>
    <x v="2"/>
    <n v="146.62624150300002"/>
    <n v="0"/>
    <n v="146.62624150300002"/>
    <x v="1"/>
    <x v="0"/>
  </r>
  <r>
    <x v="257"/>
    <x v="2"/>
    <n v="0"/>
    <n v="0"/>
    <n v="0"/>
    <n v="0"/>
    <n v="0"/>
    <n v="0"/>
    <n v="0"/>
    <n v="0"/>
    <n v="0"/>
    <n v="0"/>
    <n v="59.63196851"/>
    <n v="0"/>
    <n v="3.2181949909999998"/>
    <n v="0"/>
    <n v="0"/>
    <n v="779.94133179999994"/>
    <n v="0"/>
    <n v="0"/>
    <n v="0"/>
    <n v="0.326192592"/>
    <n v="0"/>
    <n v="0"/>
    <n v="69.777579500000002"/>
    <n v="0"/>
    <n v="159"/>
    <n v="1"/>
    <n v="0"/>
    <n v="0"/>
    <x v="2"/>
    <n v="136.05420088300002"/>
    <n v="0"/>
    <n v="136.05420088300002"/>
    <x v="1"/>
    <x v="0"/>
  </r>
  <r>
    <x v="258"/>
    <x v="3"/>
    <n v="0"/>
    <n v="0"/>
    <n v="0"/>
    <n v="0"/>
    <n v="0"/>
    <n v="0"/>
    <n v="0"/>
    <n v="0"/>
    <n v="0"/>
    <n v="0"/>
    <n v="27.980540449999999"/>
    <n v="0"/>
    <n v="0.99710482"/>
    <n v="0"/>
    <n v="0"/>
    <n v="211.96286559999999"/>
    <n v="0"/>
    <n v="0"/>
    <n v="0"/>
    <n v="4.8997076030000004"/>
    <n v="0"/>
    <n v="0"/>
    <n v="567.11973550000005"/>
    <n v="0"/>
    <n v="152"/>
    <n v="1"/>
    <n v="0"/>
    <n v="0"/>
    <x v="2"/>
    <n v="127.27940487300002"/>
    <n v="0"/>
    <n v="127.27940487300002"/>
    <x v="1"/>
    <x v="0"/>
  </r>
  <r>
    <x v="259"/>
    <x v="1"/>
    <n v="0"/>
    <n v="0"/>
    <n v="0"/>
    <n v="0"/>
    <n v="0"/>
    <n v="0"/>
    <n v="0"/>
    <n v="0"/>
    <n v="0"/>
    <n v="0"/>
    <n v="52.858953900000003"/>
    <n v="0"/>
    <n v="3.825343508"/>
    <n v="0"/>
    <n v="0"/>
    <n v="528.96723950000001"/>
    <n v="0"/>
    <n v="0"/>
    <n v="0"/>
    <n v="0"/>
    <n v="0"/>
    <n v="0"/>
    <n v="0"/>
    <n v="0"/>
    <n v="174"/>
    <n v="1"/>
    <n v="0"/>
    <n v="0"/>
    <x v="2"/>
    <n v="102.27826194799999"/>
    <n v="0"/>
    <n v="102.27826194799999"/>
    <x v="1"/>
    <x v="0"/>
  </r>
  <r>
    <x v="260"/>
    <x v="2"/>
    <n v="0"/>
    <n v="0"/>
    <n v="0"/>
    <n v="0"/>
    <n v="0"/>
    <n v="0"/>
    <n v="0"/>
    <n v="0"/>
    <n v="0"/>
    <n v="0"/>
    <n v="7.6692997869999999"/>
    <n v="0"/>
    <n v="0.39366701500000001"/>
    <n v="0"/>
    <n v="0"/>
    <n v="76.662023039999994"/>
    <n v="0"/>
    <n v="0"/>
    <n v="0"/>
    <n v="0.33377845900000003"/>
    <n v="0"/>
    <n v="0"/>
    <n v="45.374989489999997"/>
    <n v="0"/>
    <n v="1051"/>
    <n v="0"/>
    <n v="0"/>
    <n v="0"/>
    <x v="2"/>
    <n v="20.403023990499999"/>
    <n v="0"/>
    <n v="20.403023990499999"/>
    <x v="1"/>
    <x v="0"/>
  </r>
  <r>
    <x v="261"/>
    <x v="2"/>
    <n v="0"/>
    <n v="0"/>
    <n v="0"/>
    <n v="0"/>
    <n v="0"/>
    <n v="0"/>
    <n v="0"/>
    <n v="0"/>
    <n v="0"/>
    <n v="0"/>
    <n v="8.2777108039999998"/>
    <n v="0"/>
    <n v="0.64971712599999998"/>
    <n v="0"/>
    <n v="0"/>
    <n v="101.858565"/>
    <n v="0"/>
    <n v="0"/>
    <n v="0"/>
    <n v="0"/>
    <n v="0"/>
    <n v="0"/>
    <n v="0"/>
    <n v="0"/>
    <n v="1056"/>
    <n v="0"/>
    <n v="0"/>
    <n v="0"/>
    <x v="2"/>
    <n v="18.223014658"/>
    <n v="0"/>
    <n v="18.223014658"/>
    <x v="1"/>
    <x v="0"/>
  </r>
  <r>
    <x v="262"/>
    <x v="1"/>
    <n v="0"/>
    <n v="0"/>
    <n v="0"/>
    <n v="0"/>
    <n v="0"/>
    <n v="0"/>
    <n v="0"/>
    <n v="0"/>
    <n v="0"/>
    <n v="0"/>
    <n v="10.010460119999999"/>
    <n v="0"/>
    <n v="0.72544415699999998"/>
    <n v="0"/>
    <n v="0"/>
    <n v="101.0904761"/>
    <n v="0"/>
    <n v="0"/>
    <n v="0"/>
    <n v="0"/>
    <n v="0"/>
    <n v="0"/>
    <n v="0"/>
    <n v="0"/>
    <n v="1054"/>
    <n v="0"/>
    <n v="0"/>
    <n v="0"/>
    <x v="2"/>
    <n v="19.466942612"/>
    <n v="0"/>
    <n v="19.466942612"/>
    <x v="1"/>
    <x v="0"/>
  </r>
  <r>
    <x v="263"/>
    <x v="3"/>
    <n v="0"/>
    <n v="0"/>
    <n v="0"/>
    <n v="0"/>
    <n v="0"/>
    <n v="0"/>
    <n v="0"/>
    <n v="0"/>
    <n v="0"/>
    <n v="0"/>
    <n v="12.97668223"/>
    <n v="0"/>
    <n v="0.45479973699999998"/>
    <n v="0"/>
    <n v="0"/>
    <n v="95.134805830000005"/>
    <n v="0"/>
    <n v="0"/>
    <n v="0"/>
    <n v="0"/>
    <n v="0"/>
    <n v="0"/>
    <n v="0"/>
    <n v="0"/>
    <n v="1053"/>
    <n v="0"/>
    <n v="0"/>
    <n v="0"/>
    <x v="2"/>
    <n v="18.730620120000001"/>
    <n v="0"/>
    <n v="18.730620120000001"/>
    <x v="1"/>
    <x v="0"/>
  </r>
  <r>
    <x v="264"/>
    <x v="1"/>
    <n v="0"/>
    <n v="0"/>
    <n v="0"/>
    <n v="0"/>
    <n v="0"/>
    <n v="0"/>
    <n v="0"/>
    <n v="0"/>
    <n v="0"/>
    <n v="0"/>
    <n v="11.05726278"/>
    <n v="0"/>
    <n v="0.74769259700000001"/>
    <n v="0"/>
    <n v="0"/>
    <n v="116.8913143"/>
    <n v="0"/>
    <n v="0"/>
    <n v="0"/>
    <n v="0"/>
    <n v="0"/>
    <n v="0"/>
    <n v="0"/>
    <n v="0"/>
    <n v="1048"/>
    <n v="0"/>
    <n v="0"/>
    <n v="0"/>
    <x v="2"/>
    <n v="21.703918401999999"/>
    <n v="0"/>
    <n v="21.703918401999999"/>
    <x v="1"/>
    <x v="0"/>
  </r>
  <r>
    <x v="265"/>
    <x v="1"/>
    <n v="0"/>
    <n v="0"/>
    <n v="0"/>
    <n v="0"/>
    <n v="0"/>
    <n v="0"/>
    <n v="0"/>
    <n v="0"/>
    <n v="0"/>
    <n v="0"/>
    <n v="10.65930227"/>
    <n v="0"/>
    <n v="0.81047161099999998"/>
    <n v="0"/>
    <n v="0"/>
    <n v="104.1347044"/>
    <n v="0"/>
    <n v="0"/>
    <n v="0"/>
    <n v="0"/>
    <n v="0"/>
    <n v="0"/>
    <n v="0"/>
    <n v="0"/>
    <n v="1050"/>
    <n v="0"/>
    <n v="0"/>
    <n v="0"/>
    <x v="2"/>
    <n v="20.605951241"/>
    <n v="0"/>
    <n v="20.605951241"/>
    <x v="1"/>
    <x v="0"/>
  </r>
  <r>
    <x v="266"/>
    <x v="2"/>
    <n v="0"/>
    <n v="0"/>
    <n v="0"/>
    <n v="0"/>
    <n v="0"/>
    <n v="0"/>
    <n v="0"/>
    <n v="0"/>
    <n v="0"/>
    <n v="0"/>
    <n v="10.49005874"/>
    <n v="0"/>
    <n v="0.61691923000000004"/>
    <n v="0"/>
    <n v="0"/>
    <n v="122.2066423"/>
    <n v="0"/>
    <n v="0"/>
    <n v="0"/>
    <n v="0"/>
    <n v="0"/>
    <n v="0"/>
    <n v="0"/>
    <n v="0"/>
    <n v="1049"/>
    <n v="0"/>
    <n v="0"/>
    <n v="0"/>
    <x v="2"/>
    <n v="21.167208980000002"/>
    <n v="0"/>
    <n v="21.167208980000002"/>
    <x v="1"/>
    <x v="0"/>
  </r>
  <r>
    <x v="267"/>
    <x v="0"/>
    <n v="0"/>
    <n v="1.754032856"/>
    <n v="0"/>
    <n v="0"/>
    <n v="2.4526078240000002"/>
    <n v="0"/>
    <n v="0"/>
    <n v="471.17319889999999"/>
    <n v="0"/>
    <n v="0"/>
    <n v="0"/>
    <n v="0"/>
    <n v="0"/>
    <n v="0"/>
    <n v="0"/>
    <n v="0"/>
    <n v="0"/>
    <n v="0"/>
    <n v="0"/>
    <n v="0.16630605400000001"/>
    <n v="0"/>
    <n v="0"/>
    <n v="19.17012914"/>
    <n v="0"/>
    <n v="1047"/>
    <n v="0"/>
    <n v="0"/>
    <n v="0"/>
    <x v="2"/>
    <n v="28.064142778000001"/>
    <n v="0"/>
    <n v="28.064142778000001"/>
    <x v="0"/>
    <x v="1"/>
  </r>
  <r>
    <x v="268"/>
    <x v="2"/>
    <n v="0"/>
    <n v="0"/>
    <n v="0"/>
    <n v="0"/>
    <n v="0"/>
    <n v="0"/>
    <n v="0"/>
    <n v="0"/>
    <n v="0"/>
    <n v="0"/>
    <n v="9.9626074429999996"/>
    <n v="0"/>
    <n v="0.89765922600000003"/>
    <n v="0"/>
    <n v="0"/>
    <n v="122.2969966"/>
    <n v="0"/>
    <n v="0"/>
    <n v="0"/>
    <n v="0"/>
    <n v="0"/>
    <n v="0"/>
    <n v="0"/>
    <n v="0"/>
    <n v="1046"/>
    <n v="0"/>
    <n v="0"/>
    <n v="0"/>
    <x v="2"/>
    <n v="22.596958737500003"/>
    <n v="0"/>
    <n v="22.596958737500003"/>
    <x v="1"/>
    <x v="0"/>
  </r>
  <r>
    <x v="269"/>
    <x v="1"/>
    <n v="0"/>
    <n v="0"/>
    <n v="0"/>
    <n v="0"/>
    <n v="0"/>
    <n v="0"/>
    <n v="0"/>
    <n v="0"/>
    <n v="0"/>
    <n v="0"/>
    <n v="12.16892874"/>
    <n v="0"/>
    <n v="0.56539584399999998"/>
    <n v="0"/>
    <n v="0"/>
    <n v="122.4511708"/>
    <n v="0"/>
    <n v="0"/>
    <n v="0"/>
    <n v="0"/>
    <n v="0"/>
    <n v="0"/>
    <n v="0"/>
    <n v="0"/>
    <n v="1045"/>
    <n v="0"/>
    <n v="0"/>
    <n v="0"/>
    <x v="2"/>
    <n v="21.721956513999999"/>
    <n v="0"/>
    <n v="21.721956513999999"/>
    <x v="1"/>
    <x v="0"/>
  </r>
  <r>
    <x v="270"/>
    <x v="2"/>
    <n v="0"/>
    <n v="0"/>
    <n v="0"/>
    <n v="0"/>
    <n v="0"/>
    <n v="0"/>
    <n v="0"/>
    <n v="0"/>
    <n v="0"/>
    <n v="0"/>
    <n v="8.6712676420000001"/>
    <n v="0"/>
    <n v="0.82345680499999996"/>
    <n v="0"/>
    <n v="0"/>
    <n v="141.82971989999999"/>
    <n v="0"/>
    <n v="0"/>
    <n v="0"/>
    <n v="0"/>
    <n v="0"/>
    <n v="0"/>
    <n v="0"/>
    <n v="0"/>
    <n v="1044"/>
    <n v="0"/>
    <n v="0"/>
    <n v="0"/>
    <x v="2"/>
    <n v="23.459346640999996"/>
    <n v="0"/>
    <n v="23.459346640999996"/>
    <x v="1"/>
    <x v="0"/>
  </r>
  <r>
    <x v="271"/>
    <x v="2"/>
    <n v="0"/>
    <n v="0"/>
    <n v="0"/>
    <n v="0"/>
    <n v="0"/>
    <n v="0"/>
    <n v="0"/>
    <n v="0"/>
    <n v="0"/>
    <n v="0"/>
    <n v="9.8912160700000005"/>
    <n v="0"/>
    <n v="0.79651844100000002"/>
    <n v="0"/>
    <n v="0"/>
    <n v="115.0619993"/>
    <n v="0"/>
    <n v="0"/>
    <n v="0"/>
    <n v="7.8501324999999997E-2"/>
    <n v="0"/>
    <n v="0"/>
    <n v="12.67544286"/>
    <n v="0"/>
    <n v="1043"/>
    <n v="0"/>
    <n v="0"/>
    <n v="0"/>
    <x v="2"/>
    <n v="22.969470847"/>
    <n v="0"/>
    <n v="22.969470847"/>
    <x v="1"/>
    <x v="0"/>
  </r>
  <r>
    <x v="272"/>
    <x v="2"/>
    <n v="0"/>
    <n v="0"/>
    <n v="0"/>
    <n v="0"/>
    <n v="0"/>
    <n v="0"/>
    <n v="0"/>
    <n v="0"/>
    <n v="0"/>
    <n v="0"/>
    <n v="7.3887353730000003"/>
    <n v="0"/>
    <n v="0.65016469899999996"/>
    <n v="0"/>
    <n v="0"/>
    <n v="84.53005512"/>
    <n v="0"/>
    <n v="0"/>
    <n v="0"/>
    <n v="0"/>
    <n v="0"/>
    <n v="0"/>
    <n v="0"/>
    <n v="0"/>
    <n v="1060"/>
    <n v="0"/>
    <n v="0"/>
    <n v="0"/>
    <x v="2"/>
    <n v="16.048361392499999"/>
    <n v="0"/>
    <n v="16.048361392499999"/>
    <x v="1"/>
    <x v="0"/>
  </r>
  <r>
    <x v="273"/>
    <x v="1"/>
    <n v="0"/>
    <n v="0"/>
    <n v="0"/>
    <n v="0"/>
    <n v="0"/>
    <n v="0"/>
    <n v="0"/>
    <n v="0"/>
    <n v="0"/>
    <n v="0"/>
    <n v="8.0220226110000006"/>
    <n v="0"/>
    <n v="0.66386637000000004"/>
    <n v="0"/>
    <n v="0"/>
    <n v="77.991205289999996"/>
    <n v="0"/>
    <n v="0"/>
    <n v="0"/>
    <n v="0"/>
    <n v="0"/>
    <n v="0"/>
    <n v="0"/>
    <n v="0"/>
    <n v="1059"/>
    <n v="0"/>
    <n v="0"/>
    <n v="0"/>
    <x v="2"/>
    <n v="15.7933300545"/>
    <n v="0"/>
    <n v="15.7933300545"/>
    <x v="1"/>
    <x v="0"/>
  </r>
  <r>
    <x v="274"/>
    <x v="1"/>
    <n v="0"/>
    <n v="0"/>
    <n v="0"/>
    <n v="0"/>
    <n v="0"/>
    <n v="0"/>
    <n v="0"/>
    <n v="0"/>
    <n v="0"/>
    <n v="0"/>
    <n v="6.7303010600000004"/>
    <n v="0"/>
    <n v="0.593195947"/>
    <n v="0"/>
    <n v="0"/>
    <n v="67.352575810000005"/>
    <n v="0"/>
    <n v="0"/>
    <n v="0"/>
    <n v="0"/>
    <n v="0"/>
    <n v="0"/>
    <n v="0"/>
    <n v="0"/>
    <n v="1069"/>
    <n v="0"/>
    <n v="0"/>
    <n v="0"/>
    <x v="2"/>
    <n v="13.659583793000001"/>
    <n v="0"/>
    <n v="13.659583793000001"/>
    <x v="1"/>
    <x v="0"/>
  </r>
  <r>
    <x v="275"/>
    <x v="1"/>
    <n v="0"/>
    <n v="0"/>
    <n v="0"/>
    <n v="0"/>
    <n v="0"/>
    <n v="0"/>
    <n v="0"/>
    <n v="0"/>
    <n v="0"/>
    <n v="0"/>
    <n v="7.4695705300000004"/>
    <n v="0"/>
    <n v="0.61657373000000004"/>
    <n v="0"/>
    <n v="0"/>
    <n v="75.907718160000002"/>
    <n v="0"/>
    <n v="0"/>
    <n v="0"/>
    <n v="0"/>
    <n v="0"/>
    <n v="0"/>
    <n v="0"/>
    <n v="0"/>
    <n v="1062"/>
    <n v="0"/>
    <n v="0"/>
    <n v="0"/>
    <x v="2"/>
    <n v="15.024999461"/>
    <n v="0"/>
    <n v="15.024999461"/>
    <x v="1"/>
    <x v="0"/>
  </r>
  <r>
    <x v="276"/>
    <x v="2"/>
    <n v="0"/>
    <n v="0"/>
    <n v="0"/>
    <n v="0"/>
    <n v="0"/>
    <n v="0"/>
    <n v="0"/>
    <n v="0"/>
    <n v="0"/>
    <n v="0"/>
    <n v="3.2113382129999999"/>
    <n v="0"/>
    <n v="0.31548777900000002"/>
    <n v="0"/>
    <n v="0"/>
    <n v="37.268366120000003"/>
    <n v="0"/>
    <n v="0"/>
    <n v="0"/>
    <n v="0.27958245300000001"/>
    <n v="0"/>
    <n v="0"/>
    <n v="26.291827130000001"/>
    <n v="0"/>
    <n v="1080"/>
    <n v="0"/>
    <n v="0"/>
    <n v="0"/>
    <x v="2"/>
    <n v="11.532109823500001"/>
    <n v="0"/>
    <n v="11.532109823500001"/>
    <x v="1"/>
    <x v="0"/>
  </r>
  <r>
    <x v="277"/>
    <x v="3"/>
    <n v="0"/>
    <n v="0"/>
    <n v="0"/>
    <n v="0"/>
    <n v="0"/>
    <n v="0"/>
    <n v="0"/>
    <n v="0"/>
    <n v="0"/>
    <n v="0"/>
    <n v="2.5614187240000001"/>
    <n v="0"/>
    <n v="6.6433729999999996E-2"/>
    <n v="0"/>
    <n v="0"/>
    <n v="18.05003052"/>
    <n v="0"/>
    <n v="0"/>
    <n v="0"/>
    <n v="0.44730069"/>
    <n v="0"/>
    <n v="0"/>
    <n v="51.919224049999997"/>
    <n v="0"/>
    <n v="1078"/>
    <n v="0"/>
    <n v="0"/>
    <n v="0"/>
    <x v="2"/>
    <n v="11.360041339"/>
    <n v="0"/>
    <n v="11.360041339"/>
    <x v="1"/>
    <x v="0"/>
  </r>
  <r>
    <x v="278"/>
    <x v="3"/>
    <n v="0"/>
    <n v="0"/>
    <n v="0"/>
    <n v="0"/>
    <n v="0"/>
    <n v="0"/>
    <n v="0"/>
    <n v="0"/>
    <n v="0"/>
    <n v="0"/>
    <n v="3.6321239539999999"/>
    <n v="0"/>
    <n v="0.18420697699999999"/>
    <n v="0"/>
    <n v="0"/>
    <n v="29.322530759999999"/>
    <n v="0"/>
    <n v="0"/>
    <n v="0"/>
    <n v="0.40565652000000002"/>
    <n v="0"/>
    <n v="0"/>
    <n v="51.901384229999998"/>
    <n v="0"/>
    <n v="1077"/>
    <n v="0"/>
    <n v="0"/>
    <n v="0"/>
    <x v="2"/>
    <n v="13.477634458000001"/>
    <n v="0"/>
    <n v="13.477634458000001"/>
    <x v="1"/>
    <x v="0"/>
  </r>
  <r>
    <x v="279"/>
    <x v="2"/>
    <n v="0"/>
    <n v="0"/>
    <n v="0"/>
    <n v="0"/>
    <n v="0"/>
    <n v="0"/>
    <n v="0"/>
    <n v="0"/>
    <n v="0"/>
    <n v="0"/>
    <n v="6.1300963360000003"/>
    <n v="0"/>
    <n v="0.31411278199999998"/>
    <n v="0"/>
    <n v="0"/>
    <n v="75.485749330000004"/>
    <n v="0"/>
    <n v="0"/>
    <n v="0"/>
    <n v="0"/>
    <n v="0"/>
    <n v="0"/>
    <n v="0"/>
    <n v="0"/>
    <n v="1076"/>
    <n v="0"/>
    <n v="0"/>
    <n v="0"/>
    <x v="2"/>
    <n v="12.498299793000001"/>
    <n v="0"/>
    <n v="12.498299793000001"/>
    <x v="1"/>
    <x v="0"/>
  </r>
  <r>
    <x v="280"/>
    <x v="2"/>
    <n v="0"/>
    <n v="0"/>
    <n v="0"/>
    <n v="0"/>
    <n v="0"/>
    <n v="0"/>
    <n v="0"/>
    <n v="0"/>
    <n v="0"/>
    <n v="0"/>
    <n v="6.7805229300000001"/>
    <n v="0"/>
    <n v="0.30905354099999999"/>
    <n v="0"/>
    <n v="0"/>
    <n v="71.473049669999995"/>
    <n v="0"/>
    <n v="0"/>
    <n v="0"/>
    <n v="0"/>
    <n v="0"/>
    <n v="0"/>
    <n v="0"/>
    <n v="0"/>
    <n v="1075"/>
    <n v="0"/>
    <n v="0"/>
    <n v="0"/>
    <x v="2"/>
    <n v="12.391887678"/>
    <n v="0"/>
    <n v="12.391887678"/>
    <x v="1"/>
    <x v="0"/>
  </r>
  <r>
    <x v="281"/>
    <x v="1"/>
    <n v="0"/>
    <n v="0"/>
    <n v="0"/>
    <n v="0"/>
    <n v="0"/>
    <n v="0"/>
    <n v="0"/>
    <n v="0"/>
    <n v="0"/>
    <n v="0"/>
    <n v="6.2434746790000002"/>
    <n v="0"/>
    <n v="0.51878548899999999"/>
    <n v="0"/>
    <n v="0"/>
    <n v="63.944100470000002"/>
    <n v="0"/>
    <n v="0"/>
    <n v="0"/>
    <n v="0"/>
    <n v="0"/>
    <n v="0"/>
    <n v="0"/>
    <n v="0"/>
    <n v="1074"/>
    <n v="0"/>
    <n v="0"/>
    <n v="0"/>
    <x v="2"/>
    <n v="12.628860320500001"/>
    <n v="0"/>
    <n v="12.628860320500001"/>
    <x v="1"/>
    <x v="0"/>
  </r>
  <r>
    <x v="282"/>
    <x v="2"/>
    <n v="0"/>
    <n v="0"/>
    <n v="0"/>
    <n v="0"/>
    <n v="0"/>
    <n v="0"/>
    <n v="0"/>
    <n v="0"/>
    <n v="0"/>
    <n v="0"/>
    <n v="7.2301631540000004"/>
    <n v="0"/>
    <n v="0.22789662499999999"/>
    <n v="0"/>
    <n v="0"/>
    <n v="66.495300779999994"/>
    <n v="0"/>
    <n v="0"/>
    <n v="0"/>
    <n v="0"/>
    <n v="0"/>
    <n v="0"/>
    <n v="0"/>
    <n v="0"/>
    <n v="1073"/>
    <n v="0"/>
    <n v="0"/>
    <n v="0"/>
    <x v="2"/>
    <n v="11.631991405000001"/>
    <n v="0"/>
    <n v="11.631991405000001"/>
    <x v="1"/>
    <x v="0"/>
  </r>
  <r>
    <x v="283"/>
    <x v="3"/>
    <n v="0"/>
    <n v="0"/>
    <n v="0"/>
    <n v="0"/>
    <n v="0"/>
    <n v="0"/>
    <n v="0"/>
    <n v="0"/>
    <n v="0"/>
    <n v="0"/>
    <n v="3.9983635139999998"/>
    <n v="0"/>
    <n v="0.13584649900000001"/>
    <n v="0"/>
    <n v="0"/>
    <n v="28.269991059999999"/>
    <n v="0"/>
    <n v="0"/>
    <n v="0"/>
    <n v="0.41222862700000001"/>
    <n v="0"/>
    <n v="0"/>
    <n v="60.276120890000001"/>
    <n v="0"/>
    <n v="1072"/>
    <n v="0"/>
    <n v="0"/>
    <n v="0"/>
    <x v="2"/>
    <n v="14.142243708000002"/>
    <n v="0"/>
    <n v="14.142243708000002"/>
    <x v="1"/>
    <x v="0"/>
  </r>
  <r>
    <x v="284"/>
    <x v="2"/>
    <n v="0"/>
    <n v="0"/>
    <n v="0"/>
    <n v="0"/>
    <n v="0"/>
    <n v="0"/>
    <n v="0"/>
    <n v="0"/>
    <n v="0"/>
    <n v="0"/>
    <n v="7.0545032809999997"/>
    <n v="0"/>
    <n v="0.363359969"/>
    <n v="0"/>
    <n v="0"/>
    <n v="74.772508999999999"/>
    <n v="0"/>
    <n v="0"/>
    <n v="0"/>
    <n v="0"/>
    <n v="0"/>
    <n v="0"/>
    <n v="0"/>
    <n v="0"/>
    <n v="1071"/>
    <n v="0"/>
    <n v="0"/>
    <n v="0"/>
    <x v="2"/>
    <n v="13.1846623545"/>
    <n v="0"/>
    <n v="13.1846623545"/>
    <x v="1"/>
    <x v="0"/>
  </r>
  <r>
    <x v="285"/>
    <x v="3"/>
    <n v="0"/>
    <n v="0"/>
    <n v="0"/>
    <n v="0"/>
    <n v="0"/>
    <n v="0"/>
    <n v="0"/>
    <n v="0"/>
    <n v="0"/>
    <n v="0"/>
    <n v="4.0698677009999997"/>
    <n v="0"/>
    <n v="0.14336707300000001"/>
    <n v="0"/>
    <n v="0"/>
    <n v="26.882742950000001"/>
    <n v="0"/>
    <n v="0"/>
    <n v="0"/>
    <n v="0.35369550399999999"/>
    <n v="0"/>
    <n v="0"/>
    <n v="71.172299910000007"/>
    <n v="0"/>
    <n v="1070"/>
    <n v="0"/>
    <n v="0"/>
    <n v="0"/>
    <x v="2"/>
    <n v="14.822813598500002"/>
    <n v="0"/>
    <n v="14.822813598500002"/>
    <x v="1"/>
    <x v="0"/>
  </r>
  <r>
    <x v="286"/>
    <x v="1"/>
    <n v="0"/>
    <n v="0"/>
    <n v="0"/>
    <n v="0"/>
    <n v="0"/>
    <n v="0"/>
    <n v="0"/>
    <n v="0"/>
    <n v="0"/>
    <n v="0"/>
    <n v="12.05233312"/>
    <n v="0"/>
    <n v="0.77621879299999996"/>
    <n v="0"/>
    <n v="0"/>
    <n v="114.86009319999999"/>
    <n v="0"/>
    <n v="0"/>
    <n v="0"/>
    <n v="0"/>
    <n v="0"/>
    <n v="0"/>
    <n v="0"/>
    <n v="0"/>
    <n v="1041"/>
    <n v="0"/>
    <n v="0"/>
    <n v="0"/>
    <x v="2"/>
    <n v="22.169488638000001"/>
    <n v="0"/>
    <n v="22.169488638000001"/>
    <x v="1"/>
    <x v="0"/>
  </r>
  <r>
    <x v="287"/>
    <x v="1"/>
    <n v="0"/>
    <n v="0"/>
    <n v="0"/>
    <n v="0"/>
    <n v="0"/>
    <n v="0"/>
    <n v="0"/>
    <n v="0"/>
    <n v="0"/>
    <n v="0"/>
    <n v="7.4904132700000003"/>
    <n v="0"/>
    <n v="0.419050863"/>
    <n v="0"/>
    <n v="0"/>
    <n v="71.131931109999996"/>
    <n v="0"/>
    <n v="0"/>
    <n v="0"/>
    <n v="0"/>
    <n v="0"/>
    <n v="0"/>
    <n v="0"/>
    <n v="0"/>
    <n v="1067"/>
    <n v="0"/>
    <n v="0"/>
    <n v="0"/>
    <x v="2"/>
    <n v="13.372704924000001"/>
    <n v="0"/>
    <n v="13.372704924000001"/>
    <x v="1"/>
    <x v="0"/>
  </r>
  <r>
    <x v="288"/>
    <x v="3"/>
    <n v="0"/>
    <n v="0"/>
    <n v="0"/>
    <n v="0"/>
    <n v="0"/>
    <n v="0"/>
    <n v="0"/>
    <n v="0"/>
    <n v="0"/>
    <n v="0"/>
    <n v="5.9586854950000001"/>
    <n v="0"/>
    <n v="0.28794263199999998"/>
    <n v="0"/>
    <n v="0"/>
    <n v="43.799727949999998"/>
    <n v="0"/>
    <n v="0"/>
    <n v="0"/>
    <n v="0.22929063999999999"/>
    <n v="0"/>
    <n v="0"/>
    <n v="39.398895209999999"/>
    <n v="0"/>
    <n v="1066"/>
    <n v="0"/>
    <n v="0"/>
    <n v="0"/>
    <x v="2"/>
    <n v="14.402604695499999"/>
    <n v="0"/>
    <n v="14.402604695499999"/>
    <x v="1"/>
    <x v="0"/>
  </r>
  <r>
    <x v="289"/>
    <x v="1"/>
    <n v="0"/>
    <n v="0"/>
    <n v="0"/>
    <n v="0"/>
    <n v="0"/>
    <n v="0"/>
    <n v="0"/>
    <n v="0"/>
    <n v="0"/>
    <n v="0"/>
    <n v="7.6766508990000002"/>
    <n v="0"/>
    <n v="0.57655819100000005"/>
    <n v="0"/>
    <n v="0"/>
    <n v="71.588012739999996"/>
    <n v="0"/>
    <n v="0"/>
    <n v="0"/>
    <n v="0"/>
    <n v="0"/>
    <n v="0"/>
    <n v="0"/>
    <n v="0"/>
    <n v="1064"/>
    <n v="0"/>
    <n v="0"/>
    <n v="0"/>
    <x v="2"/>
    <n v="14.4564758695"/>
    <n v="0"/>
    <n v="14.4564758695"/>
    <x v="1"/>
    <x v="0"/>
  </r>
  <r>
    <x v="290"/>
    <x v="1"/>
    <n v="0"/>
    <n v="0"/>
    <n v="0"/>
    <n v="0"/>
    <n v="0"/>
    <n v="0"/>
    <n v="0"/>
    <n v="0"/>
    <n v="0"/>
    <n v="0"/>
    <n v="7.1326359879999996"/>
    <n v="0"/>
    <n v="0.74113133799999997"/>
    <n v="0"/>
    <n v="0"/>
    <n v="66.717061740000005"/>
    <n v="0"/>
    <n v="0"/>
    <n v="0"/>
    <n v="0"/>
    <n v="0"/>
    <n v="0"/>
    <n v="0"/>
    <n v="0"/>
    <n v="1063"/>
    <n v="0"/>
    <n v="0"/>
    <n v="0"/>
    <x v="2"/>
    <n v="14.684812196000001"/>
    <n v="0"/>
    <n v="14.684812196000001"/>
    <x v="1"/>
    <x v="0"/>
  </r>
  <r>
    <x v="291"/>
    <x v="2"/>
    <n v="0"/>
    <n v="0"/>
    <n v="0"/>
    <n v="0"/>
    <n v="0"/>
    <n v="0"/>
    <n v="0"/>
    <n v="0"/>
    <n v="0"/>
    <n v="0"/>
    <n v="9.7227607630000001"/>
    <n v="0"/>
    <n v="1.009220709"/>
    <n v="0"/>
    <n v="0"/>
    <n v="122.8890155"/>
    <n v="0"/>
    <n v="0"/>
    <n v="0"/>
    <n v="0"/>
    <n v="0"/>
    <n v="0"/>
    <n v="0"/>
    <n v="0"/>
    <n v="1042"/>
    <n v="0"/>
    <n v="0"/>
    <n v="0"/>
    <x v="2"/>
    <n v="23.205606185500002"/>
    <n v="0"/>
    <n v="23.205606185500002"/>
    <x v="1"/>
    <x v="0"/>
  </r>
  <r>
    <x v="292"/>
    <x v="1"/>
    <n v="0"/>
    <n v="0"/>
    <n v="0"/>
    <n v="0"/>
    <n v="0"/>
    <n v="0"/>
    <n v="0"/>
    <n v="0"/>
    <n v="0"/>
    <n v="0"/>
    <n v="11.80337602"/>
    <n v="0"/>
    <n v="0.90227118500000003"/>
    <n v="0"/>
    <n v="0"/>
    <n v="130.1718358"/>
    <n v="0"/>
    <n v="0"/>
    <n v="0"/>
    <n v="0"/>
    <n v="0"/>
    <n v="0"/>
    <n v="0"/>
    <n v="0"/>
    <n v="1031"/>
    <n v="0"/>
    <n v="0"/>
    <n v="0"/>
    <x v="2"/>
    <n v="24.332498700000002"/>
    <n v="0"/>
    <n v="24.332498700000002"/>
    <x v="1"/>
    <x v="0"/>
  </r>
  <r>
    <x v="293"/>
    <x v="2"/>
    <n v="0"/>
    <n v="0"/>
    <n v="0"/>
    <n v="0"/>
    <n v="0"/>
    <n v="0"/>
    <n v="0"/>
    <n v="0"/>
    <n v="0"/>
    <n v="0"/>
    <n v="10.657112420000001"/>
    <n v="0"/>
    <n v="0.76069534400000005"/>
    <n v="0"/>
    <n v="0"/>
    <n v="131.14975680000001"/>
    <n v="0"/>
    <n v="0"/>
    <n v="0"/>
    <n v="0"/>
    <n v="0"/>
    <n v="0"/>
    <n v="0"/>
    <n v="0"/>
    <n v="1040"/>
    <n v="0"/>
    <n v="0"/>
    <n v="0"/>
    <x v="2"/>
    <n v="23.007703954"/>
    <n v="0"/>
    <n v="23.007703954"/>
    <x v="1"/>
    <x v="0"/>
  </r>
  <r>
    <x v="294"/>
    <x v="1"/>
    <n v="0"/>
    <n v="0"/>
    <n v="0"/>
    <n v="0"/>
    <n v="0"/>
    <n v="0"/>
    <n v="0"/>
    <n v="0"/>
    <n v="0"/>
    <n v="0"/>
    <n v="10.317674159999999"/>
    <n v="0"/>
    <n v="0.98022443699999995"/>
    <n v="0"/>
    <n v="0"/>
    <n v="122.83569730000001"/>
    <n v="0"/>
    <n v="0"/>
    <n v="0"/>
    <n v="0"/>
    <n v="0"/>
    <n v="0"/>
    <n v="0"/>
    <n v="0"/>
    <n v="1039"/>
    <n v="0"/>
    <n v="0"/>
    <n v="0"/>
    <x v="2"/>
    <n v="23.323753432000004"/>
    <n v="0"/>
    <n v="23.323753432000004"/>
    <x v="1"/>
    <x v="0"/>
  </r>
  <r>
    <x v="295"/>
    <x v="0"/>
    <n v="0"/>
    <n v="1.6291840150000001"/>
    <n v="0"/>
    <n v="0"/>
    <n v="3.090928291"/>
    <n v="0"/>
    <n v="0"/>
    <n v="443.44691699999998"/>
    <n v="0"/>
    <n v="0"/>
    <n v="0"/>
    <n v="0"/>
    <n v="0"/>
    <n v="0"/>
    <n v="0"/>
    <n v="0"/>
    <n v="0"/>
    <n v="0"/>
    <n v="0"/>
    <n v="0.29790865599999999"/>
    <n v="0"/>
    <n v="0"/>
    <n v="52.78957793"/>
    <n v="0"/>
    <n v="1017"/>
    <n v="0"/>
    <n v="0"/>
    <n v="0"/>
    <x v="2"/>
    <n v="33.909631543000003"/>
    <n v="0"/>
    <n v="33.909631543000003"/>
    <x v="0"/>
    <x v="1"/>
  </r>
  <r>
    <x v="296"/>
    <x v="2"/>
    <n v="0"/>
    <n v="0"/>
    <n v="0"/>
    <n v="0"/>
    <n v="0"/>
    <n v="0"/>
    <n v="0"/>
    <n v="0"/>
    <n v="0"/>
    <n v="0"/>
    <n v="13.579750280000001"/>
    <n v="0"/>
    <n v="0.75641326900000005"/>
    <n v="0"/>
    <n v="0"/>
    <n v="155.1501725"/>
    <n v="0"/>
    <n v="0"/>
    <n v="0"/>
    <n v="0"/>
    <n v="0"/>
    <n v="0"/>
    <n v="0"/>
    <n v="0"/>
    <n v="1016"/>
    <n v="0"/>
    <n v="0"/>
    <n v="0"/>
    <x v="2"/>
    <n v="26.843372003999999"/>
    <n v="0"/>
    <n v="26.843372003999999"/>
    <x v="1"/>
    <x v="0"/>
  </r>
  <r>
    <x v="297"/>
    <x v="0"/>
    <n v="0"/>
    <n v="1.5786911939999999"/>
    <n v="0"/>
    <n v="0"/>
    <n v="3.4297671049999998"/>
    <n v="0"/>
    <n v="0"/>
    <n v="439.52234779999998"/>
    <n v="0"/>
    <n v="0"/>
    <n v="0"/>
    <n v="0"/>
    <n v="0"/>
    <n v="0"/>
    <n v="0"/>
    <n v="0"/>
    <n v="0"/>
    <n v="0"/>
    <n v="0"/>
    <n v="0.52160560899999997"/>
    <n v="0"/>
    <n v="0"/>
    <n v="36.433066650000001"/>
    <n v="0"/>
    <n v="1015"/>
    <n v="0"/>
    <n v="0"/>
    <n v="0"/>
    <x v="2"/>
    <n v="34.915520262999998"/>
    <n v="0"/>
    <n v="34.915520262999998"/>
    <x v="0"/>
    <x v="1"/>
  </r>
  <r>
    <x v="298"/>
    <x v="1"/>
    <n v="0"/>
    <n v="0"/>
    <n v="0"/>
    <n v="0"/>
    <n v="0"/>
    <n v="0"/>
    <n v="0"/>
    <n v="0"/>
    <n v="0"/>
    <n v="0"/>
    <n v="14.093154439999999"/>
    <n v="0"/>
    <n v="0.95809628700000005"/>
    <n v="0"/>
    <n v="0"/>
    <n v="142.74210769999999"/>
    <n v="0"/>
    <n v="0"/>
    <n v="0"/>
    <n v="0"/>
    <n v="0"/>
    <n v="0"/>
    <n v="0"/>
    <n v="0"/>
    <n v="1014"/>
    <n v="0"/>
    <n v="0"/>
    <n v="0"/>
    <x v="2"/>
    <n v="27.069365712"/>
    <n v="0"/>
    <n v="27.069365712"/>
    <x v="1"/>
    <x v="0"/>
  </r>
  <r>
    <x v="299"/>
    <x v="1"/>
    <n v="0"/>
    <n v="0"/>
    <n v="0"/>
    <n v="0"/>
    <n v="0"/>
    <n v="0"/>
    <n v="0"/>
    <n v="0"/>
    <n v="0"/>
    <n v="0"/>
    <n v="13.48457909"/>
    <n v="0"/>
    <n v="1.073501909"/>
    <n v="0"/>
    <n v="0"/>
    <n v="144.14109120000001"/>
    <n v="0"/>
    <n v="0"/>
    <n v="0"/>
    <n v="0"/>
    <n v="0"/>
    <n v="0"/>
    <n v="0"/>
    <n v="0"/>
    <n v="1012"/>
    <n v="0"/>
    <n v="0"/>
    <n v="0"/>
    <x v="2"/>
    <n v="27.597410119000003"/>
    <n v="0"/>
    <n v="27.597410119000003"/>
    <x v="1"/>
    <x v="0"/>
  </r>
  <r>
    <x v="300"/>
    <x v="0"/>
    <n v="0"/>
    <n v="1.837426665"/>
    <n v="0"/>
    <n v="0"/>
    <n v="3.895508473"/>
    <n v="0"/>
    <n v="0"/>
    <n v="511.51324940000001"/>
    <n v="0"/>
    <n v="0"/>
    <n v="0"/>
    <n v="0"/>
    <n v="0"/>
    <n v="0"/>
    <n v="0"/>
    <n v="0"/>
    <n v="0"/>
    <n v="0"/>
    <n v="0"/>
    <n v="0.17517212200000001"/>
    <n v="0"/>
    <n v="0"/>
    <n v="16.12647316"/>
    <n v="0"/>
    <n v="1011"/>
    <n v="0"/>
    <n v="0"/>
    <n v="0"/>
    <x v="2"/>
    <n v="35.031390586000001"/>
    <n v="0"/>
    <n v="35.031390586000001"/>
    <x v="0"/>
    <x v="1"/>
  </r>
  <r>
    <x v="301"/>
    <x v="1"/>
    <n v="0"/>
    <n v="0"/>
    <n v="0"/>
    <n v="0"/>
    <n v="0"/>
    <n v="0"/>
    <n v="0"/>
    <n v="0"/>
    <n v="0"/>
    <n v="0"/>
    <n v="14.62956013"/>
    <n v="0"/>
    <n v="0.83266391200000001"/>
    <n v="0"/>
    <n v="0"/>
    <n v="156.43021450000001"/>
    <n v="0"/>
    <n v="0"/>
    <n v="0"/>
    <n v="0"/>
    <n v="0"/>
    <n v="0"/>
    <n v="0"/>
    <n v="0"/>
    <n v="1009"/>
    <n v="0"/>
    <n v="0"/>
    <n v="0"/>
    <x v="2"/>
    <n v="27.953784986999999"/>
    <n v="0"/>
    <n v="27.953784986999999"/>
    <x v="1"/>
    <x v="0"/>
  </r>
  <r>
    <x v="302"/>
    <x v="1"/>
    <n v="0"/>
    <n v="0"/>
    <n v="0"/>
    <n v="0"/>
    <n v="0"/>
    <n v="0"/>
    <n v="0"/>
    <n v="0"/>
    <n v="0"/>
    <n v="0"/>
    <n v="15.566453020000001"/>
    <n v="0"/>
    <n v="0.77637101799999997"/>
    <n v="0"/>
    <n v="0"/>
    <n v="151.049813"/>
    <n v="0"/>
    <n v="0"/>
    <n v="0"/>
    <n v="0"/>
    <n v="0"/>
    <n v="0"/>
    <n v="0"/>
    <n v="0"/>
    <n v="1008"/>
    <n v="0"/>
    <n v="0"/>
    <n v="0"/>
    <x v="2"/>
    <n v="27.546433917999998"/>
    <n v="0"/>
    <n v="27.546433917999998"/>
    <x v="1"/>
    <x v="0"/>
  </r>
  <r>
    <x v="303"/>
    <x v="2"/>
    <n v="0"/>
    <n v="0"/>
    <n v="0"/>
    <n v="0"/>
    <n v="0"/>
    <n v="0"/>
    <n v="0"/>
    <n v="0"/>
    <n v="0"/>
    <n v="0"/>
    <n v="13.00764642"/>
    <n v="0"/>
    <n v="1.152056086"/>
    <n v="0"/>
    <n v="0"/>
    <n v="156.25186429999999"/>
    <n v="0"/>
    <n v="0"/>
    <n v="0"/>
    <n v="0"/>
    <n v="0"/>
    <n v="0"/>
    <n v="0"/>
    <n v="0"/>
    <n v="1007"/>
    <n v="0"/>
    <n v="0"/>
    <n v="0"/>
    <x v="2"/>
    <n v="29.041346155999999"/>
    <n v="0"/>
    <n v="29.041346155999999"/>
    <x v="1"/>
    <x v="0"/>
  </r>
  <r>
    <x v="304"/>
    <x v="1"/>
    <n v="0"/>
    <n v="0"/>
    <n v="0"/>
    <n v="0"/>
    <n v="0"/>
    <n v="0"/>
    <n v="0"/>
    <n v="0"/>
    <n v="0"/>
    <n v="0"/>
    <n v="14.429073580000001"/>
    <n v="0"/>
    <n v="1.12517421"/>
    <n v="0"/>
    <n v="0"/>
    <n v="149.6091064"/>
    <n v="0"/>
    <n v="0"/>
    <n v="0"/>
    <n v="0"/>
    <n v="0"/>
    <n v="0"/>
    <n v="0"/>
    <n v="0"/>
    <n v="1006"/>
    <n v="0"/>
    <n v="0"/>
    <n v="0"/>
    <x v="2"/>
    <n v="28.926492690000003"/>
    <n v="0"/>
    <n v="28.926492690000003"/>
    <x v="1"/>
    <x v="0"/>
  </r>
  <r>
    <x v="305"/>
    <x v="2"/>
    <n v="0"/>
    <n v="0"/>
    <n v="0"/>
    <n v="0"/>
    <n v="0"/>
    <n v="0"/>
    <n v="0"/>
    <n v="0"/>
    <n v="0"/>
    <n v="0"/>
    <n v="14.263295980000001"/>
    <n v="0"/>
    <n v="0.91006058099999998"/>
    <n v="0"/>
    <n v="0"/>
    <n v="141.8790625"/>
    <n v="0"/>
    <n v="0"/>
    <n v="0"/>
    <n v="0"/>
    <n v="0"/>
    <n v="0"/>
    <n v="0"/>
    <n v="0"/>
    <n v="1005"/>
    <n v="0"/>
    <n v="0"/>
    <n v="0"/>
    <x v="2"/>
    <n v="26.779917726000001"/>
    <n v="0"/>
    <n v="26.779917726000001"/>
    <x v="1"/>
    <x v="0"/>
  </r>
  <r>
    <x v="306"/>
    <x v="2"/>
    <n v="0"/>
    <n v="0"/>
    <n v="0"/>
    <n v="0"/>
    <n v="0"/>
    <n v="0"/>
    <n v="0"/>
    <n v="0"/>
    <n v="0"/>
    <n v="0"/>
    <n v="14.51686333"/>
    <n v="0"/>
    <n v="1.0437703739999999"/>
    <n v="0"/>
    <n v="0"/>
    <n v="156.74390260000001"/>
    <n v="0"/>
    <n v="0"/>
    <n v="0"/>
    <n v="0"/>
    <n v="0"/>
    <n v="0"/>
    <n v="0"/>
    <n v="0"/>
    <n v="1004"/>
    <n v="0"/>
    <n v="0"/>
    <n v="0"/>
    <x v="2"/>
    <n v="29.195444169000002"/>
    <n v="0"/>
    <n v="29.195444169000002"/>
    <x v="1"/>
    <x v="0"/>
  </r>
  <r>
    <x v="307"/>
    <x v="1"/>
    <n v="0"/>
    <n v="0"/>
    <n v="0"/>
    <n v="0"/>
    <n v="0"/>
    <n v="0"/>
    <n v="0"/>
    <n v="0"/>
    <n v="0"/>
    <n v="0"/>
    <n v="17.673102910000001"/>
    <n v="0"/>
    <n v="0.90109326199999995"/>
    <n v="0"/>
    <n v="0"/>
    <n v="143.48522389999999"/>
    <n v="0"/>
    <n v="0"/>
    <n v="0"/>
    <n v="0"/>
    <n v="0"/>
    <n v="0"/>
    <n v="0"/>
    <n v="0"/>
    <n v="1003"/>
    <n v="0"/>
    <n v="0"/>
    <n v="0"/>
    <x v="2"/>
    <n v="28.591633417000001"/>
    <n v="0"/>
    <n v="28.591633417000001"/>
    <x v="1"/>
    <x v="0"/>
  </r>
  <r>
    <x v="308"/>
    <x v="2"/>
    <n v="0"/>
    <n v="0"/>
    <n v="0"/>
    <n v="0"/>
    <n v="0"/>
    <n v="0"/>
    <n v="0"/>
    <n v="0"/>
    <n v="0"/>
    <n v="0"/>
    <n v="13.59057181"/>
    <n v="0"/>
    <n v="1.0784660340000001"/>
    <n v="0"/>
    <n v="0"/>
    <n v="161.78552350000001"/>
    <n v="0"/>
    <n v="0"/>
    <n v="0"/>
    <n v="0"/>
    <n v="0"/>
    <n v="0"/>
    <n v="0"/>
    <n v="0"/>
    <n v="1002"/>
    <n v="0"/>
    <n v="0"/>
    <n v="0"/>
    <x v="2"/>
    <n v="29.444634459"/>
    <n v="0"/>
    <n v="29.444634459"/>
    <x v="1"/>
    <x v="0"/>
  </r>
  <r>
    <x v="309"/>
    <x v="2"/>
    <n v="0"/>
    <n v="0"/>
    <n v="0"/>
    <n v="0"/>
    <n v="0"/>
    <n v="0"/>
    <n v="0"/>
    <n v="0"/>
    <n v="0"/>
    <n v="0"/>
    <n v="14.47256295"/>
    <n v="0"/>
    <n v="1.1155861629999999"/>
    <n v="0"/>
    <n v="0"/>
    <n v="175.35704620000001"/>
    <n v="0"/>
    <n v="0"/>
    <n v="0"/>
    <n v="0"/>
    <n v="0"/>
    <n v="0"/>
    <n v="0"/>
    <n v="0"/>
    <n v="1001"/>
    <n v="0"/>
    <n v="0"/>
    <n v="0"/>
    <x v="2"/>
    <n v="31.465503073000001"/>
    <n v="0"/>
    <n v="31.465503073000001"/>
    <x v="1"/>
    <x v="0"/>
  </r>
  <r>
    <x v="310"/>
    <x v="1"/>
    <n v="0"/>
    <n v="0"/>
    <n v="0"/>
    <n v="0"/>
    <n v="0"/>
    <n v="0"/>
    <n v="0"/>
    <n v="0"/>
    <n v="0"/>
    <n v="0"/>
    <n v="14.726409950000001"/>
    <n v="0"/>
    <n v="0.64801658399999995"/>
    <n v="0"/>
    <n v="0"/>
    <n v="147.85373680000001"/>
    <n v="0"/>
    <n v="0"/>
    <n v="0"/>
    <n v="0"/>
    <n v="0"/>
    <n v="0"/>
    <n v="0"/>
    <n v="0"/>
    <n v="1018"/>
    <n v="0"/>
    <n v="0"/>
    <n v="0"/>
    <x v="2"/>
    <n v="26.036678159000001"/>
    <n v="0"/>
    <n v="26.036678159000001"/>
    <x v="1"/>
    <x v="0"/>
  </r>
  <r>
    <x v="311"/>
    <x v="0"/>
    <n v="0"/>
    <n v="1.894724053"/>
    <n v="0"/>
    <n v="0"/>
    <n v="3.5503399560000002"/>
    <n v="0"/>
    <n v="0"/>
    <n v="501.62065660000002"/>
    <n v="0"/>
    <n v="0"/>
    <n v="0"/>
    <n v="0"/>
    <n v="0"/>
    <n v="0"/>
    <n v="0"/>
    <n v="0"/>
    <n v="0"/>
    <n v="0"/>
    <n v="0"/>
    <n v="0.17004435400000001"/>
    <n v="0"/>
    <n v="0"/>
    <n v="17.825792570000001"/>
    <n v="0"/>
    <n v="1019"/>
    <n v="0"/>
    <n v="0"/>
    <n v="0"/>
    <x v="2"/>
    <n v="33.279583363"/>
    <n v="0"/>
    <n v="33.279583363"/>
    <x v="0"/>
    <x v="1"/>
  </r>
  <r>
    <x v="312"/>
    <x v="0"/>
    <n v="0"/>
    <n v="1.673452808"/>
    <n v="0"/>
    <n v="0"/>
    <n v="3.474105776"/>
    <n v="0"/>
    <n v="0"/>
    <n v="455.885649"/>
    <n v="0"/>
    <n v="0"/>
    <n v="0"/>
    <n v="0"/>
    <n v="0"/>
    <n v="0"/>
    <n v="0"/>
    <n v="0"/>
    <n v="0"/>
    <n v="0"/>
    <n v="0"/>
    <n v="0.22824655599999999"/>
    <n v="0"/>
    <n v="0"/>
    <n v="34.419385140000003"/>
    <n v="0"/>
    <n v="1020"/>
    <n v="0"/>
    <n v="0"/>
    <n v="0"/>
    <x v="2"/>
    <n v="33.596361298000005"/>
    <n v="0"/>
    <n v="33.596361298000005"/>
    <x v="0"/>
    <x v="1"/>
  </r>
  <r>
    <x v="313"/>
    <x v="2"/>
    <n v="0"/>
    <n v="0"/>
    <n v="0"/>
    <n v="0"/>
    <n v="0"/>
    <n v="0"/>
    <n v="0"/>
    <n v="0"/>
    <n v="0"/>
    <n v="0"/>
    <n v="13.26454521"/>
    <n v="0"/>
    <n v="0.63838431299999998"/>
    <n v="0"/>
    <n v="0"/>
    <n v="138.32689690000001"/>
    <n v="0"/>
    <n v="0"/>
    <n v="0"/>
    <n v="0"/>
    <n v="0"/>
    <n v="0"/>
    <n v="0"/>
    <n v="0"/>
    <n v="1030"/>
    <n v="0"/>
    <n v="0"/>
    <n v="0"/>
    <x v="2"/>
    <n v="24.295268173000004"/>
    <n v="0"/>
    <n v="24.295268173000004"/>
    <x v="1"/>
    <x v="0"/>
  </r>
  <r>
    <x v="314"/>
    <x v="1"/>
    <n v="0"/>
    <n v="0"/>
    <n v="0"/>
    <n v="0"/>
    <n v="0"/>
    <n v="0"/>
    <n v="0"/>
    <n v="0"/>
    <n v="0"/>
    <n v="0"/>
    <n v="13.25544929"/>
    <n v="0"/>
    <n v="0.60375216700000001"/>
    <n v="0"/>
    <n v="0"/>
    <n v="118.0167525"/>
    <n v="0"/>
    <n v="0"/>
    <n v="0"/>
    <n v="0"/>
    <n v="0"/>
    <n v="0"/>
    <n v="0"/>
    <n v="0"/>
    <n v="1038"/>
    <n v="0"/>
    <n v="0"/>
    <n v="0"/>
    <x v="2"/>
    <n v="22.051912897000001"/>
    <n v="0"/>
    <n v="22.051912897000001"/>
    <x v="1"/>
    <x v="0"/>
  </r>
  <r>
    <x v="315"/>
    <x v="0"/>
    <n v="0"/>
    <n v="1.7802563870000001"/>
    <n v="0"/>
    <n v="0"/>
    <n v="2.619913275"/>
    <n v="0"/>
    <n v="0"/>
    <n v="481.81548670000001"/>
    <n v="0"/>
    <n v="0"/>
    <n v="0"/>
    <n v="0"/>
    <n v="0"/>
    <n v="0"/>
    <n v="0"/>
    <n v="0"/>
    <n v="0"/>
    <n v="0"/>
    <n v="0"/>
    <n v="0.17261229"/>
    <n v="0"/>
    <n v="0"/>
    <n v="19.79962965"/>
    <n v="0"/>
    <n v="1037"/>
    <n v="0"/>
    <n v="0"/>
    <n v="0"/>
    <x v="2"/>
    <n v="29.207396499000001"/>
    <n v="0"/>
    <n v="29.207396499000001"/>
    <x v="0"/>
    <x v="1"/>
  </r>
  <r>
    <x v="316"/>
    <x v="1"/>
    <n v="0"/>
    <n v="0"/>
    <n v="0"/>
    <n v="0"/>
    <n v="0"/>
    <n v="0"/>
    <n v="0"/>
    <n v="0"/>
    <n v="0"/>
    <n v="0"/>
    <n v="11.80074671"/>
    <n v="0"/>
    <n v="0.88096899299999998"/>
    <n v="0"/>
    <n v="0"/>
    <n v="118.1867139"/>
    <n v="0"/>
    <n v="0"/>
    <n v="0"/>
    <n v="0"/>
    <n v="0"/>
    <n v="0"/>
    <n v="0"/>
    <n v="0"/>
    <n v="1036"/>
    <n v="0"/>
    <n v="0"/>
    <n v="0"/>
    <x v="2"/>
    <n v="23.004858703000004"/>
    <n v="0"/>
    <n v="23.004858703000004"/>
    <x v="1"/>
    <x v="0"/>
  </r>
  <r>
    <x v="317"/>
    <x v="1"/>
    <n v="0"/>
    <n v="0"/>
    <n v="0"/>
    <n v="0"/>
    <n v="0"/>
    <n v="0"/>
    <n v="0"/>
    <n v="0"/>
    <n v="0"/>
    <n v="0"/>
    <n v="13.698871799999999"/>
    <n v="0"/>
    <n v="0.73395256399999997"/>
    <n v="0"/>
    <n v="0"/>
    <n v="116.5275414"/>
    <n v="0"/>
    <n v="0"/>
    <n v="0"/>
    <n v="0"/>
    <n v="0"/>
    <n v="0"/>
    <n v="0"/>
    <n v="0"/>
    <n v="1035"/>
    <n v="0"/>
    <n v="0"/>
    <n v="0"/>
    <x v="2"/>
    <n v="22.905905424"/>
    <n v="0"/>
    <n v="22.905905424"/>
    <x v="1"/>
    <x v="0"/>
  </r>
  <r>
    <x v="318"/>
    <x v="0"/>
    <n v="0"/>
    <n v="1.788561378"/>
    <n v="0"/>
    <n v="0"/>
    <n v="2.2715016270000001"/>
    <n v="0"/>
    <n v="0"/>
    <n v="492.49332249999998"/>
    <n v="0"/>
    <n v="0"/>
    <n v="0"/>
    <n v="0"/>
    <n v="0"/>
    <n v="0"/>
    <n v="0"/>
    <n v="0"/>
    <n v="0"/>
    <n v="0"/>
    <n v="0"/>
    <n v="0.36604520299999999"/>
    <n v="0"/>
    <n v="0"/>
    <n v="29.075469420000001"/>
    <n v="0"/>
    <n v="1034"/>
    <n v="0"/>
    <n v="0"/>
    <n v="0"/>
    <x v="2"/>
    <n v="30.312434812000003"/>
    <n v="0"/>
    <n v="30.312434812000003"/>
    <x v="0"/>
    <x v="1"/>
  </r>
  <r>
    <x v="319"/>
    <x v="0"/>
    <n v="0"/>
    <n v="1.7077990009999999"/>
    <n v="0"/>
    <n v="0"/>
    <n v="2.8402394809999998"/>
    <n v="0"/>
    <n v="0"/>
    <n v="458.79511239999999"/>
    <n v="0"/>
    <n v="0"/>
    <n v="0"/>
    <n v="0"/>
    <n v="0"/>
    <n v="0"/>
    <n v="0"/>
    <n v="0"/>
    <n v="0"/>
    <n v="0"/>
    <n v="0"/>
    <n v="0.328709643"/>
    <n v="0"/>
    <n v="0"/>
    <n v="25.481690780000001"/>
    <n v="0"/>
    <n v="1032"/>
    <n v="0"/>
    <n v="0"/>
    <n v="0"/>
    <x v="2"/>
    <n v="30.817591354000001"/>
    <n v="0"/>
    <n v="30.817591354000001"/>
    <x v="0"/>
    <x v="1"/>
  </r>
  <r>
    <x v="320"/>
    <x v="0"/>
    <n v="0"/>
    <n v="1.7101199659999999"/>
    <n v="0"/>
    <n v="0"/>
    <n v="2.859101286"/>
    <n v="0"/>
    <n v="0"/>
    <n v="481.90499899999998"/>
    <n v="0"/>
    <n v="0"/>
    <n v="0"/>
    <n v="0"/>
    <n v="0"/>
    <n v="0"/>
    <n v="0"/>
    <n v="0"/>
    <n v="0"/>
    <n v="0"/>
    <n v="0"/>
    <n v="0.44594738099999998"/>
    <n v="0"/>
    <n v="0"/>
    <n v="32.76196049"/>
    <n v="0"/>
    <n v="1021"/>
    <n v="0"/>
    <n v="0"/>
    <n v="0"/>
    <x v="2"/>
    <n v="33.244245507000002"/>
    <n v="0"/>
    <n v="33.244245507000002"/>
    <x v="0"/>
    <x v="1"/>
  </r>
  <r>
    <x v="321"/>
    <x v="2"/>
    <n v="0"/>
    <n v="0"/>
    <n v="0"/>
    <n v="0"/>
    <n v="0"/>
    <n v="0"/>
    <n v="0"/>
    <n v="0"/>
    <n v="0"/>
    <n v="0"/>
    <n v="12.70222216"/>
    <n v="0"/>
    <n v="0.64451715099999995"/>
    <n v="0"/>
    <n v="0"/>
    <n v="145.34283210000001"/>
    <n v="0"/>
    <n v="0"/>
    <n v="0"/>
    <n v="0"/>
    <n v="0"/>
    <n v="0"/>
    <n v="0"/>
    <n v="0"/>
    <n v="1028"/>
    <n v="0"/>
    <n v="0"/>
    <n v="0"/>
    <x v="2"/>
    <n v="24.752497196"/>
    <n v="0"/>
    <n v="24.752497196"/>
    <x v="1"/>
    <x v="0"/>
  </r>
  <r>
    <x v="322"/>
    <x v="1"/>
    <n v="0"/>
    <n v="0"/>
    <n v="0"/>
    <n v="0"/>
    <n v="0"/>
    <n v="0"/>
    <n v="0"/>
    <n v="0"/>
    <n v="0"/>
    <n v="0"/>
    <n v="13.173355580000001"/>
    <n v="0"/>
    <n v="0.81993860600000001"/>
    <n v="0"/>
    <n v="0"/>
    <n v="132.622489"/>
    <n v="0"/>
    <n v="0"/>
    <n v="0"/>
    <n v="0"/>
    <n v="0"/>
    <n v="0"/>
    <n v="0"/>
    <n v="0"/>
    <n v="1027"/>
    <n v="0"/>
    <n v="0"/>
    <n v="0"/>
    <x v="2"/>
    <n v="24.768558326000004"/>
    <n v="0"/>
    <n v="24.768558326000004"/>
    <x v="1"/>
    <x v="0"/>
  </r>
  <r>
    <x v="323"/>
    <x v="0"/>
    <n v="0"/>
    <n v="1.8048372420000001"/>
    <n v="0"/>
    <n v="0"/>
    <n v="3.1868040209999999"/>
    <n v="0"/>
    <n v="0"/>
    <n v="476.62517630000002"/>
    <n v="0"/>
    <n v="0"/>
    <n v="0"/>
    <n v="0"/>
    <n v="0"/>
    <n v="0"/>
    <n v="0"/>
    <n v="0"/>
    <n v="0"/>
    <n v="0"/>
    <n v="0"/>
    <n v="0.22711200400000001"/>
    <n v="0"/>
    <n v="0"/>
    <n v="27.562718289999999"/>
    <n v="0"/>
    <n v="1026"/>
    <n v="0"/>
    <n v="0"/>
    <n v="0"/>
    <x v="2"/>
    <n v="32.321492505000002"/>
    <n v="0"/>
    <n v="32.321492505000002"/>
    <x v="0"/>
    <x v="1"/>
  </r>
  <r>
    <x v="324"/>
    <x v="2"/>
    <n v="0"/>
    <n v="0"/>
    <n v="0"/>
    <n v="0"/>
    <n v="0"/>
    <n v="0"/>
    <n v="0"/>
    <n v="0"/>
    <n v="0"/>
    <n v="0"/>
    <n v="7.1757542750000001"/>
    <n v="0"/>
    <n v="0.518377796"/>
    <n v="0"/>
    <n v="0"/>
    <n v="73.351994160000004"/>
    <n v="0"/>
    <n v="0"/>
    <n v="0"/>
    <n v="0.33733007799999998"/>
    <n v="0"/>
    <n v="0"/>
    <n v="85.726185240000007"/>
    <n v="0"/>
    <n v="1025"/>
    <n v="0"/>
    <n v="0"/>
    <n v="0"/>
    <x v="2"/>
    <n v="24.629942321500003"/>
    <n v="0"/>
    <n v="24.629942321500003"/>
    <x v="1"/>
    <x v="0"/>
  </r>
  <r>
    <x v="325"/>
    <x v="0"/>
    <n v="0"/>
    <n v="1.7340037589999999"/>
    <n v="0"/>
    <n v="0"/>
    <n v="2.7038335080000002"/>
    <n v="0"/>
    <n v="0"/>
    <n v="440.01458170000001"/>
    <n v="0"/>
    <n v="0"/>
    <n v="0"/>
    <n v="0"/>
    <n v="0"/>
    <n v="0"/>
    <n v="0"/>
    <n v="0"/>
    <n v="0"/>
    <n v="0"/>
    <n v="0"/>
    <n v="0.52976627799999998"/>
    <n v="0"/>
    <n v="0"/>
    <n v="48.068387710000003"/>
    <n v="0"/>
    <n v="1024"/>
    <n v="0"/>
    <n v="0"/>
    <n v="0"/>
    <x v="2"/>
    <n v="32.933346221000008"/>
    <n v="0"/>
    <n v="32.933346221000008"/>
    <x v="0"/>
    <x v="1"/>
  </r>
  <r>
    <x v="326"/>
    <x v="2"/>
    <n v="0"/>
    <n v="0"/>
    <n v="0"/>
    <n v="0"/>
    <n v="0"/>
    <n v="0"/>
    <n v="0"/>
    <n v="0"/>
    <n v="0"/>
    <n v="0"/>
    <n v="11.5934116"/>
    <n v="0"/>
    <n v="0.61727028100000003"/>
    <n v="0"/>
    <n v="0"/>
    <n v="116.07114009999999"/>
    <n v="0"/>
    <n v="0"/>
    <n v="0"/>
    <n v="0.112343622"/>
    <n v="0"/>
    <n v="0"/>
    <n v="20.79635944"/>
    <n v="0"/>
    <n v="1023"/>
    <n v="0"/>
    <n v="0"/>
    <n v="0"/>
    <x v="2"/>
    <n v="23.861139171999998"/>
    <n v="0"/>
    <n v="23.861139171999998"/>
    <x v="1"/>
    <x v="0"/>
  </r>
  <r>
    <x v="327"/>
    <x v="2"/>
    <n v="0"/>
    <n v="0"/>
    <n v="0"/>
    <n v="0"/>
    <n v="0"/>
    <n v="0"/>
    <n v="0"/>
    <n v="0"/>
    <n v="0"/>
    <n v="0"/>
    <n v="11.64412714"/>
    <n v="0"/>
    <n v="0.69180922899999997"/>
    <n v="0"/>
    <n v="0"/>
    <n v="111.20814590000001"/>
    <n v="0"/>
    <n v="0"/>
    <n v="0"/>
    <n v="7.8802223000000005E-2"/>
    <n v="0"/>
    <n v="0"/>
    <n v="13.040839679999999"/>
    <n v="0"/>
    <n v="1022"/>
    <n v="0"/>
    <n v="0"/>
    <n v="0"/>
    <x v="2"/>
    <n v="22.870630840000004"/>
    <n v="0"/>
    <n v="22.870630840000004"/>
    <x v="1"/>
    <x v="0"/>
  </r>
  <r>
    <x v="328"/>
    <x v="2"/>
    <n v="0"/>
    <n v="0"/>
    <n v="0"/>
    <n v="0"/>
    <n v="0"/>
    <n v="0"/>
    <n v="0"/>
    <n v="0"/>
    <n v="0"/>
    <n v="0"/>
    <n v="5.630676062"/>
    <n v="0"/>
    <n v="0.48717537900000002"/>
    <n v="0"/>
    <n v="0"/>
    <n v="64.526570809999996"/>
    <n v="0"/>
    <n v="0"/>
    <n v="0"/>
    <n v="0"/>
    <n v="0"/>
    <n v="0"/>
    <n v="0"/>
    <n v="0"/>
    <n v="1079"/>
    <n v="0"/>
    <n v="0"/>
    <n v="0"/>
    <x v="2"/>
    <n v="12.191047386000001"/>
    <n v="0"/>
    <n v="12.191047386000001"/>
    <x v="1"/>
    <x v="0"/>
  </r>
  <r>
    <x v="329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800192399999999"/>
    <n v="0"/>
    <n v="0"/>
    <n v="15.629477140000001"/>
    <n v="0"/>
    <n v="1160"/>
    <n v="0"/>
    <n v="0"/>
    <n v="0"/>
    <x v="2"/>
    <n v="2.270959258"/>
    <n v="0"/>
    <n v="2.270959258"/>
    <x v="1"/>
    <x v="0"/>
  </r>
  <r>
    <x v="330"/>
    <x v="2"/>
    <n v="0"/>
    <n v="0"/>
    <n v="0"/>
    <n v="0"/>
    <n v="0"/>
    <n v="0"/>
    <n v="0"/>
    <n v="0"/>
    <n v="0"/>
    <n v="0"/>
    <n v="4.681135737"/>
    <n v="0"/>
    <n v="0.26248237899999999"/>
    <n v="0"/>
    <n v="0"/>
    <n v="52.516458999999998"/>
    <n v="0"/>
    <n v="0"/>
    <n v="0"/>
    <n v="0"/>
    <n v="0"/>
    <n v="0"/>
    <n v="0"/>
    <n v="0"/>
    <n v="1081"/>
    <n v="0"/>
    <n v="0"/>
    <n v="0"/>
    <x v="2"/>
    <n v="9.1671080425000007"/>
    <n v="0"/>
    <n v="9.1671080425000007"/>
    <x v="1"/>
    <x v="0"/>
  </r>
  <r>
    <x v="331"/>
    <x v="2"/>
    <n v="0"/>
    <n v="0"/>
    <n v="0"/>
    <n v="0"/>
    <n v="0"/>
    <n v="0"/>
    <n v="0"/>
    <n v="0"/>
    <n v="0"/>
    <n v="0"/>
    <n v="2.1070752239999999"/>
    <n v="0"/>
    <n v="0.15531990800000001"/>
    <n v="0"/>
    <n v="0"/>
    <n v="25.109887199999999"/>
    <n v="0"/>
    <n v="0"/>
    <n v="0"/>
    <n v="0"/>
    <n v="0"/>
    <n v="0"/>
    <n v="0"/>
    <n v="0"/>
    <n v="1139"/>
    <n v="0"/>
    <n v="0"/>
    <n v="0"/>
    <x v="2"/>
    <n v="4.4964457800000002"/>
    <n v="0"/>
    <n v="4.4964457800000002"/>
    <x v="1"/>
    <x v="0"/>
  </r>
  <r>
    <x v="332"/>
    <x v="2"/>
    <n v="0"/>
    <n v="0"/>
    <n v="0"/>
    <n v="0"/>
    <n v="0"/>
    <n v="0"/>
    <n v="0"/>
    <n v="0"/>
    <n v="0"/>
    <n v="0"/>
    <n v="1.621179218"/>
    <n v="0"/>
    <n v="0.12861367000000001"/>
    <n v="0"/>
    <n v="0"/>
    <n v="17.382663340000001"/>
    <n v="0"/>
    <n v="0"/>
    <n v="0"/>
    <n v="0"/>
    <n v="0"/>
    <n v="0"/>
    <n v="0"/>
    <n v="0"/>
    <n v="1138"/>
    <n v="0"/>
    <n v="0"/>
    <n v="0"/>
    <x v="2"/>
    <n v="3.3205379630000005"/>
    <n v="0"/>
    <n v="3.3205379630000005"/>
    <x v="1"/>
    <x v="0"/>
  </r>
  <r>
    <x v="333"/>
    <x v="2"/>
    <n v="0"/>
    <n v="0"/>
    <n v="0"/>
    <n v="0"/>
    <n v="0"/>
    <n v="0"/>
    <n v="0"/>
    <n v="0"/>
    <n v="0"/>
    <n v="0"/>
    <n v="1.488789025"/>
    <n v="0"/>
    <n v="0.15706981"/>
    <n v="0"/>
    <n v="0"/>
    <n v="18.7592119"/>
    <n v="0"/>
    <n v="0"/>
    <n v="0"/>
    <n v="0"/>
    <n v="0"/>
    <n v="0"/>
    <n v="0"/>
    <n v="0"/>
    <n v="1137"/>
    <n v="0"/>
    <n v="0"/>
    <n v="0"/>
    <x v="2"/>
    <n v="3.5627345625000002"/>
    <n v="0"/>
    <n v="3.5627345625000002"/>
    <x v="1"/>
    <x v="0"/>
  </r>
  <r>
    <x v="334"/>
    <x v="3"/>
    <n v="0"/>
    <n v="0"/>
    <n v="0"/>
    <n v="0"/>
    <n v="0"/>
    <n v="0"/>
    <n v="0"/>
    <n v="0"/>
    <n v="0"/>
    <n v="0"/>
    <n v="2.0347898870000001"/>
    <n v="0"/>
    <n v="6.3107098E-2"/>
    <n v="0"/>
    <n v="0"/>
    <n v="14.531216089999999"/>
    <n v="0"/>
    <n v="0"/>
    <n v="0"/>
    <n v="0.112520868"/>
    <n v="0"/>
    <n v="0"/>
    <n v="17.30692492"/>
    <n v="0"/>
    <n v="1136"/>
    <n v="0"/>
    <n v="0"/>
    <n v="0"/>
    <x v="2"/>
    <n v="5.2549768405000004"/>
    <n v="0"/>
    <n v="5.2549768405000004"/>
    <x v="1"/>
    <x v="0"/>
  </r>
  <r>
    <x v="335"/>
    <x v="2"/>
    <n v="0"/>
    <n v="0"/>
    <n v="0"/>
    <n v="0"/>
    <n v="0"/>
    <n v="0"/>
    <n v="0"/>
    <n v="0"/>
    <n v="0"/>
    <n v="0"/>
    <n v="1.67962963"/>
    <n v="0"/>
    <n v="0.14953256600000001"/>
    <n v="0"/>
    <n v="0"/>
    <n v="19.78501004"/>
    <n v="0"/>
    <n v="0"/>
    <n v="0"/>
    <n v="9.2146207999999993E-2"/>
    <n v="0"/>
    <n v="0"/>
    <n v="12.75073883"/>
    <n v="0"/>
    <n v="1135"/>
    <n v="0"/>
    <n v="0"/>
    <n v="0"/>
    <x v="2"/>
    <n v="5.5434623460000001"/>
    <n v="0"/>
    <n v="5.5434623460000001"/>
    <x v="1"/>
    <x v="0"/>
  </r>
  <r>
    <x v="336"/>
    <x v="2"/>
    <n v="0"/>
    <n v="0"/>
    <n v="0"/>
    <n v="0"/>
    <n v="0"/>
    <n v="0"/>
    <n v="0"/>
    <n v="0"/>
    <n v="0"/>
    <n v="0"/>
    <n v="1.772697185"/>
    <n v="0"/>
    <n v="0.104873513"/>
    <n v="0"/>
    <n v="0"/>
    <n v="19.82375807"/>
    <n v="0"/>
    <n v="0"/>
    <n v="0"/>
    <n v="0"/>
    <n v="0"/>
    <n v="0"/>
    <n v="0"/>
    <n v="0"/>
    <n v="1134"/>
    <n v="0"/>
    <n v="0"/>
    <n v="0"/>
    <x v="2"/>
    <n v="3.4979654775000002"/>
    <n v="0"/>
    <n v="3.4979654775000002"/>
    <x v="1"/>
    <x v="0"/>
  </r>
  <r>
    <x v="337"/>
    <x v="2"/>
    <n v="0"/>
    <n v="0"/>
    <n v="0"/>
    <n v="0"/>
    <n v="0"/>
    <n v="0"/>
    <n v="0"/>
    <n v="0"/>
    <n v="0"/>
    <n v="0"/>
    <n v="1.518799236"/>
    <n v="0"/>
    <n v="0.110155405"/>
    <n v="0"/>
    <n v="0"/>
    <n v="18.717529209999999"/>
    <n v="0"/>
    <n v="0"/>
    <n v="0"/>
    <n v="8.4964464000000003E-2"/>
    <n v="0"/>
    <n v="0"/>
    <n v="13.75142146"/>
    <n v="0"/>
    <n v="1133"/>
    <n v="0"/>
    <n v="0"/>
    <n v="0"/>
    <x v="2"/>
    <n v="5.1770138990000003"/>
    <n v="0"/>
    <n v="5.1770138990000003"/>
    <x v="1"/>
    <x v="0"/>
  </r>
  <r>
    <x v="338"/>
    <x v="3"/>
    <n v="0"/>
    <n v="0"/>
    <n v="0"/>
    <n v="0"/>
    <n v="0"/>
    <n v="0"/>
    <n v="0"/>
    <n v="0"/>
    <n v="0"/>
    <n v="0"/>
    <n v="2.093787791"/>
    <n v="0"/>
    <n v="3.6344811999999997E-2"/>
    <n v="0"/>
    <n v="0"/>
    <n v="12.52755756"/>
    <n v="0"/>
    <n v="0"/>
    <n v="0"/>
    <n v="0.11640787499999999"/>
    <n v="0"/>
    <n v="0"/>
    <n v="16.456478059999998"/>
    <n v="0"/>
    <n v="1132"/>
    <n v="0"/>
    <n v="0"/>
    <n v="0"/>
    <x v="2"/>
    <n v="4.8618135794999997"/>
    <n v="0"/>
    <n v="4.8618135794999997"/>
    <x v="1"/>
    <x v="0"/>
  </r>
  <r>
    <x v="339"/>
    <x v="2"/>
    <n v="0"/>
    <n v="0"/>
    <n v="0"/>
    <n v="0"/>
    <n v="0"/>
    <n v="0"/>
    <n v="0"/>
    <n v="0"/>
    <n v="0"/>
    <n v="0"/>
    <n v="2.7405840179999998"/>
    <n v="0"/>
    <n v="0.201781509"/>
    <n v="0"/>
    <n v="0"/>
    <n v="35.439887540000001"/>
    <n v="0"/>
    <n v="0"/>
    <n v="0"/>
    <n v="0"/>
    <n v="0"/>
    <n v="0"/>
    <n v="0"/>
    <n v="0"/>
    <n v="1131"/>
    <n v="0"/>
    <n v="0"/>
    <n v="0"/>
    <x v="2"/>
    <n v="6.1249698170000002"/>
    <n v="0"/>
    <n v="6.1249698170000002"/>
    <x v="1"/>
    <x v="0"/>
  </r>
  <r>
    <x v="340"/>
    <x v="2"/>
    <n v="0"/>
    <n v="0"/>
    <n v="0"/>
    <n v="0"/>
    <n v="0"/>
    <n v="0"/>
    <n v="0"/>
    <n v="0"/>
    <n v="0"/>
    <n v="0"/>
    <n v="2.7396792429999999"/>
    <n v="0"/>
    <n v="0.200462957"/>
    <n v="0"/>
    <n v="0"/>
    <n v="35.228526199999997"/>
    <n v="0"/>
    <n v="0"/>
    <n v="0"/>
    <n v="0"/>
    <n v="0"/>
    <n v="0"/>
    <n v="0"/>
    <n v="0"/>
    <n v="1130"/>
    <n v="0"/>
    <n v="0"/>
    <n v="0"/>
    <x v="2"/>
    <n v="6.0954699835000001"/>
    <n v="0"/>
    <n v="6.0954699835000001"/>
    <x v="1"/>
    <x v="0"/>
  </r>
  <r>
    <x v="341"/>
    <x v="2"/>
    <n v="0"/>
    <n v="0"/>
    <n v="0"/>
    <n v="0"/>
    <n v="0"/>
    <n v="0"/>
    <n v="0"/>
    <n v="0"/>
    <n v="0"/>
    <n v="0"/>
    <n v="3.0311563549999998"/>
    <n v="0"/>
    <n v="0.163623088"/>
    <n v="0"/>
    <n v="0"/>
    <n v="35.451015249999998"/>
    <n v="0"/>
    <n v="0"/>
    <n v="0"/>
    <n v="0"/>
    <n v="0"/>
    <n v="0"/>
    <n v="0"/>
    <n v="0"/>
    <n v="1129"/>
    <n v="0"/>
    <n v="0"/>
    <n v="0"/>
    <x v="2"/>
    <n v="6.0424182304999992"/>
    <n v="0"/>
    <n v="6.0424182304999992"/>
    <x v="1"/>
    <x v="0"/>
  </r>
  <r>
    <x v="342"/>
    <x v="2"/>
    <n v="0"/>
    <n v="0"/>
    <n v="0"/>
    <n v="0"/>
    <n v="0"/>
    <n v="0"/>
    <n v="0"/>
    <n v="0"/>
    <n v="0"/>
    <n v="0"/>
    <n v="3.4228221209999998"/>
    <n v="0"/>
    <n v="0.12951115599999999"/>
    <n v="0"/>
    <n v="0"/>
    <n v="34.218087500000003"/>
    <n v="0"/>
    <n v="0"/>
    <n v="0"/>
    <n v="0"/>
    <n v="0"/>
    <n v="0"/>
    <n v="0"/>
    <n v="0"/>
    <n v="1128"/>
    <n v="0"/>
    <n v="0"/>
    <n v="0"/>
    <x v="2"/>
    <n v="5.9102867465000006"/>
    <n v="0"/>
    <n v="5.9102867465000006"/>
    <x v="1"/>
    <x v="0"/>
  </r>
  <r>
    <x v="343"/>
    <x v="3"/>
    <n v="0"/>
    <n v="0"/>
    <n v="0"/>
    <n v="0"/>
    <n v="0"/>
    <n v="0"/>
    <n v="0"/>
    <n v="0"/>
    <n v="0"/>
    <n v="0"/>
    <n v="3.7488989269999999"/>
    <n v="0"/>
    <n v="0.202100791"/>
    <n v="0"/>
    <n v="0"/>
    <n v="26.314527009999999"/>
    <n v="0"/>
    <n v="0"/>
    <n v="0"/>
    <n v="0"/>
    <n v="0"/>
    <n v="0"/>
    <n v="0"/>
    <n v="0"/>
    <n v="1127"/>
    <n v="0"/>
    <n v="0"/>
    <n v="0"/>
    <x v="2"/>
    <n v="5.7185069105000004"/>
    <n v="0"/>
    <n v="5.7185069105000004"/>
    <x v="1"/>
    <x v="0"/>
  </r>
  <r>
    <x v="344"/>
    <x v="2"/>
    <n v="0"/>
    <n v="0"/>
    <n v="0"/>
    <n v="0"/>
    <n v="0"/>
    <n v="0"/>
    <n v="0"/>
    <n v="0"/>
    <n v="0"/>
    <n v="0"/>
    <n v="3.285228423"/>
    <n v="0"/>
    <n v="0.177664988"/>
    <n v="0"/>
    <n v="0"/>
    <n v="37.879975889999997"/>
    <n v="0"/>
    <n v="0"/>
    <n v="0"/>
    <n v="0"/>
    <n v="0"/>
    <n v="0"/>
    <n v="0"/>
    <n v="0"/>
    <n v="1126"/>
    <n v="0"/>
    <n v="0"/>
    <n v="0"/>
    <x v="2"/>
    <n v="6.4966017285"/>
    <n v="0"/>
    <n v="6.4966017285"/>
    <x v="1"/>
    <x v="0"/>
  </r>
  <r>
    <x v="345"/>
    <x v="2"/>
    <n v="0"/>
    <n v="0"/>
    <n v="0"/>
    <n v="0"/>
    <n v="0"/>
    <n v="0"/>
    <n v="0"/>
    <n v="0"/>
    <n v="0"/>
    <n v="0"/>
    <n v="3.3689772690000002"/>
    <n v="0"/>
    <n v="0.16404206099999999"/>
    <n v="0"/>
    <n v="0"/>
    <n v="37.943217089999997"/>
    <n v="0"/>
    <n v="0"/>
    <n v="0"/>
    <n v="0"/>
    <n v="0"/>
    <n v="0"/>
    <n v="0"/>
    <n v="0"/>
    <n v="1125"/>
    <n v="0"/>
    <n v="0"/>
    <n v="0"/>
    <x v="2"/>
    <n v="6.4630627094999999"/>
    <n v="0"/>
    <n v="6.4630627094999999"/>
    <x v="1"/>
    <x v="0"/>
  </r>
  <r>
    <x v="346"/>
    <x v="1"/>
    <n v="0"/>
    <n v="0"/>
    <n v="0"/>
    <n v="0"/>
    <n v="0"/>
    <n v="0"/>
    <n v="0"/>
    <n v="0"/>
    <n v="0"/>
    <n v="0"/>
    <n v="3.261489938"/>
    <n v="0"/>
    <n v="0.28357316300000002"/>
    <n v="0"/>
    <n v="0"/>
    <n v="32.227215719999997"/>
    <n v="0"/>
    <n v="0"/>
    <n v="0"/>
    <n v="0"/>
    <n v="0"/>
    <n v="0"/>
    <n v="0"/>
    <n v="0"/>
    <n v="1124"/>
    <n v="0"/>
    <n v="0"/>
    <n v="0"/>
    <x v="2"/>
    <n v="6.5549055190000001"/>
    <n v="0"/>
    <n v="6.5549055190000001"/>
    <x v="1"/>
    <x v="0"/>
  </r>
  <r>
    <x v="347"/>
    <x v="1"/>
    <n v="0"/>
    <n v="0"/>
    <n v="0"/>
    <n v="0"/>
    <n v="0"/>
    <n v="0"/>
    <n v="0"/>
    <n v="0"/>
    <n v="0"/>
    <n v="0"/>
    <n v="1.9975302930000001"/>
    <n v="0"/>
    <n v="0.16726739900000001"/>
    <n v="0"/>
    <n v="0"/>
    <n v="20.431558840000001"/>
    <n v="0"/>
    <n v="0"/>
    <n v="0"/>
    <n v="0"/>
    <n v="0"/>
    <n v="0"/>
    <n v="0"/>
    <n v="0"/>
    <n v="1141"/>
    <n v="0"/>
    <n v="0"/>
    <n v="0"/>
    <x v="2"/>
    <n v="4.045525424500001"/>
    <n v="0"/>
    <n v="4.045525424500001"/>
    <x v="1"/>
    <x v="0"/>
  </r>
  <r>
    <x v="348"/>
    <x v="2"/>
    <n v="0"/>
    <n v="0"/>
    <n v="0"/>
    <n v="0"/>
    <n v="0"/>
    <n v="0"/>
    <n v="0"/>
    <n v="0"/>
    <n v="0"/>
    <n v="0"/>
    <n v="1.8775807799999999"/>
    <n v="0"/>
    <n v="0.12111435500000001"/>
    <n v="0"/>
    <n v="0"/>
    <n v="22.181003520000001"/>
    <n v="0"/>
    <n v="0"/>
    <n v="0"/>
    <n v="0"/>
    <n v="0"/>
    <n v="0"/>
    <n v="0"/>
    <n v="0"/>
    <n v="1143"/>
    <n v="0"/>
    <n v="0"/>
    <n v="0"/>
    <x v="2"/>
    <n v="3.8835768719999999"/>
    <n v="0"/>
    <n v="3.8835768719999999"/>
    <x v="1"/>
    <x v="0"/>
  </r>
  <r>
    <x v="349"/>
    <x v="2"/>
    <n v="0"/>
    <n v="0"/>
    <n v="0"/>
    <n v="0"/>
    <n v="0"/>
    <n v="0"/>
    <n v="0"/>
    <n v="0"/>
    <n v="0"/>
    <n v="0"/>
    <n v="5.6974158560000001"/>
    <n v="0"/>
    <n v="0.225041035"/>
    <n v="0"/>
    <n v="0"/>
    <n v="64.248004550000005"/>
    <n v="0"/>
    <n v="0"/>
    <n v="0"/>
    <n v="0"/>
    <n v="0"/>
    <n v="0"/>
    <n v="0"/>
    <n v="0"/>
    <n v="1082"/>
    <n v="0"/>
    <n v="0"/>
    <n v="0"/>
    <x v="2"/>
    <n v="10.623754593000001"/>
    <n v="0"/>
    <n v="10.623754593000001"/>
    <x v="1"/>
    <x v="0"/>
  </r>
  <r>
    <x v="350"/>
    <x v="1"/>
    <n v="0"/>
    <n v="0"/>
    <n v="0"/>
    <n v="0"/>
    <n v="0"/>
    <n v="0"/>
    <n v="0"/>
    <n v="0"/>
    <n v="0"/>
    <n v="0"/>
    <n v="1.9005316969999999"/>
    <n v="0"/>
    <n v="0.13703663999999999"/>
    <n v="0"/>
    <n v="0"/>
    <n v="19.015174810000001"/>
    <n v="0"/>
    <n v="0"/>
    <n v="0"/>
    <n v="0"/>
    <n v="0"/>
    <n v="0"/>
    <n v="0"/>
    <n v="0"/>
    <n v="1144"/>
    <n v="0"/>
    <n v="0"/>
    <n v="0"/>
    <x v="2"/>
    <n v="3.6740031694999997"/>
    <n v="0"/>
    <n v="3.6740031694999997"/>
    <x v="1"/>
    <x v="0"/>
  </r>
  <r>
    <x v="351"/>
    <x v="2"/>
    <n v="0"/>
    <n v="0"/>
    <n v="0"/>
    <n v="0"/>
    <n v="0"/>
    <n v="0"/>
    <n v="0"/>
    <n v="0"/>
    <n v="0"/>
    <n v="0"/>
    <n v="0.42134581399999999"/>
    <n v="0"/>
    <n v="2.3233943E-2"/>
    <n v="0"/>
    <n v="0"/>
    <n v="4.6052588559999998"/>
    <n v="0"/>
    <n v="0"/>
    <n v="0"/>
    <n v="0"/>
    <n v="0"/>
    <n v="0"/>
    <n v="0"/>
    <n v="0"/>
    <n v="1161"/>
    <n v="0"/>
    <n v="0"/>
    <n v="0"/>
    <x v="2"/>
    <n v="0.81060245060000002"/>
    <n v="0"/>
    <n v="0.81060245060000002"/>
    <x v="1"/>
    <x v="0"/>
  </r>
  <r>
    <x v="352"/>
    <x v="1"/>
    <n v="0"/>
    <n v="0"/>
    <n v="0"/>
    <n v="0"/>
    <n v="0"/>
    <n v="0"/>
    <n v="0"/>
    <n v="0"/>
    <n v="0"/>
    <n v="0"/>
    <n v="16.057192520000001"/>
    <n v="0"/>
    <n v="1.133800793"/>
    <n v="0"/>
    <n v="0"/>
    <n v="165.58767460000001"/>
    <n v="0"/>
    <n v="0"/>
    <n v="0"/>
    <n v="0"/>
    <n v="0"/>
    <n v="0"/>
    <n v="0"/>
    <n v="0"/>
    <n v="999"/>
    <n v="0"/>
    <n v="0"/>
    <n v="0"/>
    <x v="2"/>
    <n v="31.390168478000003"/>
    <n v="0"/>
    <n v="31.390168478000003"/>
    <x v="1"/>
    <x v="0"/>
  </r>
  <r>
    <x v="353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9"/>
    <n v="0"/>
    <n v="0"/>
    <n v="0"/>
    <x v="2"/>
    <n v="0"/>
    <n v="0"/>
    <n v="0"/>
    <x v="1"/>
    <x v="0"/>
  </r>
  <r>
    <x v="354"/>
    <x v="1"/>
    <n v="0"/>
    <n v="0"/>
    <n v="0"/>
    <n v="0"/>
    <n v="0"/>
    <n v="0"/>
    <n v="0"/>
    <n v="0"/>
    <n v="0"/>
    <n v="0"/>
    <n v="1.205423948"/>
    <n v="0"/>
    <n v="7.8854934000000002E-2"/>
    <n v="0"/>
    <n v="0"/>
    <n v="12.41403667"/>
    <n v="0"/>
    <n v="0"/>
    <n v="0"/>
    <n v="0"/>
    <n v="0"/>
    <n v="0"/>
    <n v="0"/>
    <n v="0"/>
    <n v="1158"/>
    <n v="0"/>
    <n v="0"/>
    <n v="0"/>
    <x v="2"/>
    <n v="2.3172452450000001"/>
    <n v="0"/>
    <n v="2.3172452450000001"/>
    <x v="1"/>
    <x v="0"/>
  </r>
  <r>
    <x v="355"/>
    <x v="2"/>
    <n v="0"/>
    <n v="0"/>
    <n v="0"/>
    <n v="0"/>
    <n v="0"/>
    <n v="0"/>
    <n v="0"/>
    <n v="0"/>
    <n v="0"/>
    <n v="0"/>
    <n v="1.1437177110000001"/>
    <n v="0"/>
    <n v="9.6181880999999997E-2"/>
    <n v="0"/>
    <n v="0"/>
    <n v="13.1579064"/>
    <n v="0"/>
    <n v="0"/>
    <n v="0"/>
    <n v="0"/>
    <n v="0"/>
    <n v="0"/>
    <n v="0"/>
    <n v="0"/>
    <n v="1157"/>
    <n v="0"/>
    <n v="0"/>
    <n v="0"/>
    <x v="2"/>
    <n v="2.4647407814999998"/>
    <n v="0"/>
    <n v="2.4647407814999998"/>
    <x v="1"/>
    <x v="0"/>
  </r>
  <r>
    <x v="356"/>
    <x v="3"/>
    <n v="0"/>
    <n v="0"/>
    <n v="0"/>
    <n v="0"/>
    <n v="0"/>
    <n v="0"/>
    <n v="0"/>
    <n v="0"/>
    <n v="0"/>
    <n v="0"/>
    <n v="2.0698431930000001"/>
    <n v="0"/>
    <n v="6.3830368999999998E-2"/>
    <n v="0"/>
    <n v="0"/>
    <n v="14.02071668"/>
    <n v="0"/>
    <n v="0"/>
    <n v="0"/>
    <n v="0"/>
    <n v="0"/>
    <n v="0"/>
    <n v="0"/>
    <n v="0"/>
    <n v="1156"/>
    <n v="0"/>
    <n v="0"/>
    <n v="0"/>
    <x v="2"/>
    <n v="2.8199754785"/>
    <n v="0"/>
    <n v="2.8199754785"/>
    <x v="1"/>
    <x v="0"/>
  </r>
  <r>
    <x v="357"/>
    <x v="2"/>
    <n v="0"/>
    <n v="0"/>
    <n v="0"/>
    <n v="0"/>
    <n v="0"/>
    <n v="0"/>
    <n v="0"/>
    <n v="0"/>
    <n v="0"/>
    <n v="0"/>
    <n v="1.5509452239999999"/>
    <n v="0"/>
    <n v="0.10253330099999999"/>
    <n v="0"/>
    <n v="0"/>
    <n v="17.385317959999998"/>
    <n v="0"/>
    <n v="0"/>
    <n v="0"/>
    <n v="0"/>
    <n v="0"/>
    <n v="0"/>
    <n v="0"/>
    <n v="0"/>
    <n v="1155"/>
    <n v="0"/>
    <n v="0"/>
    <n v="0"/>
    <x v="2"/>
    <n v="3.1292042139999996"/>
    <n v="0"/>
    <n v="3.1292042139999996"/>
    <x v="1"/>
    <x v="0"/>
  </r>
  <r>
    <x v="358"/>
    <x v="2"/>
    <n v="0"/>
    <n v="0"/>
    <n v="0"/>
    <n v="0"/>
    <n v="0"/>
    <n v="0"/>
    <n v="0"/>
    <n v="0"/>
    <n v="0"/>
    <n v="0"/>
    <n v="1.684488634"/>
    <n v="0"/>
    <n v="8.2021030999999994E-2"/>
    <n v="0"/>
    <n v="0"/>
    <n v="18.90865037"/>
    <n v="0"/>
    <n v="0"/>
    <n v="0"/>
    <n v="0"/>
    <n v="0"/>
    <n v="0"/>
    <n v="0"/>
    <n v="0"/>
    <n v="1154"/>
    <n v="0"/>
    <n v="0"/>
    <n v="0"/>
    <x v="2"/>
    <n v="3.2252355399999999"/>
    <n v="0"/>
    <n v="3.2252355399999999"/>
    <x v="1"/>
    <x v="0"/>
  </r>
  <r>
    <x v="359"/>
    <x v="1"/>
    <n v="0"/>
    <n v="0"/>
    <n v="0"/>
    <n v="0"/>
    <n v="0"/>
    <n v="0"/>
    <n v="0"/>
    <n v="0"/>
    <n v="0"/>
    <n v="0"/>
    <n v="1.7888496679999999"/>
    <n v="0"/>
    <n v="9.3275833000000002E-2"/>
    <n v="0"/>
    <n v="0"/>
    <n v="17.563832699999999"/>
    <n v="0"/>
    <n v="0"/>
    <n v="0"/>
    <n v="0"/>
    <n v="0"/>
    <n v="0"/>
    <n v="0"/>
    <n v="0"/>
    <n v="1153"/>
    <n v="0"/>
    <n v="0"/>
    <n v="0"/>
    <x v="2"/>
    <n v="3.2104631020000003"/>
    <n v="0"/>
    <n v="3.2104631020000003"/>
    <x v="1"/>
    <x v="0"/>
  </r>
  <r>
    <x v="360"/>
    <x v="2"/>
    <n v="0"/>
    <n v="0"/>
    <n v="0"/>
    <n v="0"/>
    <n v="0"/>
    <n v="0"/>
    <n v="0"/>
    <n v="0"/>
    <n v="0"/>
    <n v="0"/>
    <n v="1.493425435"/>
    <n v="0"/>
    <n v="0.13241963300000001"/>
    <n v="0"/>
    <n v="0"/>
    <n v="19.474433250000001"/>
    <n v="0"/>
    <n v="0"/>
    <n v="0"/>
    <n v="0"/>
    <n v="0"/>
    <n v="0"/>
    <n v="0"/>
    <n v="0"/>
    <n v="1152"/>
    <n v="0"/>
    <n v="0"/>
    <n v="0"/>
    <x v="2"/>
    <n v="3.4886738405000002"/>
    <n v="0"/>
    <n v="3.4886738405000002"/>
    <x v="1"/>
    <x v="0"/>
  </r>
  <r>
    <x v="361"/>
    <x v="1"/>
    <n v="0"/>
    <n v="0"/>
    <n v="0"/>
    <n v="0"/>
    <n v="0"/>
    <n v="0"/>
    <n v="0"/>
    <n v="0"/>
    <n v="0"/>
    <n v="0"/>
    <n v="1.6788490519999999"/>
    <n v="0"/>
    <n v="0.14101232899999999"/>
    <n v="0"/>
    <n v="0"/>
    <n v="17.485120200000001"/>
    <n v="0"/>
    <n v="0"/>
    <n v="0"/>
    <n v="0"/>
    <n v="0"/>
    <n v="0"/>
    <n v="0"/>
    <n v="0"/>
    <n v="1151"/>
    <n v="0"/>
    <n v="0"/>
    <n v="0"/>
    <x v="2"/>
    <n v="3.4340105200000002"/>
    <n v="0"/>
    <n v="3.4340105200000002"/>
    <x v="1"/>
    <x v="0"/>
  </r>
  <r>
    <x v="362"/>
    <x v="1"/>
    <n v="0"/>
    <n v="0"/>
    <n v="0"/>
    <n v="0"/>
    <n v="0"/>
    <n v="0"/>
    <n v="0"/>
    <n v="0"/>
    <n v="0"/>
    <n v="0"/>
    <n v="1.898258692"/>
    <n v="0"/>
    <n v="0.112233086"/>
    <n v="0"/>
    <n v="0"/>
    <n v="18.841983150000001"/>
    <n v="0"/>
    <n v="0"/>
    <n v="0"/>
    <n v="0"/>
    <n v="0"/>
    <n v="0"/>
    <n v="0"/>
    <n v="0"/>
    <n v="1150"/>
    <n v="0"/>
    <n v="0"/>
    <n v="0"/>
    <x v="2"/>
    <n v="3.506726177"/>
    <n v="0"/>
    <n v="3.506726177"/>
    <x v="1"/>
    <x v="0"/>
  </r>
  <r>
    <x v="363"/>
    <x v="1"/>
    <n v="0"/>
    <n v="0"/>
    <n v="0"/>
    <n v="0"/>
    <n v="0"/>
    <n v="0"/>
    <n v="0"/>
    <n v="0"/>
    <n v="0"/>
    <n v="0"/>
    <n v="1.8548106289999999"/>
    <n v="0"/>
    <n v="0.12847045800000001"/>
    <n v="0"/>
    <n v="0"/>
    <n v="18.338759039999999"/>
    <n v="0"/>
    <n v="0"/>
    <n v="0"/>
    <n v="0"/>
    <n v="0"/>
    <n v="0"/>
    <n v="0"/>
    <n v="0"/>
    <n v="1149"/>
    <n v="0"/>
    <n v="0"/>
    <n v="0"/>
    <x v="2"/>
    <n v="3.5321039665000002"/>
    <n v="0"/>
    <n v="3.5321039665000002"/>
    <x v="1"/>
    <x v="0"/>
  </r>
  <r>
    <x v="364"/>
    <x v="2"/>
    <n v="0"/>
    <n v="0"/>
    <n v="0"/>
    <n v="0"/>
    <n v="0"/>
    <n v="0"/>
    <n v="0"/>
    <n v="0"/>
    <n v="0"/>
    <n v="0"/>
    <n v="1.629713473"/>
    <n v="0"/>
    <n v="0.141132375"/>
    <n v="0"/>
    <n v="0"/>
    <n v="20.171324850000001"/>
    <n v="0"/>
    <n v="0"/>
    <n v="0"/>
    <n v="0"/>
    <n v="0"/>
    <n v="0"/>
    <n v="0"/>
    <n v="0"/>
    <n v="1148"/>
    <n v="0"/>
    <n v="0"/>
    <n v="0"/>
    <x v="2"/>
    <n v="3.6787834715000005"/>
    <n v="0"/>
    <n v="3.6787834715000005"/>
    <x v="1"/>
    <x v="0"/>
  </r>
  <r>
    <x v="365"/>
    <x v="1"/>
    <n v="0"/>
    <n v="0"/>
    <n v="0"/>
    <n v="0"/>
    <n v="0"/>
    <n v="0"/>
    <n v="0"/>
    <n v="0"/>
    <n v="0"/>
    <n v="0"/>
    <n v="1.8462921219999999"/>
    <n v="0"/>
    <n v="0.13328425299999999"/>
    <n v="0"/>
    <n v="0"/>
    <n v="18.558322409999999"/>
    <n v="0"/>
    <n v="0"/>
    <n v="0"/>
    <n v="0"/>
    <n v="0"/>
    <n v="0"/>
    <n v="0"/>
    <n v="0"/>
    <n v="1147"/>
    <n v="0"/>
    <n v="0"/>
    <n v="0"/>
    <x v="2"/>
    <n v="3.5786838199999997"/>
    <n v="0"/>
    <n v="3.5786838199999997"/>
    <x v="1"/>
    <x v="0"/>
  </r>
  <r>
    <x v="366"/>
    <x v="1"/>
    <n v="0"/>
    <n v="0"/>
    <n v="0"/>
    <n v="0"/>
    <n v="0"/>
    <n v="0"/>
    <n v="0"/>
    <n v="0"/>
    <n v="0"/>
    <n v="0"/>
    <n v="1.851654645"/>
    <n v="0"/>
    <n v="0.13206251799999999"/>
    <n v="0"/>
    <n v="0"/>
    <n v="18.815962330000001"/>
    <n v="0"/>
    <n v="0"/>
    <n v="0"/>
    <n v="0"/>
    <n v="0"/>
    <n v="0"/>
    <n v="0"/>
    <n v="0"/>
    <n v="1146"/>
    <n v="0"/>
    <n v="0"/>
    <n v="0"/>
    <x v="2"/>
    <n v="3.5997986635000001"/>
    <n v="0"/>
    <n v="3.5997986635000001"/>
    <x v="1"/>
    <x v="0"/>
  </r>
  <r>
    <x v="367"/>
    <x v="1"/>
    <n v="0"/>
    <n v="0"/>
    <n v="0"/>
    <n v="0"/>
    <n v="0"/>
    <n v="0"/>
    <n v="0"/>
    <n v="0"/>
    <n v="0"/>
    <n v="0"/>
    <n v="1.950911939"/>
    <n v="0"/>
    <n v="0.115296126"/>
    <n v="0"/>
    <n v="0"/>
    <n v="19.349078590000001"/>
    <n v="0"/>
    <n v="0"/>
    <n v="0"/>
    <n v="0"/>
    <n v="0"/>
    <n v="0"/>
    <n v="0"/>
    <n v="0"/>
    <n v="1145"/>
    <n v="0"/>
    <n v="0"/>
    <n v="0"/>
    <x v="2"/>
    <n v="3.6021405844999999"/>
    <n v="0"/>
    <n v="3.6021405844999999"/>
    <x v="1"/>
    <x v="0"/>
  </r>
  <r>
    <x v="368"/>
    <x v="2"/>
    <n v="0"/>
    <n v="0"/>
    <n v="0"/>
    <n v="0"/>
    <n v="0"/>
    <n v="0"/>
    <n v="0"/>
    <n v="0"/>
    <n v="0"/>
    <n v="0"/>
    <n v="3.2271983479999999"/>
    <n v="0"/>
    <n v="0.21794039400000001"/>
    <n v="0"/>
    <n v="0"/>
    <n v="38.290265920000003"/>
    <n v="0"/>
    <n v="0"/>
    <n v="0"/>
    <n v="0"/>
    <n v="0"/>
    <n v="0"/>
    <n v="0"/>
    <n v="0"/>
    <n v="1123"/>
    <n v="0"/>
    <n v="0"/>
    <n v="0"/>
    <x v="2"/>
    <n v="6.7502681300000003"/>
    <n v="0"/>
    <n v="6.7502681300000003"/>
    <x v="1"/>
    <x v="0"/>
  </r>
  <r>
    <x v="369"/>
    <x v="1"/>
    <n v="0"/>
    <n v="0"/>
    <n v="0"/>
    <n v="0"/>
    <n v="0"/>
    <n v="0"/>
    <n v="0"/>
    <n v="0"/>
    <n v="0"/>
    <n v="0"/>
    <n v="3.6055390639999998"/>
    <n v="0"/>
    <n v="0.19719260699999999"/>
    <n v="0"/>
    <n v="0"/>
    <n v="35.611478400000003"/>
    <n v="0"/>
    <n v="0"/>
    <n v="0"/>
    <n v="0"/>
    <n v="0"/>
    <n v="0"/>
    <n v="0"/>
    <n v="0"/>
    <n v="1122"/>
    <n v="0"/>
    <n v="0"/>
    <n v="0"/>
    <x v="2"/>
    <n v="6.5470730140000004"/>
    <n v="0"/>
    <n v="6.5470730140000004"/>
    <x v="1"/>
    <x v="0"/>
  </r>
  <r>
    <x v="370"/>
    <x v="2"/>
    <n v="0"/>
    <n v="0"/>
    <n v="0"/>
    <n v="0"/>
    <n v="0"/>
    <n v="0"/>
    <n v="0"/>
    <n v="0"/>
    <n v="0"/>
    <n v="0"/>
    <n v="3.4797572969999999"/>
    <n v="0"/>
    <n v="0.26538190099999998"/>
    <n v="0"/>
    <n v="0"/>
    <n v="41.12143124"/>
    <n v="0"/>
    <n v="0"/>
    <n v="0"/>
    <n v="0"/>
    <n v="0"/>
    <n v="0"/>
    <n v="0"/>
    <n v="0"/>
    <n v="1099"/>
    <n v="0"/>
    <n v="0"/>
    <n v="0"/>
    <x v="2"/>
    <n v="7.4443131784999999"/>
    <n v="0"/>
    <n v="7.4443131784999999"/>
    <x v="1"/>
    <x v="0"/>
  </r>
  <r>
    <x v="371"/>
    <x v="2"/>
    <n v="0"/>
    <n v="0"/>
    <n v="0"/>
    <n v="0"/>
    <n v="0"/>
    <n v="0"/>
    <n v="0"/>
    <n v="0"/>
    <n v="0"/>
    <n v="0"/>
    <n v="3.614978765"/>
    <n v="0"/>
    <n v="0.24786772800000001"/>
    <n v="0"/>
    <n v="0"/>
    <n v="36.76651717"/>
    <n v="0"/>
    <n v="0"/>
    <n v="0"/>
    <n v="0"/>
    <n v="0"/>
    <n v="0"/>
    <n v="0"/>
    <n v="0"/>
    <n v="1098"/>
    <n v="0"/>
    <n v="0"/>
    <n v="0"/>
    <x v="2"/>
    <n v="6.9713474675000002"/>
    <n v="0"/>
    <n v="6.9713474675000002"/>
    <x v="1"/>
    <x v="0"/>
  </r>
  <r>
    <x v="372"/>
    <x v="1"/>
    <n v="0"/>
    <n v="0"/>
    <n v="0"/>
    <n v="0"/>
    <n v="0"/>
    <n v="0"/>
    <n v="0"/>
    <n v="0"/>
    <n v="0"/>
    <n v="0"/>
    <n v="3.9794962049999998"/>
    <n v="0"/>
    <n v="0.32509354800000001"/>
    <n v="0"/>
    <n v="0"/>
    <n v="40.268735939999999"/>
    <n v="0"/>
    <n v="0"/>
    <n v="0"/>
    <n v="0"/>
    <n v="0"/>
    <n v="0"/>
    <n v="0"/>
    <n v="0"/>
    <n v="1096"/>
    <n v="0"/>
    <n v="0"/>
    <n v="0"/>
    <x v="2"/>
    <n v="7.9671829845000008"/>
    <n v="0"/>
    <n v="7.9671829845000008"/>
    <x v="1"/>
    <x v="0"/>
  </r>
  <r>
    <x v="373"/>
    <x v="2"/>
    <n v="0"/>
    <n v="0"/>
    <n v="0"/>
    <n v="0"/>
    <n v="0"/>
    <n v="0"/>
    <n v="0"/>
    <n v="0"/>
    <n v="0"/>
    <n v="0"/>
    <n v="3.72038453"/>
    <n v="0"/>
    <n v="0.32540017999999998"/>
    <n v="0"/>
    <n v="0"/>
    <n v="43.687166329999997"/>
    <n v="0"/>
    <n v="0"/>
    <n v="0"/>
    <n v="0"/>
    <n v="0"/>
    <n v="0"/>
    <n v="0"/>
    <n v="0"/>
    <n v="1095"/>
    <n v="0"/>
    <n v="0"/>
    <n v="0"/>
    <x v="2"/>
    <n v="8.1813099779999998"/>
    <n v="0"/>
    <n v="8.1813099779999998"/>
    <x v="1"/>
    <x v="0"/>
  </r>
  <r>
    <x v="374"/>
    <x v="2"/>
    <n v="0"/>
    <n v="0"/>
    <n v="0"/>
    <n v="0"/>
    <n v="0"/>
    <n v="0"/>
    <n v="0"/>
    <n v="0"/>
    <n v="0"/>
    <n v="0"/>
    <n v="3.16673494"/>
    <n v="0"/>
    <n v="0.17475088499999999"/>
    <n v="0"/>
    <n v="0"/>
    <n v="37.364820559999998"/>
    <n v="0"/>
    <n v="0"/>
    <n v="0"/>
    <n v="0"/>
    <n v="0"/>
    <n v="0"/>
    <n v="0"/>
    <n v="0"/>
    <n v="1094"/>
    <n v="0"/>
    <n v="0"/>
    <n v="0"/>
    <x v="2"/>
    <n v="6.368354836"/>
    <n v="0"/>
    <n v="6.368354836"/>
    <x v="1"/>
    <x v="0"/>
  </r>
  <r>
    <x v="375"/>
    <x v="1"/>
    <n v="0"/>
    <n v="0"/>
    <n v="0"/>
    <n v="0"/>
    <n v="0"/>
    <n v="0"/>
    <n v="0"/>
    <n v="0"/>
    <n v="0"/>
    <n v="0"/>
    <n v="3.808684274"/>
    <n v="0"/>
    <n v="0.40711234299999999"/>
    <n v="0"/>
    <n v="0"/>
    <n v="38.374790130000001"/>
    <n v="0"/>
    <n v="0"/>
    <n v="0"/>
    <n v="0"/>
    <n v="0"/>
    <n v="0"/>
    <n v="0"/>
    <n v="0"/>
    <n v="1093"/>
    <n v="0"/>
    <n v="0"/>
    <n v="0"/>
    <x v="2"/>
    <n v="8.1844952080000013"/>
    <n v="0"/>
    <n v="8.1844952080000013"/>
    <x v="1"/>
    <x v="0"/>
  </r>
  <r>
    <x v="376"/>
    <x v="3"/>
    <n v="0"/>
    <n v="0"/>
    <n v="0"/>
    <n v="0"/>
    <n v="0"/>
    <n v="0"/>
    <n v="0"/>
    <n v="0"/>
    <n v="0"/>
    <n v="0"/>
    <n v="4.4568243819999998"/>
    <n v="0"/>
    <n v="0.14479641400000001"/>
    <n v="0"/>
    <n v="0"/>
    <n v="31.903690910000002"/>
    <n v="0"/>
    <n v="0"/>
    <n v="0"/>
    <n v="0.102230132"/>
    <n v="0"/>
    <n v="0"/>
    <n v="18.34916527"/>
    <n v="0"/>
    <n v="1092"/>
    <n v="0"/>
    <n v="0"/>
    <n v="0"/>
    <x v="2"/>
    <n v="8.735857085000001"/>
    <n v="0"/>
    <n v="8.735857085000001"/>
    <x v="1"/>
    <x v="0"/>
  </r>
  <r>
    <x v="377"/>
    <x v="2"/>
    <n v="0"/>
    <n v="0"/>
    <n v="0"/>
    <n v="0"/>
    <n v="0"/>
    <n v="0"/>
    <n v="0"/>
    <n v="0"/>
    <n v="0"/>
    <n v="0"/>
    <n v="3.7584631709999998"/>
    <n v="0"/>
    <n v="0.269445461"/>
    <n v="0"/>
    <n v="0"/>
    <n v="41.339149040000002"/>
    <n v="0"/>
    <n v="0"/>
    <n v="0"/>
    <n v="0"/>
    <n v="0"/>
    <n v="0"/>
    <n v="0"/>
    <n v="0"/>
    <n v="1090"/>
    <n v="0"/>
    <n v="0"/>
    <n v="0"/>
    <x v="2"/>
    <n v="7.6298192555000002"/>
    <n v="0"/>
    <n v="7.6298192555000002"/>
    <x v="1"/>
    <x v="0"/>
  </r>
  <r>
    <x v="378"/>
    <x v="3"/>
    <n v="0"/>
    <n v="0"/>
    <n v="0"/>
    <n v="0"/>
    <n v="0"/>
    <n v="0"/>
    <n v="0"/>
    <n v="0"/>
    <n v="0"/>
    <n v="0"/>
    <n v="4.6732754820000002"/>
    <n v="0"/>
    <n v="0.19834185200000001"/>
    <n v="0"/>
    <n v="0"/>
    <n v="33.326881989999997"/>
    <n v="0"/>
    <n v="0"/>
    <n v="0"/>
    <n v="0.13590402400000001"/>
    <n v="0"/>
    <n v="0"/>
    <n v="17.984952360000001"/>
    <n v="0"/>
    <n v="1089"/>
    <n v="0"/>
    <n v="0"/>
    <n v="0"/>
    <x v="2"/>
    <n v="9.4732964320000015"/>
    <n v="0"/>
    <n v="9.4732964320000015"/>
    <x v="1"/>
    <x v="0"/>
  </r>
  <r>
    <x v="379"/>
    <x v="2"/>
    <n v="0"/>
    <n v="0"/>
    <n v="0"/>
    <n v="0"/>
    <n v="0"/>
    <n v="0"/>
    <n v="0"/>
    <n v="0"/>
    <n v="0"/>
    <n v="0"/>
    <n v="3.1071087909999999"/>
    <n v="0"/>
    <n v="0.26561190000000001"/>
    <n v="0"/>
    <n v="0"/>
    <n v="36.464112739999997"/>
    <n v="0"/>
    <n v="0"/>
    <n v="0"/>
    <n v="0.16349408200000001"/>
    <n v="0"/>
    <n v="0"/>
    <n v="25.701696139999999"/>
    <n v="0"/>
    <n v="1088"/>
    <n v="0"/>
    <n v="0"/>
    <n v="0"/>
    <x v="2"/>
    <n v="10.3447711755"/>
    <n v="0"/>
    <n v="10.3447711755"/>
    <x v="1"/>
    <x v="0"/>
  </r>
  <r>
    <x v="380"/>
    <x v="3"/>
    <n v="0"/>
    <n v="0"/>
    <n v="0"/>
    <n v="0"/>
    <n v="0"/>
    <n v="0"/>
    <n v="0"/>
    <n v="0"/>
    <n v="0"/>
    <n v="0"/>
    <n v="2.021491272"/>
    <n v="0"/>
    <n v="8.7160741999999999E-2"/>
    <n v="0"/>
    <n v="0"/>
    <n v="14.451158400000001"/>
    <n v="0"/>
    <n v="0"/>
    <n v="0"/>
    <n v="0.42315484599999997"/>
    <n v="0"/>
    <n v="0"/>
    <n v="52.91722231"/>
    <n v="0"/>
    <n v="1087"/>
    <n v="0"/>
    <n v="0"/>
    <n v="0"/>
    <x v="2"/>
    <n v="10.809477234999999"/>
    <n v="0"/>
    <n v="10.809477234999999"/>
    <x v="1"/>
    <x v="0"/>
  </r>
  <r>
    <x v="381"/>
    <x v="3"/>
    <n v="0"/>
    <n v="0"/>
    <n v="0"/>
    <n v="0"/>
    <n v="0"/>
    <n v="0"/>
    <n v="0"/>
    <n v="0"/>
    <n v="0"/>
    <n v="0"/>
    <n v="1.8407313999999999"/>
    <n v="0"/>
    <n v="6.2739764000000003E-2"/>
    <n v="0"/>
    <n v="0"/>
    <n v="12.718391309999999"/>
    <n v="0"/>
    <n v="0"/>
    <n v="0"/>
    <n v="0.50152015500000002"/>
    <n v="0"/>
    <n v="0"/>
    <n v="56.954366180000001"/>
    <n v="0"/>
    <n v="1086"/>
    <n v="0"/>
    <n v="0"/>
    <n v="0"/>
    <x v="2"/>
    <n v="11.273200963000001"/>
    <n v="0"/>
    <n v="11.273200963000001"/>
    <x v="1"/>
    <x v="0"/>
  </r>
  <r>
    <x v="382"/>
    <x v="2"/>
    <n v="0"/>
    <n v="0"/>
    <n v="0"/>
    <n v="0"/>
    <n v="0"/>
    <n v="0"/>
    <n v="0"/>
    <n v="0"/>
    <n v="0"/>
    <n v="0"/>
    <n v="5.0578625270000002"/>
    <n v="0"/>
    <n v="0.24606309200000001"/>
    <n v="0"/>
    <n v="0"/>
    <n v="57.103700179999997"/>
    <n v="0"/>
    <n v="0"/>
    <n v="0"/>
    <n v="0"/>
    <n v="0"/>
    <n v="0"/>
    <n v="0"/>
    <n v="0"/>
    <n v="1085"/>
    <n v="0"/>
    <n v="0"/>
    <n v="0"/>
    <x v="2"/>
    <n v="9.7156798335000012"/>
    <n v="0"/>
    <n v="9.7156798335000012"/>
    <x v="1"/>
    <x v="0"/>
  </r>
  <r>
    <x v="383"/>
    <x v="2"/>
    <n v="0"/>
    <n v="0"/>
    <n v="0"/>
    <n v="0"/>
    <n v="0"/>
    <n v="0"/>
    <n v="0"/>
    <n v="0"/>
    <n v="0"/>
    <n v="0"/>
    <n v="4.7793892639999997"/>
    <n v="0"/>
    <n v="0.40909644699999997"/>
    <n v="0"/>
    <n v="0"/>
    <n v="53.894576880000002"/>
    <n v="0"/>
    <n v="0"/>
    <n v="0"/>
    <n v="0"/>
    <n v="0"/>
    <n v="0"/>
    <n v="0"/>
    <n v="0"/>
    <n v="1084"/>
    <n v="0"/>
    <n v="0"/>
    <n v="0"/>
    <x v="2"/>
    <n v="10.233731001999999"/>
    <n v="0"/>
    <n v="10.233731001999999"/>
    <x v="1"/>
    <x v="0"/>
  </r>
  <r>
    <x v="384"/>
    <x v="3"/>
    <n v="0"/>
    <n v="0"/>
    <n v="0"/>
    <n v="0"/>
    <n v="0"/>
    <n v="0"/>
    <n v="0"/>
    <n v="0"/>
    <n v="0"/>
    <n v="0"/>
    <n v="4.3842472609999996"/>
    <n v="0"/>
    <n v="0.18663142999999999"/>
    <n v="0"/>
    <n v="0"/>
    <n v="29.387708440000001"/>
    <n v="0"/>
    <n v="0"/>
    <n v="0"/>
    <n v="0.15780497600000001"/>
    <n v="0"/>
    <n v="0"/>
    <n v="17.702779039999999"/>
    <n v="0"/>
    <n v="1083"/>
    <n v="0"/>
    <n v="0"/>
    <n v="0"/>
    <x v="2"/>
    <n v="8.9677908144999989"/>
    <n v="0"/>
    <n v="8.9677908144999989"/>
    <x v="1"/>
    <x v="0"/>
  </r>
  <r>
    <x v="385"/>
    <x v="1"/>
    <n v="0"/>
    <n v="0"/>
    <n v="0"/>
    <n v="0"/>
    <n v="0"/>
    <n v="0"/>
    <n v="0"/>
    <n v="0"/>
    <n v="0"/>
    <n v="0"/>
    <n v="3.7889553390000001"/>
    <n v="0"/>
    <n v="0.31356586800000003"/>
    <n v="0"/>
    <n v="0"/>
    <n v="37.998304449999999"/>
    <n v="0"/>
    <n v="0"/>
    <n v="0"/>
    <n v="0"/>
    <n v="0"/>
    <n v="0"/>
    <n v="0"/>
    <n v="0"/>
    <n v="1101"/>
    <n v="0"/>
    <n v="0"/>
    <n v="0"/>
    <x v="2"/>
    <n v="7.5757033225000008"/>
    <n v="0"/>
    <n v="7.5757033225000008"/>
    <x v="1"/>
    <x v="0"/>
  </r>
  <r>
    <x v="386"/>
    <x v="1"/>
    <n v="0"/>
    <n v="0"/>
    <n v="0"/>
    <n v="0"/>
    <n v="0"/>
    <n v="0"/>
    <n v="0"/>
    <n v="0"/>
    <n v="0"/>
    <n v="0"/>
    <n v="3.9235886130000002"/>
    <n v="0"/>
    <n v="0.26927395599999998"/>
    <n v="0"/>
    <n v="0"/>
    <n v="38.344230549999999"/>
    <n v="0"/>
    <n v="0"/>
    <n v="0"/>
    <n v="0"/>
    <n v="0"/>
    <n v="0"/>
    <n v="0"/>
    <n v="0"/>
    <n v="1102"/>
    <n v="0"/>
    <n v="0"/>
    <n v="0"/>
    <x v="2"/>
    <n v="7.4118610975000001"/>
    <n v="0"/>
    <n v="7.4118610975000001"/>
    <x v="1"/>
    <x v="0"/>
  </r>
  <r>
    <x v="387"/>
    <x v="2"/>
    <n v="0"/>
    <n v="0"/>
    <n v="0"/>
    <n v="0"/>
    <n v="0"/>
    <n v="0"/>
    <n v="0"/>
    <n v="0"/>
    <n v="0"/>
    <n v="0"/>
    <n v="3.4503743619999998"/>
    <n v="0"/>
    <n v="0.25735967399999998"/>
    <n v="0"/>
    <n v="0"/>
    <n v="39.47249103"/>
    <n v="0"/>
    <n v="0"/>
    <n v="0"/>
    <n v="0"/>
    <n v="0"/>
    <n v="0"/>
    <n v="0"/>
    <n v="0"/>
    <n v="1112"/>
    <n v="0"/>
    <n v="0"/>
    <n v="0"/>
    <x v="2"/>
    <n v="7.2165943280000002"/>
    <n v="0"/>
    <n v="7.2165943280000002"/>
    <x v="1"/>
    <x v="0"/>
  </r>
  <r>
    <x v="388"/>
    <x v="1"/>
    <n v="0"/>
    <n v="0"/>
    <n v="0"/>
    <n v="0"/>
    <n v="0"/>
    <n v="0"/>
    <n v="0"/>
    <n v="0"/>
    <n v="0"/>
    <n v="0"/>
    <n v="3.6790579970000001"/>
    <n v="0"/>
    <n v="0.19742696600000001"/>
    <n v="0"/>
    <n v="0"/>
    <n v="35.850280320000003"/>
    <n v="0"/>
    <n v="0"/>
    <n v="0"/>
    <n v="0"/>
    <n v="0"/>
    <n v="0"/>
    <n v="0"/>
    <n v="0"/>
    <n v="1119"/>
    <n v="0"/>
    <n v="0"/>
    <n v="0"/>
    <x v="2"/>
    <n v="6.6091188265000005"/>
    <n v="0"/>
    <n v="6.6091188265000005"/>
    <x v="1"/>
    <x v="0"/>
  </r>
  <r>
    <x v="389"/>
    <x v="2"/>
    <n v="0"/>
    <n v="0"/>
    <n v="0"/>
    <n v="0"/>
    <n v="0"/>
    <n v="0"/>
    <n v="0"/>
    <n v="0"/>
    <n v="0"/>
    <n v="0"/>
    <n v="3.3880264470000001"/>
    <n v="0"/>
    <n v="0.235518747"/>
    <n v="0"/>
    <n v="0"/>
    <n v="38.362180709999997"/>
    <n v="0"/>
    <n v="0"/>
    <n v="0"/>
    <n v="0"/>
    <n v="0"/>
    <n v="0"/>
    <n v="0"/>
    <n v="0"/>
    <n v="1118"/>
    <n v="0"/>
    <n v="0"/>
    <n v="0"/>
    <x v="2"/>
    <n v="6.9433437764999999"/>
    <n v="0"/>
    <n v="6.9433437764999999"/>
    <x v="1"/>
    <x v="0"/>
  </r>
  <r>
    <x v="390"/>
    <x v="2"/>
    <n v="0"/>
    <n v="0"/>
    <n v="0"/>
    <n v="0"/>
    <n v="0"/>
    <n v="0"/>
    <n v="0"/>
    <n v="0"/>
    <n v="0"/>
    <n v="0"/>
    <n v="2.9988500550000001"/>
    <n v="0"/>
    <n v="0.20959793900000001"/>
    <n v="0"/>
    <n v="0"/>
    <n v="36.911207189999999"/>
    <n v="0"/>
    <n v="0"/>
    <n v="0"/>
    <n v="0"/>
    <n v="0"/>
    <n v="0"/>
    <n v="0"/>
    <n v="0"/>
    <n v="1117"/>
    <n v="0"/>
    <n v="0"/>
    <n v="0"/>
    <x v="2"/>
    <n v="6.4481333804999998"/>
    <n v="0"/>
    <n v="6.4481333804999998"/>
    <x v="1"/>
    <x v="0"/>
  </r>
  <r>
    <x v="391"/>
    <x v="1"/>
    <n v="0"/>
    <n v="0"/>
    <n v="0"/>
    <n v="0"/>
    <n v="0"/>
    <n v="0"/>
    <n v="0"/>
    <n v="0"/>
    <n v="0"/>
    <n v="0"/>
    <n v="3.6699081950000001"/>
    <n v="0"/>
    <n v="0.22613925500000001"/>
    <n v="0"/>
    <n v="0"/>
    <n v="36.912449279999997"/>
    <n v="0"/>
    <n v="0"/>
    <n v="0"/>
    <n v="0"/>
    <n v="0"/>
    <n v="0"/>
    <n v="0"/>
    <n v="0"/>
    <n v="1116"/>
    <n v="0"/>
    <n v="0"/>
    <n v="0"/>
    <x v="2"/>
    <n v="6.8830345555000001"/>
    <n v="0"/>
    <n v="6.8830345555000001"/>
    <x v="1"/>
    <x v="0"/>
  </r>
  <r>
    <x v="392"/>
    <x v="3"/>
    <n v="0"/>
    <n v="0"/>
    <n v="0"/>
    <n v="0"/>
    <n v="0"/>
    <n v="0"/>
    <n v="0"/>
    <n v="0"/>
    <n v="0"/>
    <n v="0"/>
    <n v="4.5252955699999999"/>
    <n v="0"/>
    <n v="0.19369899400000001"/>
    <n v="0"/>
    <n v="0"/>
    <n v="31.71610154"/>
    <n v="0"/>
    <n v="0"/>
    <n v="0"/>
    <n v="0"/>
    <n v="0"/>
    <n v="0"/>
    <n v="0"/>
    <n v="0"/>
    <n v="1115"/>
    <n v="0"/>
    <n v="0"/>
    <n v="0"/>
    <x v="2"/>
    <n v="6.5964519030000002"/>
    <n v="0"/>
    <n v="6.5964519030000002"/>
    <x v="1"/>
    <x v="0"/>
  </r>
  <r>
    <x v="393"/>
    <x v="1"/>
    <n v="0"/>
    <n v="0"/>
    <n v="0"/>
    <n v="0"/>
    <n v="0"/>
    <n v="0"/>
    <n v="0"/>
    <n v="0"/>
    <n v="0"/>
    <n v="0"/>
    <n v="3.9407959730000002"/>
    <n v="0"/>
    <n v="0.212894106"/>
    <n v="0"/>
    <n v="0"/>
    <n v="36.492666710000002"/>
    <n v="0"/>
    <n v="0"/>
    <n v="0"/>
    <n v="0"/>
    <n v="0"/>
    <n v="0"/>
    <n v="0"/>
    <n v="0"/>
    <n v="1114"/>
    <n v="0"/>
    <n v="0"/>
    <n v="0"/>
    <x v="2"/>
    <n v="6.8970292935000002"/>
    <n v="0"/>
    <n v="6.8970292935000002"/>
    <x v="1"/>
    <x v="0"/>
  </r>
  <r>
    <x v="394"/>
    <x v="2"/>
    <n v="0"/>
    <n v="0"/>
    <n v="0"/>
    <n v="0"/>
    <n v="0"/>
    <n v="0"/>
    <n v="0"/>
    <n v="0"/>
    <n v="0"/>
    <n v="0"/>
    <n v="3.467647785"/>
    <n v="0"/>
    <n v="0.241638772"/>
    <n v="0"/>
    <n v="0"/>
    <n v="40.133626939999999"/>
    <n v="0"/>
    <n v="0"/>
    <n v="0"/>
    <n v="0"/>
    <n v="0"/>
    <n v="0"/>
    <n v="0"/>
    <n v="0"/>
    <n v="1113"/>
    <n v="0"/>
    <n v="0"/>
    <n v="0"/>
    <x v="2"/>
    <n v="7.1970192185000004"/>
    <n v="0"/>
    <n v="7.1970192185000004"/>
    <x v="1"/>
    <x v="0"/>
  </r>
  <r>
    <x v="395"/>
    <x v="1"/>
    <n v="0"/>
    <n v="0"/>
    <n v="0"/>
    <n v="0"/>
    <n v="0"/>
    <n v="0"/>
    <n v="0"/>
    <n v="0"/>
    <n v="0"/>
    <n v="0"/>
    <n v="3.7264876619999998"/>
    <n v="0"/>
    <n v="0.25660798400000001"/>
    <n v="0"/>
    <n v="0"/>
    <n v="36.775493240000003"/>
    <n v="0"/>
    <n v="0"/>
    <n v="0"/>
    <n v="0"/>
    <n v="0"/>
    <n v="0"/>
    <n v="0"/>
    <n v="0"/>
    <n v="1111"/>
    <n v="0"/>
    <n v="0"/>
    <n v="0"/>
    <x v="2"/>
    <n v="7.080441059"/>
    <n v="0"/>
    <n v="7.080441059"/>
    <x v="1"/>
    <x v="0"/>
  </r>
  <r>
    <x v="396"/>
    <x v="1"/>
    <n v="0"/>
    <n v="0"/>
    <n v="0"/>
    <n v="0"/>
    <n v="0"/>
    <n v="0"/>
    <n v="0"/>
    <n v="0"/>
    <n v="0"/>
    <n v="0"/>
    <n v="3.679382602"/>
    <n v="0"/>
    <n v="0.33240336199999998"/>
    <n v="0"/>
    <n v="0"/>
    <n v="36.527330679999999"/>
    <n v="0"/>
    <n v="0"/>
    <n v="0"/>
    <n v="0"/>
    <n v="0"/>
    <n v="0"/>
    <n v="0"/>
    <n v="0"/>
    <n v="1103"/>
    <n v="0"/>
    <n v="0"/>
    <n v="0"/>
    <x v="2"/>
    <n v="7.486844541"/>
    <n v="0"/>
    <n v="7.486844541"/>
    <x v="1"/>
    <x v="0"/>
  </r>
  <r>
    <x v="397"/>
    <x v="1"/>
    <n v="0"/>
    <n v="0"/>
    <n v="0"/>
    <n v="0"/>
    <n v="0"/>
    <n v="0"/>
    <n v="0"/>
    <n v="0"/>
    <n v="0"/>
    <n v="0"/>
    <n v="3.6697647739999999"/>
    <n v="0"/>
    <n v="0.307425426"/>
    <n v="0"/>
    <n v="0"/>
    <n v="35.580833929999997"/>
    <n v="0"/>
    <n v="0"/>
    <n v="0"/>
    <n v="0"/>
    <n v="0"/>
    <n v="0"/>
    <n v="0"/>
    <n v="0"/>
    <n v="1110"/>
    <n v="0"/>
    <n v="0"/>
    <n v="0"/>
    <x v="2"/>
    <n v="7.2375183359999999"/>
    <n v="0"/>
    <n v="7.2375183359999999"/>
    <x v="1"/>
    <x v="0"/>
  </r>
  <r>
    <x v="398"/>
    <x v="2"/>
    <n v="0"/>
    <n v="0"/>
    <n v="0"/>
    <n v="0"/>
    <n v="0"/>
    <n v="0"/>
    <n v="0"/>
    <n v="0"/>
    <n v="0"/>
    <n v="0"/>
    <n v="3.3250166160000001"/>
    <n v="0"/>
    <n v="0.311670108"/>
    <n v="0"/>
    <n v="0"/>
    <n v="36.013877010000002"/>
    <n v="0"/>
    <n v="0"/>
    <n v="0"/>
    <n v="0"/>
    <n v="0"/>
    <n v="0"/>
    <n v="0"/>
    <n v="0"/>
    <n v="1109"/>
    <n v="0"/>
    <n v="0"/>
    <n v="0"/>
    <x v="2"/>
    <n v="7.1339166570000003"/>
    <n v="0"/>
    <n v="7.1339166570000003"/>
    <x v="1"/>
    <x v="0"/>
  </r>
  <r>
    <x v="399"/>
    <x v="1"/>
    <n v="0"/>
    <n v="0"/>
    <n v="0"/>
    <n v="0"/>
    <n v="0"/>
    <n v="0"/>
    <n v="0"/>
    <n v="0"/>
    <n v="0"/>
    <n v="0"/>
    <n v="3.7070159579999999"/>
    <n v="0"/>
    <n v="0.33865207000000003"/>
    <n v="0"/>
    <n v="0"/>
    <n v="34.319557469999999"/>
    <n v="0"/>
    <n v="0"/>
    <n v="0"/>
    <n v="0"/>
    <n v="0"/>
    <n v="0"/>
    <n v="0"/>
    <n v="0"/>
    <n v="1108"/>
    <n v="0"/>
    <n v="0"/>
    <n v="0"/>
    <x v="2"/>
    <n v="7.317376146"/>
    <n v="0"/>
    <n v="7.317376146"/>
    <x v="1"/>
    <x v="0"/>
  </r>
  <r>
    <x v="400"/>
    <x v="3"/>
    <n v="0"/>
    <n v="0"/>
    <n v="0"/>
    <n v="0"/>
    <n v="0"/>
    <n v="0"/>
    <n v="0"/>
    <n v="0"/>
    <n v="0"/>
    <n v="0"/>
    <n v="4.5324977960000004"/>
    <n v="0"/>
    <n v="0.105151469"/>
    <n v="0"/>
    <n v="0"/>
    <n v="29.402127950000001"/>
    <n v="0"/>
    <n v="0"/>
    <n v="0"/>
    <n v="5.7168426000000001E-2"/>
    <n v="0"/>
    <n v="0"/>
    <n v="8.0543566050000006"/>
    <n v="0"/>
    <n v="1106"/>
    <n v="0"/>
    <n v="0"/>
    <n v="0"/>
    <x v="2"/>
    <n v="6.985816723500001"/>
    <n v="0"/>
    <n v="6.985816723500001"/>
    <x v="1"/>
    <x v="0"/>
  </r>
  <r>
    <x v="401"/>
    <x v="2"/>
    <n v="0"/>
    <n v="0"/>
    <n v="0"/>
    <n v="0"/>
    <n v="0"/>
    <n v="0"/>
    <n v="0"/>
    <n v="0"/>
    <n v="0"/>
    <n v="0"/>
    <n v="3.3558656889999998"/>
    <n v="0"/>
    <n v="0.14114950400000001"/>
    <n v="0"/>
    <n v="0"/>
    <n v="36.03459453"/>
    <n v="0"/>
    <n v="0"/>
    <n v="0"/>
    <n v="0"/>
    <n v="0"/>
    <n v="0"/>
    <n v="0"/>
    <n v="0"/>
    <n v="1105"/>
    <n v="0"/>
    <n v="0"/>
    <n v="0"/>
    <x v="2"/>
    <n v="6.1282893215000005"/>
    <n v="0"/>
    <n v="6.1282893215000005"/>
    <x v="1"/>
    <x v="0"/>
  </r>
  <r>
    <x v="402"/>
    <x v="2"/>
    <n v="0"/>
    <n v="0"/>
    <n v="0"/>
    <n v="0"/>
    <n v="0"/>
    <n v="0"/>
    <n v="0"/>
    <n v="0"/>
    <n v="0"/>
    <n v="0"/>
    <n v="3.4608988300000001"/>
    <n v="0"/>
    <n v="0.30452121399999998"/>
    <n v="0"/>
    <n v="0"/>
    <n v="40.050197500000003"/>
    <n v="0"/>
    <n v="0"/>
    <n v="0"/>
    <n v="0"/>
    <n v="0"/>
    <n v="0"/>
    <n v="0"/>
    <n v="0"/>
    <n v="1104"/>
    <n v="0"/>
    <n v="0"/>
    <n v="0"/>
    <x v="2"/>
    <n v="7.5625964490000008"/>
    <n v="0"/>
    <n v="7.5625964490000008"/>
    <x v="1"/>
    <x v="0"/>
  </r>
  <r>
    <x v="403"/>
    <x v="1"/>
    <n v="0"/>
    <n v="0"/>
    <n v="0"/>
    <n v="0"/>
    <n v="0"/>
    <n v="0"/>
    <n v="0"/>
    <n v="0"/>
    <n v="0"/>
    <n v="0"/>
    <n v="15.99317482"/>
    <n v="0"/>
    <n v="1.2507309369999999"/>
    <n v="0"/>
    <n v="0"/>
    <n v="155.147141"/>
    <n v="0"/>
    <n v="0"/>
    <n v="0"/>
    <n v="0"/>
    <n v="0"/>
    <n v="0"/>
    <n v="0"/>
    <n v="0"/>
    <n v="1000"/>
    <n v="0"/>
    <n v="0"/>
    <n v="0"/>
    <x v="2"/>
    <n v="31.015687132"/>
    <n v="0"/>
    <n v="31.015687132"/>
    <x v="1"/>
    <x v="0"/>
  </r>
  <r>
    <x v="404"/>
    <x v="3"/>
    <n v="0"/>
    <n v="0"/>
    <n v="0"/>
    <n v="0"/>
    <n v="0"/>
    <n v="0"/>
    <n v="0"/>
    <n v="0"/>
    <n v="0"/>
    <n v="0"/>
    <n v="11.662200070000001"/>
    <n v="0"/>
    <n v="0.35483532200000001"/>
    <n v="0"/>
    <n v="0"/>
    <n v="78.742879900000005"/>
    <n v="0"/>
    <n v="0"/>
    <n v="0"/>
    <n v="0.70983431100000005"/>
    <n v="0"/>
    <n v="0"/>
    <n v="124.43918410000001"/>
    <n v="0"/>
    <n v="397"/>
    <n v="0"/>
    <n v="0"/>
    <n v="0"/>
    <x v="2"/>
    <n v="32.537324233000007"/>
    <n v="0"/>
    <n v="32.537324233000007"/>
    <x v="1"/>
    <x v="0"/>
  </r>
  <r>
    <x v="405"/>
    <x v="1"/>
    <n v="0"/>
    <n v="0"/>
    <n v="0"/>
    <n v="0"/>
    <n v="0"/>
    <n v="0"/>
    <n v="0"/>
    <n v="0"/>
    <n v="0"/>
    <n v="0"/>
    <n v="15.923219720000001"/>
    <n v="0"/>
    <n v="1.281702498"/>
    <n v="0"/>
    <n v="0"/>
    <n v="182.1259048"/>
    <n v="0"/>
    <n v="0"/>
    <n v="0"/>
    <n v="0"/>
    <n v="0"/>
    <n v="0"/>
    <n v="0"/>
    <n v="0"/>
    <n v="998"/>
    <n v="0"/>
    <n v="0"/>
    <n v="0"/>
    <x v="2"/>
    <n v="33.864415328"/>
    <n v="0"/>
    <n v="33.864415328"/>
    <x v="1"/>
    <x v="0"/>
  </r>
  <r>
    <x v="406"/>
    <x v="2"/>
    <n v="0"/>
    <n v="0"/>
    <n v="0"/>
    <n v="0"/>
    <n v="0"/>
    <n v="0"/>
    <n v="0"/>
    <n v="0"/>
    <n v="0"/>
    <n v="0"/>
    <n v="38.419666630000002"/>
    <n v="0"/>
    <n v="2.1351603909999999"/>
    <n v="0"/>
    <n v="0"/>
    <n v="495.59932220000002"/>
    <n v="0"/>
    <n v="0"/>
    <n v="0"/>
    <n v="0.29842953500000002"/>
    <n v="0"/>
    <n v="0"/>
    <n v="44.574234439999998"/>
    <n v="0"/>
    <n v="323"/>
    <n v="0"/>
    <n v="0"/>
    <n v="0"/>
    <x v="2"/>
    <n v="87.828728534999996"/>
    <n v="0"/>
    <n v="87.828728534999996"/>
    <x v="1"/>
    <x v="0"/>
  </r>
  <r>
    <x v="407"/>
    <x v="3"/>
    <n v="0"/>
    <n v="0"/>
    <n v="0"/>
    <n v="0"/>
    <n v="0"/>
    <n v="0"/>
    <n v="0"/>
    <n v="0"/>
    <n v="0"/>
    <n v="0"/>
    <n v="13.3582131"/>
    <n v="0"/>
    <n v="0.45615466900000001"/>
    <n v="0"/>
    <n v="0"/>
    <n v="88.635387320000007"/>
    <n v="0"/>
    <n v="0"/>
    <n v="0"/>
    <n v="1.5902046000000001"/>
    <n v="0"/>
    <n v="0"/>
    <n v="224.3325361"/>
    <n v="0"/>
    <n v="350"/>
    <n v="0"/>
    <n v="0"/>
    <n v="0"/>
    <x v="2"/>
    <n v="50.254054506000003"/>
    <n v="0"/>
    <n v="50.254054506000003"/>
    <x v="1"/>
    <x v="0"/>
  </r>
  <r>
    <x v="408"/>
    <x v="3"/>
    <n v="0"/>
    <n v="0"/>
    <n v="0"/>
    <n v="0"/>
    <n v="0"/>
    <n v="0"/>
    <n v="0"/>
    <n v="0"/>
    <n v="0"/>
    <n v="0"/>
    <n v="11.966777029999999"/>
    <n v="0"/>
    <n v="0.30134151199999998"/>
    <n v="0"/>
    <n v="0"/>
    <n v="81.498504909999994"/>
    <n v="0"/>
    <n v="0"/>
    <n v="0"/>
    <n v="1.7030687010000001"/>
    <n v="0"/>
    <n v="0"/>
    <n v="277.87334420000002"/>
    <n v="0"/>
    <n v="346"/>
    <n v="0"/>
    <n v="0"/>
    <n v="0"/>
    <x v="2"/>
    <n v="53.947034704000004"/>
    <n v="0"/>
    <n v="53.947034704000004"/>
    <x v="1"/>
    <x v="0"/>
  </r>
  <r>
    <x v="409"/>
    <x v="3"/>
    <n v="0"/>
    <n v="0"/>
    <n v="0"/>
    <n v="0"/>
    <n v="0"/>
    <n v="0"/>
    <n v="0"/>
    <n v="0"/>
    <n v="0"/>
    <n v="0"/>
    <n v="13.999745669999999"/>
    <n v="0"/>
    <n v="0.572990691"/>
    <n v="0"/>
    <n v="0"/>
    <n v="99.164410050000001"/>
    <n v="0"/>
    <n v="0"/>
    <n v="0"/>
    <n v="1.6916690510000001"/>
    <n v="0"/>
    <n v="0"/>
    <n v="244.80435059999999"/>
    <n v="0"/>
    <n v="345"/>
    <n v="0"/>
    <n v="0"/>
    <n v="0"/>
    <x v="2"/>
    <n v="54.984707352000001"/>
    <n v="0"/>
    <n v="54.984707352000001"/>
    <x v="1"/>
    <x v="0"/>
  </r>
  <r>
    <x v="410"/>
    <x v="3"/>
    <n v="0"/>
    <n v="0"/>
    <n v="0"/>
    <n v="0"/>
    <n v="0"/>
    <n v="0"/>
    <n v="0"/>
    <n v="0"/>
    <n v="0"/>
    <n v="0"/>
    <n v="16.38318327"/>
    <n v="0"/>
    <n v="0.54969891800000004"/>
    <n v="0"/>
    <n v="0"/>
    <n v="123.1026143"/>
    <n v="0"/>
    <n v="0"/>
    <n v="0"/>
    <n v="1.826673886"/>
    <n v="0"/>
    <n v="0"/>
    <n v="234.89141190000001"/>
    <n v="0"/>
    <n v="342"/>
    <n v="0"/>
    <n v="0"/>
    <n v="0"/>
    <x v="2"/>
    <n v="58.249231078999998"/>
    <n v="0"/>
    <n v="58.249231078999998"/>
    <x v="1"/>
    <x v="0"/>
  </r>
  <r>
    <x v="411"/>
    <x v="3"/>
    <n v="0"/>
    <n v="0"/>
    <n v="0"/>
    <n v="0"/>
    <n v="0"/>
    <n v="0"/>
    <n v="0"/>
    <n v="0"/>
    <n v="0"/>
    <n v="0"/>
    <n v="18.845776610000001"/>
    <n v="0"/>
    <n v="0.60562450800000001"/>
    <n v="0"/>
    <n v="0"/>
    <n v="180.80924419999999"/>
    <n v="0"/>
    <n v="0"/>
    <n v="0"/>
    <n v="1.6352857730000001"/>
    <n v="0"/>
    <n v="0"/>
    <n v="225.3122923"/>
    <n v="0"/>
    <n v="341"/>
    <n v="0"/>
    <n v="0"/>
    <n v="0"/>
    <x v="2"/>
    <n v="63.480503641000006"/>
    <n v="0"/>
    <n v="63.480503641000006"/>
    <x v="1"/>
    <x v="0"/>
  </r>
  <r>
    <x v="412"/>
    <x v="2"/>
    <n v="0"/>
    <n v="0"/>
    <n v="0"/>
    <n v="0"/>
    <n v="0"/>
    <n v="0"/>
    <n v="0"/>
    <n v="0"/>
    <n v="0"/>
    <n v="0"/>
    <n v="34.72197431"/>
    <n v="0"/>
    <n v="2.5805708410000001"/>
    <n v="0"/>
    <n v="0"/>
    <n v="440.02868389999998"/>
    <n v="0"/>
    <n v="0"/>
    <n v="0"/>
    <n v="0.16502872499999999"/>
    <n v="0"/>
    <n v="0"/>
    <n v="24.299277620000002"/>
    <n v="0"/>
    <n v="332"/>
    <n v="0"/>
    <n v="0"/>
    <n v="0"/>
    <x v="2"/>
    <n v="80.267380703000001"/>
    <n v="0"/>
    <n v="80.267380703000001"/>
    <x v="1"/>
    <x v="0"/>
  </r>
  <r>
    <x v="413"/>
    <x v="2"/>
    <n v="0"/>
    <n v="0"/>
    <n v="0"/>
    <n v="0"/>
    <n v="0"/>
    <n v="0"/>
    <n v="0"/>
    <n v="0"/>
    <n v="0"/>
    <n v="0"/>
    <n v="39.691526400000001"/>
    <n v="0"/>
    <n v="2.5461920259999999"/>
    <n v="0"/>
    <n v="0"/>
    <n v="411.53759300000002"/>
    <n v="0"/>
    <n v="0"/>
    <n v="0"/>
    <n v="0.24582388999999999"/>
    <n v="0"/>
    <n v="0"/>
    <n v="32.044932719999998"/>
    <n v="0"/>
    <n v="331"/>
    <n v="0"/>
    <n v="0"/>
    <n v="0"/>
    <x v="2"/>
    <n v="80.956111268000001"/>
    <n v="0"/>
    <n v="80.956111268000001"/>
    <x v="1"/>
    <x v="0"/>
  </r>
  <r>
    <x v="414"/>
    <x v="2"/>
    <n v="0"/>
    <n v="0"/>
    <n v="0"/>
    <n v="0"/>
    <n v="0"/>
    <n v="0"/>
    <n v="0"/>
    <n v="0"/>
    <n v="0"/>
    <n v="0"/>
    <n v="38.620922720000003"/>
    <n v="0"/>
    <n v="3.3367283319999999"/>
    <n v="0"/>
    <n v="0"/>
    <n v="442.07645769999999"/>
    <n v="0"/>
    <n v="0"/>
    <n v="0"/>
    <n v="0"/>
    <n v="0"/>
    <n v="0"/>
    <n v="0"/>
    <n v="0"/>
    <n v="329"/>
    <n v="0"/>
    <n v="0"/>
    <n v="0"/>
    <x v="2"/>
    <n v="83.538477122000003"/>
    <n v="0"/>
    <n v="83.538477122000003"/>
    <x v="1"/>
    <x v="0"/>
  </r>
  <r>
    <x v="415"/>
    <x v="2"/>
    <n v="0"/>
    <n v="0"/>
    <n v="0"/>
    <n v="0"/>
    <n v="0"/>
    <n v="0"/>
    <n v="0"/>
    <n v="0"/>
    <n v="0"/>
    <n v="0"/>
    <n v="28.378399009999999"/>
    <n v="0"/>
    <n v="1.931009669"/>
    <n v="0"/>
    <n v="0"/>
    <n v="328.30216949999999"/>
    <n v="0"/>
    <n v="0"/>
    <n v="0"/>
    <n v="0"/>
    <n v="0"/>
    <n v="0"/>
    <n v="0"/>
    <n v="0"/>
    <n v="328"/>
    <n v="0"/>
    <n v="0"/>
    <n v="0"/>
    <x v="2"/>
    <n v="58.605474469000001"/>
    <n v="0"/>
    <n v="58.605474469000001"/>
    <x v="1"/>
    <x v="0"/>
  </r>
  <r>
    <x v="416"/>
    <x v="3"/>
    <n v="0"/>
    <n v="0"/>
    <n v="0"/>
    <n v="0"/>
    <n v="0"/>
    <n v="0"/>
    <n v="0"/>
    <n v="0"/>
    <n v="0"/>
    <n v="0"/>
    <n v="12.942818300000001"/>
    <n v="0"/>
    <n v="0.50575436200000001"/>
    <n v="0"/>
    <n v="0"/>
    <n v="91.035735770000002"/>
    <n v="0"/>
    <n v="0"/>
    <n v="0"/>
    <n v="2.6258252299999998"/>
    <n v="0"/>
    <n v="0"/>
    <n v="344.70434060000002"/>
    <n v="0"/>
    <n v="326"/>
    <n v="0"/>
    <n v="0"/>
    <n v="0"/>
    <x v="2"/>
    <n v="68.834894339000002"/>
    <n v="0"/>
    <n v="68.834894339000002"/>
    <x v="1"/>
    <x v="0"/>
  </r>
  <r>
    <x v="417"/>
    <x v="3"/>
    <n v="0"/>
    <n v="0"/>
    <n v="0"/>
    <n v="0"/>
    <n v="0"/>
    <n v="0"/>
    <n v="0"/>
    <n v="0"/>
    <n v="0"/>
    <n v="0"/>
    <n v="8.1521260580000003"/>
    <n v="0"/>
    <n v="0.35512937100000003"/>
    <n v="0"/>
    <n v="0"/>
    <n v="57.609783059999998"/>
    <n v="0"/>
    <n v="0"/>
    <n v="0"/>
    <n v="1.5696155759999999"/>
    <n v="0"/>
    <n v="0"/>
    <n v="264.8978401"/>
    <n v="0"/>
    <n v="353"/>
    <n v="0"/>
    <n v="0"/>
    <n v="0"/>
    <x v="2"/>
    <n v="47.875295027"/>
    <n v="0"/>
    <n v="47.875295027"/>
    <x v="1"/>
    <x v="0"/>
  </r>
  <r>
    <x v="418"/>
    <x v="3"/>
    <n v="0"/>
    <n v="0"/>
    <n v="0"/>
    <n v="0"/>
    <n v="0"/>
    <n v="0"/>
    <n v="0"/>
    <n v="0"/>
    <n v="0"/>
    <n v="0"/>
    <n v="10.93840288"/>
    <n v="0"/>
    <n v="0.50873700300000002"/>
    <n v="0"/>
    <n v="0"/>
    <n v="81.811262389999996"/>
    <n v="0"/>
    <n v="0"/>
    <n v="0"/>
    <n v="1.189669136"/>
    <n v="0"/>
    <n v="0"/>
    <n v="156.44877600000001"/>
    <n v="0"/>
    <n v="354"/>
    <n v="0"/>
    <n v="0"/>
    <n v="0"/>
    <x v="2"/>
    <n v="39.485642113000004"/>
    <n v="0"/>
    <n v="39.485642113000004"/>
    <x v="1"/>
    <x v="0"/>
  </r>
  <r>
    <x v="419"/>
    <x v="2"/>
    <n v="0"/>
    <n v="0"/>
    <n v="0"/>
    <n v="0"/>
    <n v="0"/>
    <n v="0"/>
    <n v="0"/>
    <n v="0"/>
    <n v="0"/>
    <n v="0"/>
    <n v="28.644844320000001"/>
    <n v="0"/>
    <n v="2.1962365909999999"/>
    <n v="0"/>
    <n v="0"/>
    <n v="374.8897111"/>
    <n v="0"/>
    <n v="0"/>
    <n v="0"/>
    <n v="0"/>
    <n v="0"/>
    <n v="0"/>
    <n v="0"/>
    <n v="0"/>
    <n v="372"/>
    <n v="0"/>
    <n v="0"/>
    <n v="0"/>
    <x v="2"/>
    <n v="64.988812816000006"/>
    <n v="0"/>
    <n v="64.988812816000006"/>
    <x v="1"/>
    <x v="0"/>
  </r>
  <r>
    <x v="420"/>
    <x v="3"/>
    <n v="0"/>
    <n v="0"/>
    <n v="0"/>
    <n v="0"/>
    <n v="0"/>
    <n v="0"/>
    <n v="0"/>
    <n v="0"/>
    <n v="0"/>
    <n v="0"/>
    <n v="9.2281240120000003"/>
    <n v="0"/>
    <n v="0.25869317800000002"/>
    <n v="0"/>
    <n v="0"/>
    <n v="59.634402909999999"/>
    <n v="0"/>
    <n v="0"/>
    <n v="0"/>
    <n v="1.3840517400000001"/>
    <n v="0"/>
    <n v="0"/>
    <n v="181.8170198"/>
    <n v="0"/>
    <n v="378"/>
    <n v="0"/>
    <n v="0"/>
    <n v="0"/>
    <x v="2"/>
    <n v="38.615673784999998"/>
    <n v="0"/>
    <n v="38.615673784999998"/>
    <x v="1"/>
    <x v="0"/>
  </r>
  <r>
    <x v="421"/>
    <x v="3"/>
    <n v="0"/>
    <n v="0"/>
    <n v="0"/>
    <n v="0"/>
    <n v="0"/>
    <n v="0"/>
    <n v="0"/>
    <n v="0"/>
    <n v="0"/>
    <n v="0"/>
    <n v="8.0397061149999995"/>
    <n v="0"/>
    <n v="0.29710974099999998"/>
    <n v="0"/>
    <n v="0"/>
    <n v="56.221532699999997"/>
    <n v="0"/>
    <n v="0"/>
    <n v="0"/>
    <n v="1.462037174"/>
    <n v="0"/>
    <n v="0"/>
    <n v="205.51677290000001"/>
    <n v="0"/>
    <n v="377"/>
    <n v="0"/>
    <n v="0"/>
    <n v="0"/>
    <x v="2"/>
    <n v="40.748565107499999"/>
    <n v="0"/>
    <n v="40.748565107499999"/>
    <x v="1"/>
    <x v="0"/>
  </r>
  <r>
    <x v="422"/>
    <x v="2"/>
    <n v="0"/>
    <n v="0"/>
    <n v="0"/>
    <n v="0"/>
    <n v="0"/>
    <n v="0"/>
    <n v="0"/>
    <n v="0"/>
    <n v="0"/>
    <n v="0"/>
    <n v="27.61791646"/>
    <n v="0"/>
    <n v="1.9732896209999999"/>
    <n v="0"/>
    <n v="0"/>
    <n v="402.60419730000001"/>
    <n v="0"/>
    <n v="0"/>
    <n v="0"/>
    <n v="0"/>
    <n v="0"/>
    <n v="0"/>
    <n v="0"/>
    <n v="0"/>
    <n v="371"/>
    <n v="0"/>
    <n v="0"/>
    <n v="0"/>
    <x v="2"/>
    <n v="65.909115686000007"/>
    <n v="0"/>
    <n v="65.909115686000007"/>
    <x v="1"/>
    <x v="0"/>
  </r>
  <r>
    <x v="423"/>
    <x v="3"/>
    <n v="0"/>
    <n v="0"/>
    <n v="0"/>
    <n v="0"/>
    <n v="0"/>
    <n v="0"/>
    <n v="0"/>
    <n v="0"/>
    <n v="0"/>
    <n v="0"/>
    <n v="8.8519136700000001"/>
    <n v="0"/>
    <n v="0.226824369"/>
    <n v="0"/>
    <n v="0"/>
    <n v="62.455426369999998"/>
    <n v="0"/>
    <n v="0"/>
    <n v="0"/>
    <n v="1.2929398110000001"/>
    <n v="0"/>
    <n v="0"/>
    <n v="241.3840471"/>
    <n v="0"/>
    <n v="356"/>
    <n v="0"/>
    <n v="0"/>
    <n v="0"/>
    <x v="2"/>
    <n v="43.928489261999999"/>
    <n v="0"/>
    <n v="43.928489261999999"/>
    <x v="1"/>
    <x v="0"/>
  </r>
  <r>
    <x v="424"/>
    <x v="1"/>
    <n v="0"/>
    <n v="0"/>
    <n v="0"/>
    <n v="0"/>
    <n v="0"/>
    <n v="0"/>
    <n v="0"/>
    <n v="0"/>
    <n v="0"/>
    <n v="0"/>
    <n v="29.08959424"/>
    <n v="0"/>
    <n v="3.4377677750000002"/>
    <n v="0"/>
    <n v="0"/>
    <n v="326.08514969999999"/>
    <n v="0"/>
    <n v="0"/>
    <n v="0"/>
    <n v="0"/>
    <n v="0"/>
    <n v="0"/>
    <n v="0"/>
    <n v="0"/>
    <n v="368"/>
    <n v="0"/>
    <n v="0"/>
    <n v="0"/>
    <x v="2"/>
    <n v="67.779918739999999"/>
    <n v="0"/>
    <n v="67.779918739999999"/>
    <x v="1"/>
    <x v="0"/>
  </r>
  <r>
    <x v="425"/>
    <x v="1"/>
    <n v="0"/>
    <n v="0"/>
    <n v="0"/>
    <n v="0"/>
    <n v="0"/>
    <n v="0"/>
    <n v="0"/>
    <n v="0"/>
    <n v="0"/>
    <n v="0"/>
    <n v="31.36548363"/>
    <n v="0"/>
    <n v="2.458903018"/>
    <n v="0"/>
    <n v="0"/>
    <n v="369.26294089999999"/>
    <n v="0"/>
    <n v="0"/>
    <n v="0"/>
    <n v="6.1821480999999998E-2"/>
    <n v="0"/>
    <n v="0"/>
    <n v="2.101568587"/>
    <n v="0"/>
    <n v="367"/>
    <n v="0"/>
    <n v="0"/>
    <n v="0"/>
    <x v="2"/>
    <n v="67.943539757699995"/>
    <n v="0"/>
    <n v="67.943539757699995"/>
    <x v="1"/>
    <x v="0"/>
  </r>
  <r>
    <x v="426"/>
    <x v="1"/>
    <n v="0"/>
    <n v="0"/>
    <n v="0"/>
    <n v="0"/>
    <n v="0"/>
    <n v="0"/>
    <n v="0"/>
    <n v="0"/>
    <n v="0"/>
    <n v="0"/>
    <n v="33.79459602"/>
    <n v="0"/>
    <n v="3.002779581"/>
    <n v="0"/>
    <n v="0"/>
    <n v="382.07258150000001"/>
    <n v="0"/>
    <n v="0"/>
    <n v="0"/>
    <n v="0"/>
    <n v="0"/>
    <n v="0"/>
    <n v="0"/>
    <n v="0"/>
    <n v="366"/>
    <n v="0"/>
    <n v="0"/>
    <n v="0"/>
    <x v="2"/>
    <n v="73.121233646000007"/>
    <n v="0"/>
    <n v="73.121233646000007"/>
    <x v="1"/>
    <x v="0"/>
  </r>
  <r>
    <x v="427"/>
    <x v="2"/>
    <n v="0"/>
    <n v="0"/>
    <n v="0"/>
    <n v="0"/>
    <n v="0"/>
    <n v="0"/>
    <n v="0"/>
    <n v="0"/>
    <n v="0"/>
    <n v="0"/>
    <n v="32.454407330000002"/>
    <n v="0"/>
    <n v="1.780189944"/>
    <n v="0"/>
    <n v="0"/>
    <n v="359.32729289999997"/>
    <n v="0"/>
    <n v="0"/>
    <n v="0"/>
    <n v="0.199839873"/>
    <n v="0"/>
    <n v="0"/>
    <n v="29.906396610000002"/>
    <n v="0"/>
    <n v="359"/>
    <n v="0"/>
    <n v="0"/>
    <n v="0"/>
    <x v="2"/>
    <n v="67.030751518000002"/>
    <n v="0"/>
    <n v="67.030751518000002"/>
    <x v="1"/>
    <x v="0"/>
  </r>
  <r>
    <x v="428"/>
    <x v="2"/>
    <n v="0"/>
    <n v="0"/>
    <n v="0"/>
    <n v="0"/>
    <n v="0"/>
    <n v="0"/>
    <n v="0"/>
    <n v="0"/>
    <n v="0"/>
    <n v="0"/>
    <n v="32.191592759999999"/>
    <n v="0"/>
    <n v="1.780295527"/>
    <n v="0"/>
    <n v="0"/>
    <n v="420.2535762"/>
    <n v="0"/>
    <n v="0"/>
    <n v="0"/>
    <n v="0"/>
    <n v="0"/>
    <n v="0"/>
    <n v="0"/>
    <n v="0"/>
    <n v="358"/>
    <n v="0"/>
    <n v="0"/>
    <n v="0"/>
    <x v="2"/>
    <n v="68.802927162000003"/>
    <n v="0"/>
    <n v="68.802927162000003"/>
    <x v="1"/>
    <x v="0"/>
  </r>
  <r>
    <x v="429"/>
    <x v="3"/>
    <n v="0"/>
    <n v="0"/>
    <n v="0"/>
    <n v="0"/>
    <n v="0"/>
    <n v="0"/>
    <n v="0"/>
    <n v="0"/>
    <n v="0"/>
    <n v="0"/>
    <n v="10.51051477"/>
    <n v="0"/>
    <n v="0.298544592"/>
    <n v="0"/>
    <n v="0"/>
    <n v="69.277777459999996"/>
    <n v="0"/>
    <n v="0"/>
    <n v="0"/>
    <n v="1.1319182940000001"/>
    <n v="0"/>
    <n v="0"/>
    <n v="191.9465313"/>
    <n v="0"/>
    <n v="357"/>
    <n v="0"/>
    <n v="0"/>
    <n v="0"/>
    <x v="2"/>
    <n v="39.960465577000008"/>
    <n v="0"/>
    <n v="39.960465577000008"/>
    <x v="1"/>
    <x v="0"/>
  </r>
  <r>
    <x v="430"/>
    <x v="3"/>
    <n v="0"/>
    <n v="0"/>
    <n v="0"/>
    <n v="0"/>
    <n v="0"/>
    <n v="0"/>
    <n v="0"/>
    <n v="0"/>
    <n v="0"/>
    <n v="0"/>
    <n v="19.957304629999999"/>
    <n v="0"/>
    <n v="0.48100562899999999"/>
    <n v="0"/>
    <n v="0"/>
    <n v="138.70676370000001"/>
    <n v="0"/>
    <n v="0"/>
    <n v="0"/>
    <n v="2.0497931290000002"/>
    <n v="0"/>
    <n v="0"/>
    <n v="279.18699140000001"/>
    <n v="0"/>
    <n v="322"/>
    <n v="0"/>
    <n v="0"/>
    <n v="0"/>
    <x v="2"/>
    <n v="66.952820373000009"/>
    <n v="0"/>
    <n v="66.952820373000009"/>
    <x v="1"/>
    <x v="0"/>
  </r>
  <r>
    <x v="431"/>
    <x v="2"/>
    <n v="0"/>
    <n v="0"/>
    <n v="0"/>
    <n v="0"/>
    <n v="0"/>
    <n v="0"/>
    <n v="0"/>
    <n v="0"/>
    <n v="0"/>
    <n v="0"/>
    <n v="28.187965859999998"/>
    <n v="0"/>
    <n v="2.2046798440000002"/>
    <n v="0"/>
    <n v="0"/>
    <n v="330.3299217"/>
    <n v="0"/>
    <n v="0"/>
    <n v="0"/>
    <n v="0"/>
    <n v="0"/>
    <n v="0"/>
    <n v="0"/>
    <n v="0"/>
    <n v="392"/>
    <n v="0"/>
    <n v="0"/>
    <n v="0"/>
    <x v="2"/>
    <n v="60.355054164000002"/>
    <n v="0"/>
    <n v="60.355054164000002"/>
    <x v="1"/>
    <x v="0"/>
  </r>
  <r>
    <x v="432"/>
    <x v="3"/>
    <n v="0"/>
    <n v="0"/>
    <n v="0"/>
    <n v="0"/>
    <n v="0"/>
    <n v="0"/>
    <n v="0"/>
    <n v="0"/>
    <n v="0"/>
    <n v="0"/>
    <n v="15.06941222"/>
    <n v="0"/>
    <n v="0.50095229900000005"/>
    <n v="0"/>
    <n v="0"/>
    <n v="108.5233824"/>
    <n v="0"/>
    <n v="0"/>
    <n v="0"/>
    <n v="2.6340486109999999"/>
    <n v="0"/>
    <n v="0"/>
    <n v="327.78586159999998"/>
    <n v="0"/>
    <n v="321"/>
    <n v="0"/>
    <n v="0"/>
    <n v="0"/>
    <x v="2"/>
    <n v="69.975635969999999"/>
    <n v="0"/>
    <n v="69.975635969999999"/>
    <x v="1"/>
    <x v="0"/>
  </r>
  <r>
    <x v="433"/>
    <x v="2"/>
    <n v="0"/>
    <n v="0"/>
    <n v="0"/>
    <n v="0"/>
    <n v="0"/>
    <n v="0"/>
    <n v="0"/>
    <n v="0"/>
    <n v="0"/>
    <n v="0"/>
    <n v="41.811260959999998"/>
    <n v="0"/>
    <n v="5.020031522"/>
    <n v="0"/>
    <n v="0"/>
    <n v="621.16076599999997"/>
    <n v="0"/>
    <n v="0"/>
    <n v="0"/>
    <n v="0"/>
    <n v="0"/>
    <n v="0"/>
    <n v="0"/>
    <n v="0"/>
    <n v="284"/>
    <n v="0"/>
    <n v="0"/>
    <n v="0"/>
    <x v="2"/>
    <n v="113.14189621200001"/>
    <n v="0"/>
    <n v="113.14189621200001"/>
    <x v="1"/>
    <x v="0"/>
  </r>
  <r>
    <x v="434"/>
    <x v="3"/>
    <n v="0"/>
    <n v="0"/>
    <n v="0"/>
    <n v="0"/>
    <n v="0"/>
    <n v="0"/>
    <n v="0"/>
    <n v="0"/>
    <n v="0"/>
    <n v="0"/>
    <n v="12.432812589999999"/>
    <n v="0"/>
    <n v="0.42965869400000001"/>
    <n v="0"/>
    <n v="0"/>
    <n v="87.760881229999995"/>
    <n v="0"/>
    <n v="0"/>
    <n v="0"/>
    <n v="0.98175669300000001"/>
    <n v="0"/>
    <n v="0"/>
    <n v="147.5514689"/>
    <n v="0"/>
    <n v="269"/>
    <n v="0"/>
    <n v="0"/>
    <n v="0"/>
    <x v="2"/>
    <n v="38.216133630000002"/>
    <n v="0"/>
    <n v="38.216133630000002"/>
    <x v="1"/>
    <x v="0"/>
  </r>
  <r>
    <x v="435"/>
    <x v="3"/>
    <n v="0"/>
    <n v="0"/>
    <n v="0"/>
    <n v="0"/>
    <n v="0"/>
    <n v="0"/>
    <n v="0"/>
    <n v="0"/>
    <n v="0"/>
    <n v="0"/>
    <n v="17.2255684"/>
    <n v="0"/>
    <n v="1.4695430220000001"/>
    <n v="0"/>
    <n v="0"/>
    <n v="147.51364319999999"/>
    <n v="0"/>
    <n v="0"/>
    <n v="0"/>
    <n v="2.2776768949999999"/>
    <n v="0"/>
    <n v="0"/>
    <n v="340.70981119999999"/>
    <n v="0"/>
    <n v="265"/>
    <n v="0"/>
    <n v="0"/>
    <n v="0"/>
    <x v="2"/>
    <n v="79.918449142"/>
    <n v="0"/>
    <n v="79.918449142"/>
    <x v="1"/>
    <x v="0"/>
  </r>
  <r>
    <x v="436"/>
    <x v="1"/>
    <n v="0"/>
    <n v="0"/>
    <n v="0"/>
    <n v="0"/>
    <n v="0"/>
    <n v="0"/>
    <n v="0"/>
    <n v="0"/>
    <n v="0"/>
    <n v="0"/>
    <n v="45.34826219"/>
    <n v="0"/>
    <n v="3.913602515"/>
    <n v="0"/>
    <n v="0"/>
    <n v="511.78645799999998"/>
    <n v="0"/>
    <n v="0"/>
    <n v="0"/>
    <n v="0"/>
    <n v="0"/>
    <n v="0"/>
    <n v="0"/>
    <n v="0"/>
    <n v="260"/>
    <n v="0"/>
    <n v="0"/>
    <n v="0"/>
    <x v="2"/>
    <n v="97.334391984999996"/>
    <n v="0"/>
    <n v="97.334391984999996"/>
    <x v="1"/>
    <x v="0"/>
  </r>
  <r>
    <x v="437"/>
    <x v="1"/>
    <n v="0"/>
    <n v="0"/>
    <n v="0"/>
    <n v="0"/>
    <n v="0"/>
    <n v="0"/>
    <n v="0"/>
    <n v="0"/>
    <n v="0"/>
    <n v="0"/>
    <n v="44.825748879999999"/>
    <n v="0"/>
    <n v="3.7545394509999999"/>
    <n v="0"/>
    <n v="0"/>
    <n v="437.91182500000002"/>
    <n v="0"/>
    <n v="0"/>
    <n v="0"/>
    <n v="0"/>
    <n v="0"/>
    <n v="0"/>
    <n v="0"/>
    <n v="0"/>
    <n v="221"/>
    <n v="0"/>
    <n v="0"/>
    <n v="0"/>
    <x v="2"/>
    <n v="88.731293646000012"/>
    <n v="0"/>
    <n v="88.731293646000012"/>
    <x v="1"/>
    <x v="0"/>
  </r>
  <r>
    <x v="438"/>
    <x v="1"/>
    <n v="0"/>
    <n v="0"/>
    <n v="0"/>
    <n v="0"/>
    <n v="0"/>
    <n v="0"/>
    <n v="0"/>
    <n v="0"/>
    <n v="0"/>
    <n v="0"/>
    <n v="49.715437809999997"/>
    <n v="0"/>
    <n v="2.4968501170000001"/>
    <n v="0"/>
    <n v="0"/>
    <n v="539.24064090000002"/>
    <n v="0"/>
    <n v="0"/>
    <n v="0"/>
    <n v="0"/>
    <n v="0"/>
    <n v="0"/>
    <n v="0.62276823599999998"/>
    <n v="0"/>
    <n v="220"/>
    <n v="0"/>
    <n v="0"/>
    <n v="0"/>
    <x v="2"/>
    <n v="93.825160520600008"/>
    <n v="0"/>
    <n v="93.825160520600008"/>
    <x v="1"/>
    <x v="0"/>
  </r>
  <r>
    <x v="439"/>
    <x v="2"/>
    <n v="0"/>
    <n v="0"/>
    <n v="0"/>
    <n v="0"/>
    <n v="0"/>
    <n v="0"/>
    <n v="0"/>
    <n v="0"/>
    <n v="0"/>
    <n v="0"/>
    <n v="57.755182550000001"/>
    <n v="0"/>
    <n v="4.3607907700000004"/>
    <n v="0"/>
    <n v="0"/>
    <n v="697.64403930000003"/>
    <n v="0"/>
    <n v="0"/>
    <n v="0"/>
    <n v="0"/>
    <n v="0"/>
    <n v="0"/>
    <n v="0"/>
    <n v="0"/>
    <n v="210"/>
    <n v="0"/>
    <n v="0"/>
    <n v="0"/>
    <x v="2"/>
    <n v="124.80673982499999"/>
    <n v="0"/>
    <n v="124.80673982499999"/>
    <x v="1"/>
    <x v="0"/>
  </r>
  <r>
    <x v="440"/>
    <x v="2"/>
    <n v="0"/>
    <n v="0"/>
    <n v="0"/>
    <n v="0"/>
    <n v="0"/>
    <n v="0"/>
    <n v="0"/>
    <n v="0"/>
    <n v="0"/>
    <n v="0"/>
    <n v="62.504884179999998"/>
    <n v="0"/>
    <n v="1.2637646950000001"/>
    <n v="0"/>
    <n v="0"/>
    <n v="571.40581259999999"/>
    <n v="0"/>
    <n v="0"/>
    <n v="0"/>
    <n v="0.392051064"/>
    <n v="0"/>
    <n v="0"/>
    <n v="51.152928410000001"/>
    <n v="0"/>
    <n v="287"/>
    <n v="0"/>
    <n v="0"/>
    <n v="0"/>
    <x v="2"/>
    <n v="103.443210745"/>
    <n v="0"/>
    <n v="103.443210745"/>
    <x v="1"/>
    <x v="0"/>
  </r>
  <r>
    <x v="441"/>
    <x v="2"/>
    <n v="0"/>
    <n v="0"/>
    <n v="0"/>
    <n v="0"/>
    <n v="0"/>
    <n v="0"/>
    <n v="0"/>
    <n v="0"/>
    <n v="0"/>
    <n v="0"/>
    <n v="37.180961519999997"/>
    <n v="0"/>
    <n v="2.4142477210000002"/>
    <n v="0"/>
    <n v="0"/>
    <n v="437.92108669999999"/>
    <n v="0"/>
    <n v="0"/>
    <n v="0"/>
    <n v="4.3624239000000002E-2"/>
    <n v="0"/>
    <n v="0"/>
    <n v="10.230762329999999"/>
    <n v="0"/>
    <n v="290"/>
    <n v="0"/>
    <n v="0"/>
    <n v="0"/>
    <x v="2"/>
    <n v="78.152897422999999"/>
    <n v="0"/>
    <n v="78.152897422999999"/>
    <x v="1"/>
    <x v="0"/>
  </r>
  <r>
    <x v="442"/>
    <x v="3"/>
    <n v="0"/>
    <n v="0"/>
    <n v="0"/>
    <n v="0"/>
    <n v="0"/>
    <n v="0"/>
    <n v="0"/>
    <n v="0"/>
    <n v="0"/>
    <n v="0"/>
    <n v="17.13141517"/>
    <n v="0"/>
    <n v="0.77426052899999998"/>
    <n v="0"/>
    <n v="0"/>
    <n v="134.66242600000001"/>
    <n v="0"/>
    <n v="0"/>
    <n v="0"/>
    <n v="1.0500381700000001"/>
    <n v="0"/>
    <n v="0"/>
    <n v="200.16003359999999"/>
    <n v="0"/>
    <n v="320"/>
    <n v="0"/>
    <n v="0"/>
    <n v="0"/>
    <x v="2"/>
    <n v="52.993745739000005"/>
    <n v="0"/>
    <n v="52.993745739000005"/>
    <x v="1"/>
    <x v="0"/>
  </r>
  <r>
    <x v="443"/>
    <x v="1"/>
    <n v="0"/>
    <n v="0"/>
    <n v="0"/>
    <n v="0"/>
    <n v="0"/>
    <n v="0"/>
    <n v="0"/>
    <n v="0"/>
    <n v="0"/>
    <n v="0"/>
    <n v="41.483851610000002"/>
    <n v="0"/>
    <n v="3.175964998"/>
    <n v="0"/>
    <n v="0"/>
    <n v="394.4902783"/>
    <n v="0"/>
    <n v="0"/>
    <n v="0"/>
    <n v="0"/>
    <n v="0"/>
    <n v="0"/>
    <n v="0"/>
    <n v="0"/>
    <n v="313"/>
    <n v="0"/>
    <n v="0"/>
    <n v="0"/>
    <x v="2"/>
    <n v="79.246743623000015"/>
    <n v="0"/>
    <n v="79.246743623000015"/>
    <x v="1"/>
    <x v="0"/>
  </r>
  <r>
    <x v="444"/>
    <x v="1"/>
    <n v="0"/>
    <n v="0"/>
    <n v="0"/>
    <n v="0"/>
    <n v="0"/>
    <n v="0"/>
    <n v="0"/>
    <n v="0"/>
    <n v="0"/>
    <n v="0"/>
    <n v="43.379077180000003"/>
    <n v="0"/>
    <n v="3.4688065309999998"/>
    <n v="0"/>
    <n v="0"/>
    <n v="456.59925399999997"/>
    <n v="0"/>
    <n v="0"/>
    <n v="0"/>
    <n v="0"/>
    <n v="0"/>
    <n v="0"/>
    <n v="0"/>
    <n v="0"/>
    <n v="312"/>
    <n v="0"/>
    <n v="0"/>
    <n v="0"/>
    <x v="2"/>
    <n v="88.162303175999995"/>
    <n v="0"/>
    <n v="88.162303175999995"/>
    <x v="1"/>
    <x v="0"/>
  </r>
  <r>
    <x v="445"/>
    <x v="1"/>
    <n v="0"/>
    <n v="0"/>
    <n v="0"/>
    <n v="0"/>
    <n v="0"/>
    <n v="0"/>
    <n v="0"/>
    <n v="0"/>
    <n v="0"/>
    <n v="0"/>
    <n v="45.694405609999997"/>
    <n v="0"/>
    <n v="1.9278204640000001"/>
    <n v="0"/>
    <n v="0"/>
    <n v="452.99402350000003"/>
    <n v="0"/>
    <n v="0"/>
    <n v="0"/>
    <n v="0"/>
    <n v="0"/>
    <n v="0"/>
    <n v="0"/>
    <n v="0"/>
    <n v="311"/>
    <n v="0"/>
    <n v="0"/>
    <n v="0"/>
    <x v="2"/>
    <n v="79.713527939000016"/>
    <n v="0"/>
    <n v="79.713527939000016"/>
    <x v="1"/>
    <x v="0"/>
  </r>
  <r>
    <x v="446"/>
    <x v="3"/>
    <n v="0"/>
    <n v="0"/>
    <n v="0"/>
    <n v="0"/>
    <n v="0"/>
    <n v="0"/>
    <n v="0"/>
    <n v="0"/>
    <n v="0"/>
    <n v="0"/>
    <n v="12.757910900000001"/>
    <n v="0"/>
    <n v="0.50694802699999997"/>
    <n v="0"/>
    <n v="0"/>
    <n v="86.14099401"/>
    <n v="0"/>
    <n v="0"/>
    <n v="0"/>
    <n v="3.2216656769999998"/>
    <n v="0"/>
    <n v="0"/>
    <n v="498.89563479999998"/>
    <n v="0"/>
    <n v="308"/>
    <n v="0"/>
    <n v="0"/>
    <n v="0"/>
    <x v="2"/>
    <n v="87.254300554999986"/>
    <n v="0"/>
    <n v="87.254300554999986"/>
    <x v="1"/>
    <x v="0"/>
  </r>
  <r>
    <x v="447"/>
    <x v="2"/>
    <n v="0"/>
    <n v="0"/>
    <n v="0"/>
    <n v="0"/>
    <n v="0"/>
    <n v="0"/>
    <n v="0"/>
    <n v="0"/>
    <n v="0"/>
    <n v="0"/>
    <n v="45.716629849999997"/>
    <n v="0"/>
    <n v="2.6232154689999998"/>
    <n v="0"/>
    <n v="0"/>
    <n v="603.45197310000003"/>
    <n v="0"/>
    <n v="0"/>
    <n v="0"/>
    <n v="0"/>
    <n v="0"/>
    <n v="0"/>
    <n v="0"/>
    <n v="0"/>
    <n v="294"/>
    <n v="0"/>
    <n v="0"/>
    <n v="0"/>
    <x v="2"/>
    <n v="98.942805049"/>
    <n v="0"/>
    <n v="98.942805049"/>
    <x v="1"/>
    <x v="0"/>
  </r>
  <r>
    <x v="448"/>
    <x v="2"/>
    <n v="0"/>
    <n v="0"/>
    <n v="0"/>
    <n v="0"/>
    <n v="0"/>
    <n v="0"/>
    <n v="0"/>
    <n v="0"/>
    <n v="0"/>
    <n v="0"/>
    <n v="41.69227205"/>
    <n v="0"/>
    <n v="3.6707265530000002"/>
    <n v="0"/>
    <n v="0"/>
    <n v="505.2841148"/>
    <n v="0"/>
    <n v="0"/>
    <n v="0"/>
    <n v="0"/>
    <n v="0"/>
    <n v="0"/>
    <n v="0"/>
    <n v="0"/>
    <n v="306"/>
    <n v="0"/>
    <n v="0"/>
    <n v="0"/>
    <x v="2"/>
    <n v="93.398906823000004"/>
    <n v="0"/>
    <n v="93.398906823000004"/>
    <x v="1"/>
    <x v="0"/>
  </r>
  <r>
    <x v="449"/>
    <x v="2"/>
    <n v="0"/>
    <n v="0"/>
    <n v="0"/>
    <n v="0"/>
    <n v="0"/>
    <n v="0"/>
    <n v="0"/>
    <n v="0"/>
    <n v="0"/>
    <n v="0"/>
    <n v="44.334387550000002"/>
    <n v="0"/>
    <n v="2.163119858"/>
    <n v="0"/>
    <n v="0"/>
    <n v="607.03268149999997"/>
    <n v="0"/>
    <n v="0"/>
    <n v="0"/>
    <n v="0"/>
    <n v="0"/>
    <n v="0"/>
    <n v="0"/>
    <n v="0"/>
    <n v="302"/>
    <n v="0"/>
    <n v="0"/>
    <n v="0"/>
    <x v="2"/>
    <n v="95.849181072999997"/>
    <n v="0"/>
    <n v="95.849181072999997"/>
    <x v="1"/>
    <x v="0"/>
  </r>
  <r>
    <x v="450"/>
    <x v="2"/>
    <n v="0"/>
    <n v="0"/>
    <n v="0"/>
    <n v="0"/>
    <n v="0"/>
    <n v="0"/>
    <n v="0"/>
    <n v="0"/>
    <n v="0"/>
    <n v="0"/>
    <n v="43.244866340000002"/>
    <n v="0"/>
    <n v="3.469395064"/>
    <n v="0"/>
    <n v="0"/>
    <n v="574.18526450000002"/>
    <n v="0"/>
    <n v="0"/>
    <n v="0"/>
    <n v="0"/>
    <n v="0"/>
    <n v="0"/>
    <n v="0"/>
    <n v="0"/>
    <n v="301"/>
    <n v="0"/>
    <n v="0"/>
    <n v="0"/>
    <x v="2"/>
    <n v="99.857330004000005"/>
    <n v="0"/>
    <n v="99.857330004000005"/>
    <x v="1"/>
    <x v="0"/>
  </r>
  <r>
    <x v="451"/>
    <x v="1"/>
    <n v="0"/>
    <n v="0"/>
    <n v="0"/>
    <n v="0"/>
    <n v="0"/>
    <n v="0"/>
    <n v="0"/>
    <n v="0"/>
    <n v="0"/>
    <n v="0"/>
    <n v="34.352079979999999"/>
    <n v="0"/>
    <n v="2.3139276679999998"/>
    <n v="0"/>
    <n v="0"/>
    <n v="334.71875599999998"/>
    <n v="0"/>
    <n v="0"/>
    <n v="0"/>
    <n v="0"/>
    <n v="0"/>
    <n v="0"/>
    <n v="0"/>
    <n v="0"/>
    <n v="298"/>
    <n v="0"/>
    <n v="0"/>
    <n v="0"/>
    <x v="2"/>
    <n v="64.531481597999999"/>
    <n v="0"/>
    <n v="64.531481597999999"/>
    <x v="1"/>
    <x v="0"/>
  </r>
  <r>
    <x v="452"/>
    <x v="1"/>
    <n v="0"/>
    <n v="0"/>
    <n v="0"/>
    <n v="0"/>
    <n v="0"/>
    <n v="0"/>
    <n v="0"/>
    <n v="0"/>
    <n v="0"/>
    <n v="0"/>
    <n v="38.573689510000001"/>
    <n v="0"/>
    <n v="2.2943712060000001"/>
    <n v="0"/>
    <n v="0"/>
    <n v="381.28722820000002"/>
    <n v="0"/>
    <n v="0"/>
    <n v="0"/>
    <n v="0"/>
    <n v="0"/>
    <n v="0"/>
    <n v="0"/>
    <n v="0"/>
    <n v="297"/>
    <n v="0"/>
    <n v="0"/>
    <n v="0"/>
    <x v="2"/>
    <n v="71.181794811000003"/>
    <n v="0"/>
    <n v="71.181794811000003"/>
    <x v="1"/>
    <x v="0"/>
  </r>
  <r>
    <x v="453"/>
    <x v="2"/>
    <n v="0"/>
    <n v="0"/>
    <n v="0"/>
    <n v="0"/>
    <n v="0"/>
    <n v="0"/>
    <n v="0"/>
    <n v="0"/>
    <n v="0"/>
    <n v="0"/>
    <n v="29.86601555"/>
    <n v="0"/>
    <n v="1.2324274829999999"/>
    <n v="0"/>
    <n v="0"/>
    <n v="333.05528900000002"/>
    <n v="0"/>
    <n v="0"/>
    <n v="0"/>
    <n v="0.16577434499999999"/>
    <n v="0"/>
    <n v="0"/>
    <n v="25.620575500000001"/>
    <n v="0"/>
    <n v="391"/>
    <n v="0"/>
    <n v="0"/>
    <n v="0"/>
    <x v="2"/>
    <n v="59.189805193000005"/>
    <n v="0"/>
    <n v="59.189805193000005"/>
    <x v="1"/>
    <x v="0"/>
  </r>
  <r>
    <x v="454"/>
    <x v="2"/>
    <n v="0"/>
    <n v="0"/>
    <n v="0"/>
    <n v="0"/>
    <n v="0"/>
    <n v="0"/>
    <n v="0"/>
    <n v="0"/>
    <n v="0"/>
    <n v="0"/>
    <n v="25.25128982"/>
    <n v="0"/>
    <n v="1.732872432"/>
    <n v="0"/>
    <n v="0"/>
    <n v="324.76775880000002"/>
    <n v="0"/>
    <n v="0"/>
    <n v="0"/>
    <n v="0.174787568"/>
    <n v="0"/>
    <n v="0"/>
    <n v="21.927166530000001"/>
    <n v="0"/>
    <n v="393"/>
    <n v="0"/>
    <n v="0"/>
    <n v="0"/>
    <x v="2"/>
    <n v="58.741097443000008"/>
    <n v="0"/>
    <n v="58.741097443000008"/>
    <x v="1"/>
    <x v="0"/>
  </r>
  <r>
    <x v="455"/>
    <x v="1"/>
    <n v="0"/>
    <n v="0"/>
    <n v="0"/>
    <n v="0"/>
    <n v="0"/>
    <n v="0"/>
    <n v="0"/>
    <n v="0"/>
    <n v="0"/>
    <n v="0"/>
    <n v="17.779198319999999"/>
    <n v="0"/>
    <n v="1.1892031540000001"/>
    <n v="0"/>
    <n v="0"/>
    <n v="171.23765929999999"/>
    <n v="0"/>
    <n v="0"/>
    <n v="0"/>
    <n v="0"/>
    <n v="0"/>
    <n v="0"/>
    <n v="0"/>
    <n v="0"/>
    <n v="997"/>
    <n v="0"/>
    <n v="0"/>
    <n v="0"/>
    <x v="2"/>
    <n v="33.148584014000001"/>
    <n v="0"/>
    <n v="33.148584014000001"/>
    <x v="1"/>
    <x v="0"/>
  </r>
  <r>
    <x v="456"/>
    <x v="1"/>
    <n v="0"/>
    <n v="0"/>
    <n v="0"/>
    <n v="0"/>
    <n v="0"/>
    <n v="0"/>
    <n v="0"/>
    <n v="0"/>
    <n v="0"/>
    <n v="0"/>
    <n v="23.968235539999998"/>
    <n v="0"/>
    <n v="1.272539525"/>
    <n v="0"/>
    <n v="0"/>
    <n v="222.74113700000001"/>
    <n v="0"/>
    <n v="0"/>
    <n v="0"/>
    <n v="0"/>
    <n v="0"/>
    <n v="0"/>
    <n v="0"/>
    <n v="0"/>
    <n v="460"/>
    <n v="0"/>
    <n v="0"/>
    <n v="0"/>
    <x v="2"/>
    <n v="41.89346862"/>
    <n v="0"/>
    <n v="41.89346862"/>
    <x v="1"/>
    <x v="0"/>
  </r>
  <r>
    <x v="457"/>
    <x v="0"/>
    <n v="0"/>
    <n v="3.0708089260000002"/>
    <n v="0"/>
    <n v="0"/>
    <n v="3.7600371080000001"/>
    <n v="0"/>
    <n v="0"/>
    <n v="708.9163671"/>
    <n v="0"/>
    <n v="0"/>
    <n v="0"/>
    <n v="0"/>
    <n v="0"/>
    <n v="0"/>
    <n v="0"/>
    <n v="0"/>
    <n v="0"/>
    <n v="0"/>
    <n v="0"/>
    <n v="0.31943018299999998"/>
    <n v="0"/>
    <n v="0"/>
    <n v="44.799211399999997"/>
    <n v="0"/>
    <n v="481"/>
    <n v="0"/>
    <n v="0"/>
    <n v="0"/>
    <x v="2"/>
    <n v="43.651687502000009"/>
    <n v="0"/>
    <n v="43.651687502000009"/>
    <x v="0"/>
    <x v="1"/>
  </r>
  <r>
    <x v="458"/>
    <x v="0"/>
    <n v="0"/>
    <n v="1.7457520289999999"/>
    <n v="0"/>
    <n v="0"/>
    <n v="4.2988217909999999"/>
    <n v="0"/>
    <n v="0"/>
    <n v="482.65658919999998"/>
    <n v="0"/>
    <n v="0"/>
    <n v="0"/>
    <n v="0"/>
    <n v="0"/>
    <n v="0"/>
    <n v="0"/>
    <n v="0"/>
    <n v="0"/>
    <n v="0"/>
    <n v="0"/>
    <n v="0.29845778000000001"/>
    <n v="0"/>
    <n v="0"/>
    <n v="27.111312179999999"/>
    <n v="0"/>
    <n v="480"/>
    <n v="0"/>
    <n v="0"/>
    <n v="0"/>
    <x v="2"/>
    <n v="37.511924571999991"/>
    <n v="0"/>
    <n v="37.511924571999991"/>
    <x v="0"/>
    <x v="1"/>
  </r>
  <r>
    <x v="459"/>
    <x v="0"/>
    <n v="0"/>
    <n v="1.7782112880000001"/>
    <n v="0"/>
    <n v="0"/>
    <n v="2.6553891109999999"/>
    <n v="0"/>
    <n v="0"/>
    <n v="483.08865350000002"/>
    <n v="0"/>
    <n v="0"/>
    <n v="0"/>
    <n v="0"/>
    <n v="0"/>
    <n v="0"/>
    <n v="0"/>
    <n v="0"/>
    <n v="0"/>
    <n v="0"/>
    <n v="0"/>
    <n v="0.186487599"/>
    <n v="0"/>
    <n v="0"/>
    <n v="22.925820959999999"/>
    <n v="0"/>
    <n v="479"/>
    <n v="0"/>
    <n v="0"/>
    <n v="0"/>
    <x v="2"/>
    <n v="29.800187698000002"/>
    <n v="0"/>
    <n v="29.800187698000002"/>
    <x v="0"/>
    <x v="1"/>
  </r>
  <r>
    <x v="460"/>
    <x v="0"/>
    <n v="0"/>
    <n v="3.042814023"/>
    <n v="0"/>
    <n v="0"/>
    <n v="3.2814647950000002"/>
    <n v="0"/>
    <n v="0"/>
    <n v="782.89429180000002"/>
    <n v="0"/>
    <n v="0"/>
    <n v="0"/>
    <n v="0"/>
    <n v="0"/>
    <n v="0"/>
    <n v="0"/>
    <n v="0"/>
    <n v="0"/>
    <n v="0"/>
    <n v="0"/>
    <n v="0.55058543000000004"/>
    <n v="0"/>
    <n v="0"/>
    <n v="40.430223519999998"/>
    <n v="0"/>
    <n v="478"/>
    <n v="0"/>
    <n v="0"/>
    <n v="0"/>
    <x v="2"/>
    <n v="45.702537738000004"/>
    <n v="0"/>
    <n v="45.702537738000004"/>
    <x v="0"/>
    <x v="1"/>
  </r>
  <r>
    <x v="461"/>
    <x v="0"/>
    <n v="0"/>
    <n v="4.5062706639999996"/>
    <n v="0"/>
    <n v="0"/>
    <n v="4.9474390369999997"/>
    <n v="0"/>
    <n v="0"/>
    <n v="1091.810982"/>
    <n v="0"/>
    <n v="0"/>
    <n v="0"/>
    <n v="0"/>
    <n v="0"/>
    <n v="0"/>
    <n v="0"/>
    <n v="0"/>
    <n v="0"/>
    <n v="0"/>
    <n v="0"/>
    <n v="0.34383598900000001"/>
    <n v="0"/>
    <n v="0"/>
    <n v="35.817189890000002"/>
    <n v="0"/>
    <n v="477"/>
    <n v="0"/>
    <n v="0"/>
    <n v="0"/>
    <x v="2"/>
    <n v="60.094389022999998"/>
    <n v="0"/>
    <n v="60.094389022999998"/>
    <x v="0"/>
    <x v="1"/>
  </r>
  <r>
    <x v="462"/>
    <x v="1"/>
    <n v="0"/>
    <n v="0"/>
    <n v="0"/>
    <n v="0"/>
    <n v="0"/>
    <n v="0"/>
    <n v="0"/>
    <n v="0"/>
    <n v="0"/>
    <n v="0"/>
    <n v="18.757790719999999"/>
    <n v="0"/>
    <n v="1.456363651"/>
    <n v="0"/>
    <n v="0"/>
    <n v="188.04265280000001"/>
    <n v="0"/>
    <n v="0"/>
    <n v="0"/>
    <n v="0"/>
    <n v="0"/>
    <n v="0"/>
    <n v="0"/>
    <n v="0"/>
    <n v="474"/>
    <n v="0"/>
    <n v="0"/>
    <n v="0"/>
    <x v="2"/>
    <n v="36.921342546000005"/>
    <n v="0"/>
    <n v="36.921342546000005"/>
    <x v="1"/>
    <x v="0"/>
  </r>
  <r>
    <x v="463"/>
    <x v="1"/>
    <n v="0"/>
    <n v="0"/>
    <n v="0"/>
    <n v="0"/>
    <n v="0"/>
    <n v="0"/>
    <n v="0"/>
    <n v="0"/>
    <n v="0"/>
    <n v="0"/>
    <n v="19.146781579999999"/>
    <n v="0"/>
    <n v="1.4000249650000001"/>
    <n v="0"/>
    <n v="0"/>
    <n v="192.0747337"/>
    <n v="0"/>
    <n v="0"/>
    <n v="0"/>
    <n v="0"/>
    <n v="0"/>
    <n v="0"/>
    <n v="0"/>
    <n v="0"/>
    <n v="473"/>
    <n v="0"/>
    <n v="0"/>
    <n v="0"/>
    <x v="2"/>
    <n v="37.181013950000001"/>
    <n v="0"/>
    <n v="37.181013950000001"/>
    <x v="1"/>
    <x v="0"/>
  </r>
  <r>
    <x v="464"/>
    <x v="1"/>
    <n v="0"/>
    <n v="0"/>
    <n v="0"/>
    <n v="0"/>
    <n v="0"/>
    <n v="0"/>
    <n v="0"/>
    <n v="0"/>
    <n v="0"/>
    <n v="0"/>
    <n v="22.860828770000001"/>
    <n v="0"/>
    <n v="1.557861776"/>
    <n v="0"/>
    <n v="0"/>
    <n v="224.28245580000001"/>
    <n v="0"/>
    <n v="0"/>
    <n v="0"/>
    <n v="0"/>
    <n v="0"/>
    <n v="0"/>
    <n v="0"/>
    <n v="0"/>
    <n v="472"/>
    <n v="0"/>
    <n v="0"/>
    <n v="0"/>
    <x v="2"/>
    <n v="43.205830621000004"/>
    <n v="0"/>
    <n v="43.205830621000004"/>
    <x v="1"/>
    <x v="0"/>
  </r>
  <r>
    <x v="465"/>
    <x v="1"/>
    <n v="0"/>
    <n v="0"/>
    <n v="0"/>
    <n v="0"/>
    <n v="0"/>
    <n v="0"/>
    <n v="0"/>
    <n v="0"/>
    <n v="0"/>
    <n v="0"/>
    <n v="26.426392580000002"/>
    <n v="0"/>
    <n v="1.0865240890000001"/>
    <n v="0"/>
    <n v="0"/>
    <n v="246.8223035"/>
    <n v="0"/>
    <n v="0"/>
    <n v="0"/>
    <n v="0"/>
    <n v="0"/>
    <n v="0"/>
    <n v="0"/>
    <n v="0"/>
    <n v="470"/>
    <n v="0"/>
    <n v="0"/>
    <n v="0"/>
    <x v="2"/>
    <n v="44.414571174000002"/>
    <n v="0"/>
    <n v="44.414571174000002"/>
    <x v="1"/>
    <x v="0"/>
  </r>
  <r>
    <x v="466"/>
    <x v="1"/>
    <n v="0"/>
    <n v="0"/>
    <n v="0"/>
    <n v="0"/>
    <n v="0"/>
    <n v="0"/>
    <n v="0"/>
    <n v="0"/>
    <n v="0"/>
    <n v="0"/>
    <n v="21.913933960000001"/>
    <n v="0"/>
    <n v="0.86677965300000004"/>
    <n v="0"/>
    <n v="0"/>
    <n v="178.83001830000001"/>
    <n v="0"/>
    <n v="0"/>
    <n v="0"/>
    <n v="0"/>
    <n v="0"/>
    <n v="0"/>
    <n v="0"/>
    <n v="0"/>
    <n v="469"/>
    <n v="0"/>
    <n v="0"/>
    <n v="0"/>
    <x v="2"/>
    <n v="34.040646727999999"/>
    <n v="0"/>
    <n v="34.040646727999999"/>
    <x v="1"/>
    <x v="0"/>
  </r>
  <r>
    <x v="467"/>
    <x v="1"/>
    <n v="0"/>
    <n v="0"/>
    <n v="0"/>
    <n v="0"/>
    <n v="0"/>
    <n v="0"/>
    <n v="0"/>
    <n v="0"/>
    <n v="0"/>
    <n v="0"/>
    <n v="24.173844890000002"/>
    <n v="0"/>
    <n v="1.780925876"/>
    <n v="0"/>
    <n v="0"/>
    <n v="229.958369"/>
    <n v="0"/>
    <n v="0"/>
    <n v="0"/>
    <n v="0"/>
    <n v="0"/>
    <n v="0"/>
    <n v="0"/>
    <n v="0"/>
    <n v="468"/>
    <n v="0"/>
    <n v="0"/>
    <n v="0"/>
    <x v="2"/>
    <n v="45.768314601"/>
    <n v="0"/>
    <n v="45.768314601"/>
    <x v="1"/>
    <x v="0"/>
  </r>
  <r>
    <x v="468"/>
    <x v="1"/>
    <n v="0"/>
    <n v="0"/>
    <n v="0"/>
    <n v="0"/>
    <n v="0"/>
    <n v="0"/>
    <n v="0"/>
    <n v="0"/>
    <n v="0"/>
    <n v="0"/>
    <n v="30.232727919999999"/>
    <n v="0"/>
    <n v="1.432453354"/>
    <n v="0"/>
    <n v="0"/>
    <n v="266.77148640000001"/>
    <n v="0"/>
    <n v="0"/>
    <n v="0"/>
    <n v="0"/>
    <n v="0"/>
    <n v="0"/>
    <n v="0"/>
    <n v="0"/>
    <n v="467"/>
    <n v="0"/>
    <n v="0"/>
    <n v="0"/>
    <x v="2"/>
    <n v="50.388232724000005"/>
    <n v="0"/>
    <n v="50.388232724000005"/>
    <x v="1"/>
    <x v="0"/>
  </r>
  <r>
    <x v="469"/>
    <x v="1"/>
    <n v="0"/>
    <n v="0"/>
    <n v="0"/>
    <n v="0"/>
    <n v="0"/>
    <n v="0"/>
    <n v="0"/>
    <n v="0"/>
    <n v="0"/>
    <n v="0"/>
    <n v="25.865615290000001"/>
    <n v="0"/>
    <n v="2.3507269759999998"/>
    <n v="0"/>
    <n v="0"/>
    <n v="265.26696240000001"/>
    <n v="0"/>
    <n v="0"/>
    <n v="0"/>
    <n v="0"/>
    <n v="0"/>
    <n v="0"/>
    <n v="0"/>
    <n v="0"/>
    <n v="466"/>
    <n v="0"/>
    <n v="0"/>
    <n v="0"/>
    <x v="2"/>
    <n v="53.563865741000001"/>
    <n v="0"/>
    <n v="53.563865741000001"/>
    <x v="1"/>
    <x v="0"/>
  </r>
  <r>
    <x v="470"/>
    <x v="1"/>
    <n v="0"/>
    <n v="0"/>
    <n v="0"/>
    <n v="0"/>
    <n v="0"/>
    <n v="0"/>
    <n v="0"/>
    <n v="0"/>
    <n v="0"/>
    <n v="0"/>
    <n v="28.451507169999999"/>
    <n v="0"/>
    <n v="2.3002960130000001"/>
    <n v="0"/>
    <n v="0"/>
    <n v="289.03964480000002"/>
    <n v="0"/>
    <n v="0"/>
    <n v="0"/>
    <n v="0"/>
    <n v="0"/>
    <n v="0"/>
    <n v="0"/>
    <n v="0"/>
    <n v="465"/>
    <n v="0"/>
    <n v="0"/>
    <n v="0"/>
    <x v="2"/>
    <n v="56.931494143000002"/>
    <n v="0"/>
    <n v="56.931494143000002"/>
    <x v="1"/>
    <x v="0"/>
  </r>
  <r>
    <x v="471"/>
    <x v="0"/>
    <n v="0"/>
    <n v="1.89649179"/>
    <n v="0"/>
    <n v="0"/>
    <n v="1.858809843"/>
    <n v="0"/>
    <n v="0"/>
    <n v="486.8876214"/>
    <n v="0"/>
    <n v="0"/>
    <n v="0"/>
    <n v="0"/>
    <n v="0"/>
    <n v="0"/>
    <n v="0"/>
    <n v="0"/>
    <n v="0"/>
    <n v="0"/>
    <n v="0"/>
    <n v="0.52825976399999997"/>
    <n v="0"/>
    <n v="0"/>
    <n v="70.242853170000004"/>
    <n v="0"/>
    <n v="485"/>
    <n v="0"/>
    <n v="0"/>
    <n v="0"/>
    <x v="2"/>
    <n v="33.311604549000002"/>
    <n v="0"/>
    <n v="33.311604549000002"/>
    <x v="0"/>
    <x v="1"/>
  </r>
  <r>
    <x v="472"/>
    <x v="0"/>
    <n v="0"/>
    <n v="1.8734583149999999"/>
    <n v="0"/>
    <n v="0"/>
    <n v="3.0462216830000002"/>
    <n v="0"/>
    <n v="0"/>
    <n v="470.95052440000001"/>
    <n v="0"/>
    <n v="0"/>
    <n v="0"/>
    <n v="0"/>
    <n v="0"/>
    <n v="0"/>
    <n v="0"/>
    <n v="0"/>
    <n v="0"/>
    <n v="0"/>
    <n v="0"/>
    <n v="0.94063226200000005"/>
    <n v="0"/>
    <n v="0"/>
    <n v="41.078357189999998"/>
    <n v="0"/>
    <n v="486"/>
    <n v="0"/>
    <n v="0"/>
    <n v="0"/>
    <x v="2"/>
    <n v="37.027620368999997"/>
    <n v="0"/>
    <n v="37.027620368999997"/>
    <x v="0"/>
    <x v="1"/>
  </r>
  <r>
    <x v="473"/>
    <x v="0"/>
    <n v="0"/>
    <n v="1.877629956"/>
    <n v="0"/>
    <n v="0"/>
    <n v="2.4007292329999999"/>
    <n v="0"/>
    <n v="0"/>
    <n v="481.77171019999997"/>
    <n v="0"/>
    <n v="0"/>
    <n v="0"/>
    <n v="0"/>
    <n v="0"/>
    <n v="0"/>
    <n v="0"/>
    <n v="0"/>
    <n v="0"/>
    <n v="0"/>
    <n v="0"/>
    <n v="0.203498123"/>
    <n v="0"/>
    <n v="0"/>
    <n v="24.79281787"/>
    <n v="0"/>
    <n v="487"/>
    <n v="0"/>
    <n v="0"/>
    <n v="0"/>
    <x v="2"/>
    <n v="28.818795952999999"/>
    <n v="0"/>
    <n v="28.818795952999999"/>
    <x v="0"/>
    <x v="1"/>
  </r>
  <r>
    <x v="474"/>
    <x v="2"/>
    <n v="0"/>
    <n v="0"/>
    <n v="0"/>
    <n v="0"/>
    <n v="0"/>
    <n v="0"/>
    <n v="0"/>
    <n v="0"/>
    <n v="0"/>
    <n v="0"/>
    <n v="18.521683339999999"/>
    <n v="0"/>
    <n v="1.0513589640000001"/>
    <n v="0"/>
    <n v="0"/>
    <n v="238.8880212"/>
    <n v="0"/>
    <n v="0"/>
    <n v="0"/>
    <n v="9.9454131000000001E-2"/>
    <n v="0"/>
    <n v="0"/>
    <n v="16.124611519999998"/>
    <n v="0"/>
    <n v="989"/>
    <n v="0"/>
    <n v="0"/>
    <n v="0"/>
    <x v="2"/>
    <n v="41.666983512000002"/>
    <n v="0"/>
    <n v="41.666983512000002"/>
    <x v="1"/>
    <x v="0"/>
  </r>
  <r>
    <x v="475"/>
    <x v="1"/>
    <n v="0"/>
    <n v="0"/>
    <n v="0"/>
    <n v="0"/>
    <n v="0"/>
    <n v="0"/>
    <n v="0"/>
    <n v="0"/>
    <n v="0"/>
    <n v="0"/>
    <n v="16.31129022"/>
    <n v="0"/>
    <n v="1.5250584979999999"/>
    <n v="0"/>
    <n v="0"/>
    <n v="168.77234329999999"/>
    <n v="0"/>
    <n v="0"/>
    <n v="0"/>
    <n v="0"/>
    <n v="0"/>
    <n v="0"/>
    <n v="0"/>
    <n v="0"/>
    <n v="996"/>
    <n v="0"/>
    <n v="0"/>
    <n v="0"/>
    <x v="2"/>
    <n v="34.183230428000002"/>
    <n v="0"/>
    <n v="34.183230428000002"/>
    <x v="1"/>
    <x v="0"/>
  </r>
  <r>
    <x v="476"/>
    <x v="2"/>
    <n v="0"/>
    <n v="0"/>
    <n v="0"/>
    <n v="0"/>
    <n v="0"/>
    <n v="0"/>
    <n v="0"/>
    <n v="0"/>
    <n v="0"/>
    <n v="0"/>
    <n v="17.440493450000002"/>
    <n v="0"/>
    <n v="0.90057610099999996"/>
    <n v="0"/>
    <n v="0"/>
    <n v="218.53313929999999"/>
    <n v="0"/>
    <n v="0"/>
    <n v="0"/>
    <n v="0"/>
    <n v="0"/>
    <n v="0"/>
    <n v="0"/>
    <n v="0"/>
    <n v="995"/>
    <n v="0"/>
    <n v="0"/>
    <n v="0"/>
    <x v="2"/>
    <n v="35.977017261"/>
    <n v="0"/>
    <n v="35.977017261"/>
    <x v="1"/>
    <x v="0"/>
  </r>
  <r>
    <x v="477"/>
    <x v="2"/>
    <n v="0"/>
    <n v="0"/>
    <n v="0"/>
    <n v="0"/>
    <n v="0"/>
    <n v="0"/>
    <n v="0"/>
    <n v="0"/>
    <n v="0"/>
    <n v="0"/>
    <n v="14.83710892"/>
    <n v="0"/>
    <n v="1.731927376"/>
    <n v="0"/>
    <n v="0"/>
    <n v="215.8327506"/>
    <n v="0"/>
    <n v="0"/>
    <n v="0"/>
    <n v="0"/>
    <n v="0"/>
    <n v="0"/>
    <n v="0"/>
    <n v="0"/>
    <n v="994"/>
    <n v="0"/>
    <n v="0"/>
    <n v="0"/>
    <x v="2"/>
    <n v="39.393393776000003"/>
    <n v="0"/>
    <n v="39.393393776000003"/>
    <x v="1"/>
    <x v="0"/>
  </r>
  <r>
    <x v="478"/>
    <x v="2"/>
    <n v="0"/>
    <n v="0"/>
    <n v="0"/>
    <n v="0"/>
    <n v="0"/>
    <n v="0"/>
    <n v="0"/>
    <n v="0"/>
    <n v="0"/>
    <n v="0"/>
    <n v="17.30303"/>
    <n v="0"/>
    <n v="1.5349752560000001"/>
    <n v="0"/>
    <n v="0"/>
    <n v="221.15067550000001"/>
    <n v="0"/>
    <n v="0"/>
    <n v="0"/>
    <n v="0"/>
    <n v="0"/>
    <n v="0"/>
    <n v="0"/>
    <n v="0"/>
    <n v="993"/>
    <n v="0"/>
    <n v="0"/>
    <n v="0"/>
    <x v="2"/>
    <n v="39.976434085999998"/>
    <n v="0"/>
    <n v="39.976434085999998"/>
    <x v="1"/>
    <x v="0"/>
  </r>
  <r>
    <x v="479"/>
    <x v="2"/>
    <n v="0"/>
    <n v="0"/>
    <n v="0"/>
    <n v="0"/>
    <n v="0"/>
    <n v="0"/>
    <n v="0"/>
    <n v="0"/>
    <n v="0"/>
    <n v="0"/>
    <n v="18.07140704"/>
    <n v="0"/>
    <n v="1.427071634"/>
    <n v="0"/>
    <n v="0"/>
    <n v="221.12026800000001"/>
    <n v="0"/>
    <n v="0"/>
    <n v="0"/>
    <n v="0"/>
    <n v="0"/>
    <n v="0"/>
    <n v="0"/>
    <n v="0"/>
    <n v="992"/>
    <n v="0"/>
    <n v="0"/>
    <n v="0"/>
    <x v="2"/>
    <n v="39.710160124000005"/>
    <n v="0"/>
    <n v="39.710160124000005"/>
    <x v="1"/>
    <x v="0"/>
  </r>
  <r>
    <x v="480"/>
    <x v="2"/>
    <n v="0"/>
    <n v="0"/>
    <n v="0"/>
    <n v="0"/>
    <n v="0"/>
    <n v="0"/>
    <n v="0"/>
    <n v="0"/>
    <n v="0"/>
    <n v="0"/>
    <n v="16.762453579999999"/>
    <n v="0"/>
    <n v="1.652291875"/>
    <n v="0"/>
    <n v="0"/>
    <n v="222.73061290000001"/>
    <n v="0"/>
    <n v="0"/>
    <n v="0"/>
    <n v="0"/>
    <n v="0"/>
    <n v="0"/>
    <n v="0"/>
    <n v="0"/>
    <n v="991"/>
    <n v="0"/>
    <n v="0"/>
    <n v="0"/>
    <x v="2"/>
    <n v="40.568039330000005"/>
    <n v="0"/>
    <n v="40.568039330000005"/>
    <x v="1"/>
    <x v="0"/>
  </r>
  <r>
    <x v="481"/>
    <x v="2"/>
    <n v="0"/>
    <n v="0"/>
    <n v="0"/>
    <n v="0"/>
    <n v="0"/>
    <n v="0"/>
    <n v="0"/>
    <n v="0"/>
    <n v="0"/>
    <n v="0"/>
    <n v="17.477638030000001"/>
    <n v="0"/>
    <n v="1.277773386"/>
    <n v="0"/>
    <n v="0"/>
    <n v="246.19096450000001"/>
    <n v="0"/>
    <n v="0"/>
    <n v="0"/>
    <n v="0"/>
    <n v="0"/>
    <n v="0"/>
    <n v="0"/>
    <n v="0"/>
    <n v="990"/>
    <n v="0"/>
    <n v="0"/>
    <n v="0"/>
    <x v="2"/>
    <n v="41.024555781000004"/>
    <n v="0"/>
    <n v="41.024555781000004"/>
    <x v="1"/>
    <x v="0"/>
  </r>
  <r>
    <x v="482"/>
    <x v="2"/>
    <n v="0"/>
    <n v="0"/>
    <n v="0"/>
    <n v="0"/>
    <n v="0"/>
    <n v="0"/>
    <n v="0"/>
    <n v="0"/>
    <n v="0"/>
    <n v="0"/>
    <n v="20.233473450000002"/>
    <n v="0"/>
    <n v="1.537963083"/>
    <n v="0"/>
    <n v="0"/>
    <n v="228.74137469999999"/>
    <n v="0"/>
    <n v="0"/>
    <n v="0"/>
    <n v="0"/>
    <n v="0"/>
    <n v="0"/>
    <n v="0"/>
    <n v="0"/>
    <n v="988"/>
    <n v="0"/>
    <n v="0"/>
    <n v="0"/>
    <x v="2"/>
    <n v="42.218652693000003"/>
    <n v="0"/>
    <n v="42.218652693000003"/>
    <x v="1"/>
    <x v="0"/>
  </r>
  <r>
    <x v="483"/>
    <x v="2"/>
    <n v="0"/>
    <n v="0"/>
    <n v="0"/>
    <n v="0"/>
    <n v="0"/>
    <n v="0"/>
    <n v="0"/>
    <n v="0"/>
    <n v="0"/>
    <n v="0"/>
    <n v="19.68132473"/>
    <n v="0"/>
    <n v="1.331621707"/>
    <n v="0"/>
    <n v="0"/>
    <n v="264.96234980000003"/>
    <n v="0"/>
    <n v="0"/>
    <n v="0"/>
    <n v="0.12330629999999999"/>
    <n v="0"/>
    <n v="0"/>
    <n v="12.22141804"/>
    <n v="0"/>
    <n v="987"/>
    <n v="0"/>
    <n v="0"/>
    <n v="0"/>
    <x v="2"/>
    <n v="46.288607191000004"/>
    <n v="0"/>
    <n v="46.288607191000004"/>
    <x v="1"/>
    <x v="0"/>
  </r>
  <r>
    <x v="484"/>
    <x v="2"/>
    <n v="0"/>
    <n v="0"/>
    <n v="0"/>
    <n v="0"/>
    <n v="0"/>
    <n v="0"/>
    <n v="0"/>
    <n v="0"/>
    <n v="0"/>
    <n v="0"/>
    <n v="20.574671559999999"/>
    <n v="0"/>
    <n v="1.1011555980000001"/>
    <n v="0"/>
    <n v="0"/>
    <n v="284.83565979999997"/>
    <n v="0"/>
    <n v="0"/>
    <n v="0"/>
    <n v="0.15187133"/>
    <n v="0"/>
    <n v="0"/>
    <n v="22.062681189999999"/>
    <n v="0"/>
    <n v="985"/>
    <n v="0"/>
    <n v="0"/>
    <n v="0"/>
    <x v="2"/>
    <n v="48.495331446999998"/>
    <n v="0"/>
    <n v="48.495331446999998"/>
    <x v="1"/>
    <x v="0"/>
  </r>
  <r>
    <x v="485"/>
    <x v="2"/>
    <n v="0"/>
    <n v="0"/>
    <n v="0"/>
    <n v="0"/>
    <n v="0"/>
    <n v="0"/>
    <n v="0"/>
    <n v="0"/>
    <n v="0"/>
    <n v="0"/>
    <n v="23.591956750000001"/>
    <n v="0"/>
    <n v="1.2476899379999999"/>
    <n v="0"/>
    <n v="0"/>
    <n v="280.74106519999998"/>
    <n v="0"/>
    <n v="0"/>
    <n v="0"/>
    <n v="0"/>
    <n v="0"/>
    <n v="0"/>
    <n v="0"/>
    <n v="0"/>
    <n v="984"/>
    <n v="0"/>
    <n v="0"/>
    <n v="0"/>
    <x v="2"/>
    <n v="47.356224523000002"/>
    <n v="0"/>
    <n v="47.356224523000002"/>
    <x v="1"/>
    <x v="0"/>
  </r>
  <r>
    <x v="486"/>
    <x v="2"/>
    <n v="0"/>
    <n v="0"/>
    <n v="0"/>
    <n v="0"/>
    <n v="0"/>
    <n v="0"/>
    <n v="0"/>
    <n v="0"/>
    <n v="0"/>
    <n v="0"/>
    <n v="18.4032117"/>
    <n v="0"/>
    <n v="1.597759953"/>
    <n v="0"/>
    <n v="0"/>
    <n v="229.6389021"/>
    <n v="0"/>
    <n v="0"/>
    <n v="0"/>
    <n v="0.40861542000000001"/>
    <n v="0"/>
    <n v="0"/>
    <n v="59.661229290000001"/>
    <n v="0"/>
    <n v="983"/>
    <n v="0"/>
    <n v="0"/>
    <n v="0"/>
    <x v="2"/>
    <n v="50.169871227000002"/>
    <n v="0"/>
    <n v="50.169871227000002"/>
    <x v="1"/>
    <x v="0"/>
  </r>
  <r>
    <x v="487"/>
    <x v="2"/>
    <n v="0"/>
    <n v="0"/>
    <n v="0"/>
    <n v="0"/>
    <n v="0"/>
    <n v="0"/>
    <n v="0"/>
    <n v="0"/>
    <n v="0"/>
    <n v="0"/>
    <n v="21.012666899999999"/>
    <n v="0"/>
    <n v="1.055370269"/>
    <n v="0"/>
    <n v="0"/>
    <n v="277.56340419999998"/>
    <n v="0"/>
    <n v="0"/>
    <n v="0"/>
    <n v="0.378816704"/>
    <n v="0"/>
    <n v="0"/>
    <n v="53.780253250000001"/>
    <n v="0"/>
    <n v="982"/>
    <n v="0"/>
    <n v="0"/>
    <n v="0"/>
    <x v="2"/>
    <n v="52.245821032999999"/>
    <n v="0"/>
    <n v="52.245821032999999"/>
    <x v="1"/>
    <x v="0"/>
  </r>
  <r>
    <x v="488"/>
    <x v="2"/>
    <n v="0"/>
    <n v="0"/>
    <n v="0"/>
    <n v="0"/>
    <n v="0"/>
    <n v="0"/>
    <n v="0"/>
    <n v="0"/>
    <n v="0"/>
    <n v="0"/>
    <n v="25.531808600000002"/>
    <n v="0"/>
    <n v="1.2847924850000001"/>
    <n v="0"/>
    <n v="0"/>
    <n v="337.23782640000002"/>
    <n v="0"/>
    <n v="0"/>
    <n v="0"/>
    <n v="0"/>
    <n v="0"/>
    <n v="0"/>
    <n v="0"/>
    <n v="0"/>
    <n v="981"/>
    <n v="0"/>
    <n v="0"/>
    <n v="0"/>
    <x v="2"/>
    <n v="54.198441850000009"/>
    <n v="0"/>
    <n v="54.198441850000009"/>
    <x v="1"/>
    <x v="0"/>
  </r>
  <r>
    <x v="489"/>
    <x v="3"/>
    <n v="0"/>
    <n v="0"/>
    <n v="0"/>
    <n v="0"/>
    <n v="0"/>
    <n v="0"/>
    <n v="0"/>
    <n v="0"/>
    <n v="0"/>
    <n v="0"/>
    <n v="4.1011617090000003"/>
    <n v="0"/>
    <n v="0.16786284200000001"/>
    <n v="0"/>
    <n v="0"/>
    <n v="29.12341326"/>
    <n v="0"/>
    <n v="0"/>
    <n v="0"/>
    <n v="0.82013428300000002"/>
    <n v="0"/>
    <n v="0"/>
    <n v="107.20299230000001"/>
    <n v="0"/>
    <n v="459"/>
    <n v="0"/>
    <n v="0"/>
    <n v="0"/>
    <x v="2"/>
    <n v="21.611204160500002"/>
    <n v="0"/>
    <n v="21.611204160500002"/>
    <x v="1"/>
    <x v="0"/>
  </r>
  <r>
    <x v="490"/>
    <x v="2"/>
    <n v="0"/>
    <n v="0"/>
    <n v="0"/>
    <n v="0"/>
    <n v="0"/>
    <n v="0"/>
    <n v="0"/>
    <n v="0"/>
    <n v="0"/>
    <n v="0"/>
    <n v="25.696143769999999"/>
    <n v="0"/>
    <n v="2.2673323239999998"/>
    <n v="0"/>
    <n v="0"/>
    <n v="325.4520253"/>
    <n v="0"/>
    <n v="0"/>
    <n v="0"/>
    <n v="0"/>
    <n v="0"/>
    <n v="0"/>
    <n v="0"/>
    <n v="0"/>
    <n v="394"/>
    <n v="0"/>
    <n v="0"/>
    <n v="0"/>
    <x v="2"/>
    <n v="58.997268359000003"/>
    <n v="0"/>
    <n v="58.997268359000003"/>
    <x v="1"/>
    <x v="0"/>
  </r>
  <r>
    <x v="491"/>
    <x v="3"/>
    <n v="0"/>
    <n v="0"/>
    <n v="0"/>
    <n v="0"/>
    <n v="0"/>
    <n v="0"/>
    <n v="0"/>
    <n v="0"/>
    <n v="0"/>
    <n v="0"/>
    <n v="2.1993151590000002"/>
    <n v="0"/>
    <n v="0.11038347"/>
    <n v="0"/>
    <n v="0"/>
    <n v="15.91350031"/>
    <n v="0"/>
    <n v="0"/>
    <n v="0"/>
    <n v="0.86524978200000002"/>
    <n v="0"/>
    <n v="0"/>
    <n v="134.89175510000001"/>
    <n v="0"/>
    <n v="458"/>
    <n v="0"/>
    <n v="0"/>
    <n v="0"/>
    <x v="2"/>
    <n v="22.033982632500003"/>
    <n v="0"/>
    <n v="22.033982632500003"/>
    <x v="1"/>
    <x v="0"/>
  </r>
  <r>
    <x v="492"/>
    <x v="2"/>
    <n v="0"/>
    <n v="0"/>
    <n v="0"/>
    <n v="0"/>
    <n v="0"/>
    <n v="0"/>
    <n v="0"/>
    <n v="0"/>
    <n v="0"/>
    <n v="0"/>
    <n v="21.525697139999998"/>
    <n v="0"/>
    <n v="2.1809720050000001"/>
    <n v="0"/>
    <n v="0"/>
    <n v="265.68543920000002"/>
    <n v="0"/>
    <n v="0"/>
    <n v="0"/>
    <n v="0.31539519700000002"/>
    <n v="0"/>
    <n v="0"/>
    <n v="28.429699620000001"/>
    <n v="0"/>
    <n v="422"/>
    <n v="0"/>
    <n v="0"/>
    <n v="0"/>
    <x v="2"/>
    <n v="55.152565664000001"/>
    <n v="0"/>
    <n v="55.152565664000001"/>
    <x v="1"/>
    <x v="0"/>
  </r>
  <r>
    <x v="493"/>
    <x v="1"/>
    <n v="0"/>
    <n v="0"/>
    <n v="0"/>
    <n v="0"/>
    <n v="0"/>
    <n v="0"/>
    <n v="0"/>
    <n v="0"/>
    <n v="0"/>
    <n v="0"/>
    <n v="30.1398817"/>
    <n v="0"/>
    <n v="2.907893778"/>
    <n v="0"/>
    <n v="0"/>
    <n v="309.28920479999999"/>
    <n v="0"/>
    <n v="0"/>
    <n v="0"/>
    <n v="0"/>
    <n v="0"/>
    <n v="0"/>
    <n v="0"/>
    <n v="0"/>
    <n v="419"/>
    <n v="0"/>
    <n v="0"/>
    <n v="0"/>
    <x v="2"/>
    <n v="63.446223998000001"/>
    <n v="0"/>
    <n v="63.446223998000001"/>
    <x v="1"/>
    <x v="0"/>
  </r>
  <r>
    <x v="494"/>
    <x v="1"/>
    <n v="0"/>
    <n v="0"/>
    <n v="0"/>
    <n v="0"/>
    <n v="0"/>
    <n v="0"/>
    <n v="0"/>
    <n v="0"/>
    <n v="0"/>
    <n v="0"/>
    <n v="34.577948990000003"/>
    <n v="0"/>
    <n v="2.0584108099999998"/>
    <n v="0"/>
    <n v="0"/>
    <n v="361.02310940000001"/>
    <n v="0"/>
    <n v="0"/>
    <n v="0"/>
    <n v="0"/>
    <n v="0"/>
    <n v="0"/>
    <n v="0"/>
    <n v="0"/>
    <n v="418"/>
    <n v="0"/>
    <n v="0"/>
    <n v="0"/>
    <x v="2"/>
    <n v="65.741750295000003"/>
    <n v="0"/>
    <n v="65.741750295000003"/>
    <x v="1"/>
    <x v="0"/>
  </r>
  <r>
    <x v="495"/>
    <x v="1"/>
    <n v="0"/>
    <n v="0"/>
    <n v="0"/>
    <n v="0"/>
    <n v="0"/>
    <n v="0"/>
    <n v="0"/>
    <n v="0"/>
    <n v="0"/>
    <n v="0"/>
    <n v="32.262120189999997"/>
    <n v="0"/>
    <n v="2.6012797619999999"/>
    <n v="0"/>
    <n v="0"/>
    <n v="319.1212395"/>
    <n v="0"/>
    <n v="0"/>
    <n v="0"/>
    <n v="0"/>
    <n v="0"/>
    <n v="0"/>
    <n v="0"/>
    <n v="0"/>
    <n v="417"/>
    <n v="0"/>
    <n v="0"/>
    <n v="0"/>
    <x v="2"/>
    <n v="63.650862617000001"/>
    <n v="0"/>
    <n v="63.650862617000001"/>
    <x v="1"/>
    <x v="0"/>
  </r>
  <r>
    <x v="496"/>
    <x v="2"/>
    <n v="0"/>
    <n v="0"/>
    <n v="0"/>
    <n v="0"/>
    <n v="0"/>
    <n v="0"/>
    <n v="0"/>
    <n v="0"/>
    <n v="0"/>
    <n v="0"/>
    <n v="24.677578279999999"/>
    <n v="0"/>
    <n v="2.093218781"/>
    <n v="0"/>
    <n v="0"/>
    <n v="325.42398659999998"/>
    <n v="0"/>
    <n v="0"/>
    <n v="0"/>
    <n v="0"/>
    <n v="0"/>
    <n v="0"/>
    <n v="0"/>
    <n v="0"/>
    <n v="407"/>
    <n v="0"/>
    <n v="0"/>
    <n v="0"/>
    <x v="2"/>
    <n v="57.440500485999998"/>
    <n v="0"/>
    <n v="57.440500485999998"/>
    <x v="1"/>
    <x v="0"/>
  </r>
  <r>
    <x v="497"/>
    <x v="3"/>
    <n v="0"/>
    <n v="0"/>
    <n v="0"/>
    <n v="0"/>
    <n v="0"/>
    <n v="0"/>
    <n v="0"/>
    <n v="0"/>
    <n v="0"/>
    <n v="0"/>
    <n v="6.093592396"/>
    <n v="0"/>
    <n v="0.20241636299999999"/>
    <n v="0"/>
    <n v="0"/>
    <n v="47.162280979999998"/>
    <n v="0"/>
    <n v="0"/>
    <n v="0"/>
    <n v="1.0846591560000001"/>
    <n v="0"/>
    <n v="0"/>
    <n v="124.8424615"/>
    <n v="0"/>
    <n v="406"/>
    <n v="0"/>
    <n v="0"/>
    <n v="0"/>
    <x v="2"/>
    <n v="27.969723560000002"/>
    <n v="0"/>
    <n v="27.969723560000002"/>
    <x v="1"/>
    <x v="0"/>
  </r>
  <r>
    <x v="498"/>
    <x v="3"/>
    <n v="0"/>
    <n v="0"/>
    <n v="0"/>
    <n v="0"/>
    <n v="0"/>
    <n v="0"/>
    <n v="0"/>
    <n v="0"/>
    <n v="0"/>
    <n v="0"/>
    <n v="8.1786831590000002"/>
    <n v="0"/>
    <n v="0.322576686"/>
    <n v="0"/>
    <n v="0"/>
    <n v="57.50340619"/>
    <n v="0"/>
    <n v="0"/>
    <n v="0"/>
    <n v="0.844482603"/>
    <n v="0"/>
    <n v="0"/>
    <n v="116.0815107"/>
    <n v="0"/>
    <n v="405"/>
    <n v="0"/>
    <n v="0"/>
    <n v="0"/>
    <x v="2"/>
    <n v="28.450189002499997"/>
    <n v="0"/>
    <n v="28.450189002499997"/>
    <x v="1"/>
    <x v="0"/>
  </r>
  <r>
    <x v="499"/>
    <x v="3"/>
    <n v="0"/>
    <n v="0"/>
    <n v="0"/>
    <n v="0"/>
    <n v="0"/>
    <n v="0"/>
    <n v="0"/>
    <n v="0"/>
    <n v="0"/>
    <n v="0"/>
    <n v="8.6568323570000008"/>
    <n v="0"/>
    <n v="0.29236693499999999"/>
    <n v="0"/>
    <n v="0"/>
    <n v="60.88628808"/>
    <n v="0"/>
    <n v="0"/>
    <n v="0"/>
    <n v="0.92867893999999995"/>
    <n v="0"/>
    <n v="0"/>
    <n v="130.02925279999999"/>
    <n v="0"/>
    <n v="403"/>
    <n v="0"/>
    <n v="0"/>
    <n v="0"/>
    <x v="2"/>
    <n v="30.7462455165"/>
    <n v="0"/>
    <n v="30.7462455165"/>
    <x v="1"/>
    <x v="0"/>
  </r>
  <r>
    <x v="500"/>
    <x v="3"/>
    <n v="0"/>
    <n v="0"/>
    <n v="0"/>
    <n v="0"/>
    <n v="0"/>
    <n v="0"/>
    <n v="0"/>
    <n v="0"/>
    <n v="0"/>
    <n v="0"/>
    <n v="13.022138330000001"/>
    <n v="0"/>
    <n v="0.41910503599999999"/>
    <n v="0"/>
    <n v="0"/>
    <n v="94.198550449999999"/>
    <n v="0"/>
    <n v="0"/>
    <n v="0"/>
    <n v="0.62151288599999999"/>
    <n v="0"/>
    <n v="0"/>
    <n v="103.10648089999999"/>
    <n v="0"/>
    <n v="400"/>
    <n v="0"/>
    <n v="0"/>
    <n v="0"/>
    <x v="2"/>
    <n v="32.485279832000003"/>
    <n v="0"/>
    <n v="32.485279832000003"/>
    <x v="1"/>
    <x v="0"/>
  </r>
  <r>
    <x v="501"/>
    <x v="3"/>
    <n v="0"/>
    <n v="0"/>
    <n v="0"/>
    <n v="0"/>
    <n v="0"/>
    <n v="0"/>
    <n v="0"/>
    <n v="0"/>
    <n v="0"/>
    <n v="0"/>
    <n v="11.650798910000001"/>
    <n v="0"/>
    <n v="0.35698797199999999"/>
    <n v="0"/>
    <n v="0"/>
    <n v="82.423524549999996"/>
    <n v="0"/>
    <n v="0"/>
    <n v="0"/>
    <n v="0.63918578299999995"/>
    <n v="0"/>
    <n v="0"/>
    <n v="115.3557706"/>
    <n v="0"/>
    <n v="399"/>
    <n v="0"/>
    <n v="0"/>
    <n v="0"/>
    <x v="2"/>
    <n v="31.580371499999998"/>
    <n v="0"/>
    <n v="31.580371499999998"/>
    <x v="1"/>
    <x v="0"/>
  </r>
  <r>
    <x v="502"/>
    <x v="2"/>
    <n v="0"/>
    <n v="0"/>
    <n v="0"/>
    <n v="0"/>
    <n v="0"/>
    <n v="0"/>
    <n v="0"/>
    <n v="0"/>
    <n v="0"/>
    <n v="0"/>
    <n v="24.335156560000001"/>
    <n v="0"/>
    <n v="1.6541518900000001"/>
    <n v="0"/>
    <n v="0"/>
    <n v="363.80433249999999"/>
    <n v="0"/>
    <n v="0"/>
    <n v="0"/>
    <n v="0"/>
    <n v="0"/>
    <n v="0"/>
    <n v="0"/>
    <n v="0"/>
    <n v="396"/>
    <n v="0"/>
    <n v="0"/>
    <n v="0"/>
    <x v="2"/>
    <n v="58.472922870000005"/>
    <n v="0"/>
    <n v="58.472922870000005"/>
    <x v="1"/>
    <x v="0"/>
  </r>
  <r>
    <x v="503"/>
    <x v="0"/>
    <n v="0"/>
    <n v="2.3371350899999999"/>
    <n v="0"/>
    <n v="0"/>
    <n v="2.9734223989999999"/>
    <n v="0"/>
    <n v="0"/>
    <n v="673.39858600000002"/>
    <n v="0"/>
    <n v="0"/>
    <n v="0"/>
    <n v="0"/>
    <n v="0"/>
    <n v="0"/>
    <n v="0"/>
    <n v="0"/>
    <n v="0"/>
    <n v="0"/>
    <n v="0"/>
    <n v="0.453927319"/>
    <n v="0"/>
    <n v="0"/>
    <n v="43.963116079999999"/>
    <n v="0"/>
    <n v="430"/>
    <n v="0"/>
    <n v="0"/>
    <n v="0"/>
    <x v="2"/>
    <n v="41.275238378000005"/>
    <n v="0"/>
    <n v="41.275238378000005"/>
    <x v="0"/>
    <x v="1"/>
  </r>
  <r>
    <x v="504"/>
    <x v="3"/>
    <n v="0"/>
    <n v="0"/>
    <n v="0"/>
    <n v="0"/>
    <n v="0"/>
    <n v="0"/>
    <n v="0"/>
    <n v="0"/>
    <n v="0"/>
    <n v="0"/>
    <n v="4.2434745190000003"/>
    <n v="0"/>
    <n v="0.16454501399999999"/>
    <n v="0"/>
    <n v="0"/>
    <n v="29.489939379999999"/>
    <n v="0"/>
    <n v="0"/>
    <n v="0"/>
    <n v="1.097332492"/>
    <n v="0"/>
    <n v="0"/>
    <n v="157.8664407"/>
    <n v="0"/>
    <n v="432"/>
    <n v="0"/>
    <n v="0"/>
    <n v="0"/>
    <x v="2"/>
    <n v="28.428640303500003"/>
    <n v="0"/>
    <n v="28.428640303500003"/>
    <x v="1"/>
    <x v="0"/>
  </r>
  <r>
    <x v="505"/>
    <x v="1"/>
    <n v="0"/>
    <n v="0"/>
    <n v="0"/>
    <n v="0"/>
    <n v="0"/>
    <n v="0"/>
    <n v="0"/>
    <n v="0"/>
    <n v="0"/>
    <n v="0"/>
    <n v="31.62992118"/>
    <n v="0"/>
    <n v="2.1546464219999999"/>
    <n v="0"/>
    <n v="0"/>
    <n v="297.59445460000001"/>
    <n v="0"/>
    <n v="0"/>
    <n v="0"/>
    <n v="0"/>
    <n v="0"/>
    <n v="0"/>
    <n v="0"/>
    <n v="0"/>
    <n v="444"/>
    <n v="0"/>
    <n v="0"/>
    <n v="0"/>
    <x v="2"/>
    <n v="58.502284582000001"/>
    <n v="0"/>
    <n v="58.502284582000001"/>
    <x v="1"/>
    <x v="0"/>
  </r>
  <r>
    <x v="506"/>
    <x v="0"/>
    <n v="0"/>
    <n v="1.8805266629999999"/>
    <n v="0"/>
    <n v="0"/>
    <n v="3.622313621"/>
    <n v="0"/>
    <n v="0"/>
    <n v="498.02099220000002"/>
    <n v="0"/>
    <n v="0"/>
    <n v="0"/>
    <n v="0"/>
    <n v="0"/>
    <n v="0"/>
    <n v="0"/>
    <n v="0"/>
    <n v="0"/>
    <n v="0"/>
    <n v="0"/>
    <n v="0.60786859599999998"/>
    <n v="0"/>
    <n v="0"/>
    <n v="35.0409583"/>
    <n v="0"/>
    <n v="456"/>
    <n v="0"/>
    <n v="0"/>
    <n v="0"/>
    <x v="2"/>
    <n v="37.800348251999999"/>
    <n v="0"/>
    <n v="37.800348251999999"/>
    <x v="0"/>
    <x v="1"/>
  </r>
  <r>
    <x v="507"/>
    <x v="0"/>
    <n v="0"/>
    <n v="1.5634059060000001"/>
    <n v="0"/>
    <n v="0"/>
    <n v="2.2374438090000002"/>
    <n v="0"/>
    <n v="0"/>
    <n v="434.3348742"/>
    <n v="0"/>
    <n v="0"/>
    <n v="0"/>
    <n v="0"/>
    <n v="0"/>
    <n v="0"/>
    <n v="0"/>
    <n v="0"/>
    <n v="0"/>
    <n v="0"/>
    <n v="0"/>
    <n v="0.19273789299999999"/>
    <n v="0"/>
    <n v="0"/>
    <n v="18.257963700000001"/>
    <n v="0"/>
    <n v="455"/>
    <n v="0"/>
    <n v="0"/>
    <n v="0"/>
    <x v="2"/>
    <n v="26.178582119999998"/>
    <n v="0"/>
    <n v="26.178582119999998"/>
    <x v="0"/>
    <x v="1"/>
  </r>
  <r>
    <x v="508"/>
    <x v="0"/>
    <n v="0"/>
    <n v="1.784055712"/>
    <n v="0"/>
    <n v="0"/>
    <n v="3.4163379549999999"/>
    <n v="0"/>
    <n v="0"/>
    <n v="445.50528709999998"/>
    <n v="0"/>
    <n v="0"/>
    <n v="0"/>
    <n v="0"/>
    <n v="0"/>
    <n v="0"/>
    <n v="0"/>
    <n v="0"/>
    <n v="0"/>
    <n v="0"/>
    <n v="0"/>
    <n v="0.18217599800000001"/>
    <n v="0"/>
    <n v="0"/>
    <n v="39.04501638"/>
    <n v="0"/>
    <n v="453"/>
    <n v="0"/>
    <n v="0"/>
    <n v="0"/>
    <x v="2"/>
    <n v="32.915009505999997"/>
    <n v="0"/>
    <n v="32.915009505999997"/>
    <x v="0"/>
    <x v="1"/>
  </r>
  <r>
    <x v="509"/>
    <x v="1"/>
    <n v="0"/>
    <n v="0"/>
    <n v="0"/>
    <n v="0"/>
    <n v="0"/>
    <n v="0"/>
    <n v="0"/>
    <n v="0"/>
    <n v="0"/>
    <n v="0"/>
    <n v="29.230093490000002"/>
    <n v="0"/>
    <n v="1.431966099"/>
    <n v="0"/>
    <n v="0"/>
    <n v="328.65930420000001"/>
    <n v="0"/>
    <n v="0"/>
    <n v="0"/>
    <n v="0"/>
    <n v="0"/>
    <n v="0"/>
    <n v="0"/>
    <n v="0"/>
    <n v="443"/>
    <n v="0"/>
    <n v="0"/>
    <n v="0"/>
    <x v="2"/>
    <n v="56.072773759000007"/>
    <n v="0"/>
    <n v="56.072773759000007"/>
    <x v="1"/>
    <x v="0"/>
  </r>
  <r>
    <x v="510"/>
    <x v="3"/>
    <n v="0"/>
    <n v="0"/>
    <n v="0"/>
    <n v="0"/>
    <n v="0"/>
    <n v="0"/>
    <n v="0"/>
    <n v="0"/>
    <n v="0"/>
    <n v="0"/>
    <n v="10.099625400000001"/>
    <n v="0"/>
    <n v="0.314220045"/>
    <n v="0"/>
    <n v="0"/>
    <n v="74.666644259999998"/>
    <n v="0"/>
    <n v="0"/>
    <n v="0"/>
    <n v="0.46898519999999999"/>
    <n v="0"/>
    <n v="0"/>
    <n v="80.999819009999996"/>
    <n v="0"/>
    <n v="433"/>
    <n v="0"/>
    <n v="0"/>
    <n v="0"/>
    <x v="2"/>
    <n v="25.315690496999999"/>
    <n v="0"/>
    <n v="25.315690496999999"/>
    <x v="1"/>
    <x v="0"/>
  </r>
  <r>
    <x v="511"/>
    <x v="1"/>
    <n v="0"/>
    <n v="0"/>
    <n v="0"/>
    <n v="0"/>
    <n v="0"/>
    <n v="0"/>
    <n v="0"/>
    <n v="0"/>
    <n v="0"/>
    <n v="0"/>
    <n v="27.388944739999999"/>
    <n v="0"/>
    <n v="2.0086856740000001"/>
    <n v="0"/>
    <n v="0"/>
    <n v="255.20634340000001"/>
    <n v="0"/>
    <n v="0"/>
    <n v="0"/>
    <n v="2.2009404E-2"/>
    <n v="0"/>
    <n v="0"/>
    <n v="1.8260879830000001"/>
    <n v="0"/>
    <n v="442"/>
    <n v="0"/>
    <n v="0"/>
    <n v="0"/>
    <x v="2"/>
    <n v="51.581885976300001"/>
    <n v="0"/>
    <n v="51.581885976300001"/>
    <x v="1"/>
    <x v="0"/>
  </r>
  <r>
    <x v="512"/>
    <x v="0"/>
    <n v="0"/>
    <n v="6.4729977959999996"/>
    <n v="0"/>
    <n v="0"/>
    <n v="9.0022678000000003"/>
    <n v="0"/>
    <n v="0"/>
    <n v="1921.867506"/>
    <n v="0"/>
    <n v="0"/>
    <n v="0"/>
    <n v="0"/>
    <n v="0"/>
    <n v="0"/>
    <n v="0"/>
    <n v="0"/>
    <n v="0"/>
    <n v="0"/>
    <n v="0"/>
    <n v="1.3605332320000001"/>
    <n v="0"/>
    <n v="0"/>
    <n v="74.575300170000006"/>
    <n v="0"/>
    <n v="441"/>
    <n v="0"/>
    <n v="0"/>
    <n v="0"/>
    <x v="2"/>
    <n v="115.55850525700001"/>
    <n v="0"/>
    <n v="115.55850525700001"/>
    <x v="0"/>
    <x v="1"/>
  </r>
  <r>
    <x v="513"/>
    <x v="3"/>
    <n v="0"/>
    <n v="0"/>
    <n v="0"/>
    <n v="0"/>
    <n v="0"/>
    <n v="0"/>
    <n v="0"/>
    <n v="0"/>
    <n v="0"/>
    <n v="0"/>
    <n v="4.3117649809999996"/>
    <n v="0"/>
    <n v="0.12631429199999999"/>
    <n v="0"/>
    <n v="0"/>
    <n v="30.103319410000001"/>
    <n v="0"/>
    <n v="0"/>
    <n v="0"/>
    <n v="0.87777852700000003"/>
    <n v="0"/>
    <n v="0"/>
    <n v="116.6741662"/>
    <n v="0"/>
    <n v="439"/>
    <n v="0"/>
    <n v="0"/>
    <n v="0"/>
    <x v="2"/>
    <n v="22.858187965500001"/>
    <n v="0"/>
    <n v="22.858187965500001"/>
    <x v="1"/>
    <x v="0"/>
  </r>
  <r>
    <x v="514"/>
    <x v="3"/>
    <n v="0"/>
    <n v="0"/>
    <n v="0"/>
    <n v="0"/>
    <n v="0"/>
    <n v="0"/>
    <n v="0"/>
    <n v="0"/>
    <n v="0"/>
    <n v="0"/>
    <n v="8.3139574330000006"/>
    <n v="0"/>
    <n v="0.26115651299999998"/>
    <n v="0"/>
    <n v="0"/>
    <n v="61.975513769999999"/>
    <n v="0"/>
    <n v="0"/>
    <n v="0"/>
    <n v="0.516137925"/>
    <n v="0"/>
    <n v="0"/>
    <n v="70.840259669999995"/>
    <n v="0"/>
    <n v="436"/>
    <n v="0"/>
    <n v="0"/>
    <n v="0"/>
    <x v="2"/>
    <n v="22.102322688499999"/>
    <n v="0"/>
    <n v="22.102322688499999"/>
    <x v="1"/>
    <x v="0"/>
  </r>
  <r>
    <x v="515"/>
    <x v="3"/>
    <n v="0"/>
    <n v="0"/>
    <n v="0"/>
    <n v="0"/>
    <n v="0"/>
    <n v="0"/>
    <n v="0"/>
    <n v="0"/>
    <n v="0"/>
    <n v="0"/>
    <n v="11.759892499999999"/>
    <n v="0"/>
    <n v="0.80667243300000002"/>
    <n v="0"/>
    <n v="0"/>
    <n v="88.285214010000004"/>
    <n v="0"/>
    <n v="0"/>
    <n v="0"/>
    <n v="0.220888479"/>
    <n v="0"/>
    <n v="0"/>
    <n v="19.75789623"/>
    <n v="0"/>
    <n v="434"/>
    <n v="0"/>
    <n v="0"/>
    <n v="0"/>
    <x v="2"/>
    <n v="22.849622746000001"/>
    <n v="0"/>
    <n v="22.849622746000001"/>
    <x v="1"/>
    <x v="0"/>
  </r>
  <r>
    <x v="516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0"/>
    <n v="0"/>
    <n v="0"/>
    <n v="0"/>
    <x v="2"/>
    <n v="0"/>
    <n v="0"/>
    <n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5E5E30-00DF-46AF-9AEA-0772213E392A}" name="PivotTable2" cacheId="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3:J463" firstHeaderRow="1" firstDataRow="2" firstDataCol="4" rowPageCount="1" colPageCount="1"/>
  <pivotFields count="38">
    <pivotField axis="axisRow" compact="0" outline="0" showAll="0" measureFilter="1" sortType="ascending" defaultSubtotal="0">
      <items count="587">
        <item x="415"/>
        <item x="57"/>
        <item x="98"/>
        <item x="110"/>
        <item x="355"/>
        <item m="1" x="551"/>
        <item m="1" x="548"/>
        <item x="505"/>
        <item x="223"/>
        <item x="75"/>
        <item x="351"/>
        <item x="83"/>
        <item x="335"/>
        <item x="492"/>
        <item x="132"/>
        <item x="310"/>
        <item x="14"/>
        <item x="468"/>
        <item x="440"/>
        <item x="337"/>
        <item x="422"/>
        <item x="320"/>
        <item x="172"/>
        <item x="508"/>
        <item m="1" x="557"/>
        <item x="358"/>
        <item x="59"/>
        <item x="474"/>
        <item x="379"/>
        <item x="31"/>
        <item x="394"/>
        <item x="237"/>
        <item x="179"/>
        <item x="421"/>
        <item m="1" x="547"/>
        <item x="259"/>
        <item x="224"/>
        <item x="258"/>
        <item x="340"/>
        <item x="191"/>
        <item x="411"/>
        <item x="215"/>
        <item x="483"/>
        <item x="451"/>
        <item x="21"/>
        <item x="124"/>
        <item x="180"/>
        <item x="341"/>
        <item x="484"/>
        <item x="408"/>
        <item x="412"/>
        <item x="217"/>
        <item x="116"/>
        <item x="17"/>
        <item x="482"/>
        <item x="339"/>
        <item x="253"/>
        <item x="420"/>
        <item x="388"/>
        <item x="69"/>
        <item x="334"/>
        <item x="95"/>
        <item x="109"/>
        <item x="469"/>
        <item m="1" x="543"/>
        <item x="199"/>
        <item x="173"/>
        <item m="1" x="581"/>
        <item x="344"/>
        <item x="367"/>
        <item x="140"/>
        <item x="30"/>
        <item x="43"/>
        <item x="208"/>
        <item x="295"/>
        <item x="175"/>
        <item x="174"/>
        <item x="314"/>
        <item x="366"/>
        <item x="36"/>
        <item x="416"/>
        <item x="183"/>
        <item x="161"/>
        <item x="304"/>
        <item x="353"/>
        <item m="1" x="527"/>
        <item x="60"/>
        <item x="126"/>
        <item x="291"/>
        <item x="267"/>
        <item x="380"/>
        <item x="368"/>
        <item x="504"/>
        <item m="1" x="552"/>
        <item x="279"/>
        <item x="105"/>
        <item m="1" x="554"/>
        <item x="434"/>
        <item x="64"/>
        <item x="209"/>
        <item x="141"/>
        <item x="0"/>
        <item x="303"/>
        <item x="211"/>
        <item m="1" x="575"/>
        <item x="372"/>
        <item x="238"/>
        <item x="513"/>
        <item x="333"/>
        <item x="227"/>
        <item x="63"/>
        <item x="127"/>
        <item x="383"/>
        <item m="1" x="562"/>
        <item m="1" x="546"/>
        <item x="250"/>
        <item x="128"/>
        <item x="201"/>
        <item x="413"/>
        <item x="144"/>
        <item x="447"/>
        <item x="225"/>
        <item x="136"/>
        <item x="189"/>
        <item x="345"/>
        <item m="1" x="545"/>
        <item x="90"/>
        <item x="277"/>
        <item x="96"/>
        <item x="396"/>
        <item m="1" x="568"/>
        <item x="240"/>
        <item x="77"/>
        <item x="514"/>
        <item x="269"/>
        <item x="375"/>
        <item x="262"/>
        <item x="381"/>
        <item x="343"/>
        <item x="27"/>
        <item x="35"/>
        <item m="1" x="523"/>
        <item x="371"/>
        <item x="395"/>
        <item x="177"/>
        <item x="485"/>
        <item x="232"/>
        <item m="1" x="577"/>
        <item x="470"/>
        <item x="445"/>
        <item x="488"/>
        <item x="54"/>
        <item x="261"/>
        <item x="362"/>
        <item x="386"/>
        <item x="461"/>
        <item x="203"/>
        <item x="490"/>
        <item x="369"/>
        <item x="204"/>
        <item m="1" x="519"/>
        <item x="290"/>
        <item m="1" x="582"/>
        <item x="294"/>
        <item x="168"/>
        <item x="472"/>
        <item x="226"/>
        <item x="42"/>
        <item m="1" x="584"/>
        <item x="493"/>
        <item x="81"/>
        <item x="251"/>
        <item x="138"/>
        <item x="85"/>
        <item x="120"/>
        <item x="248"/>
        <item x="234"/>
        <item m="1" x="576"/>
        <item m="1" x="526"/>
        <item x="276"/>
        <item m="1" x="573"/>
        <item x="2"/>
        <item x="370"/>
        <item x="459"/>
        <item x="406"/>
        <item x="56"/>
        <item x="113"/>
        <item x="219"/>
        <item x="270"/>
        <item x="84"/>
        <item x="147"/>
        <item x="471"/>
        <item x="399"/>
        <item x="312"/>
        <item x="170"/>
        <item x="62"/>
        <item x="398"/>
        <item x="115"/>
        <item x="268"/>
        <item x="221"/>
        <item x="475"/>
        <item x="452"/>
        <item x="149"/>
        <item x="286"/>
        <item x="264"/>
        <item x="260"/>
        <item m="1" x="530"/>
        <item x="10"/>
        <item x="70"/>
        <item x="186"/>
        <item x="4"/>
        <item x="494"/>
        <item x="323"/>
        <item x="38"/>
        <item m="1" x="544"/>
        <item x="515"/>
        <item m="1" x="558"/>
        <item x="275"/>
        <item x="313"/>
        <item x="18"/>
        <item x="152"/>
        <item x="356"/>
        <item x="111"/>
        <item x="242"/>
        <item x="496"/>
        <item m="1" x="524"/>
        <item x="78"/>
        <item m="1" x="563"/>
        <item x="233"/>
        <item x="498"/>
        <item x="187"/>
        <item x="430"/>
        <item m="1" x="529"/>
        <item x="441"/>
        <item x="442"/>
        <item x="139"/>
        <item m="1" x="555"/>
        <item x="45"/>
        <item x="194"/>
        <item x="348"/>
        <item x="486"/>
        <item x="216"/>
        <item x="387"/>
        <item x="427"/>
        <item m="1" x="537"/>
        <item x="436"/>
        <item x="477"/>
        <item m="1" x="574"/>
        <item x="61"/>
        <item x="188"/>
        <item x="196"/>
        <item x="410"/>
        <item x="499"/>
        <item x="365"/>
        <item x="247"/>
        <item m="1" x="559"/>
        <item x="51"/>
        <item x="297"/>
        <item x="155"/>
        <item x="352"/>
        <item x="448"/>
        <item x="463"/>
        <item x="325"/>
        <item x="106"/>
        <item x="198"/>
        <item x="9"/>
        <item x="293"/>
        <item x="157"/>
        <item x="288"/>
        <item x="391"/>
        <item x="252"/>
        <item x="16"/>
        <item x="464"/>
        <item x="236"/>
        <item x="425"/>
        <item x="121"/>
        <item x="104"/>
        <item x="428"/>
        <item x="158"/>
        <item x="456"/>
        <item x="281"/>
        <item x="478"/>
        <item x="287"/>
        <item x="100"/>
        <item x="134"/>
        <item x="507"/>
        <item x="23"/>
        <item x="181"/>
        <item x="205"/>
        <item x="222"/>
        <item x="336"/>
        <item x="89"/>
        <item x="210"/>
        <item x="117"/>
        <item x="467"/>
        <item x="501"/>
        <item m="1" x="585"/>
        <item x="278"/>
        <item x="182"/>
        <item x="123"/>
        <item x="200"/>
        <item x="52"/>
        <item x="29"/>
        <item x="8"/>
        <item x="37"/>
        <item x="160"/>
        <item x="212"/>
        <item x="321"/>
        <item x="228"/>
        <item x="162"/>
        <item m="1" x="564"/>
        <item x="163"/>
        <item x="457"/>
        <item m="1" x="518"/>
        <item x="165"/>
        <item x="7"/>
        <item x="404"/>
        <item x="282"/>
        <item x="229"/>
        <item m="1" x="556"/>
        <item m="1" x="561"/>
        <item x="94"/>
        <item x="202"/>
        <item x="473"/>
        <item x="71"/>
        <item x="166"/>
        <item x="241"/>
        <item x="119"/>
        <item x="243"/>
        <item x="450"/>
        <item m="1" x="567"/>
        <item x="476"/>
        <item x="129"/>
        <item x="13"/>
        <item m="1" x="550"/>
        <item x="167"/>
        <item x="328"/>
        <item x="255"/>
        <item x="214"/>
        <item x="329"/>
        <item x="361"/>
        <item x="34"/>
        <item x="506"/>
        <item x="306"/>
        <item x="185"/>
        <item x="137"/>
        <item x="431"/>
        <item x="503"/>
        <item x="364"/>
        <item x="489"/>
        <item x="93"/>
        <item x="308"/>
        <item m="1" x="532"/>
        <item x="426"/>
        <item m="1" x="569"/>
        <item x="145"/>
        <item x="130"/>
        <item x="402"/>
        <item m="1" x="531"/>
        <item m="1" x="528"/>
        <item x="301"/>
        <item x="378"/>
        <item x="354"/>
        <item x="437"/>
        <item x="319"/>
        <item x="443"/>
        <item x="285"/>
        <item x="289"/>
        <item x="195"/>
        <item x="401"/>
        <item x="509"/>
        <item x="453"/>
        <item x="331"/>
        <item x="265"/>
        <item m="1" x="583"/>
        <item x="511"/>
        <item x="82"/>
        <item x="47"/>
        <item x="197"/>
        <item x="58"/>
        <item x="1"/>
        <item x="207"/>
        <item x="178"/>
        <item x="405"/>
        <item x="102"/>
        <item m="1" x="580"/>
        <item x="220"/>
        <item x="169"/>
        <item x="274"/>
        <item x="407"/>
        <item m="1" x="572"/>
        <item x="429"/>
        <item x="417"/>
        <item x="454"/>
        <item m="1" x="517"/>
        <item x="302"/>
        <item m="1" x="533"/>
        <item x="146"/>
        <item x="502"/>
        <item x="307"/>
        <item x="317"/>
        <item x="299"/>
        <item x="460"/>
        <item x="112"/>
        <item x="68"/>
        <item x="230"/>
        <item x="432"/>
        <item m="1" x="536"/>
        <item m="1" x="565"/>
        <item x="80"/>
        <item x="382"/>
        <item x="79"/>
        <item x="433"/>
        <item x="86"/>
        <item x="148"/>
        <item x="131"/>
        <item x="65"/>
        <item x="99"/>
        <item x="91"/>
        <item x="327"/>
        <item x="350"/>
        <item x="296"/>
        <item x="409"/>
        <item m="1" x="534"/>
        <item x="15"/>
        <item x="171"/>
        <item x="107"/>
        <item x="423"/>
        <item x="324"/>
        <item x="11"/>
        <item x="374"/>
        <item m="1" x="539"/>
        <item x="257"/>
        <item x="439"/>
        <item x="338"/>
        <item x="46"/>
        <item m="1" x="560"/>
        <item x="213"/>
        <item x="332"/>
        <item x="424"/>
        <item x="311"/>
        <item x="322"/>
        <item x="28"/>
        <item x="266"/>
        <item x="193"/>
        <item x="280"/>
        <item x="73"/>
        <item m="1" x="522"/>
        <item x="298"/>
        <item x="256"/>
        <item x="449"/>
        <item x="389"/>
        <item x="510"/>
        <item x="516"/>
        <item m="1" x="525"/>
        <item m="1" x="541"/>
        <item x="6"/>
        <item x="466"/>
        <item x="108"/>
        <item x="244"/>
        <item x="245"/>
        <item x="49"/>
        <item x="39"/>
        <item x="150"/>
        <item x="239"/>
        <item x="20"/>
        <item x="151"/>
        <item x="254"/>
        <item x="497"/>
        <item x="50"/>
        <item x="153"/>
        <item x="418"/>
        <item x="300"/>
        <item x="74"/>
        <item x="455"/>
        <item x="359"/>
        <item m="1" x="540"/>
        <item x="218"/>
        <item x="495"/>
        <item x="143"/>
        <item x="435"/>
        <item x="318"/>
        <item x="25"/>
        <item x="400"/>
        <item x="206"/>
        <item x="40"/>
        <item x="88"/>
        <item x="41"/>
        <item m="1" x="579"/>
        <item x="53"/>
        <item x="349"/>
        <item x="393"/>
        <item x="33"/>
        <item m="1" x="553"/>
        <item x="360"/>
        <item m="1" x="520"/>
        <item m="1" x="521"/>
        <item x="438"/>
        <item m="1" x="578"/>
        <item x="249"/>
        <item x="273"/>
        <item x="346"/>
        <item x="377"/>
        <item x="76"/>
        <item x="479"/>
        <item x="419"/>
        <item x="272"/>
        <item m="1" x="535"/>
        <item x="458"/>
        <item x="154"/>
        <item m="1" x="542"/>
        <item x="491"/>
        <item x="87"/>
        <item x="487"/>
        <item x="22"/>
        <item x="156"/>
        <item x="444"/>
        <item x="342"/>
        <item x="133"/>
        <item x="309"/>
        <item x="24"/>
        <item x="284"/>
        <item x="403"/>
        <item x="19"/>
        <item x="67"/>
        <item x="392"/>
        <item x="390"/>
        <item x="72"/>
        <item x="192"/>
        <item x="347"/>
        <item x="292"/>
        <item x="316"/>
        <item x="159"/>
        <item x="385"/>
        <item x="92"/>
        <item m="1" x="571"/>
        <item x="305"/>
        <item x="326"/>
        <item m="1" x="549"/>
        <item x="32"/>
        <item x="231"/>
        <item x="122"/>
        <item x="363"/>
        <item m="1" x="586"/>
        <item x="5"/>
        <item x="271"/>
        <item m="1" x="570"/>
        <item x="283"/>
        <item x="118"/>
        <item x="97"/>
        <item x="135"/>
        <item x="397"/>
        <item x="26"/>
        <item x="384"/>
        <item x="184"/>
        <item x="465"/>
        <item x="190"/>
        <item x="125"/>
        <item x="373"/>
        <item x="357"/>
        <item x="246"/>
        <item x="3"/>
        <item x="330"/>
        <item x="315"/>
        <item m="1" x="538"/>
        <item x="414"/>
        <item x="66"/>
        <item x="500"/>
        <item x="176"/>
        <item x="48"/>
        <item x="103"/>
        <item x="480"/>
        <item x="446"/>
        <item x="481"/>
        <item x="263"/>
        <item m="1" x="566"/>
        <item x="235"/>
        <item x="55"/>
        <item x="164"/>
        <item x="142"/>
        <item x="512"/>
        <item x="114"/>
        <item x="462"/>
        <item x="44"/>
        <item x="376"/>
        <item x="12"/>
        <item x="10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name="Child Pos" axis="axisRow" compact="0" outline="0" showAll="0" defaultSubtotal="0">
      <items count="5">
        <item x="4"/>
        <item x="0"/>
        <item x="3"/>
        <item x="1"/>
        <item x="2"/>
      </items>
    </pivotField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dataField="1" compact="0" numFmtId="164" outline="0" showAll="0"/>
    <pivotField dataField="1" compact="0" numFmtId="164" outline="0" showAll="0"/>
    <pivotField dataField="1" compact="0" numFmtId="164" outline="0" showAll="0"/>
    <pivotField dataField="1" compact="0" outline="0" showAll="0"/>
    <pivotField axis="axisRow" compact="0" outline="0" showAll="0" sortType="descending">
      <items count="119">
        <item x="13"/>
        <item x="11"/>
        <item x="10"/>
        <item x="3"/>
        <item x="1"/>
        <item m="1" x="52"/>
        <item m="1" x="48"/>
        <item m="1" x="78"/>
        <item m="1" x="47"/>
        <item m="1" x="86"/>
        <item m="1" x="87"/>
        <item m="1" x="84"/>
        <item m="1" x="83"/>
        <item m="1" x="85"/>
        <item m="1" x="96"/>
        <item x="21"/>
        <item m="1" x="92"/>
        <item m="1" x="91"/>
        <item m="1" x="90"/>
        <item m="1" x="89"/>
        <item m="1" x="88"/>
        <item m="1" x="97"/>
        <item m="1" x="108"/>
        <item m="1" x="102"/>
        <item m="1" x="109"/>
        <item m="1" x="101"/>
        <item m="1" x="105"/>
        <item m="1" x="94"/>
        <item m="1" x="93"/>
        <item m="1" x="110"/>
        <item m="1" x="107"/>
        <item m="1" x="111"/>
        <item m="1" x="100"/>
        <item m="1" x="103"/>
        <item m="1" x="95"/>
        <item m="1" x="98"/>
        <item m="1" x="104"/>
        <item m="1" x="106"/>
        <item m="1" x="99"/>
        <item x="45"/>
        <item m="1" x="112"/>
        <item m="1" x="116"/>
        <item m="1" x="115"/>
        <item m="1" x="114"/>
        <item m="1" x="113"/>
        <item m="1" x="117"/>
        <item m="1" x="46"/>
        <item m="1" x="49"/>
        <item m="1" x="75"/>
        <item m="1" x="51"/>
        <item m="1" x="76"/>
        <item m="1" x="77"/>
        <item m="1" x="56"/>
        <item x="18"/>
        <item x="20"/>
        <item x="22"/>
        <item x="23"/>
        <item m="1" x="58"/>
        <item m="1" x="59"/>
        <item m="1" x="79"/>
        <item m="1" x="61"/>
        <item x="17"/>
        <item m="1" x="62"/>
        <item m="1" x="80"/>
        <item m="1" x="64"/>
        <item x="35"/>
        <item x="32"/>
        <item x="33"/>
        <item m="1" x="63"/>
        <item m="1" x="65"/>
        <item x="34"/>
        <item x="36"/>
        <item m="1" x="66"/>
        <item m="1" x="81"/>
        <item m="1" x="68"/>
        <item m="1" x="69"/>
        <item x="39"/>
        <item m="1" x="82"/>
        <item m="1" x="71"/>
        <item m="1" x="72"/>
        <item m="1" x="73"/>
        <item m="1" x="74"/>
        <item x="2"/>
        <item m="1" x="50"/>
        <item m="1" x="53"/>
        <item m="1" x="54"/>
        <item m="1" x="55"/>
        <item m="1" x="57"/>
        <item m="1" x="60"/>
        <item m="1" x="67"/>
        <item m="1" x="70"/>
        <item x="0"/>
        <item x="4"/>
        <item x="5"/>
        <item x="6"/>
        <item x="7"/>
        <item x="8"/>
        <item x="9"/>
        <item x="12"/>
        <item x="14"/>
        <item x="15"/>
        <item x="16"/>
        <item x="19"/>
        <item x="24"/>
        <item x="25"/>
        <item x="26"/>
        <item x="27"/>
        <item x="28"/>
        <item x="29"/>
        <item x="30"/>
        <item x="31"/>
        <item x="37"/>
        <item x="38"/>
        <item x="40"/>
        <item x="41"/>
        <item x="42"/>
        <item x="43"/>
        <item x="4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numFmtId="164" outline="0" showAll="0"/>
    <pivotField dataField="1" compact="0" numFmtId="164" outline="0" showAll="0"/>
    <pivotField dataField="1" compact="0" numFmtId="164" outline="0" showAll="0"/>
    <pivotField name="Parent Pos" axis="axisRow" compact="0" outline="0" showAll="0" defaultSubtotal="0">
      <items count="2">
        <item x="1"/>
        <item x="0"/>
      </items>
    </pivotField>
    <pivotField name="Show" axis="axisPage" compact="0" outline="0" showAll="0">
      <items count="5">
        <item m="1" x="2"/>
        <item x="0"/>
        <item x="1"/>
        <item m="1" x="3"/>
        <item t="default"/>
      </items>
    </pivotField>
    <pivotField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34"/>
    <field x="1"/>
    <field x="30"/>
  </rowFields>
  <rowItems count="459">
    <i>
      <x v="486"/>
      <x/>
      <x v="2"/>
      <x v="15"/>
    </i>
    <i>
      <x v="549"/>
      <x/>
      <x v="2"/>
      <x v="76"/>
    </i>
    <i>
      <x v="534"/>
      <x/>
      <x v="2"/>
      <x v="82"/>
    </i>
    <i>
      <x v="503"/>
      <x/>
      <x v="4"/>
      <x v="82"/>
    </i>
    <i>
      <x v="26"/>
      <x/>
      <x v="4"/>
      <x v="82"/>
    </i>
    <i>
      <x v="566"/>
      <x/>
      <x v="4"/>
      <x v="82"/>
    </i>
    <i>
      <x v="324"/>
      <x/>
      <x v="4"/>
      <x v="70"/>
    </i>
    <i>
      <x v="248"/>
      <x/>
      <x v="4"/>
      <x v="82"/>
    </i>
    <i>
      <x v="276"/>
      <x/>
      <x v="2"/>
      <x v="116"/>
    </i>
    <i>
      <x v="95"/>
      <x/>
      <x v="2"/>
      <x v="76"/>
    </i>
    <i>
      <x v="577"/>
      <x/>
      <x v="4"/>
      <x v="82"/>
    </i>
    <i>
      <x v="132"/>
      <x/>
      <x v="4"/>
      <x v="82"/>
    </i>
    <i>
      <x v="379"/>
      <x/>
      <x v="4"/>
      <x v="82"/>
    </i>
    <i>
      <x v="344"/>
      <x/>
      <x v="2"/>
      <x v="82"/>
    </i>
    <i>
      <x v="209"/>
      <x/>
      <x v="2"/>
      <x v="82"/>
    </i>
    <i>
      <x v="350"/>
      <x/>
      <x v="2"/>
      <x v="76"/>
    </i>
    <i>
      <x v="61"/>
      <x/>
      <x v="2"/>
      <x v="82"/>
    </i>
    <i>
      <x v="489"/>
      <x/>
      <x v="4"/>
      <x v="108"/>
    </i>
    <i>
      <x v="173"/>
      <x/>
      <x v="4"/>
      <x v="65"/>
    </i>
    <i>
      <x v="170"/>
      <x/>
      <x v="4"/>
      <x v="82"/>
    </i>
    <i>
      <x v="446"/>
      <x/>
      <x v="4"/>
      <x v="82"/>
    </i>
    <i>
      <x v="185"/>
      <x/>
      <x v="4"/>
      <x v="82"/>
    </i>
    <i>
      <x v="404"/>
      <x/>
      <x v="4"/>
      <x v="82"/>
    </i>
    <i>
      <x v="426"/>
      <x/>
      <x v="2"/>
      <x v="117"/>
    </i>
    <i>
      <x v="128"/>
      <x/>
      <x v="2"/>
      <x v="82"/>
    </i>
    <i>
      <x v="151"/>
      <x/>
      <x v="4"/>
      <x v="55"/>
    </i>
    <i>
      <x v="195"/>
      <x/>
      <x v="4"/>
      <x v="110"/>
    </i>
    <i>
      <x v="570"/>
      <x/>
      <x v="2"/>
      <x v="115"/>
    </i>
    <i>
      <x v="321"/>
      <x/>
      <x v="2"/>
      <x v="82"/>
    </i>
    <i>
      <x v="263"/>
      <x/>
      <x v="2"/>
      <x v="82"/>
    </i>
    <i>
      <x v="409"/>
      <x/>
      <x v="4"/>
      <x v="56"/>
    </i>
    <i>
      <x v="435"/>
      <x/>
      <x v="4"/>
      <x v="61"/>
    </i>
    <i>
      <x v="539"/>
      <x/>
      <x v="4"/>
      <x v="101"/>
    </i>
    <i>
      <x v="411"/>
      <x/>
      <x v="4"/>
      <x v="70"/>
    </i>
    <i>
      <x v="265"/>
      <x v="1"/>
      <x v="1"/>
      <x v="3"/>
    </i>
    <i>
      <x v="98"/>
      <x/>
      <x v="3"/>
      <x v="82"/>
    </i>
    <i>
      <x v="59"/>
      <x/>
      <x v="3"/>
      <x v="82"/>
    </i>
    <i>
      <x v="333"/>
      <x v="1"/>
      <x v="1"/>
      <x v="82"/>
    </i>
    <i>
      <x v="283"/>
      <x/>
      <x v="2"/>
      <x v="82"/>
    </i>
    <i>
      <x v="230"/>
      <x/>
      <x v="2"/>
      <x v="82"/>
    </i>
    <i>
      <x v="417"/>
      <x/>
      <x v="2"/>
      <x v="82"/>
    </i>
    <i>
      <x v="86"/>
      <x/>
      <x v="4"/>
      <x v="109"/>
    </i>
    <i>
      <x v="416"/>
      <x/>
      <x v="4"/>
      <x v="67"/>
    </i>
    <i>
      <x v="301"/>
      <x/>
      <x v="4"/>
      <x v="82"/>
    </i>
    <i>
      <x v="473"/>
      <x/>
      <x v="4"/>
      <x v="82"/>
    </i>
    <i>
      <x v="512"/>
      <x/>
      <x v="4"/>
      <x v="55"/>
    </i>
    <i>
      <x v="1"/>
      <x/>
      <x v="4"/>
      <x v="82"/>
    </i>
    <i>
      <x v="123"/>
      <x/>
      <x v="4"/>
      <x v="82"/>
    </i>
    <i>
      <x v="207"/>
      <x v="1"/>
      <x v="1"/>
      <x v="82"/>
    </i>
    <i>
      <x v="139"/>
      <x v="1"/>
      <x v="1"/>
      <x v="100"/>
    </i>
    <i>
      <x v="189"/>
      <x/>
      <x v="3"/>
      <x v="82"/>
    </i>
    <i>
      <x v="72"/>
      <x/>
      <x v="4"/>
      <x v="103"/>
    </i>
    <i>
      <x v="376"/>
      <x/>
      <x v="4"/>
      <x v="71"/>
    </i>
    <i>
      <x v="492"/>
      <x/>
      <x v="4"/>
      <x v="61"/>
    </i>
    <i>
      <x v="79"/>
      <x/>
      <x v="4"/>
      <x v="102"/>
    </i>
    <i>
      <x v="51"/>
      <x/>
      <x v="3"/>
      <x v="82"/>
    </i>
    <i>
      <x v="386"/>
      <x/>
      <x v="3"/>
      <x v="82"/>
    </i>
    <i>
      <x v="561"/>
      <x v="1"/>
      <x v="1"/>
      <x v="82"/>
    </i>
    <i>
      <x v="482"/>
      <x v="1"/>
      <x v="1"/>
      <x/>
    </i>
    <i>
      <x v="286"/>
      <x v="1"/>
      <x v="1"/>
      <x v="82"/>
    </i>
    <i>
      <x v="465"/>
      <x v="1"/>
      <x v="1"/>
      <x v="2"/>
    </i>
    <i>
      <x v="117"/>
      <x/>
      <x v="2"/>
      <x v="82"/>
    </i>
    <i>
      <x v="458"/>
      <x/>
      <x v="2"/>
      <x v="82"/>
    </i>
    <i>
      <x v="322"/>
      <x/>
      <x v="2"/>
      <x v="82"/>
    </i>
    <i>
      <x v="586"/>
      <x/>
      <x v="2"/>
      <x v="82"/>
    </i>
    <i>
      <x v="2"/>
      <x/>
      <x v="2"/>
      <x v="113"/>
    </i>
    <i>
      <x v="569"/>
      <x/>
      <x v="4"/>
      <x v="106"/>
    </i>
    <i>
      <x v="413"/>
      <x/>
      <x v="4"/>
      <x v="111"/>
    </i>
    <i>
      <x v="237"/>
      <x/>
      <x v="4"/>
      <x v="105"/>
    </i>
    <i>
      <x v="71"/>
      <x/>
      <x v="4"/>
      <x v="82"/>
    </i>
    <i>
      <x v="487"/>
      <x/>
      <x v="4"/>
      <x v="82"/>
    </i>
    <i>
      <x v="304"/>
      <x/>
      <x v="4"/>
      <x v="54"/>
    </i>
    <i>
      <x v="377"/>
      <x/>
      <x v="3"/>
      <x v="82"/>
    </i>
    <i>
      <x v="462"/>
      <x/>
      <x v="3"/>
      <x v="15"/>
    </i>
    <i>
      <x v="213"/>
      <x/>
      <x v="3"/>
      <x v="82"/>
    </i>
    <i>
      <x v="306"/>
      <x/>
      <x v="2"/>
      <x v="82"/>
    </i>
    <i>
      <x v="528"/>
      <x/>
      <x v="2"/>
      <x v="82"/>
    </i>
    <i>
      <x v="159"/>
      <x/>
      <x v="2"/>
      <x v="82"/>
    </i>
    <i>
      <x v="300"/>
      <x/>
      <x v="2"/>
      <x v="82"/>
    </i>
    <i>
      <x v="444"/>
      <x/>
      <x v="2"/>
      <x v="82"/>
    </i>
    <i>
      <x v="485"/>
      <x/>
      <x v="4"/>
      <x v="55"/>
    </i>
    <i>
      <x v="469"/>
      <x/>
      <x v="4"/>
      <x v="107"/>
    </i>
    <i>
      <x v="302"/>
      <x/>
      <x v="4"/>
      <x v="82"/>
    </i>
    <i>
      <x v="273"/>
      <x/>
      <x v="4"/>
      <x v="82"/>
    </i>
    <i>
      <x v="9"/>
      <x/>
      <x v="4"/>
      <x v="56"/>
    </i>
    <i>
      <x v="110"/>
      <x/>
      <x v="4"/>
      <x v="66"/>
    </i>
    <i>
      <x v="39"/>
      <x/>
      <x v="2"/>
      <x v="82"/>
    </i>
    <i>
      <x v="62"/>
      <x/>
      <x v="2"/>
      <x v="82"/>
    </i>
    <i>
      <x v="556"/>
      <x/>
      <x v="2"/>
      <x v="82"/>
    </i>
    <i>
      <x v="418"/>
      <x/>
      <x v="2"/>
      <x v="82"/>
    </i>
    <i>
      <x v="210"/>
      <x v="1"/>
      <x v="1"/>
      <x v="3"/>
    </i>
    <i>
      <x v="271"/>
      <x v="1"/>
      <x v="1"/>
      <x v="97"/>
    </i>
    <i>
      <x v="523"/>
      <x v="1"/>
      <x v="1"/>
      <x v="3"/>
    </i>
    <i>
      <x v="208"/>
      <x/>
      <x v="4"/>
      <x v="82"/>
    </i>
    <i>
      <x v="226"/>
      <x/>
      <x v="4"/>
      <x v="65"/>
    </i>
    <i>
      <x v="527"/>
      <x/>
      <x v="4"/>
      <x v="82"/>
    </i>
    <i>
      <x v="338"/>
      <x/>
      <x v="4"/>
      <x v="82"/>
    </i>
    <i>
      <x v="437"/>
      <x/>
      <x v="4"/>
      <x v="82"/>
    </i>
    <i>
      <x v="303"/>
      <x v="1"/>
      <x v="1"/>
      <x v="82"/>
    </i>
    <i>
      <x v="442"/>
      <x/>
      <x v="3"/>
      <x v="82"/>
    </i>
    <i>
      <x v="341"/>
      <x/>
      <x v="3"/>
      <x v="82"/>
    </i>
    <i>
      <x v="126"/>
      <x/>
      <x v="2"/>
      <x v="82"/>
    </i>
    <i>
      <x v="499"/>
      <x/>
      <x v="2"/>
      <x v="82"/>
    </i>
    <i>
      <x v="384"/>
      <x/>
      <x v="2"/>
      <x v="114"/>
    </i>
    <i>
      <x v="3"/>
      <x/>
      <x v="2"/>
      <x v="39"/>
    </i>
    <i>
      <x v="275"/>
      <x/>
      <x v="2"/>
      <x v="82"/>
    </i>
    <i>
      <x v="187"/>
      <x/>
      <x v="4"/>
      <x v="82"/>
    </i>
    <i>
      <x v="167"/>
      <x/>
      <x v="4"/>
      <x v="56"/>
    </i>
    <i>
      <x v="29"/>
      <x/>
      <x v="4"/>
      <x v="82"/>
    </i>
    <i>
      <x v="464"/>
      <x/>
      <x v="3"/>
      <x v="82"/>
    </i>
    <i>
      <x v="524"/>
      <x/>
      <x v="3"/>
      <x v="82"/>
    </i>
    <i>
      <x v="65"/>
      <x/>
      <x v="3"/>
      <x v="82"/>
    </i>
    <i>
      <x v="288"/>
      <x/>
      <x v="2"/>
      <x v="82"/>
    </i>
    <i>
      <x v="368"/>
      <x/>
      <x v="2"/>
      <x v="82"/>
    </i>
    <i>
      <x v="484"/>
      <x/>
      <x v="2"/>
      <x v="82"/>
    </i>
    <i>
      <x v="292"/>
      <x/>
      <x v="2"/>
      <x v="82"/>
    </i>
    <i>
      <x v="156"/>
      <x/>
      <x v="2"/>
      <x v="82"/>
    </i>
    <i>
      <x v="585"/>
      <x v="1"/>
      <x v="1"/>
      <x v="82"/>
    </i>
    <i>
      <x v="249"/>
      <x v="1"/>
      <x v="1"/>
      <x v="82"/>
    </i>
    <i>
      <x v="219"/>
      <x v="1"/>
      <x v="1"/>
      <x v="82"/>
    </i>
    <i>
      <x v="8"/>
      <x/>
      <x v="2"/>
      <x v="82"/>
    </i>
    <i>
      <x v="37"/>
      <x/>
      <x v="2"/>
      <x v="82"/>
    </i>
    <i>
      <x v="41"/>
      <x/>
      <x v="2"/>
      <x v="82"/>
    </i>
    <i>
      <x v="337"/>
      <x/>
      <x v="2"/>
      <x v="82"/>
    </i>
    <i>
      <x v="291"/>
      <x/>
      <x v="4"/>
      <x v="112"/>
    </i>
    <i>
      <x v="318"/>
      <x/>
      <x v="4"/>
      <x v="82"/>
    </i>
    <i>
      <x v="449"/>
      <x/>
      <x v="4"/>
      <x v="82"/>
    </i>
    <i>
      <x v="432"/>
      <x/>
      <x v="4"/>
      <x v="82"/>
    </i>
    <i>
      <x v="222"/>
      <x/>
      <x v="4"/>
      <x v="82"/>
    </i>
    <i>
      <x v="327"/>
      <x/>
      <x v="4"/>
      <x v="82"/>
    </i>
    <i>
      <x v="381"/>
      <x/>
      <x v="4"/>
      <x v="82"/>
    </i>
    <i>
      <x v="514"/>
      <x v="1"/>
      <x v="1"/>
      <x v="82"/>
    </i>
    <i>
      <x v="424"/>
      <x v="1"/>
      <x v="1"/>
      <x v="96"/>
    </i>
    <i>
      <x v="53"/>
      <x v="1"/>
      <x v="1"/>
      <x v="82"/>
    </i>
    <i>
      <x v="140"/>
      <x/>
      <x v="3"/>
      <x v="53"/>
    </i>
    <i>
      <x v="461"/>
      <x/>
      <x v="3"/>
      <x v="82"/>
    </i>
    <i>
      <x v="35"/>
      <x/>
      <x v="3"/>
      <x v="82"/>
    </i>
    <i>
      <x v="583"/>
      <x/>
      <x v="4"/>
      <x v="104"/>
    </i>
    <i>
      <x v="121"/>
      <x/>
      <x v="4"/>
      <x v="82"/>
    </i>
    <i>
      <x v="467"/>
      <x/>
      <x v="4"/>
      <x v="82"/>
    </i>
    <i>
      <x v="256"/>
      <x/>
      <x v="4"/>
      <x v="82"/>
    </i>
    <i>
      <x v="52"/>
      <x/>
      <x v="2"/>
      <x v="82"/>
    </i>
    <i>
      <x v="548"/>
      <x/>
      <x v="2"/>
      <x v="82"/>
    </i>
    <i>
      <x v="560"/>
      <x/>
      <x v="2"/>
      <x v="82"/>
    </i>
    <i>
      <x v="518"/>
      <x/>
      <x v="2"/>
      <x v="82"/>
    </i>
    <i>
      <x v="115"/>
      <x/>
      <x v="2"/>
      <x v="82"/>
    </i>
    <i>
      <x v="581"/>
      <x/>
      <x v="4"/>
      <x v="82"/>
    </i>
    <i>
      <x v="171"/>
      <x/>
      <x v="4"/>
      <x v="82"/>
    </i>
    <i>
      <x v="11"/>
      <x/>
      <x v="4"/>
      <x v="82"/>
    </i>
    <i>
      <x v="109"/>
      <x/>
      <x v="4"/>
      <x v="82"/>
    </i>
    <i>
      <x v="405"/>
      <x/>
      <x v="4"/>
      <x v="82"/>
    </i>
    <i>
      <x v="540"/>
      <x/>
      <x v="4"/>
      <x v="82"/>
    </i>
    <i>
      <x v="223"/>
      <x/>
      <x v="2"/>
      <x v="82"/>
    </i>
    <i>
      <x v="270"/>
      <x/>
      <x v="2"/>
      <x v="82"/>
    </i>
    <i>
      <x v="299"/>
      <x/>
      <x v="2"/>
      <x v="82"/>
    </i>
    <i>
      <x v="22"/>
      <x/>
      <x v="2"/>
      <x v="82"/>
    </i>
    <i>
      <x v="119"/>
      <x/>
      <x v="2"/>
      <x v="82"/>
    </i>
    <i>
      <x v="186"/>
      <x/>
      <x v="2"/>
      <x v="82"/>
    </i>
    <i>
      <x v="166"/>
      <x/>
      <x v="2"/>
      <x v="82"/>
    </i>
    <i>
      <x v="56"/>
      <x/>
      <x v="4"/>
      <x v="82"/>
    </i>
    <i>
      <x v="433"/>
      <x/>
      <x v="4"/>
      <x v="82"/>
    </i>
    <i>
      <x v="328"/>
      <x/>
      <x v="4"/>
      <x v="82"/>
    </i>
    <i>
      <x v="44"/>
      <x v="1"/>
      <x v="1"/>
      <x v="1"/>
    </i>
    <i>
      <x v="315"/>
      <x v="1"/>
      <x v="1"/>
      <x v="93"/>
    </i>
    <i>
      <x v="73"/>
      <x/>
      <x v="3"/>
      <x v="82"/>
    </i>
    <i>
      <x v="497"/>
      <x/>
      <x v="3"/>
      <x v="82"/>
    </i>
    <i>
      <x v="363"/>
      <x/>
      <x v="3"/>
      <x v="82"/>
    </i>
    <i>
      <x v="477"/>
      <x/>
      <x v="3"/>
      <x v="82"/>
    </i>
    <i>
      <x v="245"/>
      <x/>
      <x v="3"/>
      <x v="82"/>
    </i>
    <i>
      <x v="264"/>
      <x/>
      <x v="4"/>
      <x v="82"/>
    </i>
    <i>
      <x v="480"/>
      <x/>
      <x v="2"/>
      <x v="82"/>
    </i>
    <i>
      <x v="97"/>
      <x/>
      <x v="2"/>
      <x v="82"/>
    </i>
    <i>
      <x v="181"/>
      <x v="1"/>
      <x v="1"/>
      <x v="82"/>
    </i>
    <i>
      <x v="520"/>
      <x v="1"/>
      <x v="1"/>
      <x v="98"/>
    </i>
    <i>
      <x v="456"/>
      <x v="1"/>
      <x v="1"/>
      <x v="82"/>
    </i>
    <i>
      <x v="16"/>
      <x v="1"/>
      <x v="1"/>
      <x v="95"/>
    </i>
    <i>
      <x v="412"/>
      <x/>
      <x v="4"/>
      <x v="82"/>
    </i>
    <i>
      <x v="18"/>
      <x/>
      <x v="4"/>
      <x v="82"/>
    </i>
    <i>
      <x v="36"/>
      <x/>
      <x v="4"/>
      <x v="82"/>
    </i>
    <i>
      <x v="233"/>
      <x/>
      <x v="4"/>
      <x v="82"/>
    </i>
    <i>
      <x v="120"/>
      <x/>
      <x v="4"/>
      <x v="82"/>
    </i>
    <i>
      <x v="201"/>
      <x/>
      <x v="3"/>
      <x v="82"/>
    </i>
    <i>
      <x v="43"/>
      <x/>
      <x v="3"/>
      <x v="82"/>
    </i>
    <i>
      <x v="329"/>
      <x/>
      <x v="4"/>
      <x v="82"/>
    </i>
    <i>
      <x v="450"/>
      <x/>
      <x v="4"/>
      <x v="82"/>
    </i>
    <i>
      <x v="332"/>
      <x/>
      <x v="4"/>
      <x v="82"/>
    </i>
    <i>
      <x v="260"/>
      <x/>
      <x v="4"/>
      <x v="82"/>
    </i>
    <i>
      <x v="326"/>
      <x/>
      <x v="2"/>
      <x v="82"/>
    </i>
    <i>
      <x v="572"/>
      <x/>
      <x v="2"/>
      <x v="82"/>
    </i>
    <i>
      <x v="238"/>
      <x/>
      <x v="2"/>
      <x v="82"/>
    </i>
    <i>
      <x v="149"/>
      <x/>
      <x v="3"/>
      <x v="82"/>
    </i>
    <i>
      <x v="516"/>
      <x/>
      <x v="3"/>
      <x v="82"/>
    </i>
    <i>
      <x v="365"/>
      <x/>
      <x v="3"/>
      <x v="82"/>
    </i>
    <i>
      <x v="552"/>
      <x v="1"/>
      <x v="1"/>
      <x v="99"/>
    </i>
    <i>
      <x v="378"/>
      <x v="1"/>
      <x v="1"/>
      <x v="82"/>
    </i>
    <i>
      <x v="544"/>
      <x v="1"/>
      <x v="1"/>
      <x v="92"/>
    </i>
    <i>
      <x v="234"/>
      <x/>
      <x v="2"/>
      <x v="82"/>
    </i>
    <i>
      <x v="406"/>
      <x/>
      <x v="2"/>
      <x v="82"/>
    </i>
    <i>
      <x v="231"/>
      <x/>
      <x v="2"/>
      <x v="82"/>
    </i>
    <i>
      <x v="184"/>
      <x/>
      <x v="4"/>
      <x v="82"/>
    </i>
    <i>
      <x v="541"/>
      <x/>
      <x v="2"/>
      <x v="82"/>
    </i>
    <i>
      <x v="80"/>
      <x/>
      <x v="2"/>
      <x v="82"/>
    </i>
    <i>
      <x v="146"/>
      <x/>
      <x v="4"/>
      <x v="82"/>
    </i>
    <i>
      <x/>
      <x/>
      <x v="4"/>
      <x v="82"/>
    </i>
    <i>
      <x v="565"/>
      <x/>
      <x v="4"/>
      <x v="82"/>
    </i>
    <i>
      <x v="131"/>
      <x/>
      <x v="4"/>
      <x v="82"/>
    </i>
    <i>
      <x v="118"/>
      <x/>
      <x v="4"/>
      <x v="82"/>
    </i>
    <i>
      <x v="50"/>
      <x/>
      <x v="4"/>
      <x v="82"/>
    </i>
    <i>
      <x v="45"/>
      <x/>
      <x v="4"/>
      <x v="82"/>
    </i>
    <i>
      <x v="197"/>
      <x/>
      <x v="4"/>
      <x v="82"/>
    </i>
    <i>
      <x v="40"/>
      <x/>
      <x v="2"/>
      <x v="82"/>
    </i>
    <i>
      <x v="251"/>
      <x/>
      <x v="2"/>
      <x v="82"/>
    </i>
    <i>
      <x v="459"/>
      <x/>
      <x v="2"/>
      <x v="82"/>
    </i>
    <i>
      <x v="422"/>
      <x/>
      <x v="2"/>
      <x v="82"/>
    </i>
    <i>
      <x v="49"/>
      <x/>
      <x v="2"/>
      <x v="82"/>
    </i>
    <i>
      <x v="557"/>
      <x/>
      <x v="2"/>
      <x v="82"/>
    </i>
    <i>
      <x v="389"/>
      <x/>
      <x v="2"/>
      <x v="82"/>
    </i>
    <i>
      <x v="106"/>
      <x/>
      <x v="2"/>
      <x v="82"/>
    </i>
    <i>
      <x v="355"/>
      <x/>
      <x v="2"/>
      <x v="82"/>
    </i>
    <i>
      <x v="392"/>
      <x/>
      <x v="2"/>
      <x v="82"/>
    </i>
    <i>
      <x v="471"/>
      <x/>
      <x v="2"/>
      <x v="82"/>
    </i>
    <i>
      <x v="427"/>
      <x/>
      <x v="2"/>
      <x v="82"/>
    </i>
    <i>
      <x v="391"/>
      <x/>
      <x v="2"/>
      <x v="82"/>
    </i>
    <i>
      <x v="277"/>
      <x/>
      <x v="4"/>
      <x v="82"/>
    </i>
    <i>
      <x v="243"/>
      <x/>
      <x v="4"/>
      <x v="82"/>
    </i>
    <i>
      <x v="353"/>
      <x/>
      <x v="3"/>
      <x v="82"/>
    </i>
    <i>
      <x v="274"/>
      <x/>
      <x v="3"/>
      <x v="82"/>
    </i>
    <i>
      <x v="439"/>
      <x/>
      <x v="3"/>
      <x v="82"/>
    </i>
    <i>
      <x v="116"/>
      <x/>
      <x v="4"/>
      <x v="82"/>
    </i>
    <i>
      <x v="20"/>
      <x/>
      <x v="4"/>
      <x v="82"/>
    </i>
    <i>
      <x v="505"/>
      <x/>
      <x v="4"/>
      <x v="82"/>
    </i>
    <i>
      <x v="202"/>
      <x/>
      <x v="4"/>
      <x v="82"/>
    </i>
    <i>
      <x v="33"/>
      <x/>
      <x v="2"/>
      <x v="82"/>
    </i>
    <i>
      <x v="57"/>
      <x/>
      <x v="2"/>
      <x v="82"/>
    </i>
    <i>
      <x v="103"/>
      <x v="1"/>
      <x v="1"/>
      <x v="82"/>
    </i>
    <i>
      <x v="429"/>
      <x v="1"/>
      <x v="1"/>
      <x v="94"/>
    </i>
    <i>
      <x v="403"/>
      <x v="1"/>
      <x v="1"/>
      <x v="82"/>
    </i>
    <i>
      <x v="380"/>
      <x v="1"/>
      <x v="1"/>
      <x v="4"/>
    </i>
    <i>
      <x v="371"/>
      <x/>
      <x v="4"/>
      <x v="82"/>
    </i>
    <i>
      <x v="346"/>
      <x/>
      <x v="4"/>
      <x v="82"/>
    </i>
    <i>
      <x v="393"/>
      <x/>
      <x v="4"/>
      <x v="82"/>
    </i>
    <i>
      <x v="157"/>
      <x/>
      <x v="4"/>
      <x v="82"/>
    </i>
    <i>
      <x v="398"/>
      <x/>
      <x v="4"/>
      <x v="82"/>
    </i>
    <i>
      <x v="316"/>
      <x/>
      <x v="2"/>
      <x v="82"/>
    </i>
    <i>
      <x v="356"/>
      <x/>
      <x v="2"/>
      <x v="82"/>
    </i>
    <i>
      <x v="295"/>
      <x/>
      <x v="2"/>
      <x v="82"/>
    </i>
    <i>
      <x v="567"/>
      <x/>
      <x v="2"/>
      <x v="82"/>
    </i>
    <i>
      <x v="252"/>
      <x/>
      <x v="2"/>
      <x v="82"/>
    </i>
    <i>
      <x v="220"/>
      <x/>
      <x v="2"/>
      <x v="82"/>
    </i>
    <i>
      <x v="229"/>
      <x/>
      <x v="2"/>
      <x v="82"/>
    </i>
    <i>
      <x v="468"/>
      <x/>
      <x v="2"/>
      <x v="82"/>
    </i>
    <i>
      <x v="224"/>
      <x/>
      <x v="4"/>
      <x v="82"/>
    </i>
    <i>
      <x v="70"/>
      <x/>
      <x v="3"/>
      <x v="82"/>
    </i>
    <i>
      <x v="550"/>
      <x/>
      <x v="3"/>
      <x v="82"/>
    </i>
    <i>
      <x v="478"/>
      <x/>
      <x v="3"/>
      <x v="82"/>
    </i>
    <i>
      <x v="211"/>
      <x/>
      <x v="3"/>
      <x v="82"/>
    </i>
    <i>
      <x v="169"/>
      <x/>
      <x v="3"/>
      <x v="82"/>
    </i>
    <i>
      <x v="293"/>
      <x/>
      <x v="4"/>
      <x v="82"/>
    </i>
    <i>
      <x v="13"/>
      <x/>
      <x v="4"/>
      <x v="82"/>
    </i>
    <i>
      <x v="101"/>
      <x v="1"/>
      <x v="1"/>
      <x v="91"/>
    </i>
    <i>
      <x v="250"/>
      <x v="1"/>
      <x v="1"/>
      <x v="82"/>
    </i>
    <i>
      <x v="92"/>
      <x/>
      <x v="2"/>
      <x v="82"/>
    </i>
    <i>
      <x v="452"/>
      <x/>
      <x v="2"/>
      <x v="82"/>
    </i>
    <i>
      <x v="215"/>
      <x/>
      <x v="2"/>
      <x v="82"/>
    </i>
    <i>
      <x v="133"/>
      <x/>
      <x v="2"/>
      <x v="82"/>
    </i>
    <i>
      <x v="311"/>
      <x/>
      <x v="2"/>
      <x v="82"/>
    </i>
    <i>
      <x v="14"/>
      <x/>
      <x v="2"/>
      <x v="82"/>
    </i>
    <i>
      <x v="107"/>
      <x/>
      <x v="2"/>
      <x v="82"/>
    </i>
    <i>
      <x v="375"/>
      <x/>
      <x v="3"/>
      <x v="82"/>
    </i>
    <i>
      <x v="370"/>
      <x/>
      <x v="3"/>
      <x v="82"/>
    </i>
    <i>
      <x v="7"/>
      <x/>
      <x v="3"/>
      <x v="82"/>
    </i>
    <i>
      <x v="175"/>
      <x/>
      <x v="3"/>
      <x v="82"/>
    </i>
    <i>
      <x v="174"/>
      <x v="1"/>
      <x v="1"/>
      <x v="82"/>
    </i>
    <i>
      <x v="99"/>
      <x v="1"/>
      <x v="1"/>
      <x v="82"/>
    </i>
    <i>
      <x v="397"/>
      <x/>
      <x v="2"/>
      <x v="82"/>
    </i>
    <i>
      <x v="511"/>
      <x/>
      <x v="2"/>
      <x v="82"/>
    </i>
    <i>
      <x v="349"/>
      <x/>
      <x v="2"/>
      <x v="82"/>
    </i>
    <i>
      <x v="279"/>
      <x/>
      <x v="3"/>
      <x v="82"/>
    </i>
    <i>
      <x v="31"/>
      <x/>
      <x v="3"/>
      <x v="82"/>
    </i>
    <i>
      <x v="148"/>
      <x/>
      <x v="3"/>
      <x v="82"/>
    </i>
    <i>
      <x v="63"/>
      <x/>
      <x v="3"/>
      <x v="82"/>
    </i>
    <i>
      <x v="17"/>
      <x/>
      <x v="3"/>
      <x v="82"/>
    </i>
    <i>
      <x v="294"/>
      <x/>
      <x v="3"/>
      <x v="82"/>
    </i>
    <i>
      <x v="457"/>
      <x/>
      <x v="3"/>
      <x v="82"/>
    </i>
    <i>
      <x v="555"/>
      <x/>
      <x v="3"/>
      <x v="82"/>
    </i>
    <i>
      <x v="309"/>
      <x/>
      <x v="3"/>
      <x v="82"/>
    </i>
    <i>
      <x v="272"/>
      <x/>
      <x v="3"/>
      <x v="82"/>
    </i>
    <i>
      <x v="261"/>
      <x/>
      <x v="3"/>
      <x v="82"/>
    </i>
    <i>
      <x v="582"/>
      <x/>
      <x v="3"/>
      <x v="82"/>
    </i>
    <i>
      <x v="289"/>
      <x v="1"/>
      <x v="1"/>
      <x v="82"/>
    </i>
    <i>
      <x v="228"/>
      <x v="1"/>
      <x v="1"/>
      <x v="82"/>
    </i>
    <i>
      <x v="111"/>
      <x/>
      <x v="4"/>
      <x v="82"/>
    </i>
    <i>
      <x v="150"/>
      <x/>
      <x v="4"/>
      <x v="82"/>
    </i>
    <i>
      <x v="513"/>
      <x/>
      <x v="4"/>
      <x v="82"/>
    </i>
    <i>
      <x v="240"/>
      <x/>
      <x v="4"/>
      <x v="82"/>
    </i>
    <i>
      <x v="145"/>
      <x/>
      <x v="4"/>
      <x v="82"/>
    </i>
    <i>
      <x v="48"/>
      <x/>
      <x v="4"/>
      <x v="82"/>
    </i>
    <i>
      <x v="308"/>
      <x/>
      <x v="4"/>
      <x v="82"/>
    </i>
    <i>
      <x v="42"/>
      <x/>
      <x v="4"/>
      <x v="82"/>
    </i>
    <i>
      <x v="54"/>
      <x/>
      <x v="4"/>
      <x v="82"/>
    </i>
    <i>
      <x v="27"/>
      <x/>
      <x v="4"/>
      <x v="82"/>
    </i>
    <i>
      <x v="573"/>
      <x/>
      <x v="4"/>
      <x v="82"/>
    </i>
    <i>
      <x v="571"/>
      <x/>
      <x v="4"/>
      <x v="82"/>
    </i>
    <i>
      <x v="504"/>
      <x/>
      <x v="4"/>
      <x v="82"/>
    </i>
    <i>
      <x v="281"/>
      <x/>
      <x v="4"/>
      <x v="82"/>
    </i>
    <i>
      <x v="246"/>
      <x/>
      <x v="4"/>
      <x v="82"/>
    </i>
    <i>
      <x v="331"/>
      <x/>
      <x v="4"/>
      <x v="82"/>
    </i>
    <i>
      <x v="200"/>
      <x/>
      <x v="3"/>
      <x v="82"/>
    </i>
    <i>
      <x v="474"/>
      <x/>
      <x v="3"/>
      <x v="82"/>
    </i>
    <i>
      <x v="383"/>
      <x/>
      <x v="3"/>
      <x v="82"/>
    </i>
    <i>
      <x v="259"/>
      <x/>
      <x v="3"/>
      <x v="82"/>
    </i>
    <i>
      <x v="522"/>
      <x/>
      <x v="3"/>
      <x v="82"/>
    </i>
    <i>
      <x v="519"/>
      <x/>
      <x v="4"/>
      <x v="82"/>
    </i>
    <i>
      <x v="351"/>
      <x/>
      <x v="4"/>
      <x v="82"/>
    </i>
    <i>
      <x v="399"/>
      <x/>
      <x v="3"/>
      <x v="82"/>
    </i>
    <i>
      <x v="343"/>
      <x/>
      <x v="4"/>
      <x v="82"/>
    </i>
    <i>
      <x v="536"/>
      <x/>
      <x v="4"/>
      <x v="82"/>
    </i>
    <i>
      <x v="83"/>
      <x/>
      <x v="3"/>
      <x v="82"/>
    </i>
    <i>
      <x v="102"/>
      <x/>
      <x v="4"/>
      <x v="82"/>
    </i>
    <i>
      <x v="395"/>
      <x/>
      <x v="3"/>
      <x v="82"/>
    </i>
    <i>
      <x v="360"/>
      <x/>
      <x v="3"/>
      <x v="82"/>
    </i>
    <i>
      <x v="194"/>
      <x/>
      <x v="4"/>
      <x v="82"/>
    </i>
    <i>
      <x v="401"/>
      <x/>
      <x v="3"/>
      <x v="82"/>
    </i>
    <i>
      <x v="415"/>
      <x/>
      <x v="4"/>
      <x v="82"/>
    </i>
    <i>
      <x v="448"/>
      <x/>
      <x v="3"/>
      <x v="82"/>
    </i>
    <i>
      <x v="421"/>
      <x/>
      <x v="4"/>
      <x v="82"/>
    </i>
    <i>
      <x v="15"/>
      <x/>
      <x v="3"/>
      <x v="82"/>
    </i>
    <i>
      <x v="419"/>
      <x/>
      <x v="4"/>
      <x v="82"/>
    </i>
    <i>
      <x v="537"/>
      <x/>
      <x v="4"/>
      <x v="82"/>
    </i>
    <i>
      <x v="428"/>
      <x/>
      <x v="4"/>
      <x v="82"/>
    </i>
    <i>
      <x v="441"/>
      <x/>
      <x v="3"/>
      <x v="82"/>
    </i>
    <i>
      <x v="307"/>
      <x/>
      <x v="4"/>
      <x v="82"/>
    </i>
    <i>
      <x v="199"/>
      <x v="1"/>
      <x v="1"/>
      <x v="82"/>
    </i>
    <i>
      <x v="218"/>
      <x/>
      <x v="4"/>
      <x v="82"/>
    </i>
    <i>
      <x v="530"/>
      <x/>
      <x v="3"/>
      <x v="82"/>
    </i>
    <i>
      <x v="400"/>
      <x/>
      <x v="3"/>
      <x v="82"/>
    </i>
    <i>
      <x v="531"/>
      <x/>
      <x v="3"/>
      <x v="82"/>
    </i>
    <i>
      <x v="77"/>
      <x/>
      <x v="3"/>
      <x v="82"/>
    </i>
    <i>
      <x v="163"/>
      <x/>
      <x v="3"/>
      <x v="82"/>
    </i>
    <i>
      <x v="266"/>
      <x/>
      <x v="4"/>
      <x v="82"/>
    </i>
    <i>
      <x v="203"/>
      <x/>
      <x v="3"/>
      <x v="82"/>
    </i>
    <i>
      <x v="88"/>
      <x/>
      <x v="4"/>
      <x v="82"/>
    </i>
    <i>
      <x v="545"/>
      <x/>
      <x v="4"/>
      <x v="82"/>
    </i>
    <i>
      <x v="188"/>
      <x/>
      <x v="4"/>
      <x v="82"/>
    </i>
    <i>
      <x v="134"/>
      <x/>
      <x v="3"/>
      <x v="82"/>
    </i>
    <i>
      <x v="198"/>
      <x/>
      <x v="4"/>
      <x v="82"/>
    </i>
    <i>
      <x v="204"/>
      <x/>
      <x v="3"/>
      <x v="82"/>
    </i>
    <i>
      <x v="443"/>
      <x/>
      <x v="4"/>
      <x v="82"/>
    </i>
    <i>
      <x v="373"/>
      <x/>
      <x v="3"/>
      <x v="82"/>
    </i>
    <i>
      <x v="205"/>
      <x/>
      <x v="4"/>
      <x v="82"/>
    </i>
    <i>
      <x v="278"/>
      <x/>
      <x v="4"/>
      <x v="82"/>
    </i>
    <i>
      <x v="574"/>
      <x/>
      <x v="2"/>
      <x v="82"/>
    </i>
    <i>
      <x v="136"/>
      <x/>
      <x v="3"/>
      <x v="82"/>
    </i>
    <i>
      <x v="578"/>
      <x/>
      <x v="3"/>
      <x v="82"/>
    </i>
    <i>
      <x v="152"/>
      <x/>
      <x v="4"/>
      <x v="82"/>
    </i>
    <i>
      <x v="314"/>
      <x/>
      <x v="3"/>
      <x v="82"/>
    </i>
    <i>
      <x v="387"/>
      <x/>
      <x v="3"/>
      <x v="82"/>
    </i>
    <i>
      <x v="500"/>
      <x/>
      <x v="3"/>
      <x v="82"/>
    </i>
    <i>
      <x v="506"/>
      <x/>
      <x v="4"/>
      <x v="82"/>
    </i>
    <i>
      <x v="254"/>
      <x/>
      <x v="4"/>
      <x v="82"/>
    </i>
    <i>
      <x v="217"/>
      <x/>
      <x v="3"/>
      <x v="82"/>
    </i>
    <i>
      <x v="161"/>
      <x/>
      <x v="3"/>
      <x v="82"/>
    </i>
    <i>
      <x v="367"/>
      <x/>
      <x v="3"/>
      <x v="82"/>
    </i>
    <i>
      <x v="66"/>
      <x/>
      <x v="3"/>
      <x v="82"/>
    </i>
    <i>
      <x v="268"/>
      <x/>
      <x v="2"/>
      <x v="82"/>
    </i>
    <i>
      <x v="282"/>
      <x/>
      <x v="3"/>
      <x v="82"/>
    </i>
    <i>
      <x v="122"/>
      <x/>
      <x v="2"/>
      <x v="82"/>
    </i>
    <i>
      <x v="388"/>
      <x/>
      <x v="3"/>
      <x v="82"/>
    </i>
    <i>
      <x v="366"/>
      <x/>
      <x v="2"/>
      <x v="82"/>
    </i>
    <i>
      <x v="521"/>
      <x/>
      <x v="4"/>
      <x v="82"/>
    </i>
    <i>
      <x v="547"/>
      <x/>
      <x v="2"/>
      <x v="82"/>
    </i>
    <i>
      <x v="317"/>
      <x/>
      <x v="4"/>
      <x v="82"/>
    </i>
    <i>
      <x v="280"/>
      <x/>
      <x v="3"/>
      <x v="82"/>
    </i>
    <i>
      <x v="445"/>
      <x/>
      <x v="4"/>
      <x v="82"/>
    </i>
    <i>
      <x v="94"/>
      <x/>
      <x v="4"/>
      <x v="82"/>
    </i>
    <i>
      <x v="297"/>
      <x/>
      <x v="2"/>
      <x v="82"/>
    </i>
    <i>
      <x v="127"/>
      <x/>
      <x v="2"/>
      <x v="82"/>
    </i>
    <i>
      <x v="336"/>
      <x/>
      <x v="4"/>
      <x v="82"/>
    </i>
    <i>
      <x v="179"/>
      <x/>
      <x v="4"/>
      <x v="82"/>
    </i>
    <i>
      <x v="562"/>
      <x/>
      <x v="4"/>
      <x v="82"/>
    </i>
    <i>
      <x v="490"/>
      <x/>
      <x v="4"/>
      <x v="82"/>
    </i>
    <i>
      <x v="553"/>
      <x/>
      <x v="2"/>
      <x v="82"/>
    </i>
    <i>
      <x v="112"/>
      <x/>
      <x v="4"/>
      <x v="82"/>
    </i>
    <i>
      <x v="410"/>
      <x/>
      <x v="4"/>
      <x v="82"/>
    </i>
    <i>
      <x v="137"/>
      <x/>
      <x v="2"/>
      <x v="82"/>
    </i>
    <i>
      <x v="90"/>
      <x/>
      <x v="2"/>
      <x v="82"/>
    </i>
    <i>
      <x v="28"/>
      <x/>
      <x v="4"/>
      <x v="82"/>
    </i>
    <i>
      <x v="361"/>
      <x/>
      <x v="2"/>
      <x v="82"/>
    </i>
    <i>
      <x v="502"/>
      <x/>
      <x v="4"/>
      <x v="82"/>
    </i>
    <i>
      <x v="509"/>
      <x/>
      <x v="2"/>
      <x v="82"/>
    </i>
    <i>
      <x v="584"/>
      <x/>
      <x v="2"/>
      <x v="82"/>
    </i>
    <i>
      <x v="135"/>
      <x/>
      <x v="3"/>
      <x v="82"/>
    </i>
    <i>
      <x v="430"/>
      <x/>
      <x v="4"/>
      <x v="82"/>
    </i>
    <i>
      <x v="558"/>
      <x/>
      <x v="4"/>
      <x v="82"/>
    </i>
    <i>
      <x v="105"/>
      <x/>
      <x v="3"/>
      <x v="82"/>
    </i>
    <i>
      <x v="515"/>
      <x/>
      <x v="3"/>
      <x v="82"/>
    </i>
    <i>
      <x v="142"/>
      <x/>
      <x v="4"/>
      <x v="82"/>
    </i>
    <i>
      <x v="182"/>
      <x/>
      <x v="4"/>
      <x v="82"/>
    </i>
    <i>
      <x v="463"/>
      <x/>
      <x v="3"/>
      <x v="82"/>
    </i>
    <i>
      <x v="533"/>
      <x/>
      <x v="3"/>
      <x v="82"/>
    </i>
    <i>
      <x v="154"/>
      <x/>
      <x v="3"/>
      <x v="82"/>
    </i>
    <i>
      <x v="129"/>
      <x/>
      <x v="3"/>
      <x v="82"/>
    </i>
    <i>
      <x v="357"/>
      <x/>
      <x v="4"/>
      <x v="82"/>
    </i>
    <i>
      <x v="369"/>
      <x/>
      <x v="4"/>
      <x v="82"/>
    </i>
    <i>
      <x v="483"/>
      <x/>
      <x v="2"/>
      <x v="82"/>
    </i>
    <i>
      <x v="532"/>
      <x/>
      <x v="4"/>
      <x v="82"/>
    </i>
    <i>
      <x v="192"/>
      <x/>
      <x v="3"/>
      <x v="82"/>
    </i>
    <i>
      <x v="196"/>
      <x/>
      <x v="4"/>
      <x v="82"/>
    </i>
    <i>
      <x v="551"/>
      <x/>
      <x v="3"/>
      <x v="82"/>
    </i>
    <i>
      <x v="143"/>
      <x/>
      <x v="3"/>
      <x v="82"/>
    </i>
    <i>
      <x v="242"/>
      <x/>
      <x v="4"/>
      <x v="82"/>
    </i>
    <i>
      <x v="30"/>
      <x/>
      <x v="4"/>
      <x v="82"/>
    </i>
    <i>
      <x v="491"/>
      <x/>
      <x v="3"/>
      <x v="82"/>
    </i>
    <i>
      <x v="525"/>
      <x/>
      <x v="2"/>
      <x v="82"/>
    </i>
    <i>
      <x v="269"/>
      <x/>
      <x v="3"/>
      <x v="82"/>
    </i>
    <i>
      <x v="526"/>
      <x/>
      <x v="4"/>
      <x v="82"/>
    </i>
    <i>
      <x v="451"/>
      <x/>
      <x v="4"/>
      <x v="82"/>
    </i>
    <i>
      <x v="58"/>
      <x/>
      <x v="3"/>
      <x v="82"/>
    </i>
    <i>
      <x v="325"/>
      <x/>
      <x v="4"/>
      <x v="82"/>
    </i>
    <i>
      <x v="345"/>
      <x/>
      <x v="3"/>
      <x v="82"/>
    </i>
    <i>
      <x v="158"/>
      <x/>
      <x v="3"/>
      <x v="82"/>
    </i>
    <i>
      <x v="91"/>
      <x/>
      <x v="4"/>
      <x v="82"/>
    </i>
    <i>
      <x v="501"/>
      <x/>
      <x v="3"/>
      <x v="82"/>
    </i>
    <i>
      <x v="124"/>
      <x/>
      <x v="4"/>
      <x v="82"/>
    </i>
    <i>
      <x v="68"/>
      <x/>
      <x v="4"/>
      <x v="82"/>
    </i>
    <i>
      <x v="138"/>
      <x/>
      <x v="2"/>
      <x v="82"/>
    </i>
    <i>
      <x v="517"/>
      <x/>
      <x v="4"/>
      <x v="82"/>
    </i>
    <i>
      <x v="47"/>
      <x/>
      <x v="4"/>
      <x v="82"/>
    </i>
    <i>
      <x v="38"/>
      <x/>
      <x v="4"/>
      <x v="82"/>
    </i>
    <i>
      <x v="55"/>
      <x/>
      <x v="4"/>
      <x v="82"/>
    </i>
    <i>
      <x v="434"/>
      <x/>
      <x v="2"/>
      <x v="82"/>
    </i>
    <i>
      <x v="19"/>
      <x/>
      <x v="4"/>
      <x v="82"/>
    </i>
    <i>
      <x v="290"/>
      <x/>
      <x v="4"/>
      <x v="82"/>
    </i>
    <i>
      <x v="12"/>
      <x/>
      <x v="4"/>
      <x v="82"/>
    </i>
    <i>
      <x v="60"/>
      <x/>
      <x v="2"/>
      <x v="82"/>
    </i>
    <i>
      <x v="108"/>
      <x/>
      <x v="4"/>
      <x v="82"/>
    </i>
    <i>
      <x v="438"/>
      <x/>
      <x v="4"/>
      <x v="82"/>
    </i>
    <i>
      <x v="372"/>
      <x/>
      <x v="4"/>
      <x v="82"/>
    </i>
    <i>
      <x v="479"/>
      <x/>
      <x v="2"/>
      <x v="82"/>
    </i>
    <i>
      <x v="529"/>
      <x/>
      <x v="3"/>
      <x v="82"/>
    </i>
    <i>
      <x v="76"/>
      <x/>
      <x v="3"/>
      <x v="82"/>
    </i>
    <i>
      <x v="239"/>
      <x/>
      <x v="4"/>
      <x v="82"/>
    </i>
    <i>
      <x v="420"/>
      <x/>
      <x v="3"/>
      <x v="82"/>
    </i>
    <i>
      <x v="69"/>
      <x/>
      <x v="3"/>
      <x v="82"/>
    </i>
    <i>
      <x v="78"/>
      <x/>
      <x v="3"/>
      <x v="82"/>
    </i>
    <i>
      <x v="253"/>
      <x/>
      <x v="3"/>
      <x v="82"/>
    </i>
    <i>
      <x v="348"/>
      <x/>
      <x v="4"/>
      <x v="82"/>
    </i>
    <i>
      <x v="542"/>
      <x/>
      <x v="3"/>
      <x v="82"/>
    </i>
    <i>
      <x v="153"/>
      <x/>
      <x v="3"/>
      <x v="82"/>
    </i>
    <i>
      <x v="340"/>
      <x/>
      <x v="3"/>
      <x v="82"/>
    </i>
    <i>
      <x v="494"/>
      <x/>
      <x v="4"/>
      <x v="82"/>
    </i>
    <i>
      <x v="475"/>
      <x/>
      <x v="3"/>
      <x v="82"/>
    </i>
    <i>
      <x v="25"/>
      <x/>
      <x v="4"/>
      <x v="82"/>
    </i>
    <i>
      <x v="559"/>
      <x/>
      <x v="4"/>
      <x v="82"/>
    </i>
    <i>
      <x v="221"/>
      <x/>
      <x v="2"/>
      <x v="82"/>
    </i>
    <i>
      <x v="4"/>
      <x/>
      <x v="4"/>
      <x v="82"/>
    </i>
    <i>
      <x v="362"/>
      <x/>
      <x v="3"/>
      <x v="82"/>
    </i>
    <i>
      <x v="339"/>
      <x/>
      <x v="2"/>
      <x v="82"/>
    </i>
    <i>
      <x v="10"/>
      <x/>
      <x v="4"/>
      <x v="82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35" item="1" hier="-1"/>
  </pageFields>
  <dataFields count="6">
    <dataField name="DK Projection" fld="33" baseField="30" baseItem="3" numFmtId="3"/>
    <dataField name="Error Margin" fld="32" baseField="30" baseItem="64" numFmtId="38"/>
    <dataField name="Rank" fld="26" subtotal="max" baseField="30" baseItem="0"/>
    <dataField name="auction" fld="27" subtotal="max" baseField="30" baseItem="46"/>
    <dataField name=" OPOY" fld="28" subtotal="max" baseField="30" baseItem="3" numFmtId="41"/>
    <dataField name=" OROY" fld="29" subtotal="max" baseField="30" baseItem="82" numFmtId="41"/>
  </dataFields>
  <formats count="5">
    <format dxfId="48">
      <pivotArea type="origin" dataOnly="0" labelOnly="1" outline="0" fieldPosition="0"/>
    </format>
    <format dxfId="47">
      <pivotArea outline="0" fieldPosition="0">
        <references count="1">
          <reference field="4294967294" count="1">
            <x v="1"/>
          </reference>
        </references>
      </pivotArea>
    </format>
    <format dxfId="46">
      <pivotArea outline="0" fieldPosition="0">
        <references count="1">
          <reference field="4294967294" count="1">
            <x v="0"/>
          </reference>
        </references>
      </pivotArea>
    </format>
    <format dxfId="45">
      <pivotArea outline="0" fieldPosition="0">
        <references count="1">
          <reference field="4294967294" count="1">
            <x v="5"/>
          </reference>
        </references>
      </pivotArea>
    </format>
    <format dxfId="44">
      <pivotArea outline="0" fieldPosition="0">
        <references count="1">
          <reference field="4294967294" count="1">
            <x v="4"/>
          </reference>
        </references>
      </pivotArea>
    </format>
  </formats>
  <conditionalFormats count="12">
    <conditionalFormat scope="data" priority="14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9">
      <pivotAreas count="1">
        <pivotArea outline="0" fieldPosition="0">
          <references count="2">
            <reference field="4294967294" count="1">
              <x v="3"/>
            </reference>
            <reference field="35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5"/>
            </reference>
          </references>
        </pivotArea>
      </pivotAreas>
    </conditionalFormat>
    <conditionalFormat scope="data" priority="4">
      <pivotAreas count="1">
        <pivotArea outline="0" fieldPosition="0">
          <references count="1">
            <reference field="4294967294" count="1" selected="0">
              <x v="5"/>
            </reference>
          </references>
        </pivotArea>
      </pivotAreas>
    </conditionalFormat>
  </conditionalFormats>
  <pivotTableStyleInfo name="PivotStyleMedium15" showRowHeaders="1" showColHeaders="1" showRowStripes="0" showColStripes="0" showLastColumn="1"/>
  <filters count="1">
    <filter fld="0" type="valueNotEqual" evalOrder="-1" id="4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06CFA-A8F0-41DA-BBA3-C2B5B46F43DC}">
  <sheetPr codeName="Sheet6"/>
  <dimension ref="A1:T463"/>
  <sheetViews>
    <sheetView tabSelected="1" topLeftCell="A4" workbookViewId="0">
      <selection activeCell="A5" sqref="A5"/>
    </sheetView>
  </sheetViews>
  <sheetFormatPr defaultRowHeight="15" x14ac:dyDescent="0.25"/>
  <cols>
    <col min="1" max="1" width="26.28515625" bestFit="1" customWidth="1"/>
    <col min="2" max="2" width="12.7109375" bestFit="1" customWidth="1"/>
    <col min="3" max="3" width="10.7109375" bestFit="1" customWidth="1"/>
    <col min="4" max="4" width="34.7109375" bestFit="1" customWidth="1"/>
    <col min="5" max="5" width="12.85546875" bestFit="1" customWidth="1"/>
    <col min="6" max="6" width="11.85546875" bestFit="1" customWidth="1"/>
    <col min="7" max="7" width="5.42578125" bestFit="1" customWidth="1"/>
    <col min="8" max="8" width="7.7109375" bestFit="1" customWidth="1"/>
    <col min="9" max="11" width="8" bestFit="1" customWidth="1"/>
    <col min="13" max="13" width="15" hidden="1" customWidth="1"/>
    <col min="14" max="14" width="17.42578125" bestFit="1" customWidth="1"/>
  </cols>
  <sheetData>
    <row r="1" spans="1:20" hidden="1" x14ac:dyDescent="0.25">
      <c r="A1" s="9" t="s">
        <v>638</v>
      </c>
      <c r="B1" t="s">
        <v>646</v>
      </c>
    </row>
    <row r="2" spans="1:20" hidden="1" x14ac:dyDescent="0.25"/>
    <row r="3" spans="1:20" hidden="1" x14ac:dyDescent="0.25">
      <c r="A3" s="10"/>
      <c r="B3" s="10"/>
      <c r="C3" s="10"/>
      <c r="D3" s="10"/>
      <c r="E3" s="9" t="s">
        <v>547</v>
      </c>
    </row>
    <row r="4" spans="1:20" x14ac:dyDescent="0.25">
      <c r="A4" s="9" t="s">
        <v>0</v>
      </c>
      <c r="B4" s="9" t="s">
        <v>644</v>
      </c>
      <c r="C4" s="9" t="s">
        <v>643</v>
      </c>
      <c r="D4" s="9" t="s">
        <v>521</v>
      </c>
      <c r="E4" t="s">
        <v>629</v>
      </c>
      <c r="F4" t="s">
        <v>628</v>
      </c>
      <c r="G4" t="s">
        <v>627</v>
      </c>
      <c r="H4" t="s">
        <v>624</v>
      </c>
      <c r="I4" t="s">
        <v>625</v>
      </c>
      <c r="J4" t="s">
        <v>626</v>
      </c>
    </row>
    <row r="5" spans="1:20" ht="15.75" thickBot="1" x14ac:dyDescent="0.3">
      <c r="A5" t="s">
        <v>88</v>
      </c>
      <c r="B5" t="s">
        <v>642</v>
      </c>
      <c r="C5" t="s">
        <v>532</v>
      </c>
      <c r="D5" t="s">
        <v>529</v>
      </c>
      <c r="E5" s="6">
        <v>312.89952086199997</v>
      </c>
      <c r="F5" s="11">
        <v>10.274760430999937</v>
      </c>
      <c r="G5" s="32">
        <v>1</v>
      </c>
      <c r="H5" s="32">
        <v>57</v>
      </c>
      <c r="I5" s="31">
        <v>850</v>
      </c>
      <c r="J5" s="31">
        <v>0</v>
      </c>
      <c r="N5" s="12" t="s">
        <v>630</v>
      </c>
    </row>
    <row r="6" spans="1:20" x14ac:dyDescent="0.25">
      <c r="A6" t="s">
        <v>96</v>
      </c>
      <c r="B6" t="s">
        <v>642</v>
      </c>
      <c r="C6" t="s">
        <v>532</v>
      </c>
      <c r="D6" t="s">
        <v>546</v>
      </c>
      <c r="E6" s="6">
        <v>272.77653086099997</v>
      </c>
      <c r="F6" s="11">
        <v>10.174290847999941</v>
      </c>
      <c r="G6" s="32">
        <v>2</v>
      </c>
      <c r="H6" s="32">
        <v>56</v>
      </c>
      <c r="I6" s="31">
        <v>1800</v>
      </c>
      <c r="J6" s="31">
        <v>0</v>
      </c>
      <c r="N6" s="24" t="s">
        <v>635</v>
      </c>
      <c r="O6" s="25"/>
      <c r="P6" s="25"/>
      <c r="Q6" s="25"/>
      <c r="R6" s="25"/>
      <c r="S6" s="25"/>
      <c r="T6" s="26"/>
    </row>
    <row r="7" spans="1:20" x14ac:dyDescent="0.25">
      <c r="A7" t="s">
        <v>92</v>
      </c>
      <c r="B7" t="s">
        <v>642</v>
      </c>
      <c r="C7" t="s">
        <v>532</v>
      </c>
      <c r="E7" s="6">
        <v>259.37687256599997</v>
      </c>
      <c r="F7" s="11">
        <v>2.7843402119999872</v>
      </c>
      <c r="G7" s="32">
        <v>3</v>
      </c>
      <c r="H7" s="32">
        <v>55</v>
      </c>
      <c r="I7" s="31">
        <v>1500</v>
      </c>
      <c r="J7" s="31">
        <v>0</v>
      </c>
      <c r="N7" s="3" t="s">
        <v>636</v>
      </c>
      <c r="O7" s="27"/>
      <c r="P7" s="27"/>
      <c r="Q7" s="27"/>
      <c r="R7" s="27"/>
      <c r="S7" s="27"/>
      <c r="T7" s="28"/>
    </row>
    <row r="8" spans="1:20" x14ac:dyDescent="0.25">
      <c r="A8" t="s">
        <v>78</v>
      </c>
      <c r="B8" t="s">
        <v>642</v>
      </c>
      <c r="C8" t="s">
        <v>533</v>
      </c>
      <c r="E8" s="6">
        <v>265.75403711199993</v>
      </c>
      <c r="F8" s="11">
        <v>4.0833985280000018</v>
      </c>
      <c r="G8" s="32">
        <v>4</v>
      </c>
      <c r="H8" s="32">
        <v>55</v>
      </c>
      <c r="I8" s="31">
        <v>1000</v>
      </c>
      <c r="J8" s="31">
        <v>0</v>
      </c>
      <c r="N8" s="3" t="s">
        <v>634</v>
      </c>
      <c r="O8" s="27"/>
      <c r="P8" s="27"/>
      <c r="Q8" s="27"/>
      <c r="R8" s="27"/>
      <c r="S8" s="27"/>
      <c r="T8" s="28"/>
    </row>
    <row r="9" spans="1:20" x14ac:dyDescent="0.25">
      <c r="A9" t="s">
        <v>64</v>
      </c>
      <c r="B9" t="s">
        <v>642</v>
      </c>
      <c r="C9" t="s">
        <v>533</v>
      </c>
      <c r="E9" s="6">
        <v>246.405093532</v>
      </c>
      <c r="F9" s="11">
        <v>-0.48872461800000888</v>
      </c>
      <c r="G9" s="32">
        <v>5</v>
      </c>
      <c r="H9" s="32">
        <v>54</v>
      </c>
      <c r="I9" s="31">
        <v>700</v>
      </c>
      <c r="J9" s="31">
        <v>0</v>
      </c>
      <c r="N9" s="3" t="s">
        <v>631</v>
      </c>
      <c r="O9" s="27"/>
      <c r="P9" s="27"/>
      <c r="Q9" s="27"/>
      <c r="R9" s="27"/>
      <c r="S9" s="27"/>
      <c r="T9" s="28"/>
    </row>
    <row r="10" spans="1:20" x14ac:dyDescent="0.25">
      <c r="A10" t="s">
        <v>69</v>
      </c>
      <c r="B10" t="s">
        <v>642</v>
      </c>
      <c r="C10" t="s">
        <v>533</v>
      </c>
      <c r="E10" s="6">
        <v>226.34964350700005</v>
      </c>
      <c r="F10" s="11">
        <v>-3.4651503039999647</v>
      </c>
      <c r="G10" s="32">
        <v>6</v>
      </c>
      <c r="H10" s="32">
        <v>53</v>
      </c>
      <c r="I10" s="31">
        <v>1800</v>
      </c>
      <c r="J10" s="31">
        <v>0</v>
      </c>
      <c r="N10" s="3" t="s">
        <v>632</v>
      </c>
      <c r="O10" s="27"/>
      <c r="P10" s="27"/>
      <c r="Q10" s="27"/>
      <c r="R10" s="27"/>
      <c r="S10" s="27"/>
      <c r="T10" s="28"/>
    </row>
    <row r="11" spans="1:20" x14ac:dyDescent="0.25">
      <c r="A11" t="s">
        <v>74</v>
      </c>
      <c r="B11" t="s">
        <v>642</v>
      </c>
      <c r="C11" t="s">
        <v>533</v>
      </c>
      <c r="D11" t="s">
        <v>544</v>
      </c>
      <c r="E11" s="6">
        <v>252.484432083</v>
      </c>
      <c r="F11" s="11">
        <v>12.216923909999986</v>
      </c>
      <c r="G11" s="32">
        <v>7</v>
      </c>
      <c r="H11" s="32">
        <v>53</v>
      </c>
      <c r="I11" s="31">
        <v>1200</v>
      </c>
      <c r="J11" s="31">
        <v>0</v>
      </c>
      <c r="N11" s="3" t="s">
        <v>633</v>
      </c>
      <c r="O11" s="27"/>
      <c r="P11" s="27"/>
      <c r="Q11" s="27"/>
      <c r="R11" s="27"/>
      <c r="S11" s="27"/>
      <c r="T11" s="28"/>
    </row>
    <row r="12" spans="1:20" x14ac:dyDescent="0.25">
      <c r="A12" t="s">
        <v>66</v>
      </c>
      <c r="B12" t="s">
        <v>642</v>
      </c>
      <c r="C12" t="s">
        <v>533</v>
      </c>
      <c r="E12" s="6">
        <v>236.76205538599996</v>
      </c>
      <c r="F12" s="11">
        <v>6.4340121579999865</v>
      </c>
      <c r="G12" s="32">
        <v>8</v>
      </c>
      <c r="H12" s="32">
        <v>52</v>
      </c>
      <c r="I12" s="31">
        <v>1300</v>
      </c>
      <c r="J12" s="31">
        <v>0</v>
      </c>
      <c r="N12" s="3" t="s">
        <v>639</v>
      </c>
      <c r="O12" s="27"/>
      <c r="P12" s="27"/>
      <c r="Q12" s="27"/>
      <c r="R12" s="27"/>
      <c r="S12" s="27"/>
      <c r="T12" s="28"/>
    </row>
    <row r="13" spans="1:20" ht="15.75" thickBot="1" x14ac:dyDescent="0.3">
      <c r="A13" t="s">
        <v>103</v>
      </c>
      <c r="B13" t="s">
        <v>642</v>
      </c>
      <c r="C13" t="s">
        <v>532</v>
      </c>
      <c r="D13" t="s">
        <v>586</v>
      </c>
      <c r="E13" s="6">
        <v>255.11384748700004</v>
      </c>
      <c r="F13" s="11">
        <v>17.628216510000001</v>
      </c>
      <c r="G13" s="32">
        <v>9</v>
      </c>
      <c r="H13" s="32">
        <v>51</v>
      </c>
      <c r="I13" s="31">
        <v>2800</v>
      </c>
      <c r="J13" s="31">
        <v>0</v>
      </c>
      <c r="N13" s="4" t="s">
        <v>645</v>
      </c>
      <c r="O13" s="29"/>
      <c r="P13" s="29"/>
      <c r="Q13" s="29"/>
      <c r="R13" s="29"/>
      <c r="S13" s="29"/>
      <c r="T13" s="30"/>
    </row>
    <row r="14" spans="1:20" x14ac:dyDescent="0.25">
      <c r="A14" t="s">
        <v>104</v>
      </c>
      <c r="B14" t="s">
        <v>642</v>
      </c>
      <c r="C14" t="s">
        <v>532</v>
      </c>
      <c r="D14" t="s">
        <v>546</v>
      </c>
      <c r="E14" s="6">
        <v>242.55959216999995</v>
      </c>
      <c r="F14" s="11">
        <v>12.100135773999941</v>
      </c>
      <c r="G14" s="32">
        <v>10</v>
      </c>
      <c r="H14" s="32">
        <v>50</v>
      </c>
      <c r="I14" s="31">
        <v>2200</v>
      </c>
      <c r="J14" s="31">
        <v>0</v>
      </c>
    </row>
    <row r="15" spans="1:20" x14ac:dyDescent="0.25">
      <c r="A15" t="s">
        <v>432</v>
      </c>
      <c r="B15" t="s">
        <v>642</v>
      </c>
      <c r="C15" t="s">
        <v>533</v>
      </c>
      <c r="E15" s="6">
        <v>211.76088246800003</v>
      </c>
      <c r="F15" s="11">
        <v>-4.0195587659999941</v>
      </c>
      <c r="G15" s="32">
        <v>11</v>
      </c>
      <c r="H15" s="32">
        <v>48</v>
      </c>
      <c r="I15" s="31">
        <v>3000</v>
      </c>
      <c r="J15" s="31">
        <v>0</v>
      </c>
    </row>
    <row r="16" spans="1:20" x14ac:dyDescent="0.25">
      <c r="A16" t="s">
        <v>79</v>
      </c>
      <c r="B16" t="s">
        <v>642</v>
      </c>
      <c r="C16" t="s">
        <v>533</v>
      </c>
      <c r="E16" s="6">
        <v>221.50536501599998</v>
      </c>
      <c r="F16" s="11">
        <v>6.5336292099999964</v>
      </c>
      <c r="G16" s="32">
        <v>12</v>
      </c>
      <c r="H16" s="32">
        <v>46</v>
      </c>
      <c r="I16" s="31">
        <v>2800</v>
      </c>
      <c r="J16" s="31">
        <v>0</v>
      </c>
    </row>
    <row r="17" spans="1:10" x14ac:dyDescent="0.25">
      <c r="A17" t="s">
        <v>63</v>
      </c>
      <c r="B17" t="s">
        <v>642</v>
      </c>
      <c r="C17" t="s">
        <v>533</v>
      </c>
      <c r="E17" s="6">
        <v>218.02187782999999</v>
      </c>
      <c r="F17" s="11">
        <v>5.8331835769999794</v>
      </c>
      <c r="G17" s="32">
        <v>13</v>
      </c>
      <c r="H17" s="32">
        <v>45</v>
      </c>
      <c r="I17" s="31">
        <v>3000</v>
      </c>
      <c r="J17" s="31">
        <v>0</v>
      </c>
    </row>
    <row r="18" spans="1:10" x14ac:dyDescent="0.25">
      <c r="A18" t="s">
        <v>410</v>
      </c>
      <c r="B18" t="s">
        <v>642</v>
      </c>
      <c r="C18" t="s">
        <v>532</v>
      </c>
      <c r="E18" s="6">
        <v>214.41070421500001</v>
      </c>
      <c r="F18" s="11">
        <v>0</v>
      </c>
      <c r="G18" s="32">
        <v>14</v>
      </c>
      <c r="H18" s="32">
        <v>43</v>
      </c>
      <c r="I18" s="31">
        <v>2800</v>
      </c>
      <c r="J18" s="31">
        <v>0</v>
      </c>
    </row>
    <row r="19" spans="1:10" x14ac:dyDescent="0.25">
      <c r="A19" t="s">
        <v>411</v>
      </c>
      <c r="B19" t="s">
        <v>642</v>
      </c>
      <c r="C19" t="s">
        <v>532</v>
      </c>
      <c r="E19" s="6">
        <v>215.76912950000002</v>
      </c>
      <c r="F19" s="11">
        <v>0</v>
      </c>
      <c r="G19" s="32">
        <v>15</v>
      </c>
      <c r="H19" s="32">
        <v>42</v>
      </c>
      <c r="I19" s="31">
        <v>3000</v>
      </c>
      <c r="J19" s="31">
        <v>0</v>
      </c>
    </row>
    <row r="20" spans="1:10" x14ac:dyDescent="0.25">
      <c r="A20" t="s">
        <v>93</v>
      </c>
      <c r="B20" t="s">
        <v>642</v>
      </c>
      <c r="C20" t="s">
        <v>532</v>
      </c>
      <c r="D20" t="s">
        <v>546</v>
      </c>
      <c r="E20" s="6">
        <v>229.50667187600001</v>
      </c>
      <c r="F20" s="11">
        <v>18.209176863999989</v>
      </c>
      <c r="G20" s="32">
        <v>16</v>
      </c>
      <c r="H20" s="32">
        <v>40</v>
      </c>
      <c r="I20" s="31">
        <v>10000</v>
      </c>
      <c r="J20" s="31">
        <v>0</v>
      </c>
    </row>
    <row r="21" spans="1:10" x14ac:dyDescent="0.25">
      <c r="A21" t="s">
        <v>442</v>
      </c>
      <c r="B21" t="s">
        <v>642</v>
      </c>
      <c r="C21" t="s">
        <v>532</v>
      </c>
      <c r="E21" s="6">
        <v>208.22327978500002</v>
      </c>
      <c r="F21" s="11">
        <v>5.4933846579999903</v>
      </c>
      <c r="G21" s="32">
        <v>17</v>
      </c>
      <c r="H21" s="32">
        <v>38</v>
      </c>
      <c r="I21" s="31">
        <v>7500</v>
      </c>
      <c r="J21" s="31">
        <v>0</v>
      </c>
    </row>
    <row r="22" spans="1:10" x14ac:dyDescent="0.25">
      <c r="A22" t="s">
        <v>60</v>
      </c>
      <c r="B22" t="s">
        <v>642</v>
      </c>
      <c r="C22" t="s">
        <v>533</v>
      </c>
      <c r="D22" t="s">
        <v>578</v>
      </c>
      <c r="E22" s="6">
        <v>229.8081804679999</v>
      </c>
      <c r="F22" s="11">
        <v>26.5040902339999</v>
      </c>
      <c r="G22" s="32">
        <v>18</v>
      </c>
      <c r="H22" s="32">
        <v>37</v>
      </c>
      <c r="I22" s="31">
        <v>10000</v>
      </c>
      <c r="J22" s="31">
        <v>0</v>
      </c>
    </row>
    <row r="23" spans="1:10" x14ac:dyDescent="0.25">
      <c r="A23" t="s">
        <v>441</v>
      </c>
      <c r="B23" t="s">
        <v>642</v>
      </c>
      <c r="C23" t="s">
        <v>533</v>
      </c>
      <c r="D23" t="s">
        <v>541</v>
      </c>
      <c r="E23" s="6">
        <v>194.59992346199996</v>
      </c>
      <c r="F23" s="11">
        <v>11.899961730999951</v>
      </c>
      <c r="G23" s="32">
        <v>19</v>
      </c>
      <c r="H23" s="32">
        <v>36</v>
      </c>
      <c r="I23" s="31">
        <v>10000</v>
      </c>
      <c r="J23" s="31">
        <v>0</v>
      </c>
    </row>
    <row r="24" spans="1:10" x14ac:dyDescent="0.25">
      <c r="A24" t="s">
        <v>82</v>
      </c>
      <c r="B24" t="s">
        <v>642</v>
      </c>
      <c r="C24" t="s">
        <v>533</v>
      </c>
      <c r="E24" s="6">
        <v>203.62126481600001</v>
      </c>
      <c r="F24" s="11">
        <v>6.6606324080000023</v>
      </c>
      <c r="G24" s="32">
        <v>20</v>
      </c>
      <c r="H24" s="32">
        <v>35</v>
      </c>
      <c r="I24" s="31">
        <v>7500</v>
      </c>
      <c r="J24" s="31">
        <v>0</v>
      </c>
    </row>
    <row r="25" spans="1:10" x14ac:dyDescent="0.25">
      <c r="A25" t="s">
        <v>75</v>
      </c>
      <c r="B25" t="s">
        <v>642</v>
      </c>
      <c r="C25" t="s">
        <v>533</v>
      </c>
      <c r="E25" s="6">
        <v>196.22288424599995</v>
      </c>
      <c r="F25" s="11">
        <v>6.211442122999955</v>
      </c>
      <c r="G25" s="32">
        <v>21</v>
      </c>
      <c r="H25" s="32">
        <v>34</v>
      </c>
      <c r="I25" s="31">
        <v>7500</v>
      </c>
      <c r="J25" s="31">
        <v>0</v>
      </c>
    </row>
    <row r="26" spans="1:10" x14ac:dyDescent="0.25">
      <c r="A26" t="s">
        <v>439</v>
      </c>
      <c r="B26" t="s">
        <v>642</v>
      </c>
      <c r="C26" t="s">
        <v>533</v>
      </c>
      <c r="E26" s="6">
        <v>192.94385936600003</v>
      </c>
      <c r="F26" s="11">
        <v>6.3219296830000014</v>
      </c>
      <c r="G26" s="32">
        <v>22</v>
      </c>
      <c r="H26" s="32">
        <v>33</v>
      </c>
      <c r="I26" s="31">
        <v>12000</v>
      </c>
      <c r="J26" s="31">
        <v>650</v>
      </c>
    </row>
    <row r="27" spans="1:10" x14ac:dyDescent="0.25">
      <c r="A27" t="s">
        <v>71</v>
      </c>
      <c r="B27" t="s">
        <v>642</v>
      </c>
      <c r="C27" t="s">
        <v>533</v>
      </c>
      <c r="E27" s="6">
        <v>189.689204684</v>
      </c>
      <c r="F27" s="11">
        <v>4.9446023419999996</v>
      </c>
      <c r="G27" s="32">
        <v>23</v>
      </c>
      <c r="H27" s="32">
        <v>32</v>
      </c>
      <c r="I27" s="31">
        <v>5000</v>
      </c>
      <c r="J27" s="31">
        <v>0</v>
      </c>
    </row>
    <row r="28" spans="1:10" x14ac:dyDescent="0.25">
      <c r="A28" t="s">
        <v>106</v>
      </c>
      <c r="B28" t="s">
        <v>642</v>
      </c>
      <c r="C28" t="s">
        <v>532</v>
      </c>
      <c r="D28" t="s">
        <v>587</v>
      </c>
      <c r="E28" s="6">
        <v>232.00627416700004</v>
      </c>
      <c r="F28" s="11">
        <v>14.41162812000001</v>
      </c>
      <c r="G28" s="32">
        <v>24</v>
      </c>
      <c r="H28" s="32">
        <v>32</v>
      </c>
      <c r="I28" s="31">
        <v>5000</v>
      </c>
      <c r="J28" s="31">
        <v>0</v>
      </c>
    </row>
    <row r="29" spans="1:10" x14ac:dyDescent="0.25">
      <c r="A29" t="s">
        <v>95</v>
      </c>
      <c r="B29" t="s">
        <v>642</v>
      </c>
      <c r="C29" t="s">
        <v>532</v>
      </c>
      <c r="E29" s="6">
        <v>207.41053261799999</v>
      </c>
      <c r="F29" s="11">
        <v>7.5978920119999849</v>
      </c>
      <c r="G29" s="32">
        <v>25</v>
      </c>
      <c r="H29" s="32">
        <v>31</v>
      </c>
      <c r="I29" s="31">
        <v>10000</v>
      </c>
      <c r="J29" s="31">
        <v>0</v>
      </c>
    </row>
    <row r="30" spans="1:10" x14ac:dyDescent="0.25">
      <c r="A30" t="s">
        <v>61</v>
      </c>
      <c r="B30" t="s">
        <v>642</v>
      </c>
      <c r="C30" t="s">
        <v>533</v>
      </c>
      <c r="D30" t="s">
        <v>538</v>
      </c>
      <c r="E30" s="6">
        <v>207.90386559400002</v>
      </c>
      <c r="F30" s="11">
        <v>16.801932796999999</v>
      </c>
      <c r="G30" s="32">
        <v>26</v>
      </c>
      <c r="H30" s="32">
        <v>30</v>
      </c>
      <c r="I30" s="31">
        <v>6500</v>
      </c>
      <c r="J30" s="31">
        <v>0</v>
      </c>
    </row>
    <row r="31" spans="1:10" x14ac:dyDescent="0.25">
      <c r="A31" t="s">
        <v>415</v>
      </c>
      <c r="B31" t="s">
        <v>642</v>
      </c>
      <c r="C31" t="s">
        <v>533</v>
      </c>
      <c r="D31" t="s">
        <v>580</v>
      </c>
      <c r="E31" s="6">
        <v>203.12635092399998</v>
      </c>
      <c r="F31" s="11">
        <v>21.413175461999998</v>
      </c>
      <c r="G31" s="32">
        <v>27</v>
      </c>
      <c r="H31" s="32">
        <v>30</v>
      </c>
      <c r="I31" s="31">
        <v>15000</v>
      </c>
      <c r="J31" s="31">
        <v>1400</v>
      </c>
    </row>
    <row r="32" spans="1:10" x14ac:dyDescent="0.25">
      <c r="A32" t="s">
        <v>102</v>
      </c>
      <c r="B32" t="s">
        <v>642</v>
      </c>
      <c r="C32" t="s">
        <v>532</v>
      </c>
      <c r="D32" t="s">
        <v>585</v>
      </c>
      <c r="E32" s="6">
        <v>211.4726994289999</v>
      </c>
      <c r="F32" s="11">
        <v>13.5462715219999</v>
      </c>
      <c r="G32" s="32">
        <v>28</v>
      </c>
      <c r="H32" s="32">
        <v>29</v>
      </c>
      <c r="I32" s="31">
        <v>10000</v>
      </c>
      <c r="J32" s="31">
        <v>0</v>
      </c>
    </row>
    <row r="33" spans="1:14" x14ac:dyDescent="0.25">
      <c r="A33" t="s">
        <v>94</v>
      </c>
      <c r="B33" t="s">
        <v>642</v>
      </c>
      <c r="C33" t="s">
        <v>532</v>
      </c>
      <c r="E33" s="6">
        <v>199.13183802900002</v>
      </c>
      <c r="F33" s="11">
        <v>8.036741200000308E-2</v>
      </c>
      <c r="G33" s="32">
        <v>29</v>
      </c>
      <c r="H33" s="32">
        <v>28</v>
      </c>
      <c r="I33" s="31">
        <v>7500</v>
      </c>
      <c r="J33" s="31">
        <v>0</v>
      </c>
    </row>
    <row r="34" spans="1:14" x14ac:dyDescent="0.25">
      <c r="A34" t="s">
        <v>105</v>
      </c>
      <c r="B34" t="s">
        <v>642</v>
      </c>
      <c r="C34" t="s">
        <v>532</v>
      </c>
      <c r="E34" s="6">
        <v>194.95195574299998</v>
      </c>
      <c r="F34" s="11">
        <v>-3.9051674459999965</v>
      </c>
      <c r="G34" s="32">
        <v>30</v>
      </c>
      <c r="H34" s="32">
        <v>27</v>
      </c>
      <c r="I34" s="31">
        <v>12000</v>
      </c>
      <c r="J34" s="31">
        <v>0</v>
      </c>
    </row>
    <row r="35" spans="1:14" x14ac:dyDescent="0.25">
      <c r="A35" t="s">
        <v>412</v>
      </c>
      <c r="B35" t="s">
        <v>642</v>
      </c>
      <c r="C35" t="s">
        <v>533</v>
      </c>
      <c r="D35" t="s">
        <v>539</v>
      </c>
      <c r="E35" s="6">
        <v>209.33163117599997</v>
      </c>
      <c r="F35" s="11">
        <v>18.265815587999988</v>
      </c>
      <c r="G35" s="32">
        <v>31</v>
      </c>
      <c r="H35" s="32">
        <v>26</v>
      </c>
      <c r="I35" s="31">
        <v>6000</v>
      </c>
      <c r="J35" s="31">
        <v>0</v>
      </c>
    </row>
    <row r="36" spans="1:14" x14ac:dyDescent="0.25">
      <c r="A36" t="s">
        <v>53</v>
      </c>
      <c r="B36" t="s">
        <v>642</v>
      </c>
      <c r="C36" t="s">
        <v>533</v>
      </c>
      <c r="D36" t="s">
        <v>540</v>
      </c>
      <c r="E36" s="6">
        <v>203.17992859400002</v>
      </c>
      <c r="F36" s="11">
        <v>12.795085895000001</v>
      </c>
      <c r="G36" s="32">
        <v>32</v>
      </c>
      <c r="H36" s="32">
        <v>25</v>
      </c>
      <c r="I36" s="31">
        <v>5000</v>
      </c>
      <c r="J36" s="31">
        <v>0</v>
      </c>
    </row>
    <row r="37" spans="1:14" x14ac:dyDescent="0.25">
      <c r="A37" t="s">
        <v>413</v>
      </c>
      <c r="B37" t="s">
        <v>642</v>
      </c>
      <c r="C37" t="s">
        <v>533</v>
      </c>
      <c r="D37" t="s">
        <v>571</v>
      </c>
      <c r="E37" s="6">
        <v>204.91026639099996</v>
      </c>
      <c r="F37" s="11">
        <v>19.626532367999943</v>
      </c>
      <c r="G37" s="32">
        <v>33</v>
      </c>
      <c r="H37" s="32">
        <v>24</v>
      </c>
      <c r="I37" s="31">
        <v>12000</v>
      </c>
      <c r="J37" s="31">
        <v>0</v>
      </c>
    </row>
    <row r="38" spans="1:14" x14ac:dyDescent="0.25">
      <c r="A38" t="s">
        <v>81</v>
      </c>
      <c r="B38" t="s">
        <v>642</v>
      </c>
      <c r="C38" t="s">
        <v>533</v>
      </c>
      <c r="D38" t="s">
        <v>544</v>
      </c>
      <c r="E38" s="6">
        <v>200.89069988</v>
      </c>
      <c r="F38" s="11">
        <v>15.377970329999995</v>
      </c>
      <c r="G38" s="32">
        <v>34</v>
      </c>
      <c r="H38" s="32">
        <v>23</v>
      </c>
      <c r="I38" s="31">
        <v>10000</v>
      </c>
      <c r="J38" s="31">
        <v>0</v>
      </c>
    </row>
    <row r="39" spans="1:14" x14ac:dyDescent="0.25">
      <c r="A39" t="s">
        <v>18</v>
      </c>
      <c r="B39" t="s">
        <v>534</v>
      </c>
      <c r="C39" t="s">
        <v>534</v>
      </c>
      <c r="D39" t="s">
        <v>526</v>
      </c>
      <c r="E39" s="6">
        <v>296.56267083999995</v>
      </c>
      <c r="F39" s="11">
        <v>-21.753664580000006</v>
      </c>
      <c r="G39" s="32">
        <v>35</v>
      </c>
      <c r="H39" s="32">
        <v>22</v>
      </c>
      <c r="I39" s="31">
        <v>6500</v>
      </c>
      <c r="J39" s="31">
        <v>0</v>
      </c>
    </row>
    <row r="40" spans="1:14" x14ac:dyDescent="0.25">
      <c r="A40" t="s">
        <v>68</v>
      </c>
      <c r="B40" t="s">
        <v>642</v>
      </c>
      <c r="C40" t="s">
        <v>535</v>
      </c>
      <c r="E40" s="6">
        <v>163.64287840399999</v>
      </c>
      <c r="F40" s="11">
        <v>-3.8285607980000007</v>
      </c>
      <c r="G40" s="32">
        <v>37</v>
      </c>
      <c r="H40" s="32">
        <v>22</v>
      </c>
      <c r="I40" s="31">
        <v>15000</v>
      </c>
      <c r="J40" s="31">
        <v>0</v>
      </c>
    </row>
    <row r="41" spans="1:14" x14ac:dyDescent="0.25">
      <c r="A41" t="s">
        <v>72</v>
      </c>
      <c r="B41" t="s">
        <v>642</v>
      </c>
      <c r="C41" t="s">
        <v>535</v>
      </c>
      <c r="E41" s="6">
        <v>166.4365431315</v>
      </c>
      <c r="F41" s="11">
        <v>-1.5855959650000067</v>
      </c>
      <c r="G41" s="32">
        <v>38</v>
      </c>
      <c r="H41" s="32">
        <v>22</v>
      </c>
      <c r="I41" s="31">
        <v>10000</v>
      </c>
      <c r="J41" s="31">
        <v>0</v>
      </c>
      <c r="N41" s="31"/>
    </row>
    <row r="42" spans="1:14" x14ac:dyDescent="0.25">
      <c r="A42" t="s">
        <v>22</v>
      </c>
      <c r="B42" t="s">
        <v>534</v>
      </c>
      <c r="C42" t="s">
        <v>534</v>
      </c>
      <c r="E42" s="6">
        <v>313.85287946000011</v>
      </c>
      <c r="F42" s="11">
        <v>-5.6085602699999528</v>
      </c>
      <c r="G42" s="32">
        <v>39</v>
      </c>
      <c r="H42" s="32">
        <v>21</v>
      </c>
      <c r="I42" s="31">
        <v>6000</v>
      </c>
      <c r="J42" s="31">
        <v>0</v>
      </c>
    </row>
    <row r="43" spans="1:14" x14ac:dyDescent="0.25">
      <c r="A43" t="s">
        <v>99</v>
      </c>
      <c r="B43" t="s">
        <v>642</v>
      </c>
      <c r="C43" t="s">
        <v>532</v>
      </c>
      <c r="E43" s="6">
        <v>202.02099766900002</v>
      </c>
      <c r="F43" s="11">
        <v>4.6448752720000002</v>
      </c>
      <c r="G43" s="32">
        <v>41</v>
      </c>
      <c r="H43" s="32">
        <v>21</v>
      </c>
      <c r="I43" s="31">
        <v>15000</v>
      </c>
      <c r="J43" s="31">
        <v>0</v>
      </c>
    </row>
    <row r="44" spans="1:14" x14ac:dyDescent="0.25">
      <c r="A44" t="s">
        <v>493</v>
      </c>
      <c r="B44" t="s">
        <v>642</v>
      </c>
      <c r="C44" t="s">
        <v>532</v>
      </c>
      <c r="E44" s="6">
        <v>197.53383727200003</v>
      </c>
      <c r="F44" s="11">
        <v>0</v>
      </c>
      <c r="G44" s="32">
        <v>42</v>
      </c>
      <c r="H44" s="32">
        <v>20</v>
      </c>
      <c r="I44" s="31">
        <v>7500</v>
      </c>
      <c r="J44" s="31">
        <v>0</v>
      </c>
    </row>
    <row r="45" spans="1:14" x14ac:dyDescent="0.25">
      <c r="A45" t="s">
        <v>98</v>
      </c>
      <c r="B45" t="s">
        <v>642</v>
      </c>
      <c r="C45" t="s">
        <v>532</v>
      </c>
      <c r="E45" s="6">
        <v>178.65023531</v>
      </c>
      <c r="F45" s="11">
        <v>-9.5127707640000061</v>
      </c>
      <c r="G45" s="32">
        <v>43</v>
      </c>
      <c r="H45" s="32">
        <v>19</v>
      </c>
      <c r="I45" s="31">
        <v>6000</v>
      </c>
      <c r="J45" s="31">
        <v>0</v>
      </c>
    </row>
    <row r="46" spans="1:14" x14ac:dyDescent="0.25">
      <c r="A46" t="s">
        <v>65</v>
      </c>
      <c r="B46" t="s">
        <v>642</v>
      </c>
      <c r="C46" t="s">
        <v>533</v>
      </c>
      <c r="D46" t="s">
        <v>579</v>
      </c>
      <c r="E46" s="6">
        <v>207.46155811100002</v>
      </c>
      <c r="F46" s="11">
        <v>22.755023236999996</v>
      </c>
      <c r="G46" s="32">
        <v>44</v>
      </c>
      <c r="H46" s="32">
        <v>19</v>
      </c>
      <c r="I46" s="31">
        <v>7500</v>
      </c>
      <c r="J46" s="31">
        <v>0</v>
      </c>
    </row>
    <row r="47" spans="1:14" x14ac:dyDescent="0.25">
      <c r="A47" t="s">
        <v>414</v>
      </c>
      <c r="B47" t="s">
        <v>642</v>
      </c>
      <c r="C47" t="s">
        <v>533</v>
      </c>
      <c r="D47" t="s">
        <v>543</v>
      </c>
      <c r="E47" s="6">
        <v>194.97475046400001</v>
      </c>
      <c r="F47" s="11">
        <v>11.087375232000007</v>
      </c>
      <c r="G47" s="32">
        <v>45</v>
      </c>
      <c r="H47" s="32">
        <v>18</v>
      </c>
      <c r="I47" s="31">
        <v>12000</v>
      </c>
      <c r="J47" s="31">
        <v>0</v>
      </c>
    </row>
    <row r="48" spans="1:14" x14ac:dyDescent="0.25">
      <c r="A48" t="s">
        <v>59</v>
      </c>
      <c r="B48" t="s">
        <v>642</v>
      </c>
      <c r="C48" t="s">
        <v>533</v>
      </c>
      <c r="E48" s="6">
        <v>184.85146853700002</v>
      </c>
      <c r="F48" s="11">
        <v>5.3148668079999961</v>
      </c>
      <c r="G48" s="32">
        <v>46</v>
      </c>
      <c r="H48" s="32">
        <v>17</v>
      </c>
      <c r="I48" s="31">
        <v>12000</v>
      </c>
      <c r="J48" s="31">
        <v>0</v>
      </c>
    </row>
    <row r="49" spans="1:10" x14ac:dyDescent="0.25">
      <c r="A49" t="s">
        <v>76</v>
      </c>
      <c r="B49" t="s">
        <v>642</v>
      </c>
      <c r="C49" t="s">
        <v>533</v>
      </c>
      <c r="E49" s="6">
        <v>183.23367493999999</v>
      </c>
      <c r="F49" s="11">
        <v>3.8080815589999921</v>
      </c>
      <c r="G49" s="32">
        <v>47</v>
      </c>
      <c r="H49" s="32">
        <v>17</v>
      </c>
      <c r="I49" s="31">
        <v>6000</v>
      </c>
      <c r="J49" s="31">
        <v>0</v>
      </c>
    </row>
    <row r="50" spans="1:10" x14ac:dyDescent="0.25">
      <c r="A50" t="s">
        <v>87</v>
      </c>
      <c r="B50" t="s">
        <v>642</v>
      </c>
      <c r="C50" t="s">
        <v>533</v>
      </c>
      <c r="D50" t="s">
        <v>538</v>
      </c>
      <c r="E50" s="6">
        <v>212.934467267</v>
      </c>
      <c r="F50" s="11">
        <v>29.567647820000005</v>
      </c>
      <c r="G50" s="32">
        <v>48</v>
      </c>
      <c r="H50" s="32">
        <v>15</v>
      </c>
      <c r="I50" s="31">
        <v>15000</v>
      </c>
      <c r="J50" s="31">
        <v>0</v>
      </c>
    </row>
    <row r="51" spans="1:10" x14ac:dyDescent="0.25">
      <c r="A51" t="s">
        <v>62</v>
      </c>
      <c r="B51" t="s">
        <v>642</v>
      </c>
      <c r="C51" t="s">
        <v>533</v>
      </c>
      <c r="E51" s="6">
        <v>186.24721591799999</v>
      </c>
      <c r="F51" s="11">
        <v>7.9301002650000028</v>
      </c>
      <c r="G51" s="32">
        <v>49</v>
      </c>
      <c r="H51" s="32">
        <v>15</v>
      </c>
      <c r="I51" s="31">
        <v>15000</v>
      </c>
      <c r="J51" s="31">
        <v>0</v>
      </c>
    </row>
    <row r="52" spans="1:10" x14ac:dyDescent="0.25">
      <c r="A52" t="s">
        <v>424</v>
      </c>
      <c r="B52" t="s">
        <v>642</v>
      </c>
      <c r="C52" t="s">
        <v>533</v>
      </c>
      <c r="E52" s="6">
        <v>172.68039829200001</v>
      </c>
      <c r="F52" s="11">
        <v>0</v>
      </c>
      <c r="G52" s="32">
        <v>50</v>
      </c>
      <c r="H52" s="32">
        <v>14</v>
      </c>
      <c r="I52" s="31">
        <v>10000</v>
      </c>
      <c r="J52" s="31">
        <v>0</v>
      </c>
    </row>
    <row r="53" spans="1:10" x14ac:dyDescent="0.25">
      <c r="A53" t="s">
        <v>19</v>
      </c>
      <c r="B53" t="s">
        <v>534</v>
      </c>
      <c r="C53" t="s">
        <v>534</v>
      </c>
      <c r="E53" s="6">
        <v>319.20887258799996</v>
      </c>
      <c r="F53" s="11">
        <v>9.8194362939999458</v>
      </c>
      <c r="G53" s="32">
        <v>51</v>
      </c>
      <c r="H53" s="32">
        <v>13</v>
      </c>
      <c r="I53" s="31">
        <v>7000</v>
      </c>
      <c r="J53" s="31">
        <v>0</v>
      </c>
    </row>
    <row r="54" spans="1:10" x14ac:dyDescent="0.25">
      <c r="A54" t="s">
        <v>35</v>
      </c>
      <c r="B54" t="s">
        <v>534</v>
      </c>
      <c r="C54" t="s">
        <v>534</v>
      </c>
      <c r="D54" t="s">
        <v>570</v>
      </c>
      <c r="E54" s="6">
        <v>291.37422852000014</v>
      </c>
      <c r="F54" s="11">
        <v>-20.626708599999901</v>
      </c>
      <c r="G54" s="32">
        <v>53</v>
      </c>
      <c r="H54" s="32">
        <v>13</v>
      </c>
      <c r="I54" s="31">
        <v>5500</v>
      </c>
      <c r="J54" s="31">
        <v>0</v>
      </c>
    </row>
    <row r="55" spans="1:10" x14ac:dyDescent="0.25">
      <c r="A55" t="s">
        <v>85</v>
      </c>
      <c r="B55" t="s">
        <v>642</v>
      </c>
      <c r="C55" t="s">
        <v>535</v>
      </c>
      <c r="E55" s="6">
        <v>168.80965299799999</v>
      </c>
      <c r="F55" s="11">
        <v>8.0048264989999964</v>
      </c>
      <c r="G55" s="32">
        <v>55</v>
      </c>
      <c r="H55" s="32">
        <v>12</v>
      </c>
      <c r="I55" s="31">
        <v>25000</v>
      </c>
      <c r="J55" s="31">
        <v>0</v>
      </c>
    </row>
    <row r="56" spans="1:10" x14ac:dyDescent="0.25">
      <c r="A56" t="s">
        <v>50</v>
      </c>
      <c r="B56" t="s">
        <v>642</v>
      </c>
      <c r="C56" t="s">
        <v>533</v>
      </c>
      <c r="D56" t="s">
        <v>573</v>
      </c>
      <c r="E56" s="6">
        <v>209.98304173599993</v>
      </c>
      <c r="F56" s="11">
        <v>28.341520867999936</v>
      </c>
      <c r="G56" s="32">
        <v>56</v>
      </c>
      <c r="H56" s="32">
        <v>11</v>
      </c>
      <c r="I56" s="31">
        <v>10000</v>
      </c>
      <c r="J56" s="31">
        <v>0</v>
      </c>
    </row>
    <row r="57" spans="1:10" x14ac:dyDescent="0.25">
      <c r="A57" t="s">
        <v>83</v>
      </c>
      <c r="B57" t="s">
        <v>642</v>
      </c>
      <c r="C57" t="s">
        <v>533</v>
      </c>
      <c r="D57" t="s">
        <v>545</v>
      </c>
      <c r="E57" s="6">
        <v>193.0536658659999</v>
      </c>
      <c r="F57" s="11">
        <v>16.933639367999902</v>
      </c>
      <c r="G57" s="32">
        <v>57</v>
      </c>
      <c r="H57" s="32">
        <v>11</v>
      </c>
      <c r="I57" s="31">
        <v>12000</v>
      </c>
      <c r="J57" s="31">
        <v>0</v>
      </c>
    </row>
    <row r="58" spans="1:10" x14ac:dyDescent="0.25">
      <c r="A58" t="s">
        <v>40</v>
      </c>
      <c r="B58" t="s">
        <v>642</v>
      </c>
      <c r="C58" t="s">
        <v>533</v>
      </c>
      <c r="D58" t="s">
        <v>540</v>
      </c>
      <c r="E58" s="6">
        <v>191.3187300729999</v>
      </c>
      <c r="F58" s="11">
        <v>17.296879701999902</v>
      </c>
      <c r="G58" s="32">
        <v>58</v>
      </c>
      <c r="H58" s="32">
        <v>10</v>
      </c>
      <c r="I58" s="31">
        <v>15000</v>
      </c>
      <c r="J58" s="31">
        <v>0</v>
      </c>
    </row>
    <row r="59" spans="1:10" x14ac:dyDescent="0.25">
      <c r="A59" t="s">
        <v>43</v>
      </c>
      <c r="B59" t="s">
        <v>642</v>
      </c>
      <c r="C59" t="s">
        <v>533</v>
      </c>
      <c r="D59" t="s">
        <v>572</v>
      </c>
      <c r="E59" s="6">
        <v>196.94452239899988</v>
      </c>
      <c r="F59" s="11">
        <v>19.688748801999843</v>
      </c>
      <c r="G59" s="32">
        <v>59</v>
      </c>
      <c r="H59" s="32">
        <v>10</v>
      </c>
      <c r="I59" s="31">
        <v>15000</v>
      </c>
      <c r="J59" s="31">
        <v>0</v>
      </c>
    </row>
    <row r="60" spans="1:10" x14ac:dyDescent="0.25">
      <c r="A60" t="s">
        <v>417</v>
      </c>
      <c r="B60" t="s">
        <v>642</v>
      </c>
      <c r="C60" t="s">
        <v>535</v>
      </c>
      <c r="E60" s="6">
        <v>141.53072747900001</v>
      </c>
      <c r="F60" s="11">
        <v>0</v>
      </c>
      <c r="G60" s="32">
        <v>60</v>
      </c>
      <c r="H60" s="32">
        <v>10</v>
      </c>
      <c r="I60" s="31">
        <v>25000</v>
      </c>
      <c r="J60" s="31">
        <v>0</v>
      </c>
    </row>
    <row r="61" spans="1:10" x14ac:dyDescent="0.25">
      <c r="A61" t="s">
        <v>421</v>
      </c>
      <c r="B61" t="s">
        <v>642</v>
      </c>
      <c r="C61" t="s">
        <v>535</v>
      </c>
      <c r="E61" s="6">
        <v>140.78016725600003</v>
      </c>
      <c r="F61" s="11">
        <v>0</v>
      </c>
      <c r="G61" s="32">
        <v>61</v>
      </c>
      <c r="H61" s="32">
        <v>10</v>
      </c>
      <c r="I61" s="31">
        <v>25000</v>
      </c>
      <c r="J61" s="31">
        <v>0</v>
      </c>
    </row>
    <row r="62" spans="1:10" x14ac:dyDescent="0.25">
      <c r="A62" t="s">
        <v>12</v>
      </c>
      <c r="B62" t="s">
        <v>534</v>
      </c>
      <c r="C62" t="s">
        <v>534</v>
      </c>
      <c r="E62" s="6">
        <v>286.07143387200006</v>
      </c>
      <c r="F62" s="11">
        <v>1.5007169360000372</v>
      </c>
      <c r="G62" s="32">
        <v>62</v>
      </c>
      <c r="H62" s="32">
        <v>9</v>
      </c>
      <c r="I62" s="31">
        <v>5000</v>
      </c>
      <c r="J62" s="31">
        <v>0</v>
      </c>
    </row>
    <row r="63" spans="1:10" x14ac:dyDescent="0.25">
      <c r="A63" t="s">
        <v>431</v>
      </c>
      <c r="B63" t="s">
        <v>534</v>
      </c>
      <c r="C63" t="s">
        <v>534</v>
      </c>
      <c r="D63" t="s">
        <v>528</v>
      </c>
      <c r="E63" s="6">
        <v>268.23131260800005</v>
      </c>
      <c r="F63" s="11">
        <v>-13.065415799999979</v>
      </c>
      <c r="G63" s="32">
        <v>64</v>
      </c>
      <c r="H63" s="32">
        <v>9</v>
      </c>
      <c r="I63" s="31">
        <v>6500</v>
      </c>
      <c r="J63" s="31">
        <v>0</v>
      </c>
    </row>
    <row r="64" spans="1:10" x14ac:dyDescent="0.25">
      <c r="A64" t="s">
        <v>32</v>
      </c>
      <c r="B64" t="s">
        <v>534</v>
      </c>
      <c r="C64" t="s">
        <v>534</v>
      </c>
      <c r="E64" s="6">
        <v>276.71976288599996</v>
      </c>
      <c r="F64" s="11">
        <v>-5.5771125400000416</v>
      </c>
      <c r="G64" s="32">
        <v>67</v>
      </c>
      <c r="H64" s="32">
        <v>9</v>
      </c>
      <c r="I64" s="31">
        <v>7500</v>
      </c>
      <c r="J64" s="31">
        <v>0</v>
      </c>
    </row>
    <row r="65" spans="1:10" x14ac:dyDescent="0.25">
      <c r="A65" t="s">
        <v>29</v>
      </c>
      <c r="B65" t="s">
        <v>534</v>
      </c>
      <c r="C65" t="s">
        <v>534</v>
      </c>
      <c r="D65" t="s">
        <v>525</v>
      </c>
      <c r="E65" s="6">
        <v>258.09339921799994</v>
      </c>
      <c r="F65" s="11">
        <v>-21.960469019999984</v>
      </c>
      <c r="G65" s="32">
        <v>69</v>
      </c>
      <c r="H65" s="32">
        <v>8</v>
      </c>
      <c r="I65" s="31">
        <v>10000</v>
      </c>
      <c r="J65" s="31">
        <v>0</v>
      </c>
    </row>
    <row r="66" spans="1:10" x14ac:dyDescent="0.25">
      <c r="A66" t="s">
        <v>416</v>
      </c>
      <c r="B66" t="s">
        <v>642</v>
      </c>
      <c r="C66" t="s">
        <v>532</v>
      </c>
      <c r="E66" s="6">
        <v>170.16432774700002</v>
      </c>
      <c r="F66" s="11">
        <v>0</v>
      </c>
      <c r="G66" s="32">
        <v>71</v>
      </c>
      <c r="H66" s="32">
        <v>8</v>
      </c>
      <c r="I66" s="31">
        <v>15000</v>
      </c>
      <c r="J66" s="31">
        <v>0</v>
      </c>
    </row>
    <row r="67" spans="1:10" x14ac:dyDescent="0.25">
      <c r="A67" t="s">
        <v>107</v>
      </c>
      <c r="B67" t="s">
        <v>642</v>
      </c>
      <c r="C67" t="s">
        <v>532</v>
      </c>
      <c r="E67" s="6">
        <v>172.96507206299989</v>
      </c>
      <c r="F67" s="11">
        <v>8.3750563779999005</v>
      </c>
      <c r="G67" s="32">
        <v>72</v>
      </c>
      <c r="H67" s="32">
        <v>8</v>
      </c>
      <c r="I67" s="31">
        <v>12000</v>
      </c>
      <c r="J67" s="31">
        <v>0</v>
      </c>
    </row>
    <row r="68" spans="1:10" x14ac:dyDescent="0.25">
      <c r="A68" t="s">
        <v>420</v>
      </c>
      <c r="B68" t="s">
        <v>642</v>
      </c>
      <c r="C68" t="s">
        <v>532</v>
      </c>
      <c r="E68" s="6">
        <v>161.46228133400001</v>
      </c>
      <c r="F68" s="11">
        <v>0</v>
      </c>
      <c r="G68" s="32">
        <v>73</v>
      </c>
      <c r="H68" s="32">
        <v>7</v>
      </c>
      <c r="I68" s="31">
        <v>15000</v>
      </c>
      <c r="J68" s="31">
        <v>0</v>
      </c>
    </row>
    <row r="69" spans="1:10" x14ac:dyDescent="0.25">
      <c r="A69" t="s">
        <v>100</v>
      </c>
      <c r="B69" t="s">
        <v>642</v>
      </c>
      <c r="C69" t="s">
        <v>532</v>
      </c>
      <c r="E69" s="6">
        <v>163.23447067600006</v>
      </c>
      <c r="F69" s="11">
        <v>-5.8852943219999414</v>
      </c>
      <c r="G69" s="32">
        <v>75</v>
      </c>
      <c r="H69" s="32">
        <v>7</v>
      </c>
      <c r="I69" s="31">
        <v>12000</v>
      </c>
      <c r="J69" s="31">
        <v>0</v>
      </c>
    </row>
    <row r="70" spans="1:10" x14ac:dyDescent="0.25">
      <c r="A70" t="s">
        <v>97</v>
      </c>
      <c r="B70" t="s">
        <v>642</v>
      </c>
      <c r="C70" t="s">
        <v>532</v>
      </c>
      <c r="D70" t="s">
        <v>583</v>
      </c>
      <c r="E70" s="6">
        <v>178.08557842500002</v>
      </c>
      <c r="F70" s="11">
        <v>12.022339966000001</v>
      </c>
      <c r="G70" s="32">
        <v>76</v>
      </c>
      <c r="H70" s="32">
        <v>7</v>
      </c>
      <c r="I70" s="31">
        <v>12000</v>
      </c>
      <c r="J70" s="31">
        <v>0</v>
      </c>
    </row>
    <row r="71" spans="1:10" x14ac:dyDescent="0.25">
      <c r="A71" t="s">
        <v>55</v>
      </c>
      <c r="B71" t="s">
        <v>642</v>
      </c>
      <c r="C71" t="s">
        <v>533</v>
      </c>
      <c r="D71" t="s">
        <v>576</v>
      </c>
      <c r="E71" s="6">
        <v>187.07592914200001</v>
      </c>
      <c r="F71" s="11">
        <v>13.137964571000003</v>
      </c>
      <c r="G71" s="32">
        <v>77</v>
      </c>
      <c r="H71" s="32">
        <v>7</v>
      </c>
      <c r="I71" s="31">
        <v>10000</v>
      </c>
      <c r="J71" s="31">
        <v>0</v>
      </c>
    </row>
    <row r="72" spans="1:10" x14ac:dyDescent="0.25">
      <c r="A72" t="s">
        <v>86</v>
      </c>
      <c r="B72" t="s">
        <v>642</v>
      </c>
      <c r="C72" t="s">
        <v>533</v>
      </c>
      <c r="D72" t="s">
        <v>581</v>
      </c>
      <c r="E72" s="6">
        <v>200.27639457799989</v>
      </c>
      <c r="F72" s="11">
        <v>26.574830144999943</v>
      </c>
      <c r="G72" s="32">
        <v>78</v>
      </c>
      <c r="H72" s="32">
        <v>6</v>
      </c>
      <c r="I72" s="31">
        <v>20000</v>
      </c>
      <c r="J72" s="31">
        <v>0</v>
      </c>
    </row>
    <row r="73" spans="1:10" x14ac:dyDescent="0.25">
      <c r="A73" t="s">
        <v>52</v>
      </c>
      <c r="B73" t="s">
        <v>642</v>
      </c>
      <c r="C73" t="s">
        <v>533</v>
      </c>
      <c r="D73" t="s">
        <v>575</v>
      </c>
      <c r="E73" s="6">
        <v>177.65519687099999</v>
      </c>
      <c r="F73" s="11">
        <v>16.524445223000001</v>
      </c>
      <c r="G73" s="32">
        <v>79</v>
      </c>
      <c r="H73" s="32">
        <v>6</v>
      </c>
      <c r="I73" s="31">
        <v>10000</v>
      </c>
      <c r="J73" s="31">
        <v>0</v>
      </c>
    </row>
    <row r="74" spans="1:10" x14ac:dyDescent="0.25">
      <c r="A74" t="s">
        <v>38</v>
      </c>
      <c r="B74" t="s">
        <v>642</v>
      </c>
      <c r="C74" t="s">
        <v>533</v>
      </c>
      <c r="E74" s="6">
        <v>158.543528391</v>
      </c>
      <c r="F74" s="11">
        <v>0.83265928800000033</v>
      </c>
      <c r="G74" s="32">
        <v>80</v>
      </c>
      <c r="H74" s="32">
        <v>6</v>
      </c>
      <c r="I74" s="31">
        <v>12000</v>
      </c>
      <c r="J74" s="31">
        <v>0</v>
      </c>
    </row>
    <row r="75" spans="1:10" x14ac:dyDescent="0.25">
      <c r="A75" t="s">
        <v>48</v>
      </c>
      <c r="B75" t="s">
        <v>642</v>
      </c>
      <c r="C75" t="s">
        <v>533</v>
      </c>
      <c r="E75" s="6">
        <v>169.54245415000003</v>
      </c>
      <c r="F75" s="11">
        <v>4.5392788880000019</v>
      </c>
      <c r="G75" s="32">
        <v>81</v>
      </c>
      <c r="H75" s="32">
        <v>6</v>
      </c>
      <c r="I75" s="31">
        <v>25000</v>
      </c>
      <c r="J75" s="31">
        <v>0</v>
      </c>
    </row>
    <row r="76" spans="1:10" x14ac:dyDescent="0.25">
      <c r="A76" t="s">
        <v>44</v>
      </c>
      <c r="B76" t="s">
        <v>642</v>
      </c>
      <c r="C76" t="s">
        <v>533</v>
      </c>
      <c r="D76" t="s">
        <v>537</v>
      </c>
      <c r="E76" s="6">
        <v>172.1583361459999</v>
      </c>
      <c r="F76" s="11">
        <v>17.679168072999893</v>
      </c>
      <c r="G76" s="32">
        <v>82</v>
      </c>
      <c r="H76" s="32">
        <v>6</v>
      </c>
      <c r="I76" s="31">
        <v>15000</v>
      </c>
      <c r="J76" s="31">
        <v>0</v>
      </c>
    </row>
    <row r="77" spans="1:10" x14ac:dyDescent="0.25">
      <c r="A77" t="s">
        <v>54</v>
      </c>
      <c r="B77" t="s">
        <v>642</v>
      </c>
      <c r="C77" t="s">
        <v>535</v>
      </c>
      <c r="E77" s="6">
        <v>150.13657288799999</v>
      </c>
      <c r="F77" s="11">
        <v>6.1682864439999925</v>
      </c>
      <c r="G77" s="32">
        <v>83</v>
      </c>
      <c r="H77" s="32">
        <v>6</v>
      </c>
      <c r="I77" s="31">
        <v>15000</v>
      </c>
      <c r="J77" s="31">
        <v>0</v>
      </c>
    </row>
    <row r="78" spans="1:10" x14ac:dyDescent="0.25">
      <c r="A78" t="s">
        <v>46</v>
      </c>
      <c r="B78" t="s">
        <v>642</v>
      </c>
      <c r="C78" t="s">
        <v>535</v>
      </c>
      <c r="D78" t="s">
        <v>529</v>
      </c>
      <c r="E78" s="6">
        <v>121.82356487800003</v>
      </c>
      <c r="F78" s="11">
        <v>-13.238217560999985</v>
      </c>
      <c r="G78" s="32">
        <v>84</v>
      </c>
      <c r="H78" s="32">
        <v>5</v>
      </c>
      <c r="I78" s="31">
        <v>25000</v>
      </c>
      <c r="J78" s="31">
        <v>0</v>
      </c>
    </row>
    <row r="79" spans="1:10" x14ac:dyDescent="0.25">
      <c r="A79" t="s">
        <v>45</v>
      </c>
      <c r="B79" t="s">
        <v>642</v>
      </c>
      <c r="C79" t="s">
        <v>535</v>
      </c>
      <c r="E79" s="6">
        <v>142.43377193599997</v>
      </c>
      <c r="F79" s="11">
        <v>5.2269258879999914</v>
      </c>
      <c r="G79" s="32">
        <v>87</v>
      </c>
      <c r="H79" s="32">
        <v>5</v>
      </c>
      <c r="I79" s="31">
        <v>25000</v>
      </c>
      <c r="J79" s="31">
        <v>0</v>
      </c>
    </row>
    <row r="80" spans="1:10" x14ac:dyDescent="0.25">
      <c r="A80" t="s">
        <v>426</v>
      </c>
      <c r="B80" t="s">
        <v>642</v>
      </c>
      <c r="C80" t="s">
        <v>532</v>
      </c>
      <c r="E80" s="6">
        <v>161.64373681300003</v>
      </c>
      <c r="F80" s="11">
        <v>0</v>
      </c>
      <c r="G80" s="32">
        <v>88</v>
      </c>
      <c r="H80" s="32">
        <v>5</v>
      </c>
      <c r="I80" s="31">
        <v>20000</v>
      </c>
      <c r="J80" s="31">
        <v>0</v>
      </c>
    </row>
    <row r="81" spans="1:10" x14ac:dyDescent="0.25">
      <c r="A81" t="s">
        <v>443</v>
      </c>
      <c r="B81" t="s">
        <v>642</v>
      </c>
      <c r="C81" t="s">
        <v>532</v>
      </c>
      <c r="E81" s="6">
        <v>163.11377723300001</v>
      </c>
      <c r="F81" s="11">
        <v>0</v>
      </c>
      <c r="G81" s="32">
        <v>89</v>
      </c>
      <c r="H81" s="32">
        <v>5</v>
      </c>
      <c r="I81" s="31">
        <v>12000</v>
      </c>
      <c r="J81" s="31">
        <v>0</v>
      </c>
    </row>
    <row r="82" spans="1:10" x14ac:dyDescent="0.25">
      <c r="A82" t="s">
        <v>423</v>
      </c>
      <c r="B82" t="s">
        <v>642</v>
      </c>
      <c r="C82" t="s">
        <v>532</v>
      </c>
      <c r="E82" s="6">
        <v>162.97423599300001</v>
      </c>
      <c r="F82" s="11">
        <v>0</v>
      </c>
      <c r="G82" s="32">
        <v>90</v>
      </c>
      <c r="H82" s="32">
        <v>4</v>
      </c>
      <c r="I82" s="31">
        <v>15000</v>
      </c>
      <c r="J82" s="31">
        <v>0</v>
      </c>
    </row>
    <row r="83" spans="1:10" x14ac:dyDescent="0.25">
      <c r="A83" t="s">
        <v>422</v>
      </c>
      <c r="B83" t="s">
        <v>642</v>
      </c>
      <c r="C83" t="s">
        <v>532</v>
      </c>
      <c r="E83" s="6">
        <v>153.49862069</v>
      </c>
      <c r="F83" s="11">
        <v>0</v>
      </c>
      <c r="G83" s="32">
        <v>91</v>
      </c>
      <c r="H83" s="32">
        <v>4</v>
      </c>
      <c r="I83" s="31">
        <v>15000</v>
      </c>
      <c r="J83" s="31">
        <v>0</v>
      </c>
    </row>
    <row r="84" spans="1:10" x14ac:dyDescent="0.25">
      <c r="A84" t="s">
        <v>419</v>
      </c>
      <c r="B84" t="s">
        <v>642</v>
      </c>
      <c r="C84" t="s">
        <v>532</v>
      </c>
      <c r="E84" s="6">
        <v>166.99479995000002</v>
      </c>
      <c r="F84" s="11">
        <v>0</v>
      </c>
      <c r="G84" s="32">
        <v>92</v>
      </c>
      <c r="H84" s="32">
        <v>4</v>
      </c>
      <c r="I84" s="31">
        <v>12000</v>
      </c>
      <c r="J84" s="31">
        <v>0</v>
      </c>
    </row>
    <row r="85" spans="1:10" x14ac:dyDescent="0.25">
      <c r="A85" t="s">
        <v>47</v>
      </c>
      <c r="B85" t="s">
        <v>642</v>
      </c>
      <c r="C85" t="s">
        <v>533</v>
      </c>
      <c r="D85" t="s">
        <v>538</v>
      </c>
      <c r="E85" s="6">
        <v>184.42923293100003</v>
      </c>
      <c r="F85" s="11">
        <v>21.642620195999989</v>
      </c>
      <c r="G85" s="32">
        <v>93</v>
      </c>
      <c r="H85" s="32">
        <v>4</v>
      </c>
      <c r="I85" s="31">
        <v>15000</v>
      </c>
      <c r="J85" s="31">
        <v>0</v>
      </c>
    </row>
    <row r="86" spans="1:10" x14ac:dyDescent="0.25">
      <c r="A86" t="s">
        <v>57</v>
      </c>
      <c r="B86" t="s">
        <v>642</v>
      </c>
      <c r="C86" t="s">
        <v>533</v>
      </c>
      <c r="D86" t="s">
        <v>577</v>
      </c>
      <c r="E86" s="6">
        <v>166.67255502200004</v>
      </c>
      <c r="F86" s="11">
        <v>11.686277511</v>
      </c>
      <c r="G86" s="32">
        <v>94</v>
      </c>
      <c r="H86" s="32">
        <v>4</v>
      </c>
      <c r="I86" s="31">
        <v>15000</v>
      </c>
      <c r="J86" s="31">
        <v>0</v>
      </c>
    </row>
    <row r="87" spans="1:10" x14ac:dyDescent="0.25">
      <c r="A87" t="s">
        <v>37</v>
      </c>
      <c r="B87" t="s">
        <v>642</v>
      </c>
      <c r="C87" t="s">
        <v>533</v>
      </c>
      <c r="E87" s="6">
        <v>153.17092519900001</v>
      </c>
      <c r="F87" s="11">
        <v>2.5917522060000029</v>
      </c>
      <c r="G87" s="32">
        <v>95</v>
      </c>
      <c r="H87" s="32">
        <v>4</v>
      </c>
      <c r="I87" s="31">
        <v>12000</v>
      </c>
      <c r="J87" s="31">
        <v>0</v>
      </c>
    </row>
    <row r="88" spans="1:10" x14ac:dyDescent="0.25">
      <c r="A88" t="s">
        <v>429</v>
      </c>
      <c r="B88" t="s">
        <v>642</v>
      </c>
      <c r="C88" t="s">
        <v>533</v>
      </c>
      <c r="E88" s="6">
        <v>154.215353894</v>
      </c>
      <c r="F88" s="11">
        <v>0</v>
      </c>
      <c r="G88" s="32">
        <v>96</v>
      </c>
      <c r="H88" s="32">
        <v>4</v>
      </c>
      <c r="I88" s="31">
        <v>30000</v>
      </c>
      <c r="J88" s="31">
        <v>0</v>
      </c>
    </row>
    <row r="89" spans="1:10" x14ac:dyDescent="0.25">
      <c r="A89" t="s">
        <v>77</v>
      </c>
      <c r="B89" t="s">
        <v>642</v>
      </c>
      <c r="C89" t="s">
        <v>533</v>
      </c>
      <c r="D89" t="s">
        <v>539</v>
      </c>
      <c r="E89" s="6">
        <v>159.798172682</v>
      </c>
      <c r="F89" s="11">
        <v>12.183455479999999</v>
      </c>
      <c r="G89" s="32">
        <v>98</v>
      </c>
      <c r="H89" s="32">
        <v>4</v>
      </c>
      <c r="I89" s="31">
        <v>0</v>
      </c>
      <c r="J89" s="31">
        <v>2200</v>
      </c>
    </row>
    <row r="90" spans="1:10" x14ac:dyDescent="0.25">
      <c r="A90" t="s">
        <v>67</v>
      </c>
      <c r="B90" t="s">
        <v>642</v>
      </c>
      <c r="C90" t="s">
        <v>533</v>
      </c>
      <c r="D90" t="s">
        <v>542</v>
      </c>
      <c r="E90" s="6">
        <v>164.70811225099985</v>
      </c>
      <c r="F90" s="11">
        <v>19.21328930799984</v>
      </c>
      <c r="G90" s="32">
        <v>99</v>
      </c>
      <c r="H90" s="32">
        <v>4</v>
      </c>
      <c r="I90" s="31">
        <v>20000</v>
      </c>
      <c r="J90" s="31">
        <v>7000</v>
      </c>
    </row>
    <row r="91" spans="1:10" x14ac:dyDescent="0.25">
      <c r="A91" t="s">
        <v>425</v>
      </c>
      <c r="B91" t="s">
        <v>642</v>
      </c>
      <c r="C91" t="s">
        <v>532</v>
      </c>
      <c r="E91" s="6">
        <v>150.13126275700003</v>
      </c>
      <c r="F91" s="11">
        <v>0</v>
      </c>
      <c r="G91" s="32">
        <v>100</v>
      </c>
      <c r="H91" s="32">
        <v>3</v>
      </c>
      <c r="I91" s="31">
        <v>10000</v>
      </c>
      <c r="J91" s="31">
        <v>0</v>
      </c>
    </row>
    <row r="92" spans="1:10" x14ac:dyDescent="0.25">
      <c r="A92" t="s">
        <v>108</v>
      </c>
      <c r="B92" t="s">
        <v>642</v>
      </c>
      <c r="C92" t="s">
        <v>532</v>
      </c>
      <c r="E92" s="6">
        <v>149.01276872500006</v>
      </c>
      <c r="F92" s="11">
        <v>-5.6086071859999844</v>
      </c>
      <c r="G92" s="32">
        <v>101</v>
      </c>
      <c r="H92" s="32">
        <v>3</v>
      </c>
      <c r="I92" s="31">
        <v>15000</v>
      </c>
      <c r="J92" s="31">
        <v>0</v>
      </c>
    </row>
    <row r="93" spans="1:10" x14ac:dyDescent="0.25">
      <c r="A93" t="s">
        <v>430</v>
      </c>
      <c r="B93" t="s">
        <v>642</v>
      </c>
      <c r="C93" t="s">
        <v>532</v>
      </c>
      <c r="E93" s="6">
        <v>150.169374248</v>
      </c>
      <c r="F93" s="11">
        <v>0</v>
      </c>
      <c r="G93" s="32">
        <v>102</v>
      </c>
      <c r="H93" s="32">
        <v>3</v>
      </c>
      <c r="I93" s="31">
        <v>10000</v>
      </c>
      <c r="J93" s="31">
        <v>0</v>
      </c>
    </row>
    <row r="94" spans="1:10" x14ac:dyDescent="0.25">
      <c r="A94" t="s">
        <v>91</v>
      </c>
      <c r="B94" t="s">
        <v>642</v>
      </c>
      <c r="C94" t="s">
        <v>532</v>
      </c>
      <c r="E94" s="6">
        <v>156.641773753</v>
      </c>
      <c r="F94" s="11">
        <v>6.6406204419999932</v>
      </c>
      <c r="G94" s="32">
        <v>103</v>
      </c>
      <c r="H94" s="32">
        <v>3</v>
      </c>
      <c r="I94" s="31">
        <v>25000</v>
      </c>
      <c r="J94" s="31">
        <v>0</v>
      </c>
    </row>
    <row r="95" spans="1:10" x14ac:dyDescent="0.25">
      <c r="A95" t="s">
        <v>13</v>
      </c>
      <c r="B95" t="s">
        <v>534</v>
      </c>
      <c r="C95" t="s">
        <v>534</v>
      </c>
      <c r="D95" t="s">
        <v>526</v>
      </c>
      <c r="E95" s="6">
        <v>250.35384600399999</v>
      </c>
      <c r="F95" s="11">
        <v>-18.804287910000021</v>
      </c>
      <c r="G95" s="32">
        <v>105</v>
      </c>
      <c r="H95" s="32">
        <v>3</v>
      </c>
      <c r="I95" s="31">
        <v>10000</v>
      </c>
      <c r="J95" s="31">
        <v>0</v>
      </c>
    </row>
    <row r="96" spans="1:10" x14ac:dyDescent="0.25">
      <c r="A96" t="s">
        <v>25</v>
      </c>
      <c r="B96" t="s">
        <v>534</v>
      </c>
      <c r="C96" t="s">
        <v>534</v>
      </c>
      <c r="D96" t="s">
        <v>567</v>
      </c>
      <c r="E96" s="6">
        <v>249.34111800800005</v>
      </c>
      <c r="F96" s="11">
        <v>-15.927673999999939</v>
      </c>
      <c r="G96" s="32">
        <v>107</v>
      </c>
      <c r="H96" s="32">
        <v>3</v>
      </c>
      <c r="I96" s="31">
        <v>7500</v>
      </c>
      <c r="J96" s="31">
        <v>0</v>
      </c>
    </row>
    <row r="97" spans="1:10" x14ac:dyDescent="0.25">
      <c r="A97" t="s">
        <v>28</v>
      </c>
      <c r="B97" t="s">
        <v>534</v>
      </c>
      <c r="C97" t="s">
        <v>534</v>
      </c>
      <c r="D97" t="s">
        <v>526</v>
      </c>
      <c r="E97" s="6">
        <v>243.23109769000013</v>
      </c>
      <c r="F97" s="11">
        <v>-19.476072799999933</v>
      </c>
      <c r="G97" s="32">
        <v>109</v>
      </c>
      <c r="H97" s="32">
        <v>3</v>
      </c>
      <c r="I97" s="31">
        <v>10000</v>
      </c>
      <c r="J97" s="31">
        <v>0</v>
      </c>
    </row>
    <row r="98" spans="1:10" x14ac:dyDescent="0.25">
      <c r="A98" t="s">
        <v>73</v>
      </c>
      <c r="B98" t="s">
        <v>642</v>
      </c>
      <c r="C98" t="s">
        <v>533</v>
      </c>
      <c r="E98" s="6">
        <v>152.85103419100002</v>
      </c>
      <c r="F98" s="11">
        <v>9.8311139640000018</v>
      </c>
      <c r="G98" s="32">
        <v>111</v>
      </c>
      <c r="H98" s="32">
        <v>3</v>
      </c>
      <c r="I98" s="31">
        <v>50000</v>
      </c>
      <c r="J98" s="31">
        <v>3500</v>
      </c>
    </row>
    <row r="99" spans="1:10" x14ac:dyDescent="0.25">
      <c r="A99" t="s">
        <v>80</v>
      </c>
      <c r="B99" t="s">
        <v>642</v>
      </c>
      <c r="C99" t="s">
        <v>533</v>
      </c>
      <c r="D99" t="s">
        <v>541</v>
      </c>
      <c r="E99" s="6">
        <v>157.30903564699989</v>
      </c>
      <c r="F99" s="11">
        <v>16.6414044059999</v>
      </c>
      <c r="G99" s="32">
        <v>113</v>
      </c>
      <c r="H99" s="32">
        <v>3</v>
      </c>
      <c r="I99" s="31">
        <v>20000</v>
      </c>
      <c r="J99" s="31">
        <v>3500</v>
      </c>
    </row>
    <row r="100" spans="1:10" x14ac:dyDescent="0.25">
      <c r="A100" t="s">
        <v>440</v>
      </c>
      <c r="B100" t="s">
        <v>642</v>
      </c>
      <c r="C100" t="s">
        <v>533</v>
      </c>
      <c r="E100" s="6">
        <v>149.381797033</v>
      </c>
      <c r="F100" s="11">
        <v>8.3195582139999846</v>
      </c>
      <c r="G100" s="32">
        <v>114</v>
      </c>
      <c r="H100" s="32">
        <v>2</v>
      </c>
      <c r="I100" s="31">
        <v>50000</v>
      </c>
      <c r="J100" s="31">
        <v>5000</v>
      </c>
    </row>
    <row r="101" spans="1:10" x14ac:dyDescent="0.25">
      <c r="A101" t="s">
        <v>127</v>
      </c>
      <c r="B101" t="s">
        <v>642</v>
      </c>
      <c r="C101" t="s">
        <v>533</v>
      </c>
      <c r="E101" s="6">
        <v>139.55127140980002</v>
      </c>
      <c r="F101" s="11">
        <v>0</v>
      </c>
      <c r="G101" s="32">
        <v>115</v>
      </c>
      <c r="H101" s="32">
        <v>2</v>
      </c>
      <c r="I101" s="31">
        <v>20000</v>
      </c>
      <c r="J101" s="31">
        <v>0</v>
      </c>
    </row>
    <row r="102" spans="1:10" x14ac:dyDescent="0.25">
      <c r="A102" t="s">
        <v>427</v>
      </c>
      <c r="B102" t="s">
        <v>642</v>
      </c>
      <c r="C102" t="s">
        <v>533</v>
      </c>
      <c r="E102" s="6">
        <v>145.64640118700001</v>
      </c>
      <c r="F102" s="11">
        <v>0</v>
      </c>
      <c r="G102" s="32">
        <v>116</v>
      </c>
      <c r="H102" s="32">
        <v>2</v>
      </c>
      <c r="I102" s="31">
        <v>20000</v>
      </c>
      <c r="J102" s="31">
        <v>0</v>
      </c>
    </row>
    <row r="103" spans="1:10" x14ac:dyDescent="0.25">
      <c r="A103" t="s">
        <v>17</v>
      </c>
      <c r="B103" t="s">
        <v>534</v>
      </c>
      <c r="C103" t="s">
        <v>534</v>
      </c>
      <c r="E103" s="6">
        <v>260.04319288000005</v>
      </c>
      <c r="F103" s="11">
        <v>-1.5134035599999893</v>
      </c>
      <c r="G103" s="32">
        <v>117</v>
      </c>
      <c r="H103" s="32">
        <v>2</v>
      </c>
      <c r="I103" s="31">
        <v>12000</v>
      </c>
      <c r="J103" s="31">
        <v>475</v>
      </c>
    </row>
    <row r="104" spans="1:10" x14ac:dyDescent="0.25">
      <c r="A104" t="s">
        <v>36</v>
      </c>
      <c r="B104" t="s">
        <v>642</v>
      </c>
      <c r="C104" t="s">
        <v>535</v>
      </c>
      <c r="E104" s="6">
        <v>140.39837778999998</v>
      </c>
      <c r="F104" s="11">
        <v>1.0491888949999959</v>
      </c>
      <c r="G104" s="32">
        <v>120</v>
      </c>
      <c r="H104" s="32">
        <v>2</v>
      </c>
      <c r="I104" s="31">
        <v>20000</v>
      </c>
      <c r="J104" s="31">
        <v>0</v>
      </c>
    </row>
    <row r="105" spans="1:10" x14ac:dyDescent="0.25">
      <c r="A105" t="s">
        <v>41</v>
      </c>
      <c r="B105" t="s">
        <v>642</v>
      </c>
      <c r="C105" t="s">
        <v>535</v>
      </c>
      <c r="E105" s="6">
        <v>132.45103905400001</v>
      </c>
      <c r="F105" s="11">
        <v>-0.40694542800000533</v>
      </c>
      <c r="G105" s="32">
        <v>121</v>
      </c>
      <c r="H105" s="32">
        <v>2</v>
      </c>
      <c r="I105" s="31">
        <v>25000</v>
      </c>
      <c r="J105" s="31">
        <v>0</v>
      </c>
    </row>
    <row r="106" spans="1:10" x14ac:dyDescent="0.25">
      <c r="A106" t="s">
        <v>90</v>
      </c>
      <c r="B106" t="s">
        <v>642</v>
      </c>
      <c r="C106" t="s">
        <v>532</v>
      </c>
      <c r="E106" s="6">
        <v>165.53601712800003</v>
      </c>
      <c r="F106" s="11">
        <v>7.0270096039999999</v>
      </c>
      <c r="G106" s="32">
        <v>122</v>
      </c>
      <c r="H106" s="32">
        <v>2</v>
      </c>
      <c r="I106" s="31">
        <v>10000</v>
      </c>
      <c r="J106" s="31">
        <v>0</v>
      </c>
    </row>
    <row r="107" spans="1:10" x14ac:dyDescent="0.25">
      <c r="A107" t="s">
        <v>120</v>
      </c>
      <c r="B107" t="s">
        <v>642</v>
      </c>
      <c r="C107" t="s">
        <v>532</v>
      </c>
      <c r="E107" s="6">
        <v>146.21726279500001</v>
      </c>
      <c r="F107" s="11">
        <v>0</v>
      </c>
      <c r="G107" s="32">
        <v>123</v>
      </c>
      <c r="H107" s="32">
        <v>2</v>
      </c>
      <c r="I107" s="31">
        <v>0</v>
      </c>
      <c r="J107" s="31">
        <v>0</v>
      </c>
    </row>
    <row r="108" spans="1:10" x14ac:dyDescent="0.25">
      <c r="A108" t="s">
        <v>101</v>
      </c>
      <c r="B108" t="s">
        <v>642</v>
      </c>
      <c r="C108" t="s">
        <v>532</v>
      </c>
      <c r="D108" t="s">
        <v>584</v>
      </c>
      <c r="E108" s="6">
        <v>175.10594132599999</v>
      </c>
      <c r="F108" s="11">
        <v>17.672064030000001</v>
      </c>
      <c r="G108" s="32">
        <v>124</v>
      </c>
      <c r="H108" s="32">
        <v>2</v>
      </c>
      <c r="I108" s="31">
        <v>25000</v>
      </c>
      <c r="J108" s="31">
        <v>0</v>
      </c>
    </row>
    <row r="109" spans="1:10" x14ac:dyDescent="0.25">
      <c r="A109" t="s">
        <v>109</v>
      </c>
      <c r="B109" t="s">
        <v>642</v>
      </c>
      <c r="C109" t="s">
        <v>532</v>
      </c>
      <c r="D109" t="s">
        <v>530</v>
      </c>
      <c r="E109" s="6">
        <v>129.483683224</v>
      </c>
      <c r="F109" s="11">
        <v>-10.842937027999984</v>
      </c>
      <c r="G109" s="32">
        <v>126</v>
      </c>
      <c r="H109" s="32">
        <v>2</v>
      </c>
      <c r="I109" s="31">
        <v>0</v>
      </c>
      <c r="J109" s="31">
        <v>0</v>
      </c>
    </row>
    <row r="110" spans="1:10" x14ac:dyDescent="0.25">
      <c r="A110" t="s">
        <v>418</v>
      </c>
      <c r="B110" t="s">
        <v>642</v>
      </c>
      <c r="C110" t="s">
        <v>532</v>
      </c>
      <c r="E110" s="6">
        <v>128.84688991600001</v>
      </c>
      <c r="F110" s="11">
        <v>0</v>
      </c>
      <c r="G110" s="32">
        <v>128</v>
      </c>
      <c r="H110" s="32">
        <v>2</v>
      </c>
      <c r="I110" s="31">
        <v>0</v>
      </c>
      <c r="J110" s="31">
        <v>10000</v>
      </c>
    </row>
    <row r="111" spans="1:10" x14ac:dyDescent="0.25">
      <c r="A111" t="s">
        <v>428</v>
      </c>
      <c r="B111" t="s">
        <v>642</v>
      </c>
      <c r="C111" t="s">
        <v>533</v>
      </c>
      <c r="E111" s="6">
        <v>118.70945432699999</v>
      </c>
      <c r="F111" s="11">
        <v>0</v>
      </c>
      <c r="G111" s="32">
        <v>129</v>
      </c>
      <c r="H111" s="32">
        <v>2</v>
      </c>
      <c r="I111" s="31">
        <v>25000</v>
      </c>
      <c r="J111" s="31">
        <v>0</v>
      </c>
    </row>
    <row r="112" spans="1:10" x14ac:dyDescent="0.25">
      <c r="A112" t="s">
        <v>49</v>
      </c>
      <c r="B112" t="s">
        <v>642</v>
      </c>
      <c r="C112" t="s">
        <v>533</v>
      </c>
      <c r="D112" t="s">
        <v>539</v>
      </c>
      <c r="E112" s="6">
        <v>149.63059378899999</v>
      </c>
      <c r="F112" s="11">
        <v>10.992219011999989</v>
      </c>
      <c r="G112" s="32">
        <v>130</v>
      </c>
      <c r="H112" s="32">
        <v>2</v>
      </c>
      <c r="I112" s="31">
        <v>15000</v>
      </c>
      <c r="J112" s="31">
        <v>0</v>
      </c>
    </row>
    <row r="113" spans="1:10" x14ac:dyDescent="0.25">
      <c r="A113" t="s">
        <v>39</v>
      </c>
      <c r="B113" t="s">
        <v>642</v>
      </c>
      <c r="C113" t="s">
        <v>533</v>
      </c>
      <c r="E113" s="6">
        <v>132.65673743900001</v>
      </c>
      <c r="F113" s="11">
        <v>-3.1645720079999839</v>
      </c>
      <c r="G113" s="32">
        <v>131</v>
      </c>
      <c r="H113" s="32">
        <v>2</v>
      </c>
      <c r="I113" s="31">
        <v>15000</v>
      </c>
      <c r="J113" s="31">
        <v>0</v>
      </c>
    </row>
    <row r="114" spans="1:10" x14ac:dyDescent="0.25">
      <c r="A114" t="s">
        <v>133</v>
      </c>
      <c r="B114" t="s">
        <v>642</v>
      </c>
      <c r="C114" t="s">
        <v>535</v>
      </c>
      <c r="E114" s="6">
        <v>119.380740297</v>
      </c>
      <c r="F114" s="11">
        <v>0</v>
      </c>
      <c r="G114" s="32">
        <v>133</v>
      </c>
      <c r="H114" s="32">
        <v>2</v>
      </c>
      <c r="I114" s="31">
        <v>30000</v>
      </c>
      <c r="J114" s="31">
        <v>0</v>
      </c>
    </row>
    <row r="115" spans="1:10" x14ac:dyDescent="0.25">
      <c r="A115" t="s">
        <v>70</v>
      </c>
      <c r="B115" t="s">
        <v>642</v>
      </c>
      <c r="C115" t="s">
        <v>535</v>
      </c>
      <c r="E115" s="6">
        <v>111.65623765000001</v>
      </c>
      <c r="F115" s="11">
        <v>-4.3326590499999913</v>
      </c>
      <c r="G115" s="32">
        <v>135</v>
      </c>
      <c r="H115" s="32">
        <v>2</v>
      </c>
      <c r="I115" s="31">
        <v>20000</v>
      </c>
      <c r="J115" s="31">
        <v>5000</v>
      </c>
    </row>
    <row r="116" spans="1:10" x14ac:dyDescent="0.25">
      <c r="A116" t="s">
        <v>434</v>
      </c>
      <c r="B116" t="s">
        <v>642</v>
      </c>
      <c r="C116" t="s">
        <v>535</v>
      </c>
      <c r="E116" s="6">
        <v>101.29516088100002</v>
      </c>
      <c r="F116" s="11">
        <v>0</v>
      </c>
      <c r="G116" s="32">
        <v>136</v>
      </c>
      <c r="H116" s="32">
        <v>2</v>
      </c>
      <c r="I116" s="31">
        <v>15000</v>
      </c>
      <c r="J116" s="31">
        <v>0</v>
      </c>
    </row>
    <row r="117" spans="1:10" x14ac:dyDescent="0.25">
      <c r="A117" t="s">
        <v>433</v>
      </c>
      <c r="B117" t="s">
        <v>642</v>
      </c>
      <c r="C117" t="s">
        <v>532</v>
      </c>
      <c r="E117" s="6">
        <v>140.97842764000001</v>
      </c>
      <c r="F117" s="11">
        <v>0</v>
      </c>
      <c r="G117" s="32">
        <v>137</v>
      </c>
      <c r="H117" s="32">
        <v>2</v>
      </c>
      <c r="I117" s="31">
        <v>15000</v>
      </c>
      <c r="J117" s="31">
        <v>0</v>
      </c>
    </row>
    <row r="118" spans="1:10" x14ac:dyDescent="0.25">
      <c r="A118" t="s">
        <v>119</v>
      </c>
      <c r="B118" t="s">
        <v>642</v>
      </c>
      <c r="C118" t="s">
        <v>532</v>
      </c>
      <c r="E118" s="6">
        <v>135.722018112</v>
      </c>
      <c r="F118" s="11">
        <v>0</v>
      </c>
      <c r="G118" s="32">
        <v>138</v>
      </c>
      <c r="H118" s="32">
        <v>2</v>
      </c>
      <c r="I118" s="31">
        <v>15000</v>
      </c>
      <c r="J118" s="31">
        <v>0</v>
      </c>
    </row>
    <row r="119" spans="1:10" x14ac:dyDescent="0.25">
      <c r="A119" t="s">
        <v>142</v>
      </c>
      <c r="B119" t="s">
        <v>642</v>
      </c>
      <c r="C119" t="s">
        <v>532</v>
      </c>
      <c r="E119" s="6">
        <v>121.825381815</v>
      </c>
      <c r="F119" s="11">
        <v>0</v>
      </c>
      <c r="G119" s="32">
        <v>141</v>
      </c>
      <c r="H119" s="32">
        <v>2</v>
      </c>
      <c r="I119" s="31">
        <v>20000</v>
      </c>
      <c r="J119" s="31">
        <v>0</v>
      </c>
    </row>
    <row r="120" spans="1:10" x14ac:dyDescent="0.25">
      <c r="A120" t="s">
        <v>118</v>
      </c>
      <c r="B120" t="s">
        <v>642</v>
      </c>
      <c r="C120" t="s">
        <v>532</v>
      </c>
      <c r="E120" s="6">
        <v>128.351381006</v>
      </c>
      <c r="F120" s="11">
        <v>0</v>
      </c>
      <c r="G120" s="32">
        <v>142</v>
      </c>
      <c r="H120" s="32">
        <v>2</v>
      </c>
      <c r="I120" s="31">
        <v>20000</v>
      </c>
      <c r="J120" s="31">
        <v>0</v>
      </c>
    </row>
    <row r="121" spans="1:10" x14ac:dyDescent="0.25">
      <c r="A121" t="s">
        <v>116</v>
      </c>
      <c r="B121" t="s">
        <v>642</v>
      </c>
      <c r="C121" t="s">
        <v>532</v>
      </c>
      <c r="E121" s="6">
        <v>126.296879688</v>
      </c>
      <c r="F121" s="11">
        <v>0</v>
      </c>
      <c r="G121" s="32">
        <v>143</v>
      </c>
      <c r="H121" s="32">
        <v>2</v>
      </c>
      <c r="I121" s="31">
        <v>15000</v>
      </c>
      <c r="J121" s="31">
        <v>0</v>
      </c>
    </row>
    <row r="122" spans="1:10" x14ac:dyDescent="0.25">
      <c r="A122" t="s">
        <v>21</v>
      </c>
      <c r="B122" t="s">
        <v>534</v>
      </c>
      <c r="C122" t="s">
        <v>534</v>
      </c>
      <c r="E122" s="6">
        <v>275.82928145199998</v>
      </c>
      <c r="F122" s="11">
        <v>7.7122215939999563</v>
      </c>
      <c r="G122" s="32">
        <v>144</v>
      </c>
      <c r="H122" s="32">
        <v>2</v>
      </c>
      <c r="I122" s="31">
        <v>10000</v>
      </c>
      <c r="J122" s="31">
        <v>0</v>
      </c>
    </row>
    <row r="123" spans="1:10" x14ac:dyDescent="0.25">
      <c r="A123" t="s">
        <v>151</v>
      </c>
      <c r="B123" t="s">
        <v>534</v>
      </c>
      <c r="C123" t="s">
        <v>534</v>
      </c>
      <c r="E123" s="6">
        <v>255.18537897399997</v>
      </c>
      <c r="F123" s="11">
        <v>0</v>
      </c>
      <c r="G123" s="32">
        <v>146</v>
      </c>
      <c r="H123" s="32">
        <v>2</v>
      </c>
      <c r="I123" s="31">
        <v>10000</v>
      </c>
      <c r="J123" s="31">
        <v>0</v>
      </c>
    </row>
    <row r="124" spans="1:10" x14ac:dyDescent="0.25">
      <c r="A124" t="s">
        <v>27</v>
      </c>
      <c r="B124" t="s">
        <v>534</v>
      </c>
      <c r="C124" t="s">
        <v>534</v>
      </c>
      <c r="E124" s="6">
        <v>247.67624392000002</v>
      </c>
      <c r="F124" s="11">
        <v>-9.3238906799999999</v>
      </c>
      <c r="G124" s="32">
        <v>149</v>
      </c>
      <c r="H124" s="32">
        <v>2</v>
      </c>
      <c r="I124" s="31">
        <v>10000</v>
      </c>
      <c r="J124" s="31">
        <v>0</v>
      </c>
    </row>
    <row r="125" spans="1:10" x14ac:dyDescent="0.25">
      <c r="A125" t="s">
        <v>117</v>
      </c>
      <c r="B125" t="s">
        <v>642</v>
      </c>
      <c r="C125" t="s">
        <v>532</v>
      </c>
      <c r="E125" s="6">
        <v>122.386231251</v>
      </c>
      <c r="F125" s="11">
        <v>0</v>
      </c>
      <c r="G125" s="32">
        <v>151</v>
      </c>
      <c r="H125" s="32">
        <v>1</v>
      </c>
      <c r="I125" s="31">
        <v>25000</v>
      </c>
      <c r="J125" s="31">
        <v>0</v>
      </c>
    </row>
    <row r="126" spans="1:10" x14ac:dyDescent="0.25">
      <c r="A126" t="s">
        <v>124</v>
      </c>
      <c r="B126" t="s">
        <v>642</v>
      </c>
      <c r="C126" t="s">
        <v>532</v>
      </c>
      <c r="E126" s="6">
        <v>127.27940487300002</v>
      </c>
      <c r="F126" s="11">
        <v>0</v>
      </c>
      <c r="G126" s="32">
        <v>152</v>
      </c>
      <c r="H126" s="32">
        <v>1</v>
      </c>
      <c r="I126" s="31">
        <v>0</v>
      </c>
      <c r="J126" s="31">
        <v>0</v>
      </c>
    </row>
    <row r="127" spans="1:10" x14ac:dyDescent="0.25">
      <c r="A127" t="s">
        <v>128</v>
      </c>
      <c r="B127" t="s">
        <v>642</v>
      </c>
      <c r="C127" t="s">
        <v>532</v>
      </c>
      <c r="E127" s="6">
        <v>123.95351098200001</v>
      </c>
      <c r="F127" s="11">
        <v>0</v>
      </c>
      <c r="G127" s="32">
        <v>153</v>
      </c>
      <c r="H127" s="32">
        <v>1</v>
      </c>
      <c r="I127" s="31">
        <v>20000</v>
      </c>
      <c r="J127" s="31">
        <v>0</v>
      </c>
    </row>
    <row r="128" spans="1:10" x14ac:dyDescent="0.25">
      <c r="A128" t="s">
        <v>132</v>
      </c>
      <c r="B128" t="s">
        <v>642</v>
      </c>
      <c r="C128" t="s">
        <v>532</v>
      </c>
      <c r="E128" s="6">
        <v>117.42015541900001</v>
      </c>
      <c r="F128" s="11">
        <v>0</v>
      </c>
      <c r="G128" s="32">
        <v>154</v>
      </c>
      <c r="H128" s="32">
        <v>1</v>
      </c>
      <c r="I128" s="31">
        <v>0</v>
      </c>
      <c r="J128" s="31">
        <v>0</v>
      </c>
    </row>
    <row r="129" spans="1:10" x14ac:dyDescent="0.25">
      <c r="A129" t="s">
        <v>89</v>
      </c>
      <c r="B129" t="s">
        <v>642</v>
      </c>
      <c r="C129" t="s">
        <v>533</v>
      </c>
      <c r="D129" t="s">
        <v>582</v>
      </c>
      <c r="E129" s="6">
        <v>172.31643346599998</v>
      </c>
      <c r="F129" s="11">
        <v>25.268332787999995</v>
      </c>
      <c r="G129" s="32">
        <v>155</v>
      </c>
      <c r="H129" s="32">
        <v>1</v>
      </c>
      <c r="I129" s="31">
        <v>20000</v>
      </c>
      <c r="J129" s="31">
        <v>0</v>
      </c>
    </row>
    <row r="130" spans="1:10" x14ac:dyDescent="0.25">
      <c r="A130" t="s">
        <v>114</v>
      </c>
      <c r="B130" t="s">
        <v>642</v>
      </c>
      <c r="C130" t="s">
        <v>533</v>
      </c>
      <c r="E130" s="6">
        <v>135.499894015</v>
      </c>
      <c r="F130" s="11">
        <v>0</v>
      </c>
      <c r="G130" s="32">
        <v>157</v>
      </c>
      <c r="H130" s="32">
        <v>1</v>
      </c>
      <c r="I130" s="31">
        <v>25000</v>
      </c>
      <c r="J130" s="31">
        <v>0</v>
      </c>
    </row>
    <row r="131" spans="1:10" x14ac:dyDescent="0.25">
      <c r="A131" t="s">
        <v>126</v>
      </c>
      <c r="B131" t="s">
        <v>642</v>
      </c>
      <c r="C131" t="s">
        <v>533</v>
      </c>
      <c r="E131" s="6">
        <v>146.62624150300002</v>
      </c>
      <c r="F131" s="11">
        <v>0</v>
      </c>
      <c r="G131" s="32">
        <v>158</v>
      </c>
      <c r="H131" s="32">
        <v>1</v>
      </c>
      <c r="I131" s="31">
        <v>0</v>
      </c>
      <c r="J131" s="31">
        <v>0</v>
      </c>
    </row>
    <row r="132" spans="1:10" x14ac:dyDescent="0.25">
      <c r="A132" t="s">
        <v>129</v>
      </c>
      <c r="B132" t="s">
        <v>642</v>
      </c>
      <c r="C132" t="s">
        <v>533</v>
      </c>
      <c r="E132" s="6">
        <v>136.05420088300002</v>
      </c>
      <c r="F132" s="11">
        <v>0</v>
      </c>
      <c r="G132" s="32">
        <v>159</v>
      </c>
      <c r="H132" s="32">
        <v>1</v>
      </c>
      <c r="I132" s="31">
        <v>0</v>
      </c>
      <c r="J132" s="31">
        <v>0</v>
      </c>
    </row>
    <row r="133" spans="1:10" x14ac:dyDescent="0.25">
      <c r="A133" t="s">
        <v>110</v>
      </c>
      <c r="B133" t="s">
        <v>642</v>
      </c>
      <c r="C133" t="s">
        <v>533</v>
      </c>
      <c r="E133" s="6">
        <v>122.85398567200001</v>
      </c>
      <c r="F133" s="11">
        <v>-1.062423554999995</v>
      </c>
      <c r="G133" s="32">
        <v>160</v>
      </c>
      <c r="H133" s="32">
        <v>1</v>
      </c>
      <c r="I133" s="31">
        <v>20000</v>
      </c>
      <c r="J133" s="31">
        <v>0</v>
      </c>
    </row>
    <row r="134" spans="1:10" x14ac:dyDescent="0.25">
      <c r="A134" t="s">
        <v>147</v>
      </c>
      <c r="B134" t="s">
        <v>642</v>
      </c>
      <c r="C134" t="s">
        <v>533</v>
      </c>
      <c r="E134" s="6">
        <v>115.04974238700001</v>
      </c>
      <c r="F134" s="11">
        <v>0</v>
      </c>
      <c r="G134" s="32">
        <v>162</v>
      </c>
      <c r="H134" s="32">
        <v>1</v>
      </c>
      <c r="I134" s="31">
        <v>0</v>
      </c>
      <c r="J134" s="31">
        <v>10000</v>
      </c>
    </row>
    <row r="135" spans="1:10" x14ac:dyDescent="0.25">
      <c r="A135" t="s">
        <v>138</v>
      </c>
      <c r="B135" t="s">
        <v>642</v>
      </c>
      <c r="C135" t="s">
        <v>533</v>
      </c>
      <c r="E135" s="6">
        <v>144.81391068100001</v>
      </c>
      <c r="F135" s="11">
        <v>0</v>
      </c>
      <c r="G135" s="32">
        <v>163</v>
      </c>
      <c r="H135" s="32">
        <v>1</v>
      </c>
      <c r="I135" s="31">
        <v>20000</v>
      </c>
      <c r="J135" s="31">
        <v>0</v>
      </c>
    </row>
    <row r="136" spans="1:10" x14ac:dyDescent="0.25">
      <c r="A136" t="s">
        <v>31</v>
      </c>
      <c r="B136" t="s">
        <v>534</v>
      </c>
      <c r="C136" t="s">
        <v>534</v>
      </c>
      <c r="E136" s="6">
        <v>253.12487736000008</v>
      </c>
      <c r="F136" s="11">
        <v>-4.0213514799999679</v>
      </c>
      <c r="G136" s="32">
        <v>164</v>
      </c>
      <c r="H136" s="32">
        <v>1</v>
      </c>
      <c r="I136" s="31">
        <v>7500</v>
      </c>
      <c r="J136" s="31">
        <v>135</v>
      </c>
    </row>
    <row r="137" spans="1:10" x14ac:dyDescent="0.25">
      <c r="A137" t="s">
        <v>24</v>
      </c>
      <c r="B137" t="s">
        <v>534</v>
      </c>
      <c r="C137" t="s">
        <v>534</v>
      </c>
      <c r="D137" t="s">
        <v>566</v>
      </c>
      <c r="E137" s="6">
        <v>286.92826180599997</v>
      </c>
      <c r="F137" s="11">
        <v>22.185383839999965</v>
      </c>
      <c r="G137" s="32">
        <v>166</v>
      </c>
      <c r="H137" s="32">
        <v>1</v>
      </c>
      <c r="I137" s="31">
        <v>15000</v>
      </c>
      <c r="J137" s="31">
        <v>0</v>
      </c>
    </row>
    <row r="138" spans="1:10" x14ac:dyDescent="0.25">
      <c r="A138" t="s">
        <v>26</v>
      </c>
      <c r="B138" t="s">
        <v>534</v>
      </c>
      <c r="C138" t="s">
        <v>534</v>
      </c>
      <c r="E138" s="6">
        <v>245.644212694</v>
      </c>
      <c r="F138" s="11">
        <v>-9.2465940200000105</v>
      </c>
      <c r="G138" s="32">
        <v>168</v>
      </c>
      <c r="H138" s="32">
        <v>1</v>
      </c>
      <c r="I138" s="31">
        <v>15000</v>
      </c>
      <c r="J138" s="31">
        <v>0</v>
      </c>
    </row>
    <row r="139" spans="1:10" x14ac:dyDescent="0.25">
      <c r="A139" t="s">
        <v>42</v>
      </c>
      <c r="B139" t="s">
        <v>642</v>
      </c>
      <c r="C139" t="s">
        <v>535</v>
      </c>
      <c r="D139" t="s">
        <v>536</v>
      </c>
      <c r="E139" s="6">
        <v>124.06511584</v>
      </c>
      <c r="F139" s="11">
        <v>13.53933402</v>
      </c>
      <c r="G139" s="32">
        <v>172</v>
      </c>
      <c r="H139" s="32">
        <v>1</v>
      </c>
      <c r="I139" s="31">
        <v>0</v>
      </c>
      <c r="J139" s="31">
        <v>0</v>
      </c>
    </row>
    <row r="140" spans="1:10" x14ac:dyDescent="0.25">
      <c r="A140" t="s">
        <v>56</v>
      </c>
      <c r="B140" t="s">
        <v>642</v>
      </c>
      <c r="C140" t="s">
        <v>535</v>
      </c>
      <c r="E140" s="6">
        <v>110.402919005</v>
      </c>
      <c r="F140" s="11">
        <v>3.778308039999998</v>
      </c>
      <c r="G140" s="32">
        <v>173</v>
      </c>
      <c r="H140" s="32">
        <v>1</v>
      </c>
      <c r="I140" s="31">
        <v>25000</v>
      </c>
      <c r="J140" s="31">
        <v>0</v>
      </c>
    </row>
    <row r="141" spans="1:10" x14ac:dyDescent="0.25">
      <c r="A141" t="s">
        <v>155</v>
      </c>
      <c r="B141" t="s">
        <v>642</v>
      </c>
      <c r="C141" t="s">
        <v>535</v>
      </c>
      <c r="E141" s="6">
        <v>102.27826194799999</v>
      </c>
      <c r="F141" s="11">
        <v>0</v>
      </c>
      <c r="G141" s="32">
        <v>174</v>
      </c>
      <c r="H141" s="32">
        <v>1</v>
      </c>
      <c r="I141" s="31">
        <v>0</v>
      </c>
      <c r="J141" s="31">
        <v>0</v>
      </c>
    </row>
    <row r="142" spans="1:10" x14ac:dyDescent="0.25">
      <c r="A142" t="s">
        <v>51</v>
      </c>
      <c r="B142" t="s">
        <v>642</v>
      </c>
      <c r="C142" t="s">
        <v>533</v>
      </c>
      <c r="D142" t="s">
        <v>574</v>
      </c>
      <c r="E142" s="6">
        <v>157.66030837799991</v>
      </c>
      <c r="F142" s="11">
        <v>22.306704293999942</v>
      </c>
      <c r="G142" s="32">
        <v>175</v>
      </c>
      <c r="H142" s="32">
        <v>1</v>
      </c>
      <c r="I142" s="31">
        <v>25000</v>
      </c>
      <c r="J142" s="31">
        <v>0</v>
      </c>
    </row>
    <row r="143" spans="1:10" x14ac:dyDescent="0.25">
      <c r="A143" t="s">
        <v>121</v>
      </c>
      <c r="B143" t="s">
        <v>642</v>
      </c>
      <c r="C143" t="s">
        <v>533</v>
      </c>
      <c r="E143" s="6">
        <v>129.36533243399998</v>
      </c>
      <c r="F143" s="11">
        <v>0</v>
      </c>
      <c r="G143" s="32">
        <v>176</v>
      </c>
      <c r="H143" s="32">
        <v>1</v>
      </c>
      <c r="I143" s="31">
        <v>25000</v>
      </c>
      <c r="J143" s="31">
        <v>0</v>
      </c>
    </row>
    <row r="144" spans="1:10" x14ac:dyDescent="0.25">
      <c r="A144" t="s">
        <v>123</v>
      </c>
      <c r="B144" t="s">
        <v>642</v>
      </c>
      <c r="C144" t="s">
        <v>533</v>
      </c>
      <c r="E144" s="6">
        <v>135.28750268900001</v>
      </c>
      <c r="F144" s="11">
        <v>0</v>
      </c>
      <c r="G144" s="32">
        <v>179</v>
      </c>
      <c r="H144" s="32">
        <v>1</v>
      </c>
      <c r="I144" s="31">
        <v>0</v>
      </c>
      <c r="J144" s="31">
        <v>0</v>
      </c>
    </row>
    <row r="145" spans="1:10" x14ac:dyDescent="0.25">
      <c r="A145" t="s">
        <v>58</v>
      </c>
      <c r="B145" t="s">
        <v>642</v>
      </c>
      <c r="C145" t="s">
        <v>533</v>
      </c>
      <c r="E145" s="6">
        <v>131.99422244499999</v>
      </c>
      <c r="F145" s="11">
        <v>2.6706268499999903</v>
      </c>
      <c r="G145" s="32">
        <v>180</v>
      </c>
      <c r="H145" s="32">
        <v>1</v>
      </c>
      <c r="I145" s="31">
        <v>0</v>
      </c>
      <c r="J145" s="31">
        <v>0</v>
      </c>
    </row>
    <row r="146" spans="1:10" x14ac:dyDescent="0.25">
      <c r="A146" t="s">
        <v>115</v>
      </c>
      <c r="B146" t="s">
        <v>642</v>
      </c>
      <c r="C146" t="s">
        <v>532</v>
      </c>
      <c r="E146" s="6">
        <v>111.378138428</v>
      </c>
      <c r="F146" s="11">
        <v>0</v>
      </c>
      <c r="G146" s="32">
        <v>181</v>
      </c>
      <c r="H146" s="32">
        <v>1</v>
      </c>
      <c r="I146" s="31">
        <v>0</v>
      </c>
      <c r="J146" s="31">
        <v>7500</v>
      </c>
    </row>
    <row r="147" spans="1:10" x14ac:dyDescent="0.25">
      <c r="A147" t="s">
        <v>113</v>
      </c>
      <c r="B147" t="s">
        <v>642</v>
      </c>
      <c r="C147" t="s">
        <v>532</v>
      </c>
      <c r="E147" s="6">
        <v>107.47087206399999</v>
      </c>
      <c r="F147" s="11">
        <v>0</v>
      </c>
      <c r="G147" s="32">
        <v>182</v>
      </c>
      <c r="H147" s="32">
        <v>1</v>
      </c>
      <c r="I147" s="31">
        <v>20000</v>
      </c>
      <c r="J147" s="31">
        <v>7500</v>
      </c>
    </row>
    <row r="148" spans="1:10" x14ac:dyDescent="0.25">
      <c r="A148" t="s">
        <v>130</v>
      </c>
      <c r="B148" t="s">
        <v>642</v>
      </c>
      <c r="C148" t="s">
        <v>532</v>
      </c>
      <c r="E148" s="6">
        <v>123.03223126099999</v>
      </c>
      <c r="F148" s="11">
        <v>0</v>
      </c>
      <c r="G148" s="32">
        <v>183</v>
      </c>
      <c r="H148" s="32">
        <v>1</v>
      </c>
      <c r="I148" s="31">
        <v>40000</v>
      </c>
      <c r="J148" s="31">
        <v>0</v>
      </c>
    </row>
    <row r="149" spans="1:10" x14ac:dyDescent="0.25">
      <c r="A149" t="s">
        <v>180</v>
      </c>
      <c r="B149" t="s">
        <v>642</v>
      </c>
      <c r="C149" t="s">
        <v>532</v>
      </c>
      <c r="E149" s="6">
        <v>97.811701560000003</v>
      </c>
      <c r="F149" s="11">
        <v>0</v>
      </c>
      <c r="G149" s="32">
        <v>187</v>
      </c>
      <c r="H149" s="32">
        <v>1</v>
      </c>
      <c r="I149" s="31">
        <v>0</v>
      </c>
      <c r="J149" s="31">
        <v>15000</v>
      </c>
    </row>
    <row r="150" spans="1:10" x14ac:dyDescent="0.25">
      <c r="A150" t="s">
        <v>134</v>
      </c>
      <c r="B150" t="s">
        <v>642</v>
      </c>
      <c r="C150" t="s">
        <v>532</v>
      </c>
      <c r="E150" s="6">
        <v>109.20976248900001</v>
      </c>
      <c r="F150" s="11">
        <v>0</v>
      </c>
      <c r="G150" s="32">
        <v>188</v>
      </c>
      <c r="H150" s="32">
        <v>1</v>
      </c>
      <c r="I150" s="31">
        <v>0</v>
      </c>
      <c r="J150" s="31">
        <v>0</v>
      </c>
    </row>
    <row r="151" spans="1:10" x14ac:dyDescent="0.25">
      <c r="A151" t="s">
        <v>131</v>
      </c>
      <c r="B151" t="s">
        <v>642</v>
      </c>
      <c r="C151" t="s">
        <v>533</v>
      </c>
      <c r="E151" s="6">
        <v>106.89160615700001</v>
      </c>
      <c r="F151" s="11">
        <v>0</v>
      </c>
      <c r="G151" s="32">
        <v>189</v>
      </c>
      <c r="H151" s="32">
        <v>1</v>
      </c>
      <c r="I151" s="31">
        <v>30000</v>
      </c>
      <c r="J151" s="31">
        <v>7500</v>
      </c>
    </row>
    <row r="152" spans="1:10" x14ac:dyDescent="0.25">
      <c r="A152" t="s">
        <v>156</v>
      </c>
      <c r="B152" t="s">
        <v>642</v>
      </c>
      <c r="C152" t="s">
        <v>533</v>
      </c>
      <c r="E152" s="6">
        <v>114.39126336999999</v>
      </c>
      <c r="F152" s="11">
        <v>0</v>
      </c>
      <c r="G152" s="32">
        <v>190</v>
      </c>
      <c r="H152" s="32">
        <v>1</v>
      </c>
      <c r="I152" s="31">
        <v>0</v>
      </c>
      <c r="J152" s="31">
        <v>0</v>
      </c>
    </row>
    <row r="153" spans="1:10" x14ac:dyDescent="0.25">
      <c r="A153" t="s">
        <v>84</v>
      </c>
      <c r="B153" t="s">
        <v>642</v>
      </c>
      <c r="C153" t="s">
        <v>533</v>
      </c>
      <c r="E153" s="6">
        <v>116.88140994299989</v>
      </c>
      <c r="F153" s="11">
        <v>8.4218204939999008</v>
      </c>
      <c r="G153" s="32">
        <v>191</v>
      </c>
      <c r="H153" s="32">
        <v>1</v>
      </c>
      <c r="I153" s="31">
        <v>0</v>
      </c>
      <c r="J153" s="31">
        <v>7500</v>
      </c>
    </row>
    <row r="154" spans="1:10" x14ac:dyDescent="0.25">
      <c r="A154" t="s">
        <v>136</v>
      </c>
      <c r="B154" t="s">
        <v>642</v>
      </c>
      <c r="C154" t="s">
        <v>533</v>
      </c>
      <c r="E154" s="6">
        <v>112.345148991</v>
      </c>
      <c r="F154" s="11">
        <v>0</v>
      </c>
      <c r="G154" s="32">
        <v>194</v>
      </c>
      <c r="H154" s="32">
        <v>1</v>
      </c>
      <c r="I154" s="31">
        <v>25000</v>
      </c>
      <c r="J154" s="31">
        <v>0</v>
      </c>
    </row>
    <row r="155" spans="1:10" x14ac:dyDescent="0.25">
      <c r="A155" t="s">
        <v>139</v>
      </c>
      <c r="B155" t="s">
        <v>642</v>
      </c>
      <c r="C155" t="s">
        <v>533</v>
      </c>
      <c r="E155" s="6">
        <v>103.88787087</v>
      </c>
      <c r="F155" s="11">
        <v>0</v>
      </c>
      <c r="G155" s="32">
        <v>195</v>
      </c>
      <c r="H155" s="32">
        <v>1</v>
      </c>
      <c r="I155" s="31">
        <v>25000</v>
      </c>
      <c r="J155" s="31">
        <v>0</v>
      </c>
    </row>
    <row r="156" spans="1:10" x14ac:dyDescent="0.25">
      <c r="A156" t="s">
        <v>137</v>
      </c>
      <c r="B156" t="s">
        <v>642</v>
      </c>
      <c r="C156" t="s">
        <v>533</v>
      </c>
      <c r="E156" s="6">
        <v>127.295267886</v>
      </c>
      <c r="F156" s="11">
        <v>0</v>
      </c>
      <c r="G156" s="32">
        <v>196</v>
      </c>
      <c r="H156" s="32">
        <v>1</v>
      </c>
      <c r="I156" s="31">
        <v>25000</v>
      </c>
      <c r="J156" s="31">
        <v>0</v>
      </c>
    </row>
    <row r="157" spans="1:10" x14ac:dyDescent="0.25">
      <c r="A157" t="s">
        <v>158</v>
      </c>
      <c r="B157" t="s">
        <v>642</v>
      </c>
      <c r="C157" t="s">
        <v>532</v>
      </c>
      <c r="E157" s="6">
        <v>97.186780118999991</v>
      </c>
      <c r="F157" s="11">
        <v>0</v>
      </c>
      <c r="G157" s="32">
        <v>197</v>
      </c>
      <c r="H157" s="32">
        <v>1</v>
      </c>
      <c r="I157" s="31">
        <v>30000</v>
      </c>
      <c r="J157" s="31">
        <v>0</v>
      </c>
    </row>
    <row r="158" spans="1:10" x14ac:dyDescent="0.25">
      <c r="A158" t="s">
        <v>230</v>
      </c>
      <c r="B158" t="s">
        <v>642</v>
      </c>
      <c r="C158" t="s">
        <v>532</v>
      </c>
      <c r="E158" s="6">
        <v>76.174246073999996</v>
      </c>
      <c r="F158" s="11">
        <v>0</v>
      </c>
      <c r="G158" s="32">
        <v>198</v>
      </c>
      <c r="H158" s="32">
        <v>1</v>
      </c>
      <c r="I158" s="31">
        <v>0</v>
      </c>
      <c r="J158" s="31">
        <v>0</v>
      </c>
    </row>
    <row r="159" spans="1:10" x14ac:dyDescent="0.25">
      <c r="A159" t="s">
        <v>135</v>
      </c>
      <c r="B159" t="s">
        <v>642</v>
      </c>
      <c r="C159" t="s">
        <v>532</v>
      </c>
      <c r="E159" s="6">
        <v>49.839470619000004</v>
      </c>
      <c r="F159" s="11">
        <v>0</v>
      </c>
      <c r="G159" s="32">
        <v>201</v>
      </c>
      <c r="H159" s="32">
        <v>1</v>
      </c>
      <c r="I159" s="31">
        <v>0</v>
      </c>
      <c r="J159" s="31">
        <v>10000</v>
      </c>
    </row>
    <row r="160" spans="1:10" x14ac:dyDescent="0.25">
      <c r="A160" t="s">
        <v>453</v>
      </c>
      <c r="B160" t="s">
        <v>642</v>
      </c>
      <c r="C160" t="s">
        <v>532</v>
      </c>
      <c r="E160" s="6">
        <v>72.108078426000006</v>
      </c>
      <c r="F160" s="11">
        <v>0</v>
      </c>
      <c r="G160" s="32">
        <v>202</v>
      </c>
      <c r="H160" s="32">
        <v>1</v>
      </c>
      <c r="I160" s="31">
        <v>0</v>
      </c>
      <c r="J160" s="31">
        <v>30000</v>
      </c>
    </row>
    <row r="161" spans="1:10" x14ac:dyDescent="0.25">
      <c r="A161" t="s">
        <v>145</v>
      </c>
      <c r="B161" t="s">
        <v>642</v>
      </c>
      <c r="C161" t="s">
        <v>532</v>
      </c>
      <c r="E161" s="6">
        <v>69.094555759999992</v>
      </c>
      <c r="F161" s="11">
        <v>0</v>
      </c>
      <c r="G161" s="32">
        <v>203</v>
      </c>
      <c r="H161" s="32">
        <v>1</v>
      </c>
      <c r="I161" s="31">
        <v>0</v>
      </c>
      <c r="J161" s="31">
        <v>25000</v>
      </c>
    </row>
    <row r="162" spans="1:10" x14ac:dyDescent="0.25">
      <c r="A162" t="s">
        <v>125</v>
      </c>
      <c r="B162" t="s">
        <v>642</v>
      </c>
      <c r="C162" t="s">
        <v>532</v>
      </c>
      <c r="E162" s="6">
        <v>57.159176135999999</v>
      </c>
      <c r="F162" s="11">
        <v>0</v>
      </c>
      <c r="G162" s="32">
        <v>204</v>
      </c>
      <c r="H162" s="32">
        <v>1</v>
      </c>
      <c r="I162" s="31">
        <v>0</v>
      </c>
      <c r="J162" s="31">
        <v>6000</v>
      </c>
    </row>
    <row r="163" spans="1:10" x14ac:dyDescent="0.25">
      <c r="A163" t="s">
        <v>157</v>
      </c>
      <c r="B163" t="s">
        <v>642</v>
      </c>
      <c r="C163" t="s">
        <v>532</v>
      </c>
      <c r="E163" s="6">
        <v>79.213935487000001</v>
      </c>
      <c r="F163" s="11">
        <v>0</v>
      </c>
      <c r="G163" s="32">
        <v>205</v>
      </c>
      <c r="H163" s="32">
        <v>1</v>
      </c>
      <c r="I163" s="31">
        <v>25000</v>
      </c>
      <c r="J163" s="31">
        <v>0</v>
      </c>
    </row>
    <row r="164" spans="1:10" x14ac:dyDescent="0.25">
      <c r="A164" t="s">
        <v>168</v>
      </c>
      <c r="B164" t="s">
        <v>642</v>
      </c>
      <c r="C164" t="s">
        <v>533</v>
      </c>
      <c r="E164" s="6">
        <v>104.113386174</v>
      </c>
      <c r="F164" s="11">
        <v>0</v>
      </c>
      <c r="G164" s="32">
        <v>209</v>
      </c>
      <c r="H164" s="32">
        <v>1</v>
      </c>
      <c r="I164" s="31">
        <v>0</v>
      </c>
      <c r="J164" s="31">
        <v>0</v>
      </c>
    </row>
    <row r="165" spans="1:10" x14ac:dyDescent="0.25">
      <c r="A165" t="s">
        <v>165</v>
      </c>
      <c r="B165" t="s">
        <v>642</v>
      </c>
      <c r="C165" t="s">
        <v>533</v>
      </c>
      <c r="E165" s="6">
        <v>124.80673982499999</v>
      </c>
      <c r="F165" s="11">
        <v>0</v>
      </c>
      <c r="G165" s="32">
        <v>210</v>
      </c>
      <c r="H165" s="32">
        <v>0</v>
      </c>
      <c r="I165" s="31">
        <v>0</v>
      </c>
      <c r="J165" s="31">
        <v>0</v>
      </c>
    </row>
    <row r="166" spans="1:10" x14ac:dyDescent="0.25">
      <c r="A166" t="s">
        <v>171</v>
      </c>
      <c r="B166" t="s">
        <v>642</v>
      </c>
      <c r="C166" t="s">
        <v>533</v>
      </c>
      <c r="E166" s="6">
        <v>111.0844149</v>
      </c>
      <c r="F166" s="11">
        <v>0</v>
      </c>
      <c r="G166" s="32">
        <v>211</v>
      </c>
      <c r="H166" s="32">
        <v>0</v>
      </c>
      <c r="I166" s="31">
        <v>30000</v>
      </c>
      <c r="J166" s="31">
        <v>0</v>
      </c>
    </row>
    <row r="167" spans="1:10" x14ac:dyDescent="0.25">
      <c r="A167" t="s">
        <v>30</v>
      </c>
      <c r="B167" t="s">
        <v>534</v>
      </c>
      <c r="C167" t="s">
        <v>534</v>
      </c>
      <c r="D167" t="s">
        <v>527</v>
      </c>
      <c r="E167" s="6">
        <v>230.01659402999999</v>
      </c>
      <c r="F167" s="11">
        <v>-16.296264819999998</v>
      </c>
      <c r="G167" s="32">
        <v>212</v>
      </c>
      <c r="H167" s="32">
        <v>0</v>
      </c>
      <c r="I167" s="31">
        <v>15000</v>
      </c>
      <c r="J167" s="31">
        <v>0</v>
      </c>
    </row>
    <row r="168" spans="1:10" x14ac:dyDescent="0.25">
      <c r="A168" t="s">
        <v>16</v>
      </c>
      <c r="B168" t="s">
        <v>534</v>
      </c>
      <c r="C168" t="s">
        <v>534</v>
      </c>
      <c r="D168" t="s">
        <v>563</v>
      </c>
      <c r="E168" s="6">
        <v>217.91672594700003</v>
      </c>
      <c r="F168" s="11">
        <v>-20.594337699999961</v>
      </c>
      <c r="G168" s="32">
        <v>214</v>
      </c>
      <c r="H168" s="32">
        <v>0</v>
      </c>
      <c r="I168" s="31">
        <v>15000</v>
      </c>
      <c r="J168" s="31">
        <v>0</v>
      </c>
    </row>
    <row r="169" spans="1:10" x14ac:dyDescent="0.25">
      <c r="A169" t="s">
        <v>160</v>
      </c>
      <c r="B169" t="s">
        <v>642</v>
      </c>
      <c r="C169" t="s">
        <v>535</v>
      </c>
      <c r="E169" s="6">
        <v>111.00239019140001</v>
      </c>
      <c r="F169" s="11">
        <v>0</v>
      </c>
      <c r="G169" s="32">
        <v>217</v>
      </c>
      <c r="H169" s="32">
        <v>0</v>
      </c>
      <c r="I169" s="31">
        <v>20000</v>
      </c>
      <c r="J169" s="31">
        <v>0</v>
      </c>
    </row>
    <row r="170" spans="1:10" x14ac:dyDescent="0.25">
      <c r="A170" t="s">
        <v>161</v>
      </c>
      <c r="B170" t="s">
        <v>642</v>
      </c>
      <c r="C170" t="s">
        <v>535</v>
      </c>
      <c r="E170" s="6">
        <v>93.825160520600008</v>
      </c>
      <c r="F170" s="11">
        <v>0</v>
      </c>
      <c r="G170" s="32">
        <v>220</v>
      </c>
      <c r="H170" s="32">
        <v>0</v>
      </c>
      <c r="I170" s="31">
        <v>0</v>
      </c>
      <c r="J170" s="31">
        <v>0</v>
      </c>
    </row>
    <row r="171" spans="1:10" x14ac:dyDescent="0.25">
      <c r="A171" t="s">
        <v>162</v>
      </c>
      <c r="B171" t="s">
        <v>642</v>
      </c>
      <c r="C171" t="s">
        <v>535</v>
      </c>
      <c r="E171" s="6">
        <v>88.731293646000012</v>
      </c>
      <c r="F171" s="11">
        <v>0</v>
      </c>
      <c r="G171" s="32">
        <v>221</v>
      </c>
      <c r="H171" s="32">
        <v>0</v>
      </c>
      <c r="I171" s="31">
        <v>0</v>
      </c>
      <c r="J171" s="31">
        <v>0</v>
      </c>
    </row>
    <row r="172" spans="1:10" x14ac:dyDescent="0.25">
      <c r="A172" t="s">
        <v>149</v>
      </c>
      <c r="B172" t="s">
        <v>642</v>
      </c>
      <c r="C172" t="s">
        <v>535</v>
      </c>
      <c r="E172" s="6">
        <v>89.181295396199985</v>
      </c>
      <c r="F172" s="11">
        <v>0</v>
      </c>
      <c r="G172" s="32">
        <v>222</v>
      </c>
      <c r="H172" s="32">
        <v>0</v>
      </c>
      <c r="I172" s="31">
        <v>25000</v>
      </c>
      <c r="J172" s="31">
        <v>0</v>
      </c>
    </row>
    <row r="173" spans="1:10" x14ac:dyDescent="0.25">
      <c r="A173" t="s">
        <v>163</v>
      </c>
      <c r="B173" t="s">
        <v>642</v>
      </c>
      <c r="C173" t="s">
        <v>535</v>
      </c>
      <c r="E173" s="6">
        <v>97.334391984999996</v>
      </c>
      <c r="F173" s="11">
        <v>0</v>
      </c>
      <c r="G173" s="32">
        <v>260</v>
      </c>
      <c r="H173" s="32">
        <v>0</v>
      </c>
      <c r="I173" s="31">
        <v>0</v>
      </c>
      <c r="J173" s="31">
        <v>0</v>
      </c>
    </row>
    <row r="174" spans="1:10" x14ac:dyDescent="0.25">
      <c r="A174" t="s">
        <v>144</v>
      </c>
      <c r="B174" t="s">
        <v>642</v>
      </c>
      <c r="C174" t="s">
        <v>533</v>
      </c>
      <c r="E174" s="6">
        <v>93.096033630000008</v>
      </c>
      <c r="F174" s="11">
        <v>0</v>
      </c>
      <c r="G174" s="32">
        <v>263</v>
      </c>
      <c r="H174" s="32">
        <v>0</v>
      </c>
      <c r="I174" s="31">
        <v>15000</v>
      </c>
      <c r="J174" s="31">
        <v>0</v>
      </c>
    </row>
    <row r="175" spans="1:10" x14ac:dyDescent="0.25">
      <c r="A175" t="s">
        <v>159</v>
      </c>
      <c r="B175" t="s">
        <v>642</v>
      </c>
      <c r="C175" t="s">
        <v>532</v>
      </c>
      <c r="E175" s="6">
        <v>79.918449142</v>
      </c>
      <c r="F175" s="11">
        <v>0</v>
      </c>
      <c r="G175" s="32">
        <v>265</v>
      </c>
      <c r="H175" s="32">
        <v>0</v>
      </c>
      <c r="I175" s="31">
        <v>0</v>
      </c>
      <c r="J175" s="31">
        <v>0</v>
      </c>
    </row>
    <row r="176" spans="1:10" x14ac:dyDescent="0.25">
      <c r="A176" t="s">
        <v>192</v>
      </c>
      <c r="B176" t="s">
        <v>642</v>
      </c>
      <c r="C176" t="s">
        <v>532</v>
      </c>
      <c r="E176" s="6">
        <v>38.216133630000002</v>
      </c>
      <c r="F176" s="11">
        <v>0</v>
      </c>
      <c r="G176" s="32">
        <v>269</v>
      </c>
      <c r="H176" s="32">
        <v>0</v>
      </c>
      <c r="I176" s="31">
        <v>0</v>
      </c>
      <c r="J176" s="31">
        <v>0</v>
      </c>
    </row>
    <row r="177" spans="1:10" x14ac:dyDescent="0.25">
      <c r="A177" t="s">
        <v>11</v>
      </c>
      <c r="B177" t="s">
        <v>534</v>
      </c>
      <c r="C177" t="s">
        <v>534</v>
      </c>
      <c r="E177" s="6">
        <v>247.583892878</v>
      </c>
      <c r="F177" s="11">
        <v>4.9367446399999961</v>
      </c>
      <c r="G177" s="32">
        <v>270</v>
      </c>
      <c r="H177" s="32">
        <v>0</v>
      </c>
      <c r="I177" s="31">
        <v>20000</v>
      </c>
      <c r="J177" s="31">
        <v>0</v>
      </c>
    </row>
    <row r="178" spans="1:10" x14ac:dyDescent="0.25">
      <c r="A178" t="s">
        <v>33</v>
      </c>
      <c r="B178" t="s">
        <v>534</v>
      </c>
      <c r="C178" t="s">
        <v>534</v>
      </c>
      <c r="D178" t="s">
        <v>568</v>
      </c>
      <c r="E178" s="6">
        <v>247.36822042999992</v>
      </c>
      <c r="F178" s="11">
        <v>17.353808799999921</v>
      </c>
      <c r="G178" s="32">
        <v>275</v>
      </c>
      <c r="H178" s="32">
        <v>0</v>
      </c>
      <c r="I178" s="31">
        <v>20000</v>
      </c>
      <c r="J178" s="31">
        <v>0</v>
      </c>
    </row>
    <row r="179" spans="1:10" x14ac:dyDescent="0.25">
      <c r="A179" t="s">
        <v>15</v>
      </c>
      <c r="B179" t="s">
        <v>534</v>
      </c>
      <c r="C179" t="s">
        <v>534</v>
      </c>
      <c r="E179" s="6">
        <v>237.76629135800002</v>
      </c>
      <c r="F179" s="11">
        <v>5.1135665599999989</v>
      </c>
      <c r="G179" s="32">
        <v>277</v>
      </c>
      <c r="H179" s="32">
        <v>0</v>
      </c>
      <c r="I179" s="31">
        <v>20000</v>
      </c>
      <c r="J179" s="31">
        <v>0</v>
      </c>
    </row>
    <row r="180" spans="1:10" x14ac:dyDescent="0.25">
      <c r="A180" t="s">
        <v>23</v>
      </c>
      <c r="B180" t="s">
        <v>534</v>
      </c>
      <c r="C180" t="s">
        <v>534</v>
      </c>
      <c r="D180" t="s">
        <v>565</v>
      </c>
      <c r="E180" s="6">
        <v>254.41030600400003</v>
      </c>
      <c r="F180" s="11">
        <v>16.416833779999997</v>
      </c>
      <c r="G180" s="32">
        <v>282</v>
      </c>
      <c r="H180" s="32">
        <v>0</v>
      </c>
      <c r="I180" s="31">
        <v>20000</v>
      </c>
      <c r="J180" s="31">
        <v>0</v>
      </c>
    </row>
    <row r="181" spans="1:10" x14ac:dyDescent="0.25">
      <c r="A181" t="s">
        <v>452</v>
      </c>
      <c r="B181" t="s">
        <v>642</v>
      </c>
      <c r="C181" t="s">
        <v>533</v>
      </c>
      <c r="E181" s="6">
        <v>113.14189621200001</v>
      </c>
      <c r="F181" s="11">
        <v>0</v>
      </c>
      <c r="G181" s="32">
        <v>284</v>
      </c>
      <c r="H181" s="32">
        <v>0</v>
      </c>
      <c r="I181" s="31">
        <v>0</v>
      </c>
      <c r="J181" s="31">
        <v>0</v>
      </c>
    </row>
    <row r="182" spans="1:10" x14ac:dyDescent="0.25">
      <c r="A182" t="s">
        <v>166</v>
      </c>
      <c r="B182" t="s">
        <v>642</v>
      </c>
      <c r="C182" t="s">
        <v>533</v>
      </c>
      <c r="E182" s="6">
        <v>103.443210745</v>
      </c>
      <c r="F182" s="11">
        <v>0</v>
      </c>
      <c r="G182" s="32">
        <v>287</v>
      </c>
      <c r="H182" s="32">
        <v>0</v>
      </c>
      <c r="I182" s="31">
        <v>0</v>
      </c>
      <c r="J182" s="31">
        <v>0</v>
      </c>
    </row>
    <row r="183" spans="1:10" x14ac:dyDescent="0.25">
      <c r="A183" t="s">
        <v>167</v>
      </c>
      <c r="B183" t="s">
        <v>642</v>
      </c>
      <c r="C183" t="s">
        <v>533</v>
      </c>
      <c r="E183" s="6">
        <v>103.47660857499999</v>
      </c>
      <c r="F183" s="11">
        <v>0</v>
      </c>
      <c r="G183" s="32">
        <v>288</v>
      </c>
      <c r="H183" s="32">
        <v>0</v>
      </c>
      <c r="I183" s="31">
        <v>25000</v>
      </c>
      <c r="J183" s="31">
        <v>0</v>
      </c>
    </row>
    <row r="184" spans="1:10" x14ac:dyDescent="0.25">
      <c r="A184" t="s">
        <v>141</v>
      </c>
      <c r="B184" t="s">
        <v>642</v>
      </c>
      <c r="C184" t="s">
        <v>533</v>
      </c>
      <c r="E184" s="6">
        <v>78.152897422999999</v>
      </c>
      <c r="F184" s="11">
        <v>0</v>
      </c>
      <c r="G184" s="32">
        <v>290</v>
      </c>
      <c r="H184" s="32">
        <v>0</v>
      </c>
      <c r="I184" s="31">
        <v>0</v>
      </c>
      <c r="J184" s="31">
        <v>0</v>
      </c>
    </row>
    <row r="185" spans="1:10" x14ac:dyDescent="0.25">
      <c r="A185" t="s">
        <v>172</v>
      </c>
      <c r="B185" t="s">
        <v>642</v>
      </c>
      <c r="C185" t="s">
        <v>533</v>
      </c>
      <c r="E185" s="6">
        <v>98.942805049</v>
      </c>
      <c r="F185" s="11">
        <v>0</v>
      </c>
      <c r="G185" s="32">
        <v>294</v>
      </c>
      <c r="H185" s="32">
        <v>0</v>
      </c>
      <c r="I185" s="31">
        <v>0</v>
      </c>
      <c r="J185" s="31">
        <v>0</v>
      </c>
    </row>
    <row r="186" spans="1:10" x14ac:dyDescent="0.25">
      <c r="A186" t="s">
        <v>170</v>
      </c>
      <c r="B186" t="s">
        <v>642</v>
      </c>
      <c r="C186" t="s">
        <v>535</v>
      </c>
      <c r="E186" s="6">
        <v>71.181794811000003</v>
      </c>
      <c r="F186" s="11">
        <v>0</v>
      </c>
      <c r="G186" s="32">
        <v>297</v>
      </c>
      <c r="H186" s="32">
        <v>0</v>
      </c>
      <c r="I186" s="31">
        <v>0</v>
      </c>
      <c r="J186" s="31">
        <v>0</v>
      </c>
    </row>
    <row r="187" spans="1:10" x14ac:dyDescent="0.25">
      <c r="A187" t="s">
        <v>169</v>
      </c>
      <c r="B187" t="s">
        <v>642</v>
      </c>
      <c r="C187" t="s">
        <v>535</v>
      </c>
      <c r="E187" s="6">
        <v>64.531481597999999</v>
      </c>
      <c r="F187" s="11">
        <v>0</v>
      </c>
      <c r="G187" s="32">
        <v>298</v>
      </c>
      <c r="H187" s="32">
        <v>0</v>
      </c>
      <c r="I187" s="31">
        <v>0</v>
      </c>
      <c r="J187" s="31">
        <v>0</v>
      </c>
    </row>
    <row r="188" spans="1:10" x14ac:dyDescent="0.25">
      <c r="A188" t="s">
        <v>143</v>
      </c>
      <c r="B188" t="s">
        <v>642</v>
      </c>
      <c r="C188" t="s">
        <v>533</v>
      </c>
      <c r="E188" s="6">
        <v>99.857330004000005</v>
      </c>
      <c r="F188" s="11">
        <v>0</v>
      </c>
      <c r="G188" s="32">
        <v>301</v>
      </c>
      <c r="H188" s="32">
        <v>0</v>
      </c>
      <c r="I188" s="31">
        <v>0</v>
      </c>
      <c r="J188" s="31">
        <v>0</v>
      </c>
    </row>
    <row r="189" spans="1:10" x14ac:dyDescent="0.25">
      <c r="A189" t="s">
        <v>181</v>
      </c>
      <c r="B189" t="s">
        <v>642</v>
      </c>
      <c r="C189" t="s">
        <v>533</v>
      </c>
      <c r="E189" s="6">
        <v>95.849181072999997</v>
      </c>
      <c r="F189" s="11">
        <v>0</v>
      </c>
      <c r="G189" s="32">
        <v>302</v>
      </c>
      <c r="H189" s="32">
        <v>0</v>
      </c>
      <c r="I189" s="31">
        <v>0</v>
      </c>
      <c r="J189" s="31">
        <v>0</v>
      </c>
    </row>
    <row r="190" spans="1:10" x14ac:dyDescent="0.25">
      <c r="A190" t="s">
        <v>184</v>
      </c>
      <c r="B190" t="s">
        <v>642</v>
      </c>
      <c r="C190" t="s">
        <v>533</v>
      </c>
      <c r="E190" s="6">
        <v>94.909075273000013</v>
      </c>
      <c r="F190" s="11">
        <v>0</v>
      </c>
      <c r="G190" s="32">
        <v>305</v>
      </c>
      <c r="H190" s="32">
        <v>0</v>
      </c>
      <c r="I190" s="31">
        <v>0</v>
      </c>
      <c r="J190" s="31">
        <v>15000</v>
      </c>
    </row>
    <row r="191" spans="1:10" x14ac:dyDescent="0.25">
      <c r="A191" t="s">
        <v>200</v>
      </c>
      <c r="B191" t="s">
        <v>642</v>
      </c>
      <c r="C191" t="s">
        <v>533</v>
      </c>
      <c r="E191" s="6">
        <v>93.398906823000004</v>
      </c>
      <c r="F191" s="11">
        <v>0</v>
      </c>
      <c r="G191" s="32">
        <v>306</v>
      </c>
      <c r="H191" s="32">
        <v>0</v>
      </c>
      <c r="I191" s="31">
        <v>0</v>
      </c>
      <c r="J191" s="31">
        <v>0</v>
      </c>
    </row>
    <row r="192" spans="1:10" x14ac:dyDescent="0.25">
      <c r="A192" t="s">
        <v>173</v>
      </c>
      <c r="B192" t="s">
        <v>642</v>
      </c>
      <c r="C192" t="s">
        <v>532</v>
      </c>
      <c r="E192" s="6">
        <v>82.994600684999995</v>
      </c>
      <c r="F192" s="11">
        <v>0</v>
      </c>
      <c r="G192" s="32">
        <v>307</v>
      </c>
      <c r="H192" s="32">
        <v>0</v>
      </c>
      <c r="I192" s="31">
        <v>30000</v>
      </c>
      <c r="J192" s="31">
        <v>0</v>
      </c>
    </row>
    <row r="193" spans="1:10" x14ac:dyDescent="0.25">
      <c r="A193" t="s">
        <v>148</v>
      </c>
      <c r="B193" t="s">
        <v>642</v>
      </c>
      <c r="C193" t="s">
        <v>532</v>
      </c>
      <c r="E193" s="6">
        <v>87.254300554999986</v>
      </c>
      <c r="F193" s="11">
        <v>0</v>
      </c>
      <c r="G193" s="32">
        <v>308</v>
      </c>
      <c r="H193" s="32">
        <v>0</v>
      </c>
      <c r="I193" s="31">
        <v>0</v>
      </c>
      <c r="J193" s="31">
        <v>0</v>
      </c>
    </row>
    <row r="194" spans="1:10" x14ac:dyDescent="0.25">
      <c r="A194" t="s">
        <v>146</v>
      </c>
      <c r="B194" t="s">
        <v>642</v>
      </c>
      <c r="C194" t="s">
        <v>532</v>
      </c>
      <c r="E194" s="6">
        <v>42.723825755999997</v>
      </c>
      <c r="F194" s="11">
        <v>0</v>
      </c>
      <c r="G194" s="32">
        <v>309</v>
      </c>
      <c r="H194" s="32">
        <v>0</v>
      </c>
      <c r="I194" s="31">
        <v>12000</v>
      </c>
      <c r="J194" s="31">
        <v>0</v>
      </c>
    </row>
    <row r="195" spans="1:10" x14ac:dyDescent="0.25">
      <c r="A195" t="s">
        <v>152</v>
      </c>
      <c r="B195" t="s">
        <v>642</v>
      </c>
      <c r="C195" t="s">
        <v>535</v>
      </c>
      <c r="E195" s="6">
        <v>79.713527939000016</v>
      </c>
      <c r="F195" s="11">
        <v>0</v>
      </c>
      <c r="G195" s="32">
        <v>311</v>
      </c>
      <c r="H195" s="32">
        <v>0</v>
      </c>
      <c r="I195" s="31">
        <v>0</v>
      </c>
      <c r="J195" s="31">
        <v>0</v>
      </c>
    </row>
    <row r="196" spans="1:10" x14ac:dyDescent="0.25">
      <c r="A196" t="s">
        <v>175</v>
      </c>
      <c r="B196" t="s">
        <v>642</v>
      </c>
      <c r="C196" t="s">
        <v>535</v>
      </c>
      <c r="E196" s="6">
        <v>88.162303175999995</v>
      </c>
      <c r="F196" s="11">
        <v>0</v>
      </c>
      <c r="G196" s="32">
        <v>312</v>
      </c>
      <c r="H196" s="32">
        <v>0</v>
      </c>
      <c r="I196" s="31">
        <v>0</v>
      </c>
      <c r="J196" s="31">
        <v>0</v>
      </c>
    </row>
    <row r="197" spans="1:10" x14ac:dyDescent="0.25">
      <c r="A197" t="s">
        <v>176</v>
      </c>
      <c r="B197" t="s">
        <v>642</v>
      </c>
      <c r="C197" t="s">
        <v>535</v>
      </c>
      <c r="E197" s="6">
        <v>79.246743623000015</v>
      </c>
      <c r="F197" s="11">
        <v>0</v>
      </c>
      <c r="G197" s="32">
        <v>313</v>
      </c>
      <c r="H197" s="32">
        <v>0</v>
      </c>
      <c r="I197" s="31">
        <v>0</v>
      </c>
      <c r="J197" s="31">
        <v>0</v>
      </c>
    </row>
    <row r="198" spans="1:10" x14ac:dyDescent="0.25">
      <c r="A198" t="s">
        <v>34</v>
      </c>
      <c r="B198" t="s">
        <v>534</v>
      </c>
      <c r="C198" t="s">
        <v>534</v>
      </c>
      <c r="D198" t="s">
        <v>569</v>
      </c>
      <c r="E198" s="6">
        <v>264.45689479800001</v>
      </c>
      <c r="F198" s="11">
        <v>13.944917679999993</v>
      </c>
      <c r="G198" s="32">
        <v>314</v>
      </c>
      <c r="H198" s="32">
        <v>0</v>
      </c>
      <c r="I198" s="31">
        <v>25000</v>
      </c>
      <c r="J198" s="31">
        <v>0</v>
      </c>
    </row>
    <row r="199" spans="1:10" x14ac:dyDescent="0.25">
      <c r="A199" t="s">
        <v>177</v>
      </c>
      <c r="B199" t="s">
        <v>534</v>
      </c>
      <c r="C199" t="s">
        <v>534</v>
      </c>
      <c r="E199" s="6">
        <v>230.97722453599999</v>
      </c>
      <c r="F199" s="11">
        <v>0</v>
      </c>
      <c r="G199" s="32">
        <v>316</v>
      </c>
      <c r="H199" s="32">
        <v>0</v>
      </c>
      <c r="I199" s="31">
        <v>15000</v>
      </c>
      <c r="J199" s="31">
        <v>0</v>
      </c>
    </row>
    <row r="200" spans="1:10" x14ac:dyDescent="0.25">
      <c r="A200" t="s">
        <v>14</v>
      </c>
      <c r="B200" t="s">
        <v>534</v>
      </c>
      <c r="C200" t="s">
        <v>534</v>
      </c>
      <c r="D200" t="s">
        <v>562</v>
      </c>
      <c r="E200" s="6">
        <v>183.12174828000008</v>
      </c>
      <c r="F200" s="11">
        <v>-14.668885549999956</v>
      </c>
      <c r="G200" s="32">
        <v>318</v>
      </c>
      <c r="H200" s="32">
        <v>0</v>
      </c>
      <c r="I200" s="31">
        <v>20000</v>
      </c>
      <c r="J200" s="31">
        <v>1000</v>
      </c>
    </row>
    <row r="201" spans="1:10" x14ac:dyDescent="0.25">
      <c r="A201" t="s">
        <v>122</v>
      </c>
      <c r="B201" t="s">
        <v>642</v>
      </c>
      <c r="C201" t="s">
        <v>532</v>
      </c>
      <c r="E201" s="6">
        <v>52.993745739000005</v>
      </c>
      <c r="F201" s="11">
        <v>0</v>
      </c>
      <c r="G201" s="32">
        <v>320</v>
      </c>
      <c r="H201" s="32">
        <v>0</v>
      </c>
      <c r="I201" s="31">
        <v>0</v>
      </c>
      <c r="J201" s="31">
        <v>0</v>
      </c>
    </row>
    <row r="202" spans="1:10" x14ac:dyDescent="0.25">
      <c r="A202" t="s">
        <v>183</v>
      </c>
      <c r="B202" t="s">
        <v>642</v>
      </c>
      <c r="C202" t="s">
        <v>532</v>
      </c>
      <c r="E202" s="6">
        <v>69.975635969999999</v>
      </c>
      <c r="F202" s="11">
        <v>0</v>
      </c>
      <c r="G202" s="32">
        <v>321</v>
      </c>
      <c r="H202" s="32">
        <v>0</v>
      </c>
      <c r="I202" s="31">
        <v>0</v>
      </c>
      <c r="J202" s="31">
        <v>0</v>
      </c>
    </row>
    <row r="203" spans="1:10" x14ac:dyDescent="0.25">
      <c r="A203" t="s">
        <v>179</v>
      </c>
      <c r="B203" t="s">
        <v>642</v>
      </c>
      <c r="C203" t="s">
        <v>532</v>
      </c>
      <c r="E203" s="6">
        <v>66.952820373000009</v>
      </c>
      <c r="F203" s="11">
        <v>0</v>
      </c>
      <c r="G203" s="32">
        <v>322</v>
      </c>
      <c r="H203" s="32">
        <v>0</v>
      </c>
      <c r="I203" s="31">
        <v>0</v>
      </c>
      <c r="J203" s="31">
        <v>0</v>
      </c>
    </row>
    <row r="204" spans="1:10" x14ac:dyDescent="0.25">
      <c r="A204" t="s">
        <v>444</v>
      </c>
      <c r="B204" t="s">
        <v>642</v>
      </c>
      <c r="C204" t="s">
        <v>533</v>
      </c>
      <c r="E204" s="6">
        <v>87.828728534999996</v>
      </c>
      <c r="F204" s="11">
        <v>0</v>
      </c>
      <c r="G204" s="32">
        <v>323</v>
      </c>
      <c r="H204" s="32">
        <v>0</v>
      </c>
      <c r="I204" s="31">
        <v>0</v>
      </c>
      <c r="J204" s="31">
        <v>0</v>
      </c>
    </row>
    <row r="205" spans="1:10" x14ac:dyDescent="0.25">
      <c r="A205" t="s">
        <v>164</v>
      </c>
      <c r="B205" t="s">
        <v>642</v>
      </c>
      <c r="C205" t="s">
        <v>532</v>
      </c>
      <c r="E205" s="6">
        <v>69.213358572000004</v>
      </c>
      <c r="F205" s="11">
        <v>0</v>
      </c>
      <c r="G205" s="32">
        <v>325</v>
      </c>
      <c r="H205" s="32">
        <v>0</v>
      </c>
      <c r="I205" s="31">
        <v>0</v>
      </c>
      <c r="J205" s="31">
        <v>10000</v>
      </c>
    </row>
    <row r="206" spans="1:10" x14ac:dyDescent="0.25">
      <c r="A206" t="s">
        <v>174</v>
      </c>
      <c r="B206" t="s">
        <v>642</v>
      </c>
      <c r="C206" t="s">
        <v>532</v>
      </c>
      <c r="E206" s="6">
        <v>68.834894339000002</v>
      </c>
      <c r="F206" s="11">
        <v>0</v>
      </c>
      <c r="G206" s="32">
        <v>326</v>
      </c>
      <c r="H206" s="32">
        <v>0</v>
      </c>
      <c r="I206" s="31">
        <v>0</v>
      </c>
      <c r="J206" s="31">
        <v>0</v>
      </c>
    </row>
    <row r="207" spans="1:10" x14ac:dyDescent="0.25">
      <c r="A207" t="s">
        <v>438</v>
      </c>
      <c r="B207" t="s">
        <v>642</v>
      </c>
      <c r="C207" t="s">
        <v>533</v>
      </c>
      <c r="E207" s="6">
        <v>59.559409558000006</v>
      </c>
      <c r="F207" s="11">
        <v>0</v>
      </c>
      <c r="G207" s="32">
        <v>327</v>
      </c>
      <c r="H207" s="32">
        <v>0</v>
      </c>
      <c r="I207" s="31">
        <v>25000</v>
      </c>
      <c r="J207" s="31">
        <v>0</v>
      </c>
    </row>
    <row r="208" spans="1:10" x14ac:dyDescent="0.25">
      <c r="A208" t="s">
        <v>185</v>
      </c>
      <c r="B208" t="s">
        <v>642</v>
      </c>
      <c r="C208" t="s">
        <v>533</v>
      </c>
      <c r="E208" s="6">
        <v>58.605474469000001</v>
      </c>
      <c r="F208" s="11">
        <v>0</v>
      </c>
      <c r="G208" s="32">
        <v>328</v>
      </c>
      <c r="H208" s="32">
        <v>0</v>
      </c>
      <c r="I208" s="31">
        <v>0</v>
      </c>
      <c r="J208" s="31">
        <v>0</v>
      </c>
    </row>
    <row r="209" spans="1:10" x14ac:dyDescent="0.25">
      <c r="A209" t="s">
        <v>205</v>
      </c>
      <c r="B209" t="s">
        <v>642</v>
      </c>
      <c r="C209" t="s">
        <v>533</v>
      </c>
      <c r="E209" s="6">
        <v>83.538477122000003</v>
      </c>
      <c r="F209" s="11">
        <v>0</v>
      </c>
      <c r="G209" s="32">
        <v>329</v>
      </c>
      <c r="H209" s="32">
        <v>0</v>
      </c>
      <c r="I209" s="31">
        <v>0</v>
      </c>
      <c r="J209" s="31">
        <v>0</v>
      </c>
    </row>
    <row r="210" spans="1:10" x14ac:dyDescent="0.25">
      <c r="A210" t="s">
        <v>187</v>
      </c>
      <c r="B210" t="s">
        <v>642</v>
      </c>
      <c r="C210" t="s">
        <v>533</v>
      </c>
      <c r="E210" s="6">
        <v>84.423511694000013</v>
      </c>
      <c r="F210" s="11">
        <v>0</v>
      </c>
      <c r="G210" s="32">
        <v>330</v>
      </c>
      <c r="H210" s="32">
        <v>0</v>
      </c>
      <c r="I210" s="31">
        <v>30000</v>
      </c>
      <c r="J210" s="31">
        <v>0</v>
      </c>
    </row>
    <row r="211" spans="1:10" x14ac:dyDescent="0.25">
      <c r="A211" t="s">
        <v>495</v>
      </c>
      <c r="B211" t="s">
        <v>642</v>
      </c>
      <c r="C211" t="s">
        <v>533</v>
      </c>
      <c r="E211" s="6">
        <v>80.956111268000001</v>
      </c>
      <c r="F211" s="11">
        <v>0</v>
      </c>
      <c r="G211" s="32">
        <v>331</v>
      </c>
      <c r="H211" s="32">
        <v>0</v>
      </c>
      <c r="I211" s="31">
        <v>0</v>
      </c>
      <c r="J211" s="31">
        <v>0</v>
      </c>
    </row>
    <row r="212" spans="1:10" x14ac:dyDescent="0.25">
      <c r="A212" t="s">
        <v>199</v>
      </c>
      <c r="B212" t="s">
        <v>642</v>
      </c>
      <c r="C212" t="s">
        <v>533</v>
      </c>
      <c r="E212" s="6">
        <v>80.267380703000001</v>
      </c>
      <c r="F212" s="11">
        <v>0</v>
      </c>
      <c r="G212" s="32">
        <v>332</v>
      </c>
      <c r="H212" s="32">
        <v>0</v>
      </c>
      <c r="I212" s="31">
        <v>0</v>
      </c>
      <c r="J212" s="31">
        <v>0</v>
      </c>
    </row>
    <row r="213" spans="1:10" x14ac:dyDescent="0.25">
      <c r="A213" t="s">
        <v>281</v>
      </c>
      <c r="B213" t="s">
        <v>642</v>
      </c>
      <c r="C213" t="s">
        <v>533</v>
      </c>
      <c r="E213" s="6">
        <v>70.709955444999991</v>
      </c>
      <c r="F213" s="11">
        <v>0</v>
      </c>
      <c r="G213" s="32">
        <v>333</v>
      </c>
      <c r="H213" s="32">
        <v>0</v>
      </c>
      <c r="I213" s="31">
        <v>30000</v>
      </c>
      <c r="J213" s="31">
        <v>12000</v>
      </c>
    </row>
    <row r="214" spans="1:10" x14ac:dyDescent="0.25">
      <c r="A214" t="s">
        <v>189</v>
      </c>
      <c r="B214" t="s">
        <v>642</v>
      </c>
      <c r="C214" t="s">
        <v>533</v>
      </c>
      <c r="E214" s="6">
        <v>69.583955634000006</v>
      </c>
      <c r="F214" s="11">
        <v>0</v>
      </c>
      <c r="G214" s="32">
        <v>334</v>
      </c>
      <c r="H214" s="32">
        <v>0</v>
      </c>
      <c r="I214" s="31">
        <v>0</v>
      </c>
      <c r="J214" s="31">
        <v>7500</v>
      </c>
    </row>
    <row r="215" spans="1:10" x14ac:dyDescent="0.25">
      <c r="A215" t="s">
        <v>191</v>
      </c>
      <c r="B215" t="s">
        <v>642</v>
      </c>
      <c r="C215" t="s">
        <v>532</v>
      </c>
      <c r="E215" s="6">
        <v>63.480503641000006</v>
      </c>
      <c r="F215" s="11">
        <v>0</v>
      </c>
      <c r="G215" s="32">
        <v>341</v>
      </c>
      <c r="H215" s="32">
        <v>0</v>
      </c>
      <c r="I215" s="31">
        <v>0</v>
      </c>
      <c r="J215" s="31">
        <v>0</v>
      </c>
    </row>
    <row r="216" spans="1:10" x14ac:dyDescent="0.25">
      <c r="A216" t="s">
        <v>182</v>
      </c>
      <c r="B216" t="s">
        <v>642</v>
      </c>
      <c r="C216" t="s">
        <v>532</v>
      </c>
      <c r="E216" s="6">
        <v>58.249231078999998</v>
      </c>
      <c r="F216" s="11">
        <v>0</v>
      </c>
      <c r="G216" s="32">
        <v>342</v>
      </c>
      <c r="H216" s="32">
        <v>0</v>
      </c>
      <c r="I216" s="31">
        <v>0</v>
      </c>
      <c r="J216" s="31">
        <v>0</v>
      </c>
    </row>
    <row r="217" spans="1:10" x14ac:dyDescent="0.25">
      <c r="A217" t="s">
        <v>190</v>
      </c>
      <c r="B217" t="s">
        <v>642</v>
      </c>
      <c r="C217" t="s">
        <v>532</v>
      </c>
      <c r="E217" s="6">
        <v>59.439091339000001</v>
      </c>
      <c r="F217" s="11">
        <v>0</v>
      </c>
      <c r="G217" s="32">
        <v>344</v>
      </c>
      <c r="H217" s="32">
        <v>0</v>
      </c>
      <c r="I217" s="31">
        <v>30000</v>
      </c>
      <c r="J217" s="31">
        <v>0</v>
      </c>
    </row>
    <row r="218" spans="1:10" x14ac:dyDescent="0.25">
      <c r="A218" t="s">
        <v>245</v>
      </c>
      <c r="B218" t="s">
        <v>642</v>
      </c>
      <c r="C218" t="s">
        <v>532</v>
      </c>
      <c r="E218" s="6">
        <v>54.984707352000001</v>
      </c>
      <c r="F218" s="11">
        <v>0</v>
      </c>
      <c r="G218" s="32">
        <v>345</v>
      </c>
      <c r="H218" s="32">
        <v>0</v>
      </c>
      <c r="I218" s="31">
        <v>0</v>
      </c>
      <c r="J218" s="31">
        <v>0</v>
      </c>
    </row>
    <row r="219" spans="1:10" x14ac:dyDescent="0.25">
      <c r="A219" t="s">
        <v>196</v>
      </c>
      <c r="B219" t="s">
        <v>642</v>
      </c>
      <c r="C219" t="s">
        <v>532</v>
      </c>
      <c r="E219" s="6">
        <v>53.947034704000004</v>
      </c>
      <c r="F219" s="11">
        <v>0</v>
      </c>
      <c r="G219" s="32">
        <v>346</v>
      </c>
      <c r="H219" s="32">
        <v>0</v>
      </c>
      <c r="I219" s="31">
        <v>0</v>
      </c>
      <c r="J219" s="31">
        <v>0</v>
      </c>
    </row>
    <row r="220" spans="1:10" x14ac:dyDescent="0.25">
      <c r="A220" t="s">
        <v>215</v>
      </c>
      <c r="B220" t="s">
        <v>642</v>
      </c>
      <c r="C220" t="s">
        <v>532</v>
      </c>
      <c r="E220" s="6">
        <v>51.481601221000005</v>
      </c>
      <c r="F220" s="11">
        <v>0</v>
      </c>
      <c r="G220" s="32">
        <v>347</v>
      </c>
      <c r="H220" s="32">
        <v>0</v>
      </c>
      <c r="I220" s="31">
        <v>0</v>
      </c>
      <c r="J220" s="31">
        <v>15000</v>
      </c>
    </row>
    <row r="221" spans="1:10" x14ac:dyDescent="0.25">
      <c r="A221" t="s">
        <v>194</v>
      </c>
      <c r="B221" t="s">
        <v>642</v>
      </c>
      <c r="C221" t="s">
        <v>532</v>
      </c>
      <c r="E221" s="6">
        <v>50.254054506000003</v>
      </c>
      <c r="F221" s="11">
        <v>0</v>
      </c>
      <c r="G221" s="32">
        <v>350</v>
      </c>
      <c r="H221" s="32">
        <v>0</v>
      </c>
      <c r="I221" s="31">
        <v>0</v>
      </c>
      <c r="J221" s="31">
        <v>0</v>
      </c>
    </row>
    <row r="222" spans="1:10" x14ac:dyDescent="0.25">
      <c r="A222" t="s">
        <v>193</v>
      </c>
      <c r="B222" t="s">
        <v>642</v>
      </c>
      <c r="C222" t="s">
        <v>532</v>
      </c>
      <c r="E222" s="6">
        <v>51.060112633000003</v>
      </c>
      <c r="F222" s="11">
        <v>0</v>
      </c>
      <c r="G222" s="32">
        <v>351</v>
      </c>
      <c r="H222" s="32">
        <v>0</v>
      </c>
      <c r="I222" s="31">
        <v>30000</v>
      </c>
      <c r="J222" s="31">
        <v>0</v>
      </c>
    </row>
    <row r="223" spans="1:10" x14ac:dyDescent="0.25">
      <c r="A223" t="s">
        <v>195</v>
      </c>
      <c r="B223" t="s">
        <v>642</v>
      </c>
      <c r="C223" t="s">
        <v>532</v>
      </c>
      <c r="E223" s="6">
        <v>51.416504512000003</v>
      </c>
      <c r="F223" s="11">
        <v>0</v>
      </c>
      <c r="G223" s="32">
        <v>352</v>
      </c>
      <c r="H223" s="32">
        <v>0</v>
      </c>
      <c r="I223" s="31">
        <v>0</v>
      </c>
      <c r="J223" s="31">
        <v>25000</v>
      </c>
    </row>
    <row r="224" spans="1:10" x14ac:dyDescent="0.25">
      <c r="A224" t="s">
        <v>622</v>
      </c>
      <c r="B224" t="s">
        <v>642</v>
      </c>
      <c r="C224" t="s">
        <v>532</v>
      </c>
      <c r="E224" s="6">
        <v>47.875295027</v>
      </c>
      <c r="F224" s="11">
        <v>0</v>
      </c>
      <c r="G224" s="32">
        <v>353</v>
      </c>
      <c r="H224" s="32">
        <v>0</v>
      </c>
      <c r="I224" s="31">
        <v>0</v>
      </c>
      <c r="J224" s="31">
        <v>0</v>
      </c>
    </row>
    <row r="225" spans="1:10" x14ac:dyDescent="0.25">
      <c r="A225" t="s">
        <v>216</v>
      </c>
      <c r="B225" t="s">
        <v>642</v>
      </c>
      <c r="C225" t="s">
        <v>532</v>
      </c>
      <c r="E225" s="6">
        <v>39.485642113000004</v>
      </c>
      <c r="F225" s="11">
        <v>0</v>
      </c>
      <c r="G225" s="32">
        <v>354</v>
      </c>
      <c r="H225" s="32">
        <v>0</v>
      </c>
      <c r="I225" s="31">
        <v>0</v>
      </c>
      <c r="J225" s="31">
        <v>0</v>
      </c>
    </row>
    <row r="226" spans="1:10" x14ac:dyDescent="0.25">
      <c r="A226" t="s">
        <v>197</v>
      </c>
      <c r="B226" t="s">
        <v>642</v>
      </c>
      <c r="C226" t="s">
        <v>532</v>
      </c>
      <c r="E226" s="6">
        <v>43.928489261999999</v>
      </c>
      <c r="F226" s="11">
        <v>0</v>
      </c>
      <c r="G226" s="32">
        <v>356</v>
      </c>
      <c r="H226" s="32">
        <v>0</v>
      </c>
      <c r="I226" s="31">
        <v>0</v>
      </c>
      <c r="J226" s="31">
        <v>0</v>
      </c>
    </row>
    <row r="227" spans="1:10" x14ac:dyDescent="0.25">
      <c r="A227" t="s">
        <v>623</v>
      </c>
      <c r="B227" t="s">
        <v>642</v>
      </c>
      <c r="C227" t="s">
        <v>532</v>
      </c>
      <c r="E227" s="6">
        <v>39.960465577000008</v>
      </c>
      <c r="F227" s="11">
        <v>0</v>
      </c>
      <c r="G227" s="32">
        <v>357</v>
      </c>
      <c r="H227" s="32">
        <v>0</v>
      </c>
      <c r="I227" s="31">
        <v>0</v>
      </c>
      <c r="J227" s="31">
        <v>0</v>
      </c>
    </row>
    <row r="228" spans="1:10" x14ac:dyDescent="0.25">
      <c r="A228" t="s">
        <v>210</v>
      </c>
      <c r="B228" t="s">
        <v>642</v>
      </c>
      <c r="C228" t="s">
        <v>533</v>
      </c>
      <c r="E228" s="6">
        <v>68.802927162000003</v>
      </c>
      <c r="F228" s="11">
        <v>0</v>
      </c>
      <c r="G228" s="32">
        <v>358</v>
      </c>
      <c r="H228" s="32">
        <v>0</v>
      </c>
      <c r="I228" s="31">
        <v>0</v>
      </c>
      <c r="J228" s="31">
        <v>0</v>
      </c>
    </row>
    <row r="229" spans="1:10" x14ac:dyDescent="0.25">
      <c r="A229" t="s">
        <v>204</v>
      </c>
      <c r="B229" t="s">
        <v>642</v>
      </c>
      <c r="C229" t="s">
        <v>533</v>
      </c>
      <c r="E229" s="6">
        <v>67.030751518000002</v>
      </c>
      <c r="F229" s="11">
        <v>0</v>
      </c>
      <c r="G229" s="32">
        <v>359</v>
      </c>
      <c r="H229" s="32">
        <v>0</v>
      </c>
      <c r="I229" s="31">
        <v>0</v>
      </c>
      <c r="J229" s="31">
        <v>0</v>
      </c>
    </row>
    <row r="230" spans="1:10" x14ac:dyDescent="0.25">
      <c r="A230" t="s">
        <v>201</v>
      </c>
      <c r="B230" t="s">
        <v>642</v>
      </c>
      <c r="C230" t="s">
        <v>535</v>
      </c>
      <c r="E230" s="6">
        <v>73.121233646000007</v>
      </c>
      <c r="F230" s="11">
        <v>0</v>
      </c>
      <c r="G230" s="32">
        <v>366</v>
      </c>
      <c r="H230" s="32">
        <v>0</v>
      </c>
      <c r="I230" s="31">
        <v>0</v>
      </c>
      <c r="J230" s="31">
        <v>0</v>
      </c>
    </row>
    <row r="231" spans="1:10" x14ac:dyDescent="0.25">
      <c r="A231" t="s">
        <v>202</v>
      </c>
      <c r="B231" t="s">
        <v>642</v>
      </c>
      <c r="C231" t="s">
        <v>535</v>
      </c>
      <c r="E231" s="6">
        <v>67.943539757699995</v>
      </c>
      <c r="F231" s="11">
        <v>0</v>
      </c>
      <c r="G231" s="32">
        <v>367</v>
      </c>
      <c r="H231" s="32">
        <v>0</v>
      </c>
      <c r="I231" s="31">
        <v>0</v>
      </c>
      <c r="J231" s="31">
        <v>0</v>
      </c>
    </row>
    <row r="232" spans="1:10" x14ac:dyDescent="0.25">
      <c r="A232" t="s">
        <v>203</v>
      </c>
      <c r="B232" t="s">
        <v>642</v>
      </c>
      <c r="C232" t="s">
        <v>535</v>
      </c>
      <c r="E232" s="6">
        <v>67.779918739999999</v>
      </c>
      <c r="F232" s="11">
        <v>0</v>
      </c>
      <c r="G232" s="32">
        <v>368</v>
      </c>
      <c r="H232" s="32">
        <v>0</v>
      </c>
      <c r="I232" s="31">
        <v>0</v>
      </c>
      <c r="J232" s="31">
        <v>0</v>
      </c>
    </row>
    <row r="233" spans="1:10" x14ac:dyDescent="0.25">
      <c r="A233" t="s">
        <v>150</v>
      </c>
      <c r="B233" t="s">
        <v>642</v>
      </c>
      <c r="C233" t="s">
        <v>533</v>
      </c>
      <c r="E233" s="6">
        <v>67.660156594</v>
      </c>
      <c r="F233" s="11">
        <v>0</v>
      </c>
      <c r="G233" s="32">
        <v>370</v>
      </c>
      <c r="H233" s="32">
        <v>0</v>
      </c>
      <c r="I233" s="31">
        <v>0</v>
      </c>
      <c r="J233" s="31">
        <v>15000</v>
      </c>
    </row>
    <row r="234" spans="1:10" x14ac:dyDescent="0.25">
      <c r="A234" t="s">
        <v>206</v>
      </c>
      <c r="B234" t="s">
        <v>642</v>
      </c>
      <c r="C234" t="s">
        <v>533</v>
      </c>
      <c r="E234" s="6">
        <v>65.909115686000007</v>
      </c>
      <c r="F234" s="11">
        <v>0</v>
      </c>
      <c r="G234" s="32">
        <v>371</v>
      </c>
      <c r="H234" s="32">
        <v>0</v>
      </c>
      <c r="I234" s="31">
        <v>0</v>
      </c>
      <c r="J234" s="31">
        <v>0</v>
      </c>
    </row>
    <row r="235" spans="1:10" x14ac:dyDescent="0.25">
      <c r="A235" t="s">
        <v>209</v>
      </c>
      <c r="B235" t="s">
        <v>642</v>
      </c>
      <c r="C235" t="s">
        <v>533</v>
      </c>
      <c r="E235" s="6">
        <v>64.988812816000006</v>
      </c>
      <c r="F235" s="11">
        <v>0</v>
      </c>
      <c r="G235" s="32">
        <v>372</v>
      </c>
      <c r="H235" s="32">
        <v>0</v>
      </c>
      <c r="I235" s="31">
        <v>0</v>
      </c>
      <c r="J235" s="31">
        <v>0</v>
      </c>
    </row>
    <row r="236" spans="1:10" x14ac:dyDescent="0.25">
      <c r="A236" t="s">
        <v>188</v>
      </c>
      <c r="B236" t="s">
        <v>642</v>
      </c>
      <c r="C236" t="s">
        <v>533</v>
      </c>
      <c r="E236" s="6">
        <v>60.138580213000004</v>
      </c>
      <c r="F236" s="11">
        <v>0</v>
      </c>
      <c r="G236" s="32">
        <v>373</v>
      </c>
      <c r="H236" s="32">
        <v>0</v>
      </c>
      <c r="I236" s="31">
        <v>0</v>
      </c>
      <c r="J236" s="31">
        <v>25000</v>
      </c>
    </row>
    <row r="237" spans="1:10" x14ac:dyDescent="0.25">
      <c r="A237" t="s">
        <v>369</v>
      </c>
      <c r="B237" t="s">
        <v>642</v>
      </c>
      <c r="C237" t="s">
        <v>532</v>
      </c>
      <c r="E237" s="6">
        <v>40.748565107499999</v>
      </c>
      <c r="F237" s="11">
        <v>0</v>
      </c>
      <c r="G237" s="32">
        <v>377</v>
      </c>
      <c r="H237" s="32">
        <v>0</v>
      </c>
      <c r="I237" s="31">
        <v>0</v>
      </c>
      <c r="J237" s="31">
        <v>0</v>
      </c>
    </row>
    <row r="238" spans="1:10" x14ac:dyDescent="0.25">
      <c r="A238" t="s">
        <v>198</v>
      </c>
      <c r="B238" t="s">
        <v>642</v>
      </c>
      <c r="C238" t="s">
        <v>532</v>
      </c>
      <c r="E238" s="6">
        <v>38.615673784999998</v>
      </c>
      <c r="F238" s="11">
        <v>0</v>
      </c>
      <c r="G238" s="32">
        <v>378</v>
      </c>
      <c r="H238" s="32">
        <v>0</v>
      </c>
      <c r="I238" s="31">
        <v>0</v>
      </c>
      <c r="J238" s="31">
        <v>0</v>
      </c>
    </row>
    <row r="239" spans="1:10" x14ac:dyDescent="0.25">
      <c r="A239" t="s">
        <v>178</v>
      </c>
      <c r="B239" t="s">
        <v>534</v>
      </c>
      <c r="C239" t="s">
        <v>534</v>
      </c>
      <c r="E239" s="6">
        <v>196.28346271200002</v>
      </c>
      <c r="F239" s="11">
        <v>0</v>
      </c>
      <c r="G239" s="32">
        <v>381</v>
      </c>
      <c r="H239" s="32">
        <v>0</v>
      </c>
      <c r="I239" s="31">
        <v>20000</v>
      </c>
      <c r="J239" s="31">
        <v>0</v>
      </c>
    </row>
    <row r="240" spans="1:10" x14ac:dyDescent="0.25">
      <c r="A240" t="s">
        <v>20</v>
      </c>
      <c r="B240" t="s">
        <v>534</v>
      </c>
      <c r="C240" t="s">
        <v>534</v>
      </c>
      <c r="D240" t="s">
        <v>564</v>
      </c>
      <c r="E240" s="6">
        <v>239.32086293299997</v>
      </c>
      <c r="F240" s="11">
        <v>15.532259799999967</v>
      </c>
      <c r="G240" s="32">
        <v>383</v>
      </c>
      <c r="H240" s="32">
        <v>0</v>
      </c>
      <c r="I240" s="31">
        <v>20000</v>
      </c>
      <c r="J240" s="31">
        <v>0</v>
      </c>
    </row>
    <row r="241" spans="1:10" x14ac:dyDescent="0.25">
      <c r="A241" t="s">
        <v>208</v>
      </c>
      <c r="B241" t="s">
        <v>534</v>
      </c>
      <c r="C241" t="s">
        <v>534</v>
      </c>
      <c r="E241" s="6">
        <v>210.41976915400005</v>
      </c>
      <c r="F241" s="11">
        <v>0</v>
      </c>
      <c r="G241" s="32">
        <v>386</v>
      </c>
      <c r="H241" s="32">
        <v>0</v>
      </c>
      <c r="I241" s="31">
        <v>30000</v>
      </c>
      <c r="J241" s="31">
        <v>2000</v>
      </c>
    </row>
    <row r="242" spans="1:10" x14ac:dyDescent="0.25">
      <c r="A242" t="s">
        <v>10</v>
      </c>
      <c r="B242" t="s">
        <v>534</v>
      </c>
      <c r="C242" t="s">
        <v>534</v>
      </c>
      <c r="D242" t="s">
        <v>524</v>
      </c>
      <c r="E242" s="6">
        <v>67.138329039999974</v>
      </c>
      <c r="F242" s="11">
        <v>-64.989258196000009</v>
      </c>
      <c r="G242" s="32">
        <v>388</v>
      </c>
      <c r="H242" s="32">
        <v>0</v>
      </c>
      <c r="I242" s="31">
        <v>20000</v>
      </c>
      <c r="J242" s="31">
        <v>0</v>
      </c>
    </row>
    <row r="243" spans="1:10" x14ac:dyDescent="0.25">
      <c r="A243" t="s">
        <v>274</v>
      </c>
      <c r="B243" t="s">
        <v>642</v>
      </c>
      <c r="C243" t="s">
        <v>533</v>
      </c>
      <c r="E243" s="6">
        <v>59.189805193000005</v>
      </c>
      <c r="F243" s="11">
        <v>0</v>
      </c>
      <c r="G243" s="32">
        <v>391</v>
      </c>
      <c r="H243" s="32">
        <v>0</v>
      </c>
      <c r="I243" s="31">
        <v>0</v>
      </c>
      <c r="J243" s="31">
        <v>0</v>
      </c>
    </row>
    <row r="244" spans="1:10" x14ac:dyDescent="0.25">
      <c r="A244" t="s">
        <v>140</v>
      </c>
      <c r="B244" t="s">
        <v>642</v>
      </c>
      <c r="C244" t="s">
        <v>533</v>
      </c>
      <c r="E244" s="6">
        <v>60.355054164000002</v>
      </c>
      <c r="F244" s="11">
        <v>0</v>
      </c>
      <c r="G244" s="32">
        <v>392</v>
      </c>
      <c r="H244" s="32">
        <v>0</v>
      </c>
      <c r="I244" s="31">
        <v>0</v>
      </c>
      <c r="J244" s="31">
        <v>0</v>
      </c>
    </row>
    <row r="245" spans="1:10" x14ac:dyDescent="0.25">
      <c r="A245" t="s">
        <v>212</v>
      </c>
      <c r="B245" t="s">
        <v>642</v>
      </c>
      <c r="C245" t="s">
        <v>533</v>
      </c>
      <c r="E245" s="6">
        <v>58.741097443000008</v>
      </c>
      <c r="F245" s="11">
        <v>0</v>
      </c>
      <c r="G245" s="32">
        <v>393</v>
      </c>
      <c r="H245" s="32">
        <v>0</v>
      </c>
      <c r="I245" s="31">
        <v>0</v>
      </c>
      <c r="J245" s="31">
        <v>0</v>
      </c>
    </row>
    <row r="246" spans="1:10" x14ac:dyDescent="0.25">
      <c r="A246" t="s">
        <v>211</v>
      </c>
      <c r="B246" t="s">
        <v>642</v>
      </c>
      <c r="C246" t="s">
        <v>533</v>
      </c>
      <c r="E246" s="6">
        <v>58.997268359000003</v>
      </c>
      <c r="F246" s="11">
        <v>0</v>
      </c>
      <c r="G246" s="32">
        <v>394</v>
      </c>
      <c r="H246" s="32">
        <v>0</v>
      </c>
      <c r="I246" s="31">
        <v>0</v>
      </c>
      <c r="J246" s="31">
        <v>0</v>
      </c>
    </row>
    <row r="247" spans="1:10" x14ac:dyDescent="0.25">
      <c r="A247" t="s">
        <v>297</v>
      </c>
      <c r="B247" t="s">
        <v>642</v>
      </c>
      <c r="C247" t="s">
        <v>533</v>
      </c>
      <c r="E247" s="6">
        <v>58.472922870000005</v>
      </c>
      <c r="F247" s="11">
        <v>0</v>
      </c>
      <c r="G247" s="32">
        <v>396</v>
      </c>
      <c r="H247" s="32">
        <v>0</v>
      </c>
      <c r="I247" s="31">
        <v>0</v>
      </c>
      <c r="J247" s="31">
        <v>0</v>
      </c>
    </row>
    <row r="248" spans="1:10" x14ac:dyDescent="0.25">
      <c r="A248" t="s">
        <v>231</v>
      </c>
      <c r="B248" t="s">
        <v>642</v>
      </c>
      <c r="C248" t="s">
        <v>532</v>
      </c>
      <c r="E248" s="6">
        <v>32.537324233000007</v>
      </c>
      <c r="F248" s="11">
        <v>0</v>
      </c>
      <c r="G248" s="32">
        <v>397</v>
      </c>
      <c r="H248" s="32">
        <v>0</v>
      </c>
      <c r="I248" s="31">
        <v>0</v>
      </c>
      <c r="J248" s="31">
        <v>0</v>
      </c>
    </row>
    <row r="249" spans="1:10" x14ac:dyDescent="0.25">
      <c r="A249" t="s">
        <v>234</v>
      </c>
      <c r="B249" t="s">
        <v>642</v>
      </c>
      <c r="C249" t="s">
        <v>532</v>
      </c>
      <c r="E249" s="6">
        <v>37.777173592500006</v>
      </c>
      <c r="F249" s="11">
        <v>0</v>
      </c>
      <c r="G249" s="32">
        <v>398</v>
      </c>
      <c r="H249" s="32">
        <v>0</v>
      </c>
      <c r="I249" s="31">
        <v>0</v>
      </c>
      <c r="J249" s="31">
        <v>15000</v>
      </c>
    </row>
    <row r="250" spans="1:10" x14ac:dyDescent="0.25">
      <c r="A250" t="s">
        <v>401</v>
      </c>
      <c r="B250" t="s">
        <v>642</v>
      </c>
      <c r="C250" t="s">
        <v>532</v>
      </c>
      <c r="E250" s="6">
        <v>31.580371499999998</v>
      </c>
      <c r="F250" s="11">
        <v>0</v>
      </c>
      <c r="G250" s="32">
        <v>399</v>
      </c>
      <c r="H250" s="32">
        <v>0</v>
      </c>
      <c r="I250" s="31">
        <v>0</v>
      </c>
      <c r="J250" s="31">
        <v>0</v>
      </c>
    </row>
    <row r="251" spans="1:10" x14ac:dyDescent="0.25">
      <c r="A251" t="s">
        <v>214</v>
      </c>
      <c r="B251" t="s">
        <v>642</v>
      </c>
      <c r="C251" t="s">
        <v>532</v>
      </c>
      <c r="E251" s="6">
        <v>32.485279832000003</v>
      </c>
      <c r="F251" s="11">
        <v>0</v>
      </c>
      <c r="G251" s="32">
        <v>400</v>
      </c>
      <c r="H251" s="32">
        <v>0</v>
      </c>
      <c r="I251" s="31">
        <v>0</v>
      </c>
      <c r="J251" s="31">
        <v>0</v>
      </c>
    </row>
    <row r="252" spans="1:10" x14ac:dyDescent="0.25">
      <c r="A252" t="s">
        <v>218</v>
      </c>
      <c r="B252" t="s">
        <v>642</v>
      </c>
      <c r="C252" t="s">
        <v>532</v>
      </c>
      <c r="E252" s="6">
        <v>30.7462455165</v>
      </c>
      <c r="F252" s="11">
        <v>0</v>
      </c>
      <c r="G252" s="32">
        <v>403</v>
      </c>
      <c r="H252" s="32">
        <v>0</v>
      </c>
      <c r="I252" s="31">
        <v>0</v>
      </c>
      <c r="J252" s="31">
        <v>0</v>
      </c>
    </row>
    <row r="253" spans="1:10" x14ac:dyDescent="0.25">
      <c r="A253" t="s">
        <v>153</v>
      </c>
      <c r="B253" t="s">
        <v>642</v>
      </c>
      <c r="C253" t="s">
        <v>532</v>
      </c>
      <c r="E253" s="6">
        <v>33.541132542</v>
      </c>
      <c r="F253" s="11">
        <v>0</v>
      </c>
      <c r="G253" s="32">
        <v>404</v>
      </c>
      <c r="H253" s="32">
        <v>0</v>
      </c>
      <c r="I253" s="31">
        <v>0</v>
      </c>
      <c r="J253" s="31">
        <v>25000</v>
      </c>
    </row>
    <row r="254" spans="1:10" x14ac:dyDescent="0.25">
      <c r="A254" t="s">
        <v>228</v>
      </c>
      <c r="B254" t="s">
        <v>642</v>
      </c>
      <c r="C254" t="s">
        <v>532</v>
      </c>
      <c r="E254" s="6">
        <v>28.450189002499997</v>
      </c>
      <c r="F254" s="11">
        <v>0</v>
      </c>
      <c r="G254" s="32">
        <v>405</v>
      </c>
      <c r="H254" s="32">
        <v>0</v>
      </c>
      <c r="I254" s="31">
        <v>0</v>
      </c>
      <c r="J254" s="31">
        <v>0</v>
      </c>
    </row>
    <row r="255" spans="1:10" x14ac:dyDescent="0.25">
      <c r="A255" t="s">
        <v>229</v>
      </c>
      <c r="B255" t="s">
        <v>642</v>
      </c>
      <c r="C255" t="s">
        <v>532</v>
      </c>
      <c r="E255" s="6">
        <v>27.969723560000002</v>
      </c>
      <c r="F255" s="11">
        <v>0</v>
      </c>
      <c r="G255" s="32">
        <v>406</v>
      </c>
      <c r="H255" s="32">
        <v>0</v>
      </c>
      <c r="I255" s="31">
        <v>0</v>
      </c>
      <c r="J255" s="31">
        <v>0</v>
      </c>
    </row>
    <row r="256" spans="1:10" x14ac:dyDescent="0.25">
      <c r="A256" t="s">
        <v>225</v>
      </c>
      <c r="B256" t="s">
        <v>642</v>
      </c>
      <c r="C256" t="s">
        <v>533</v>
      </c>
      <c r="E256" s="6">
        <v>57.440500485999998</v>
      </c>
      <c r="F256" s="11">
        <v>0</v>
      </c>
      <c r="G256" s="32">
        <v>407</v>
      </c>
      <c r="H256" s="32">
        <v>0</v>
      </c>
      <c r="I256" s="31">
        <v>0</v>
      </c>
      <c r="J256" s="31">
        <v>0</v>
      </c>
    </row>
    <row r="257" spans="1:10" x14ac:dyDescent="0.25">
      <c r="A257" t="s">
        <v>220</v>
      </c>
      <c r="B257" t="s">
        <v>642</v>
      </c>
      <c r="C257" t="s">
        <v>535</v>
      </c>
      <c r="E257" s="6">
        <v>65.128360788999998</v>
      </c>
      <c r="F257" s="11">
        <v>0</v>
      </c>
      <c r="G257" s="32">
        <v>413</v>
      </c>
      <c r="H257" s="32">
        <v>0</v>
      </c>
      <c r="I257" s="31">
        <v>0</v>
      </c>
      <c r="J257" s="31">
        <v>20000</v>
      </c>
    </row>
    <row r="258" spans="1:10" x14ac:dyDescent="0.25">
      <c r="A258" t="s">
        <v>154</v>
      </c>
      <c r="B258" t="s">
        <v>642</v>
      </c>
      <c r="C258" t="s">
        <v>535</v>
      </c>
      <c r="E258" s="6">
        <v>58.647361485000005</v>
      </c>
      <c r="F258" s="11">
        <v>0</v>
      </c>
      <c r="G258" s="32">
        <v>416</v>
      </c>
      <c r="H258" s="32">
        <v>0</v>
      </c>
      <c r="I258" s="31">
        <v>0</v>
      </c>
      <c r="J258" s="31">
        <v>15000</v>
      </c>
    </row>
    <row r="259" spans="1:10" x14ac:dyDescent="0.25">
      <c r="A259" t="s">
        <v>222</v>
      </c>
      <c r="B259" t="s">
        <v>642</v>
      </c>
      <c r="C259" t="s">
        <v>535</v>
      </c>
      <c r="E259" s="6">
        <v>63.650862617000001</v>
      </c>
      <c r="F259" s="11">
        <v>0</v>
      </c>
      <c r="G259" s="32">
        <v>417</v>
      </c>
      <c r="H259" s="32">
        <v>0</v>
      </c>
      <c r="I259" s="31">
        <v>0</v>
      </c>
      <c r="J259" s="31">
        <v>0</v>
      </c>
    </row>
    <row r="260" spans="1:10" x14ac:dyDescent="0.25">
      <c r="A260" t="s">
        <v>253</v>
      </c>
      <c r="B260" t="s">
        <v>642</v>
      </c>
      <c r="C260" t="s">
        <v>535</v>
      </c>
      <c r="E260" s="6">
        <v>65.741750295000003</v>
      </c>
      <c r="F260" s="11">
        <v>0</v>
      </c>
      <c r="G260" s="32">
        <v>418</v>
      </c>
      <c r="H260" s="32">
        <v>0</v>
      </c>
      <c r="I260" s="31">
        <v>0</v>
      </c>
      <c r="J260" s="31">
        <v>0</v>
      </c>
    </row>
    <row r="261" spans="1:10" x14ac:dyDescent="0.25">
      <c r="A261" t="s">
        <v>238</v>
      </c>
      <c r="B261" t="s">
        <v>642</v>
      </c>
      <c r="C261" t="s">
        <v>535</v>
      </c>
      <c r="E261" s="6">
        <v>63.446223998000001</v>
      </c>
      <c r="F261" s="11">
        <v>0</v>
      </c>
      <c r="G261" s="32">
        <v>419</v>
      </c>
      <c r="H261" s="32">
        <v>0</v>
      </c>
      <c r="I261" s="31">
        <v>0</v>
      </c>
      <c r="J261" s="31">
        <v>0</v>
      </c>
    </row>
    <row r="262" spans="1:10" x14ac:dyDescent="0.25">
      <c r="A262" t="s">
        <v>186</v>
      </c>
      <c r="B262" t="s">
        <v>642</v>
      </c>
      <c r="C262" t="s">
        <v>533</v>
      </c>
      <c r="E262" s="6">
        <v>55.940296406000002</v>
      </c>
      <c r="F262" s="11">
        <v>0</v>
      </c>
      <c r="G262" s="32">
        <v>420</v>
      </c>
      <c r="H262" s="32">
        <v>0</v>
      </c>
      <c r="I262" s="31">
        <v>0</v>
      </c>
      <c r="J262" s="31">
        <v>7500</v>
      </c>
    </row>
    <row r="263" spans="1:10" x14ac:dyDescent="0.25">
      <c r="A263" t="s">
        <v>213</v>
      </c>
      <c r="B263" t="s">
        <v>642</v>
      </c>
      <c r="C263" t="s">
        <v>533</v>
      </c>
      <c r="E263" s="6">
        <v>55.152565664000001</v>
      </c>
      <c r="F263" s="11">
        <v>0</v>
      </c>
      <c r="G263" s="32">
        <v>422</v>
      </c>
      <c r="H263" s="32">
        <v>0</v>
      </c>
      <c r="I263" s="31">
        <v>0</v>
      </c>
      <c r="J263" s="31">
        <v>0</v>
      </c>
    </row>
    <row r="264" spans="1:10" x14ac:dyDescent="0.25">
      <c r="A264" t="s">
        <v>9</v>
      </c>
      <c r="B264" t="s">
        <v>534</v>
      </c>
      <c r="C264" t="s">
        <v>534</v>
      </c>
      <c r="D264" t="s">
        <v>561</v>
      </c>
      <c r="E264" s="6">
        <v>175.88022288600007</v>
      </c>
      <c r="F264" s="11">
        <v>-24.731688759999962</v>
      </c>
      <c r="G264" s="32">
        <v>423</v>
      </c>
      <c r="H264" s="32">
        <v>0</v>
      </c>
      <c r="I264" s="31">
        <v>0</v>
      </c>
      <c r="J264" s="31">
        <v>0</v>
      </c>
    </row>
    <row r="265" spans="1:10" x14ac:dyDescent="0.25">
      <c r="A265" t="s">
        <v>235</v>
      </c>
      <c r="B265" t="s">
        <v>534</v>
      </c>
      <c r="C265" t="s">
        <v>534</v>
      </c>
      <c r="E265" s="6">
        <v>74.22924089</v>
      </c>
      <c r="F265" s="11">
        <v>0</v>
      </c>
      <c r="G265" s="32">
        <v>431</v>
      </c>
      <c r="H265" s="32">
        <v>0</v>
      </c>
      <c r="I265" s="31">
        <v>15000</v>
      </c>
      <c r="J265" s="31">
        <v>0</v>
      </c>
    </row>
    <row r="266" spans="1:10" x14ac:dyDescent="0.25">
      <c r="A266" t="s">
        <v>352</v>
      </c>
      <c r="B266" t="s">
        <v>642</v>
      </c>
      <c r="C266" t="s">
        <v>532</v>
      </c>
      <c r="E266" s="6">
        <v>28.428640303500003</v>
      </c>
      <c r="F266" s="11">
        <v>0</v>
      </c>
      <c r="G266" s="32">
        <v>432</v>
      </c>
      <c r="H266" s="32">
        <v>0</v>
      </c>
      <c r="I266" s="31">
        <v>0</v>
      </c>
      <c r="J266" s="31">
        <v>0</v>
      </c>
    </row>
    <row r="267" spans="1:10" x14ac:dyDescent="0.25">
      <c r="A267" t="s">
        <v>217</v>
      </c>
      <c r="B267" t="s">
        <v>642</v>
      </c>
      <c r="C267" t="s">
        <v>532</v>
      </c>
      <c r="E267" s="6">
        <v>25.315690496999999</v>
      </c>
      <c r="F267" s="11">
        <v>0</v>
      </c>
      <c r="G267" s="32">
        <v>433</v>
      </c>
      <c r="H267" s="32">
        <v>0</v>
      </c>
      <c r="I267" s="31">
        <v>0</v>
      </c>
      <c r="J267" s="31">
        <v>0</v>
      </c>
    </row>
    <row r="268" spans="1:10" x14ac:dyDescent="0.25">
      <c r="A268" t="s">
        <v>232</v>
      </c>
      <c r="B268" t="s">
        <v>642</v>
      </c>
      <c r="C268" t="s">
        <v>532</v>
      </c>
      <c r="E268" s="6">
        <v>22.849622746000001</v>
      </c>
      <c r="F268" s="11">
        <v>0</v>
      </c>
      <c r="G268" s="32">
        <v>434</v>
      </c>
      <c r="H268" s="32">
        <v>0</v>
      </c>
      <c r="I268" s="31">
        <v>0</v>
      </c>
      <c r="J268" s="31">
        <v>0</v>
      </c>
    </row>
    <row r="269" spans="1:10" x14ac:dyDescent="0.25">
      <c r="A269" t="s">
        <v>450</v>
      </c>
      <c r="B269" t="s">
        <v>642</v>
      </c>
      <c r="C269" t="s">
        <v>532</v>
      </c>
      <c r="E269" s="6">
        <v>22.102322688499999</v>
      </c>
      <c r="F269" s="11">
        <v>0</v>
      </c>
      <c r="G269" s="32">
        <v>436</v>
      </c>
      <c r="H269" s="32">
        <v>0</v>
      </c>
      <c r="I269" s="31">
        <v>0</v>
      </c>
      <c r="J269" s="31">
        <v>0</v>
      </c>
    </row>
    <row r="270" spans="1:10" x14ac:dyDescent="0.25">
      <c r="A270" t="s">
        <v>233</v>
      </c>
      <c r="B270" t="s">
        <v>642</v>
      </c>
      <c r="C270" t="s">
        <v>532</v>
      </c>
      <c r="E270" s="6">
        <v>23.796461644500003</v>
      </c>
      <c r="F270" s="11">
        <v>0</v>
      </c>
      <c r="G270" s="32">
        <v>437</v>
      </c>
      <c r="H270" s="32">
        <v>0</v>
      </c>
      <c r="I270" s="31">
        <v>0</v>
      </c>
      <c r="J270" s="31">
        <v>30000</v>
      </c>
    </row>
    <row r="271" spans="1:10" x14ac:dyDescent="0.25">
      <c r="A271" t="s">
        <v>219</v>
      </c>
      <c r="B271" t="s">
        <v>642</v>
      </c>
      <c r="C271" t="s">
        <v>532</v>
      </c>
      <c r="E271" s="6">
        <v>24.827594215000001</v>
      </c>
      <c r="F271" s="11">
        <v>0</v>
      </c>
      <c r="G271" s="32">
        <v>438</v>
      </c>
      <c r="H271" s="32">
        <v>0</v>
      </c>
      <c r="I271" s="31">
        <v>0</v>
      </c>
      <c r="J271" s="31">
        <v>15000</v>
      </c>
    </row>
    <row r="272" spans="1:10" x14ac:dyDescent="0.25">
      <c r="A272" t="s">
        <v>244</v>
      </c>
      <c r="B272" t="s">
        <v>642</v>
      </c>
      <c r="C272" t="s">
        <v>532</v>
      </c>
      <c r="E272" s="6">
        <v>22.858187965500001</v>
      </c>
      <c r="F272" s="11">
        <v>0</v>
      </c>
      <c r="G272" s="32">
        <v>439</v>
      </c>
      <c r="H272" s="32">
        <v>0</v>
      </c>
      <c r="I272" s="31">
        <v>0</v>
      </c>
      <c r="J272" s="31">
        <v>0</v>
      </c>
    </row>
    <row r="273" spans="1:10" x14ac:dyDescent="0.25">
      <c r="A273" t="s">
        <v>221</v>
      </c>
      <c r="B273" t="s">
        <v>642</v>
      </c>
      <c r="C273" t="s">
        <v>535</v>
      </c>
      <c r="E273" s="6">
        <v>51.581885976300001</v>
      </c>
      <c r="F273" s="11">
        <v>0</v>
      </c>
      <c r="G273" s="32">
        <v>442</v>
      </c>
      <c r="H273" s="32">
        <v>0</v>
      </c>
      <c r="I273" s="31">
        <v>0</v>
      </c>
      <c r="J273" s="31">
        <v>0</v>
      </c>
    </row>
    <row r="274" spans="1:10" x14ac:dyDescent="0.25">
      <c r="A274" t="s">
        <v>223</v>
      </c>
      <c r="B274" t="s">
        <v>642</v>
      </c>
      <c r="C274" t="s">
        <v>535</v>
      </c>
      <c r="E274" s="6">
        <v>56.072773759000007</v>
      </c>
      <c r="F274" s="11">
        <v>0</v>
      </c>
      <c r="G274" s="32">
        <v>443</v>
      </c>
      <c r="H274" s="32">
        <v>0</v>
      </c>
      <c r="I274" s="31">
        <v>0</v>
      </c>
      <c r="J274" s="31">
        <v>0</v>
      </c>
    </row>
    <row r="275" spans="1:10" x14ac:dyDescent="0.25">
      <c r="A275" t="s">
        <v>237</v>
      </c>
      <c r="B275" t="s">
        <v>642</v>
      </c>
      <c r="C275" t="s">
        <v>535</v>
      </c>
      <c r="E275" s="6">
        <v>58.502284582000001</v>
      </c>
      <c r="F275" s="11">
        <v>0</v>
      </c>
      <c r="G275" s="32">
        <v>444</v>
      </c>
      <c r="H275" s="32">
        <v>0</v>
      </c>
      <c r="I275" s="31">
        <v>0</v>
      </c>
      <c r="J275" s="31">
        <v>0</v>
      </c>
    </row>
    <row r="276" spans="1:10" x14ac:dyDescent="0.25">
      <c r="A276" t="s">
        <v>239</v>
      </c>
      <c r="B276" t="s">
        <v>642</v>
      </c>
      <c r="C276" t="s">
        <v>535</v>
      </c>
      <c r="E276" s="6">
        <v>49.547240516000002</v>
      </c>
      <c r="F276" s="11">
        <v>0</v>
      </c>
      <c r="G276" s="32">
        <v>446</v>
      </c>
      <c r="H276" s="32">
        <v>0</v>
      </c>
      <c r="I276" s="31">
        <v>50000</v>
      </c>
      <c r="J276" s="31">
        <v>0</v>
      </c>
    </row>
    <row r="277" spans="1:10" x14ac:dyDescent="0.25">
      <c r="A277" t="s">
        <v>454</v>
      </c>
      <c r="B277" t="s">
        <v>534</v>
      </c>
      <c r="C277" t="s">
        <v>534</v>
      </c>
      <c r="E277" s="6">
        <v>31.961873732000001</v>
      </c>
      <c r="F277" s="11">
        <v>0</v>
      </c>
      <c r="G277" s="32">
        <v>450</v>
      </c>
      <c r="H277" s="32">
        <v>0</v>
      </c>
      <c r="I277" s="31">
        <v>20000</v>
      </c>
      <c r="J277" s="31">
        <v>10000</v>
      </c>
    </row>
    <row r="278" spans="1:10" x14ac:dyDescent="0.25">
      <c r="A278" t="s">
        <v>240</v>
      </c>
      <c r="B278" t="s">
        <v>534</v>
      </c>
      <c r="C278" t="s">
        <v>534</v>
      </c>
      <c r="E278" s="6">
        <v>50.013233767999999</v>
      </c>
      <c r="F278" s="11">
        <v>0</v>
      </c>
      <c r="G278" s="32">
        <v>452</v>
      </c>
      <c r="H278" s="32">
        <v>0</v>
      </c>
      <c r="I278" s="31">
        <v>20000</v>
      </c>
      <c r="J278" s="31">
        <v>0</v>
      </c>
    </row>
    <row r="279" spans="1:10" x14ac:dyDescent="0.25">
      <c r="A279" t="s">
        <v>246</v>
      </c>
      <c r="B279" t="s">
        <v>642</v>
      </c>
      <c r="C279" t="s">
        <v>532</v>
      </c>
      <c r="E279" s="6">
        <v>20.057210965000003</v>
      </c>
      <c r="F279" s="11">
        <v>0</v>
      </c>
      <c r="G279" s="32">
        <v>457</v>
      </c>
      <c r="H279" s="32">
        <v>0</v>
      </c>
      <c r="I279" s="31">
        <v>0</v>
      </c>
      <c r="J279" s="31">
        <v>25000</v>
      </c>
    </row>
    <row r="280" spans="1:10" x14ac:dyDescent="0.25">
      <c r="A280" t="s">
        <v>353</v>
      </c>
      <c r="B280" t="s">
        <v>642</v>
      </c>
      <c r="C280" t="s">
        <v>532</v>
      </c>
      <c r="E280" s="6">
        <v>22.033982632500003</v>
      </c>
      <c r="F280" s="11">
        <v>0</v>
      </c>
      <c r="G280" s="32">
        <v>458</v>
      </c>
      <c r="H280" s="32">
        <v>0</v>
      </c>
      <c r="I280" s="31">
        <v>0</v>
      </c>
      <c r="J280" s="31">
        <v>0</v>
      </c>
    </row>
    <row r="281" spans="1:10" x14ac:dyDescent="0.25">
      <c r="A281" t="s">
        <v>329</v>
      </c>
      <c r="B281" t="s">
        <v>642</v>
      </c>
      <c r="C281" t="s">
        <v>532</v>
      </c>
      <c r="E281" s="6">
        <v>21.611204160500002</v>
      </c>
      <c r="F281" s="11">
        <v>0</v>
      </c>
      <c r="G281" s="32">
        <v>459</v>
      </c>
      <c r="H281" s="32">
        <v>0</v>
      </c>
      <c r="I281" s="31">
        <v>0</v>
      </c>
      <c r="J281" s="31">
        <v>0</v>
      </c>
    </row>
    <row r="282" spans="1:10" x14ac:dyDescent="0.25">
      <c r="A282" t="s">
        <v>247</v>
      </c>
      <c r="B282" t="s">
        <v>642</v>
      </c>
      <c r="C282" t="s">
        <v>535</v>
      </c>
      <c r="E282" s="6">
        <v>41.89346862</v>
      </c>
      <c r="F282" s="11">
        <v>0</v>
      </c>
      <c r="G282" s="32">
        <v>460</v>
      </c>
      <c r="H282" s="32">
        <v>0</v>
      </c>
      <c r="I282" s="31">
        <v>0</v>
      </c>
      <c r="J282" s="31">
        <v>0</v>
      </c>
    </row>
    <row r="283" spans="1:10" x14ac:dyDescent="0.25">
      <c r="A283" t="s">
        <v>248</v>
      </c>
      <c r="B283" t="s">
        <v>642</v>
      </c>
      <c r="C283" t="s">
        <v>535</v>
      </c>
      <c r="E283" s="6">
        <v>55.711558195999999</v>
      </c>
      <c r="F283" s="11">
        <v>0</v>
      </c>
      <c r="G283" s="32">
        <v>461</v>
      </c>
      <c r="H283" s="32">
        <v>0</v>
      </c>
      <c r="I283" s="31">
        <v>30000</v>
      </c>
      <c r="J283" s="31">
        <v>0</v>
      </c>
    </row>
    <row r="284" spans="1:10" x14ac:dyDescent="0.25">
      <c r="A284" t="s">
        <v>249</v>
      </c>
      <c r="B284" t="s">
        <v>642</v>
      </c>
      <c r="C284" t="s">
        <v>535</v>
      </c>
      <c r="E284" s="6">
        <v>56.931494143000002</v>
      </c>
      <c r="F284" s="11">
        <v>0</v>
      </c>
      <c r="G284" s="32">
        <v>465</v>
      </c>
      <c r="H284" s="32">
        <v>0</v>
      </c>
      <c r="I284" s="31">
        <v>0</v>
      </c>
      <c r="J284" s="31">
        <v>0</v>
      </c>
    </row>
    <row r="285" spans="1:10" x14ac:dyDescent="0.25">
      <c r="A285" t="s">
        <v>252</v>
      </c>
      <c r="B285" t="s">
        <v>642</v>
      </c>
      <c r="C285" t="s">
        <v>535</v>
      </c>
      <c r="E285" s="6">
        <v>53.563865741000001</v>
      </c>
      <c r="F285" s="11">
        <v>0</v>
      </c>
      <c r="G285" s="32">
        <v>466</v>
      </c>
      <c r="H285" s="32">
        <v>0</v>
      </c>
      <c r="I285" s="31">
        <v>0</v>
      </c>
      <c r="J285" s="31">
        <v>0</v>
      </c>
    </row>
    <row r="286" spans="1:10" x14ac:dyDescent="0.25">
      <c r="A286" t="s">
        <v>250</v>
      </c>
      <c r="B286" t="s">
        <v>642</v>
      </c>
      <c r="C286" t="s">
        <v>535</v>
      </c>
      <c r="E286" s="6">
        <v>50.388232724000005</v>
      </c>
      <c r="F286" s="11">
        <v>0</v>
      </c>
      <c r="G286" s="32">
        <v>467</v>
      </c>
      <c r="H286" s="32">
        <v>0</v>
      </c>
      <c r="I286" s="31">
        <v>0</v>
      </c>
      <c r="J286" s="31">
        <v>0</v>
      </c>
    </row>
    <row r="287" spans="1:10" x14ac:dyDescent="0.25">
      <c r="A287" t="s">
        <v>251</v>
      </c>
      <c r="B287" t="s">
        <v>642</v>
      </c>
      <c r="C287" t="s">
        <v>535</v>
      </c>
      <c r="E287" s="6">
        <v>45.768314601</v>
      </c>
      <c r="F287" s="11">
        <v>0</v>
      </c>
      <c r="G287" s="32">
        <v>468</v>
      </c>
      <c r="H287" s="32">
        <v>0</v>
      </c>
      <c r="I287" s="31">
        <v>0</v>
      </c>
      <c r="J287" s="31">
        <v>0</v>
      </c>
    </row>
    <row r="288" spans="1:10" x14ac:dyDescent="0.25">
      <c r="A288" t="s">
        <v>236</v>
      </c>
      <c r="B288" t="s">
        <v>642</v>
      </c>
      <c r="C288" t="s">
        <v>535</v>
      </c>
      <c r="E288" s="6">
        <v>34.040646727999999</v>
      </c>
      <c r="F288" s="11">
        <v>0</v>
      </c>
      <c r="G288" s="32">
        <v>469</v>
      </c>
      <c r="H288" s="32">
        <v>0</v>
      </c>
      <c r="I288" s="31">
        <v>0</v>
      </c>
      <c r="J288" s="31">
        <v>0</v>
      </c>
    </row>
    <row r="289" spans="1:10" x14ac:dyDescent="0.25">
      <c r="A289" t="s">
        <v>254</v>
      </c>
      <c r="B289" t="s">
        <v>642</v>
      </c>
      <c r="C289" t="s">
        <v>535</v>
      </c>
      <c r="E289" s="6">
        <v>44.414571174000002</v>
      </c>
      <c r="F289" s="11">
        <v>0</v>
      </c>
      <c r="G289" s="32">
        <v>470</v>
      </c>
      <c r="H289" s="32">
        <v>0</v>
      </c>
      <c r="I289" s="31">
        <v>0</v>
      </c>
      <c r="J289" s="31">
        <v>0</v>
      </c>
    </row>
    <row r="290" spans="1:10" x14ac:dyDescent="0.25">
      <c r="A290" t="s">
        <v>256</v>
      </c>
      <c r="B290" t="s">
        <v>642</v>
      </c>
      <c r="C290" t="s">
        <v>535</v>
      </c>
      <c r="E290" s="6">
        <v>36.677414402000004</v>
      </c>
      <c r="F290" s="11">
        <v>0</v>
      </c>
      <c r="G290" s="32">
        <v>471</v>
      </c>
      <c r="H290" s="32">
        <v>0</v>
      </c>
      <c r="I290" s="31">
        <v>0</v>
      </c>
      <c r="J290" s="31">
        <v>30000</v>
      </c>
    </row>
    <row r="291" spans="1:10" x14ac:dyDescent="0.25">
      <c r="A291" t="s">
        <v>291</v>
      </c>
      <c r="B291" t="s">
        <v>642</v>
      </c>
      <c r="C291" t="s">
        <v>535</v>
      </c>
      <c r="E291" s="6">
        <v>43.205830621000004</v>
      </c>
      <c r="F291" s="11">
        <v>0</v>
      </c>
      <c r="G291" s="32">
        <v>472</v>
      </c>
      <c r="H291" s="32">
        <v>0</v>
      </c>
      <c r="I291" s="31">
        <v>0</v>
      </c>
      <c r="J291" s="31">
        <v>0</v>
      </c>
    </row>
    <row r="292" spans="1:10" x14ac:dyDescent="0.25">
      <c r="A292" t="s">
        <v>258</v>
      </c>
      <c r="B292" t="s">
        <v>642</v>
      </c>
      <c r="C292" t="s">
        <v>535</v>
      </c>
      <c r="E292" s="6">
        <v>37.181013950000001</v>
      </c>
      <c r="F292" s="11">
        <v>0</v>
      </c>
      <c r="G292" s="32">
        <v>473</v>
      </c>
      <c r="H292" s="32">
        <v>0</v>
      </c>
      <c r="I292" s="31">
        <v>0</v>
      </c>
      <c r="J292" s="31">
        <v>0</v>
      </c>
    </row>
    <row r="293" spans="1:10" x14ac:dyDescent="0.25">
      <c r="A293" t="s">
        <v>257</v>
      </c>
      <c r="B293" t="s">
        <v>642</v>
      </c>
      <c r="C293" t="s">
        <v>535</v>
      </c>
      <c r="E293" s="6">
        <v>36.921342546000005</v>
      </c>
      <c r="F293" s="11">
        <v>0</v>
      </c>
      <c r="G293" s="32">
        <v>474</v>
      </c>
      <c r="H293" s="32">
        <v>0</v>
      </c>
      <c r="I293" s="31">
        <v>0</v>
      </c>
      <c r="J293" s="31">
        <v>0</v>
      </c>
    </row>
    <row r="294" spans="1:10" x14ac:dyDescent="0.25">
      <c r="A294" t="s">
        <v>265</v>
      </c>
      <c r="B294" t="s">
        <v>534</v>
      </c>
      <c r="C294" t="s">
        <v>534</v>
      </c>
      <c r="E294" s="6">
        <v>33.4110327924</v>
      </c>
      <c r="F294" s="11">
        <v>0</v>
      </c>
      <c r="G294" s="32">
        <v>483</v>
      </c>
      <c r="H294" s="32">
        <v>0</v>
      </c>
      <c r="I294" s="31">
        <v>25000</v>
      </c>
      <c r="J294" s="31">
        <v>0</v>
      </c>
    </row>
    <row r="295" spans="1:10" x14ac:dyDescent="0.25">
      <c r="A295" t="s">
        <v>266</v>
      </c>
      <c r="B295" t="s">
        <v>534</v>
      </c>
      <c r="C295" t="s">
        <v>534</v>
      </c>
      <c r="E295" s="6">
        <v>32.489901668000002</v>
      </c>
      <c r="F295" s="11">
        <v>0</v>
      </c>
      <c r="G295" s="32">
        <v>484</v>
      </c>
      <c r="H295" s="32">
        <v>0</v>
      </c>
      <c r="I295" s="31">
        <v>25000</v>
      </c>
      <c r="J295" s="31">
        <v>0</v>
      </c>
    </row>
    <row r="296" spans="1:10" x14ac:dyDescent="0.25">
      <c r="A296" t="s">
        <v>269</v>
      </c>
      <c r="B296" t="s">
        <v>642</v>
      </c>
      <c r="C296" t="s">
        <v>533</v>
      </c>
      <c r="E296" s="6">
        <v>54.332631175000003</v>
      </c>
      <c r="F296" s="11">
        <v>0</v>
      </c>
      <c r="G296" s="32">
        <v>980</v>
      </c>
      <c r="H296" s="32">
        <v>0</v>
      </c>
      <c r="I296" s="31">
        <v>0</v>
      </c>
      <c r="J296" s="31">
        <v>15000</v>
      </c>
    </row>
    <row r="297" spans="1:10" x14ac:dyDescent="0.25">
      <c r="A297" t="s">
        <v>273</v>
      </c>
      <c r="B297" t="s">
        <v>642</v>
      </c>
      <c r="C297" t="s">
        <v>533</v>
      </c>
      <c r="E297" s="6">
        <v>54.198441850000009</v>
      </c>
      <c r="F297" s="11">
        <v>0</v>
      </c>
      <c r="G297" s="32">
        <v>981</v>
      </c>
      <c r="H297" s="32">
        <v>0</v>
      </c>
      <c r="I297" s="31">
        <v>0</v>
      </c>
      <c r="J297" s="31">
        <v>0</v>
      </c>
    </row>
    <row r="298" spans="1:10" x14ac:dyDescent="0.25">
      <c r="A298" t="s">
        <v>496</v>
      </c>
      <c r="B298" t="s">
        <v>642</v>
      </c>
      <c r="C298" t="s">
        <v>533</v>
      </c>
      <c r="E298" s="6">
        <v>52.245821032999999</v>
      </c>
      <c r="F298" s="11">
        <v>0</v>
      </c>
      <c r="G298" s="32">
        <v>982</v>
      </c>
      <c r="H298" s="32">
        <v>0</v>
      </c>
      <c r="I298" s="31">
        <v>0</v>
      </c>
      <c r="J298" s="31">
        <v>0</v>
      </c>
    </row>
    <row r="299" spans="1:10" x14ac:dyDescent="0.25">
      <c r="A299" t="s">
        <v>224</v>
      </c>
      <c r="B299" t="s">
        <v>642</v>
      </c>
      <c r="C299" t="s">
        <v>533</v>
      </c>
      <c r="E299" s="6">
        <v>50.169871227000002</v>
      </c>
      <c r="F299" s="11">
        <v>0</v>
      </c>
      <c r="G299" s="32">
        <v>983</v>
      </c>
      <c r="H299" s="32">
        <v>0</v>
      </c>
      <c r="I299" s="31">
        <v>0</v>
      </c>
      <c r="J299" s="31">
        <v>0</v>
      </c>
    </row>
    <row r="300" spans="1:10" x14ac:dyDescent="0.25">
      <c r="A300" t="s">
        <v>346</v>
      </c>
      <c r="B300" t="s">
        <v>642</v>
      </c>
      <c r="C300" t="s">
        <v>533</v>
      </c>
      <c r="E300" s="6">
        <v>47.356224523000002</v>
      </c>
      <c r="F300" s="11">
        <v>0</v>
      </c>
      <c r="G300" s="32">
        <v>984</v>
      </c>
      <c r="H300" s="32">
        <v>0</v>
      </c>
      <c r="I300" s="31">
        <v>0</v>
      </c>
      <c r="J300" s="31">
        <v>0</v>
      </c>
    </row>
    <row r="301" spans="1:10" x14ac:dyDescent="0.25">
      <c r="A301" t="s">
        <v>270</v>
      </c>
      <c r="B301" t="s">
        <v>642</v>
      </c>
      <c r="C301" t="s">
        <v>533</v>
      </c>
      <c r="E301" s="6">
        <v>48.495331446999998</v>
      </c>
      <c r="F301" s="11">
        <v>0</v>
      </c>
      <c r="G301" s="32">
        <v>985</v>
      </c>
      <c r="H301" s="32">
        <v>0</v>
      </c>
      <c r="I301" s="31">
        <v>0</v>
      </c>
      <c r="J301" s="31">
        <v>0</v>
      </c>
    </row>
    <row r="302" spans="1:10" x14ac:dyDescent="0.25">
      <c r="A302" t="s">
        <v>272</v>
      </c>
      <c r="B302" t="s">
        <v>642</v>
      </c>
      <c r="C302" t="s">
        <v>533</v>
      </c>
      <c r="E302" s="6">
        <v>46.367304692999994</v>
      </c>
      <c r="F302" s="11">
        <v>0</v>
      </c>
      <c r="G302" s="32">
        <v>986</v>
      </c>
      <c r="H302" s="32">
        <v>0</v>
      </c>
      <c r="I302" s="31">
        <v>25000</v>
      </c>
      <c r="J302" s="31">
        <v>0</v>
      </c>
    </row>
    <row r="303" spans="1:10" x14ac:dyDescent="0.25">
      <c r="A303" t="s">
        <v>271</v>
      </c>
      <c r="B303" t="s">
        <v>642</v>
      </c>
      <c r="C303" t="s">
        <v>533</v>
      </c>
      <c r="E303" s="6">
        <v>46.288607191000004</v>
      </c>
      <c r="F303" s="11">
        <v>0</v>
      </c>
      <c r="G303" s="32">
        <v>987</v>
      </c>
      <c r="H303" s="32">
        <v>0</v>
      </c>
      <c r="I303" s="31">
        <v>0</v>
      </c>
      <c r="J303" s="31">
        <v>0</v>
      </c>
    </row>
    <row r="304" spans="1:10" x14ac:dyDescent="0.25">
      <c r="A304" t="s">
        <v>283</v>
      </c>
      <c r="B304" t="s">
        <v>642</v>
      </c>
      <c r="C304" t="s">
        <v>533</v>
      </c>
      <c r="E304" s="6">
        <v>42.218652693000003</v>
      </c>
      <c r="F304" s="11">
        <v>0</v>
      </c>
      <c r="G304" s="32">
        <v>988</v>
      </c>
      <c r="H304" s="32">
        <v>0</v>
      </c>
      <c r="I304" s="31">
        <v>0</v>
      </c>
      <c r="J304" s="31">
        <v>0</v>
      </c>
    </row>
    <row r="305" spans="1:10" x14ac:dyDescent="0.25">
      <c r="A305" t="s">
        <v>280</v>
      </c>
      <c r="B305" t="s">
        <v>642</v>
      </c>
      <c r="C305" t="s">
        <v>533</v>
      </c>
      <c r="E305" s="6">
        <v>41.666983512000002</v>
      </c>
      <c r="F305" s="11">
        <v>0</v>
      </c>
      <c r="G305" s="32">
        <v>989</v>
      </c>
      <c r="H305" s="32">
        <v>0</v>
      </c>
      <c r="I305" s="31">
        <v>0</v>
      </c>
      <c r="J305" s="31">
        <v>0</v>
      </c>
    </row>
    <row r="306" spans="1:10" x14ac:dyDescent="0.25">
      <c r="A306" t="s">
        <v>287</v>
      </c>
      <c r="B306" t="s">
        <v>642</v>
      </c>
      <c r="C306" t="s">
        <v>533</v>
      </c>
      <c r="E306" s="6">
        <v>41.024555781000004</v>
      </c>
      <c r="F306" s="11">
        <v>0</v>
      </c>
      <c r="G306" s="32">
        <v>990</v>
      </c>
      <c r="H306" s="32">
        <v>0</v>
      </c>
      <c r="I306" s="31">
        <v>0</v>
      </c>
      <c r="J306" s="31">
        <v>0</v>
      </c>
    </row>
    <row r="307" spans="1:10" x14ac:dyDescent="0.25">
      <c r="A307" t="s">
        <v>289</v>
      </c>
      <c r="B307" t="s">
        <v>642</v>
      </c>
      <c r="C307" t="s">
        <v>533</v>
      </c>
      <c r="E307" s="6">
        <v>40.568039330000005</v>
      </c>
      <c r="F307" s="11">
        <v>0</v>
      </c>
      <c r="G307" s="32">
        <v>991</v>
      </c>
      <c r="H307" s="32">
        <v>0</v>
      </c>
      <c r="I307" s="31">
        <v>0</v>
      </c>
      <c r="J307" s="31">
        <v>0</v>
      </c>
    </row>
    <row r="308" spans="1:10" x14ac:dyDescent="0.25">
      <c r="A308" t="s">
        <v>448</v>
      </c>
      <c r="B308" t="s">
        <v>642</v>
      </c>
      <c r="C308" t="s">
        <v>533</v>
      </c>
      <c r="E308" s="6">
        <v>39.710160124000005</v>
      </c>
      <c r="F308" s="11">
        <v>0</v>
      </c>
      <c r="G308" s="32">
        <v>992</v>
      </c>
      <c r="H308" s="32">
        <v>0</v>
      </c>
      <c r="I308" s="31">
        <v>0</v>
      </c>
      <c r="J308" s="31">
        <v>0</v>
      </c>
    </row>
    <row r="309" spans="1:10" x14ac:dyDescent="0.25">
      <c r="A309" t="s">
        <v>494</v>
      </c>
      <c r="B309" t="s">
        <v>642</v>
      </c>
      <c r="C309" t="s">
        <v>533</v>
      </c>
      <c r="E309" s="6">
        <v>39.976434085999998</v>
      </c>
      <c r="F309" s="11">
        <v>0</v>
      </c>
      <c r="G309" s="32">
        <v>993</v>
      </c>
      <c r="H309" s="32">
        <v>0</v>
      </c>
      <c r="I309" s="31">
        <v>0</v>
      </c>
      <c r="J309" s="31">
        <v>0</v>
      </c>
    </row>
    <row r="310" spans="1:10" x14ac:dyDescent="0.25">
      <c r="A310" t="s">
        <v>276</v>
      </c>
      <c r="B310" t="s">
        <v>642</v>
      </c>
      <c r="C310" t="s">
        <v>533</v>
      </c>
      <c r="E310" s="6">
        <v>39.393393776000003</v>
      </c>
      <c r="F310" s="11">
        <v>0</v>
      </c>
      <c r="G310" s="32">
        <v>994</v>
      </c>
      <c r="H310" s="32">
        <v>0</v>
      </c>
      <c r="I310" s="31">
        <v>0</v>
      </c>
      <c r="J310" s="31">
        <v>0</v>
      </c>
    </row>
    <row r="311" spans="1:10" x14ac:dyDescent="0.25">
      <c r="A311" t="s">
        <v>323</v>
      </c>
      <c r="B311" t="s">
        <v>642</v>
      </c>
      <c r="C311" t="s">
        <v>533</v>
      </c>
      <c r="E311" s="6">
        <v>35.977017261</v>
      </c>
      <c r="F311" s="11">
        <v>0</v>
      </c>
      <c r="G311" s="32">
        <v>995</v>
      </c>
      <c r="H311" s="32">
        <v>0</v>
      </c>
      <c r="I311" s="31">
        <v>0</v>
      </c>
      <c r="J311" s="31">
        <v>0</v>
      </c>
    </row>
    <row r="312" spans="1:10" x14ac:dyDescent="0.25">
      <c r="A312" t="s">
        <v>305</v>
      </c>
      <c r="B312" t="s">
        <v>642</v>
      </c>
      <c r="C312" t="s">
        <v>535</v>
      </c>
      <c r="E312" s="6">
        <v>34.183230428000002</v>
      </c>
      <c r="F312" s="11">
        <v>0</v>
      </c>
      <c r="G312" s="32">
        <v>996</v>
      </c>
      <c r="H312" s="32">
        <v>0</v>
      </c>
      <c r="I312" s="31">
        <v>0</v>
      </c>
      <c r="J312" s="31">
        <v>0</v>
      </c>
    </row>
    <row r="313" spans="1:10" x14ac:dyDescent="0.25">
      <c r="A313" t="s">
        <v>255</v>
      </c>
      <c r="B313" t="s">
        <v>642</v>
      </c>
      <c r="C313" t="s">
        <v>535</v>
      </c>
      <c r="E313" s="6">
        <v>33.148584014000001</v>
      </c>
      <c r="F313" s="11">
        <v>0</v>
      </c>
      <c r="G313" s="32">
        <v>997</v>
      </c>
      <c r="H313" s="32">
        <v>0</v>
      </c>
      <c r="I313" s="31">
        <v>0</v>
      </c>
      <c r="J313" s="31">
        <v>0</v>
      </c>
    </row>
    <row r="314" spans="1:10" x14ac:dyDescent="0.25">
      <c r="A314" t="s">
        <v>282</v>
      </c>
      <c r="B314" t="s">
        <v>642</v>
      </c>
      <c r="C314" t="s">
        <v>535</v>
      </c>
      <c r="E314" s="6">
        <v>33.864415328</v>
      </c>
      <c r="F314" s="11">
        <v>0</v>
      </c>
      <c r="G314" s="32">
        <v>998</v>
      </c>
      <c r="H314" s="32">
        <v>0</v>
      </c>
      <c r="I314" s="31">
        <v>0</v>
      </c>
      <c r="J314" s="31">
        <v>0</v>
      </c>
    </row>
    <row r="315" spans="1:10" x14ac:dyDescent="0.25">
      <c r="A315" t="s">
        <v>284</v>
      </c>
      <c r="B315" t="s">
        <v>642</v>
      </c>
      <c r="C315" t="s">
        <v>535</v>
      </c>
      <c r="E315" s="6">
        <v>31.390168478000003</v>
      </c>
      <c r="F315" s="11">
        <v>0</v>
      </c>
      <c r="G315" s="32">
        <v>999</v>
      </c>
      <c r="H315" s="32">
        <v>0</v>
      </c>
      <c r="I315" s="31">
        <v>0</v>
      </c>
      <c r="J315" s="31">
        <v>0</v>
      </c>
    </row>
    <row r="316" spans="1:10" x14ac:dyDescent="0.25">
      <c r="A316" t="s">
        <v>285</v>
      </c>
      <c r="B316" t="s">
        <v>642</v>
      </c>
      <c r="C316" t="s">
        <v>535</v>
      </c>
      <c r="E316" s="6">
        <v>31.015687132</v>
      </c>
      <c r="F316" s="11">
        <v>0</v>
      </c>
      <c r="G316" s="32">
        <v>1000</v>
      </c>
      <c r="H316" s="32">
        <v>0</v>
      </c>
      <c r="I316" s="31">
        <v>0</v>
      </c>
      <c r="J316" s="31">
        <v>0</v>
      </c>
    </row>
    <row r="317" spans="1:10" x14ac:dyDescent="0.25">
      <c r="A317" t="s">
        <v>286</v>
      </c>
      <c r="B317" t="s">
        <v>642</v>
      </c>
      <c r="C317" t="s">
        <v>533</v>
      </c>
      <c r="E317" s="6">
        <v>31.465503073000001</v>
      </c>
      <c r="F317" s="11">
        <v>0</v>
      </c>
      <c r="G317" s="32">
        <v>1001</v>
      </c>
      <c r="H317" s="32">
        <v>0</v>
      </c>
      <c r="I317" s="31">
        <v>0</v>
      </c>
      <c r="J317" s="31">
        <v>0</v>
      </c>
    </row>
    <row r="318" spans="1:10" x14ac:dyDescent="0.25">
      <c r="A318" t="s">
        <v>592</v>
      </c>
      <c r="B318" t="s">
        <v>642</v>
      </c>
      <c r="C318" t="s">
        <v>533</v>
      </c>
      <c r="E318" s="6">
        <v>29.444634459</v>
      </c>
      <c r="F318" s="11">
        <v>0</v>
      </c>
      <c r="G318" s="32">
        <v>1002</v>
      </c>
      <c r="H318" s="32">
        <v>0</v>
      </c>
      <c r="I318" s="31">
        <v>0</v>
      </c>
      <c r="J318" s="31">
        <v>0</v>
      </c>
    </row>
    <row r="319" spans="1:10" x14ac:dyDescent="0.25">
      <c r="A319" t="s">
        <v>290</v>
      </c>
      <c r="B319" t="s">
        <v>642</v>
      </c>
      <c r="C319" t="s">
        <v>535</v>
      </c>
      <c r="E319" s="6">
        <v>28.591633417000001</v>
      </c>
      <c r="F319" s="11">
        <v>0</v>
      </c>
      <c r="G319" s="32">
        <v>1003</v>
      </c>
      <c r="H319" s="32">
        <v>0</v>
      </c>
      <c r="I319" s="31">
        <v>0</v>
      </c>
      <c r="J319" s="31">
        <v>0</v>
      </c>
    </row>
    <row r="320" spans="1:10" x14ac:dyDescent="0.25">
      <c r="A320" t="s">
        <v>277</v>
      </c>
      <c r="B320" t="s">
        <v>642</v>
      </c>
      <c r="C320" t="s">
        <v>533</v>
      </c>
      <c r="E320" s="6">
        <v>29.195444169000002</v>
      </c>
      <c r="F320" s="11">
        <v>0</v>
      </c>
      <c r="G320" s="32">
        <v>1004</v>
      </c>
      <c r="H320" s="32">
        <v>0</v>
      </c>
      <c r="I320" s="31">
        <v>0</v>
      </c>
      <c r="J320" s="31">
        <v>0</v>
      </c>
    </row>
    <row r="321" spans="1:10" x14ac:dyDescent="0.25">
      <c r="A321" t="s">
        <v>347</v>
      </c>
      <c r="B321" t="s">
        <v>642</v>
      </c>
      <c r="C321" t="s">
        <v>533</v>
      </c>
      <c r="E321" s="6">
        <v>26.779917726000001</v>
      </c>
      <c r="F321" s="11">
        <v>0</v>
      </c>
      <c r="G321" s="32">
        <v>1005</v>
      </c>
      <c r="H321" s="32">
        <v>0</v>
      </c>
      <c r="I321" s="31">
        <v>0</v>
      </c>
      <c r="J321" s="31">
        <v>0</v>
      </c>
    </row>
    <row r="322" spans="1:10" x14ac:dyDescent="0.25">
      <c r="A322" t="s">
        <v>322</v>
      </c>
      <c r="B322" t="s">
        <v>642</v>
      </c>
      <c r="C322" t="s">
        <v>535</v>
      </c>
      <c r="E322" s="6">
        <v>28.926492690000003</v>
      </c>
      <c r="F322" s="11">
        <v>0</v>
      </c>
      <c r="G322" s="32">
        <v>1006</v>
      </c>
      <c r="H322" s="32">
        <v>0</v>
      </c>
      <c r="I322" s="31">
        <v>0</v>
      </c>
      <c r="J322" s="31">
        <v>0</v>
      </c>
    </row>
    <row r="323" spans="1:10" x14ac:dyDescent="0.25">
      <c r="A323" t="s">
        <v>292</v>
      </c>
      <c r="B323" t="s">
        <v>642</v>
      </c>
      <c r="C323" t="s">
        <v>533</v>
      </c>
      <c r="E323" s="6">
        <v>29.041346155999999</v>
      </c>
      <c r="F323" s="11">
        <v>0</v>
      </c>
      <c r="G323" s="32">
        <v>1007</v>
      </c>
      <c r="H323" s="32">
        <v>0</v>
      </c>
      <c r="I323" s="31">
        <v>0</v>
      </c>
      <c r="J323" s="31">
        <v>0</v>
      </c>
    </row>
    <row r="324" spans="1:10" x14ac:dyDescent="0.25">
      <c r="A324" t="s">
        <v>293</v>
      </c>
      <c r="B324" t="s">
        <v>642</v>
      </c>
      <c r="C324" t="s">
        <v>535</v>
      </c>
      <c r="E324" s="6">
        <v>27.546433917999998</v>
      </c>
      <c r="F324" s="11">
        <v>0</v>
      </c>
      <c r="G324" s="32">
        <v>1008</v>
      </c>
      <c r="H324" s="32">
        <v>0</v>
      </c>
      <c r="I324" s="31">
        <v>0</v>
      </c>
      <c r="J324" s="31">
        <v>0</v>
      </c>
    </row>
    <row r="325" spans="1:10" x14ac:dyDescent="0.25">
      <c r="A325" t="s">
        <v>294</v>
      </c>
      <c r="B325" t="s">
        <v>642</v>
      </c>
      <c r="C325" t="s">
        <v>535</v>
      </c>
      <c r="E325" s="6">
        <v>27.953784986999999</v>
      </c>
      <c r="F325" s="11">
        <v>0</v>
      </c>
      <c r="G325" s="32">
        <v>1009</v>
      </c>
      <c r="H325" s="32">
        <v>0</v>
      </c>
      <c r="I325" s="31">
        <v>0</v>
      </c>
      <c r="J325" s="31">
        <v>0</v>
      </c>
    </row>
    <row r="326" spans="1:10" x14ac:dyDescent="0.25">
      <c r="A326" t="s">
        <v>312</v>
      </c>
      <c r="B326" t="s">
        <v>642</v>
      </c>
      <c r="C326" t="s">
        <v>533</v>
      </c>
      <c r="E326" s="6">
        <v>28.182244037</v>
      </c>
      <c r="F326" s="11">
        <v>0</v>
      </c>
      <c r="G326" s="32">
        <v>1010</v>
      </c>
      <c r="H326" s="32">
        <v>0</v>
      </c>
      <c r="I326" s="31">
        <v>0</v>
      </c>
      <c r="J326" s="31">
        <v>30000</v>
      </c>
    </row>
    <row r="327" spans="1:10" x14ac:dyDescent="0.25">
      <c r="A327" t="s">
        <v>278</v>
      </c>
      <c r="B327" t="s">
        <v>642</v>
      </c>
      <c r="C327" t="s">
        <v>535</v>
      </c>
      <c r="E327" s="6">
        <v>27.597410119000003</v>
      </c>
      <c r="F327" s="11">
        <v>0</v>
      </c>
      <c r="G327" s="32">
        <v>1012</v>
      </c>
      <c r="H327" s="32">
        <v>0</v>
      </c>
      <c r="I327" s="31">
        <v>0</v>
      </c>
      <c r="J327" s="31">
        <v>0</v>
      </c>
    </row>
    <row r="328" spans="1:10" x14ac:dyDescent="0.25">
      <c r="A328" t="s">
        <v>279</v>
      </c>
      <c r="B328" t="s">
        <v>642</v>
      </c>
      <c r="C328" t="s">
        <v>533</v>
      </c>
      <c r="E328" s="6">
        <v>27.908067225000003</v>
      </c>
      <c r="F328" s="11">
        <v>0</v>
      </c>
      <c r="G328" s="32">
        <v>1013</v>
      </c>
      <c r="H328" s="32">
        <v>0</v>
      </c>
      <c r="I328" s="31">
        <v>30000</v>
      </c>
      <c r="J328" s="31">
        <v>15000</v>
      </c>
    </row>
    <row r="329" spans="1:10" x14ac:dyDescent="0.25">
      <c r="A329" t="s">
        <v>296</v>
      </c>
      <c r="B329" t="s">
        <v>642</v>
      </c>
      <c r="C329" t="s">
        <v>535</v>
      </c>
      <c r="E329" s="6">
        <v>27.069365712</v>
      </c>
      <c r="F329" s="11">
        <v>0</v>
      </c>
      <c r="G329" s="32">
        <v>1014</v>
      </c>
      <c r="H329" s="32">
        <v>0</v>
      </c>
      <c r="I329" s="31">
        <v>0</v>
      </c>
      <c r="J329" s="31">
        <v>0</v>
      </c>
    </row>
    <row r="330" spans="1:10" x14ac:dyDescent="0.25">
      <c r="A330" t="s">
        <v>407</v>
      </c>
      <c r="B330" t="s">
        <v>642</v>
      </c>
      <c r="C330" t="s">
        <v>533</v>
      </c>
      <c r="E330" s="6">
        <v>26.843372003999999</v>
      </c>
      <c r="F330" s="11">
        <v>0</v>
      </c>
      <c r="G330" s="32">
        <v>1016</v>
      </c>
      <c r="H330" s="32">
        <v>0</v>
      </c>
      <c r="I330" s="31">
        <v>0</v>
      </c>
      <c r="J330" s="31">
        <v>0</v>
      </c>
    </row>
    <row r="331" spans="1:10" x14ac:dyDescent="0.25">
      <c r="A331" t="s">
        <v>389</v>
      </c>
      <c r="B331" t="s">
        <v>642</v>
      </c>
      <c r="C331" t="s">
        <v>535</v>
      </c>
      <c r="E331" s="6">
        <v>26.036678159000001</v>
      </c>
      <c r="F331" s="11">
        <v>0</v>
      </c>
      <c r="G331" s="32">
        <v>1018</v>
      </c>
      <c r="H331" s="32">
        <v>0</v>
      </c>
      <c r="I331" s="31">
        <v>0</v>
      </c>
      <c r="J331" s="31">
        <v>0</v>
      </c>
    </row>
    <row r="332" spans="1:10" x14ac:dyDescent="0.25">
      <c r="A332" t="s">
        <v>300</v>
      </c>
      <c r="B332" t="s">
        <v>642</v>
      </c>
      <c r="C332" t="s">
        <v>533</v>
      </c>
      <c r="E332" s="6">
        <v>22.870630840000004</v>
      </c>
      <c r="F332" s="11">
        <v>0</v>
      </c>
      <c r="G332" s="32">
        <v>1022</v>
      </c>
      <c r="H332" s="32">
        <v>0</v>
      </c>
      <c r="I332" s="31">
        <v>0</v>
      </c>
      <c r="J332" s="31">
        <v>0</v>
      </c>
    </row>
    <row r="333" spans="1:10" x14ac:dyDescent="0.25">
      <c r="A333" t="s">
        <v>275</v>
      </c>
      <c r="B333" t="s">
        <v>642</v>
      </c>
      <c r="C333" t="s">
        <v>533</v>
      </c>
      <c r="E333" s="6">
        <v>23.861139171999998</v>
      </c>
      <c r="F333" s="11">
        <v>0</v>
      </c>
      <c r="G333" s="32">
        <v>1023</v>
      </c>
      <c r="H333" s="32">
        <v>0</v>
      </c>
      <c r="I333" s="31">
        <v>0</v>
      </c>
      <c r="J333" s="31">
        <v>0</v>
      </c>
    </row>
    <row r="334" spans="1:10" x14ac:dyDescent="0.25">
      <c r="A334" t="s">
        <v>303</v>
      </c>
      <c r="B334" t="s">
        <v>642</v>
      </c>
      <c r="C334" t="s">
        <v>533</v>
      </c>
      <c r="E334" s="6">
        <v>24.629942321500003</v>
      </c>
      <c r="F334" s="11">
        <v>0</v>
      </c>
      <c r="G334" s="32">
        <v>1025</v>
      </c>
      <c r="H334" s="32">
        <v>0</v>
      </c>
      <c r="I334" s="31">
        <v>0</v>
      </c>
      <c r="J334" s="31">
        <v>0</v>
      </c>
    </row>
    <row r="335" spans="1:10" x14ac:dyDescent="0.25">
      <c r="A335" t="s">
        <v>306</v>
      </c>
      <c r="B335" t="s">
        <v>642</v>
      </c>
      <c r="C335" t="s">
        <v>535</v>
      </c>
      <c r="E335" s="6">
        <v>24.768558326000004</v>
      </c>
      <c r="F335" s="11">
        <v>0</v>
      </c>
      <c r="G335" s="32">
        <v>1027</v>
      </c>
      <c r="H335" s="32">
        <v>0</v>
      </c>
      <c r="I335" s="31">
        <v>0</v>
      </c>
      <c r="J335" s="31">
        <v>0</v>
      </c>
    </row>
    <row r="336" spans="1:10" x14ac:dyDescent="0.25">
      <c r="A336" t="s">
        <v>327</v>
      </c>
      <c r="B336" t="s">
        <v>642</v>
      </c>
      <c r="C336" t="s">
        <v>533</v>
      </c>
      <c r="E336" s="6">
        <v>24.752497196</v>
      </c>
      <c r="F336" s="11">
        <v>0</v>
      </c>
      <c r="G336" s="32">
        <v>1028</v>
      </c>
      <c r="H336" s="32">
        <v>0</v>
      </c>
      <c r="I336" s="31">
        <v>0</v>
      </c>
      <c r="J336" s="31">
        <v>0</v>
      </c>
    </row>
    <row r="337" spans="1:10" x14ac:dyDescent="0.25">
      <c r="A337" t="s">
        <v>307</v>
      </c>
      <c r="B337" t="s">
        <v>534</v>
      </c>
      <c r="C337" t="s">
        <v>534</v>
      </c>
      <c r="E337" s="6">
        <v>31.440366072</v>
      </c>
      <c r="F337" s="11">
        <v>0</v>
      </c>
      <c r="G337" s="32">
        <v>1029</v>
      </c>
      <c r="H337" s="32">
        <v>0</v>
      </c>
      <c r="I337" s="31">
        <v>25000</v>
      </c>
      <c r="J337" s="31">
        <v>0</v>
      </c>
    </row>
    <row r="338" spans="1:10" x14ac:dyDescent="0.25">
      <c r="A338" t="s">
        <v>435</v>
      </c>
      <c r="B338" t="s">
        <v>642</v>
      </c>
      <c r="C338" t="s">
        <v>533</v>
      </c>
      <c r="E338" s="6">
        <v>24.295268173000004</v>
      </c>
      <c r="F338" s="11">
        <v>0</v>
      </c>
      <c r="G338" s="32">
        <v>1030</v>
      </c>
      <c r="H338" s="32">
        <v>0</v>
      </c>
      <c r="I338" s="31">
        <v>0</v>
      </c>
      <c r="J338" s="31">
        <v>0</v>
      </c>
    </row>
    <row r="339" spans="1:10" x14ac:dyDescent="0.25">
      <c r="A339" t="s">
        <v>309</v>
      </c>
      <c r="B339" t="s">
        <v>642</v>
      </c>
      <c r="C339" t="s">
        <v>535</v>
      </c>
      <c r="E339" s="6">
        <v>24.332498700000002</v>
      </c>
      <c r="F339" s="11">
        <v>0</v>
      </c>
      <c r="G339" s="32">
        <v>1031</v>
      </c>
      <c r="H339" s="32">
        <v>0</v>
      </c>
      <c r="I339" s="31">
        <v>0</v>
      </c>
      <c r="J339" s="31">
        <v>0</v>
      </c>
    </row>
    <row r="340" spans="1:10" x14ac:dyDescent="0.25">
      <c r="A340" t="s">
        <v>313</v>
      </c>
      <c r="B340" t="s">
        <v>642</v>
      </c>
      <c r="C340" t="s">
        <v>535</v>
      </c>
      <c r="E340" s="6">
        <v>22.905905424</v>
      </c>
      <c r="F340" s="11">
        <v>0</v>
      </c>
      <c r="G340" s="32">
        <v>1035</v>
      </c>
      <c r="H340" s="32">
        <v>0</v>
      </c>
      <c r="I340" s="31">
        <v>0</v>
      </c>
      <c r="J340" s="31">
        <v>0</v>
      </c>
    </row>
    <row r="341" spans="1:10" x14ac:dyDescent="0.25">
      <c r="A341" t="s">
        <v>314</v>
      </c>
      <c r="B341" t="s">
        <v>642</v>
      </c>
      <c r="C341" t="s">
        <v>535</v>
      </c>
      <c r="E341" s="6">
        <v>23.004858703000004</v>
      </c>
      <c r="F341" s="11">
        <v>0</v>
      </c>
      <c r="G341" s="32">
        <v>1036</v>
      </c>
      <c r="H341" s="32">
        <v>0</v>
      </c>
      <c r="I341" s="31">
        <v>0</v>
      </c>
      <c r="J341" s="31">
        <v>0</v>
      </c>
    </row>
    <row r="342" spans="1:10" x14ac:dyDescent="0.25">
      <c r="A342" t="s">
        <v>316</v>
      </c>
      <c r="B342" t="s">
        <v>642</v>
      </c>
      <c r="C342" t="s">
        <v>535</v>
      </c>
      <c r="E342" s="6">
        <v>22.051912897000001</v>
      </c>
      <c r="F342" s="11">
        <v>0</v>
      </c>
      <c r="G342" s="32">
        <v>1038</v>
      </c>
      <c r="H342" s="32">
        <v>0</v>
      </c>
      <c r="I342" s="31">
        <v>0</v>
      </c>
      <c r="J342" s="31">
        <v>0</v>
      </c>
    </row>
    <row r="343" spans="1:10" x14ac:dyDescent="0.25">
      <c r="A343" t="s">
        <v>288</v>
      </c>
      <c r="B343" t="s">
        <v>642</v>
      </c>
      <c r="C343" t="s">
        <v>535</v>
      </c>
      <c r="E343" s="6">
        <v>23.323753432000004</v>
      </c>
      <c r="F343" s="11">
        <v>0</v>
      </c>
      <c r="G343" s="32">
        <v>1039</v>
      </c>
      <c r="H343" s="32">
        <v>0</v>
      </c>
      <c r="I343" s="31">
        <v>0</v>
      </c>
      <c r="J343" s="31">
        <v>0</v>
      </c>
    </row>
    <row r="344" spans="1:10" x14ac:dyDescent="0.25">
      <c r="A344" t="s">
        <v>317</v>
      </c>
      <c r="B344" t="s">
        <v>642</v>
      </c>
      <c r="C344" t="s">
        <v>533</v>
      </c>
      <c r="E344" s="6">
        <v>23.007703954</v>
      </c>
      <c r="F344" s="11">
        <v>0</v>
      </c>
      <c r="G344" s="32">
        <v>1040</v>
      </c>
      <c r="H344" s="32">
        <v>0</v>
      </c>
      <c r="I344" s="31">
        <v>0</v>
      </c>
      <c r="J344" s="31">
        <v>0</v>
      </c>
    </row>
    <row r="345" spans="1:10" x14ac:dyDescent="0.25">
      <c r="A345" t="s">
        <v>335</v>
      </c>
      <c r="B345" t="s">
        <v>642</v>
      </c>
      <c r="C345" t="s">
        <v>535</v>
      </c>
      <c r="E345" s="6">
        <v>22.169488638000001</v>
      </c>
      <c r="F345" s="11">
        <v>0</v>
      </c>
      <c r="G345" s="32">
        <v>1041</v>
      </c>
      <c r="H345" s="32">
        <v>0</v>
      </c>
      <c r="I345" s="31">
        <v>0</v>
      </c>
      <c r="J345" s="31">
        <v>0</v>
      </c>
    </row>
    <row r="346" spans="1:10" x14ac:dyDescent="0.25">
      <c r="A346" t="s">
        <v>318</v>
      </c>
      <c r="B346" t="s">
        <v>642</v>
      </c>
      <c r="C346" t="s">
        <v>533</v>
      </c>
      <c r="E346" s="6">
        <v>23.205606185500002</v>
      </c>
      <c r="F346" s="11">
        <v>0</v>
      </c>
      <c r="G346" s="32">
        <v>1042</v>
      </c>
      <c r="H346" s="32">
        <v>0</v>
      </c>
      <c r="I346" s="31">
        <v>0</v>
      </c>
      <c r="J346" s="31">
        <v>0</v>
      </c>
    </row>
    <row r="347" spans="1:10" x14ac:dyDescent="0.25">
      <c r="A347" t="s">
        <v>319</v>
      </c>
      <c r="B347" t="s">
        <v>642</v>
      </c>
      <c r="C347" t="s">
        <v>533</v>
      </c>
      <c r="E347" s="6">
        <v>22.969470847</v>
      </c>
      <c r="F347" s="11">
        <v>0</v>
      </c>
      <c r="G347" s="32">
        <v>1043</v>
      </c>
      <c r="H347" s="32">
        <v>0</v>
      </c>
      <c r="I347" s="31">
        <v>0</v>
      </c>
      <c r="J347" s="31">
        <v>0</v>
      </c>
    </row>
    <row r="348" spans="1:10" x14ac:dyDescent="0.25">
      <c r="A348" t="s">
        <v>337</v>
      </c>
      <c r="B348" t="s">
        <v>642</v>
      </c>
      <c r="C348" t="s">
        <v>533</v>
      </c>
      <c r="E348" s="6">
        <v>23.459346640999996</v>
      </c>
      <c r="F348" s="11">
        <v>0</v>
      </c>
      <c r="G348" s="32">
        <v>1044</v>
      </c>
      <c r="H348" s="32">
        <v>0</v>
      </c>
      <c r="I348" s="31">
        <v>0</v>
      </c>
      <c r="J348" s="31">
        <v>0</v>
      </c>
    </row>
    <row r="349" spans="1:10" x14ac:dyDescent="0.25">
      <c r="A349" t="s">
        <v>320</v>
      </c>
      <c r="B349" t="s">
        <v>642</v>
      </c>
      <c r="C349" t="s">
        <v>535</v>
      </c>
      <c r="E349" s="6">
        <v>21.721956513999999</v>
      </c>
      <c r="F349" s="11">
        <v>0</v>
      </c>
      <c r="G349" s="32">
        <v>1045</v>
      </c>
      <c r="H349" s="32">
        <v>0</v>
      </c>
      <c r="I349" s="31">
        <v>0</v>
      </c>
      <c r="J349" s="31">
        <v>0</v>
      </c>
    </row>
    <row r="350" spans="1:10" x14ac:dyDescent="0.25">
      <c r="A350" t="s">
        <v>321</v>
      </c>
      <c r="B350" t="s">
        <v>642</v>
      </c>
      <c r="C350" t="s">
        <v>533</v>
      </c>
      <c r="E350" s="6">
        <v>22.596958737500003</v>
      </c>
      <c r="F350" s="11">
        <v>0</v>
      </c>
      <c r="G350" s="32">
        <v>1046</v>
      </c>
      <c r="H350" s="32">
        <v>0</v>
      </c>
      <c r="I350" s="31">
        <v>0</v>
      </c>
      <c r="J350" s="31">
        <v>0</v>
      </c>
    </row>
    <row r="351" spans="1:10" x14ac:dyDescent="0.25">
      <c r="A351" t="s">
        <v>338</v>
      </c>
      <c r="B351" t="s">
        <v>642</v>
      </c>
      <c r="C351" t="s">
        <v>535</v>
      </c>
      <c r="E351" s="6">
        <v>21.703918401999999</v>
      </c>
      <c r="F351" s="11">
        <v>0</v>
      </c>
      <c r="G351" s="32">
        <v>1048</v>
      </c>
      <c r="H351" s="32">
        <v>0</v>
      </c>
      <c r="I351" s="31">
        <v>0</v>
      </c>
      <c r="J351" s="31">
        <v>0</v>
      </c>
    </row>
    <row r="352" spans="1:10" x14ac:dyDescent="0.25">
      <c r="A352" t="s">
        <v>324</v>
      </c>
      <c r="B352" t="s">
        <v>642</v>
      </c>
      <c r="C352" t="s">
        <v>533</v>
      </c>
      <c r="E352" s="6">
        <v>21.167208980000002</v>
      </c>
      <c r="F352" s="11">
        <v>0</v>
      </c>
      <c r="G352" s="32">
        <v>1049</v>
      </c>
      <c r="H352" s="32">
        <v>0</v>
      </c>
      <c r="I352" s="31">
        <v>0</v>
      </c>
      <c r="J352" s="31">
        <v>0</v>
      </c>
    </row>
    <row r="353" spans="1:10" x14ac:dyDescent="0.25">
      <c r="A353" t="s">
        <v>342</v>
      </c>
      <c r="B353" t="s">
        <v>642</v>
      </c>
      <c r="C353" t="s">
        <v>535</v>
      </c>
      <c r="E353" s="6">
        <v>20.605951241</v>
      </c>
      <c r="F353" s="11">
        <v>0</v>
      </c>
      <c r="G353" s="32">
        <v>1050</v>
      </c>
      <c r="H353" s="32">
        <v>0</v>
      </c>
      <c r="I353" s="31">
        <v>0</v>
      </c>
      <c r="J353" s="31">
        <v>0</v>
      </c>
    </row>
    <row r="354" spans="1:10" x14ac:dyDescent="0.25">
      <c r="A354" t="s">
        <v>445</v>
      </c>
      <c r="B354" t="s">
        <v>642</v>
      </c>
      <c r="C354" t="s">
        <v>533</v>
      </c>
      <c r="E354" s="6">
        <v>20.403023990499999</v>
      </c>
      <c r="F354" s="11">
        <v>0</v>
      </c>
      <c r="G354" s="32">
        <v>1051</v>
      </c>
      <c r="H354" s="32">
        <v>0</v>
      </c>
      <c r="I354" s="31">
        <v>0</v>
      </c>
      <c r="J354" s="31">
        <v>0</v>
      </c>
    </row>
    <row r="355" spans="1:10" x14ac:dyDescent="0.25">
      <c r="A355" t="s">
        <v>325</v>
      </c>
      <c r="B355" t="s">
        <v>642</v>
      </c>
      <c r="C355" t="s">
        <v>533</v>
      </c>
      <c r="E355" s="6">
        <v>20.382558375000002</v>
      </c>
      <c r="F355" s="11">
        <v>0</v>
      </c>
      <c r="G355" s="32">
        <v>1052</v>
      </c>
      <c r="H355" s="32">
        <v>0</v>
      </c>
      <c r="I355" s="31">
        <v>0</v>
      </c>
      <c r="J355" s="31">
        <v>25000</v>
      </c>
    </row>
    <row r="356" spans="1:10" x14ac:dyDescent="0.25">
      <c r="A356" t="s">
        <v>326</v>
      </c>
      <c r="B356" t="s">
        <v>642</v>
      </c>
      <c r="C356" t="s">
        <v>532</v>
      </c>
      <c r="E356" s="6">
        <v>18.730620120000001</v>
      </c>
      <c r="F356" s="11">
        <v>0</v>
      </c>
      <c r="G356" s="32">
        <v>1053</v>
      </c>
      <c r="H356" s="32">
        <v>0</v>
      </c>
      <c r="I356" s="31">
        <v>0</v>
      </c>
      <c r="J356" s="31">
        <v>0</v>
      </c>
    </row>
    <row r="357" spans="1:10" x14ac:dyDescent="0.25">
      <c r="A357" t="s">
        <v>328</v>
      </c>
      <c r="B357" t="s">
        <v>642</v>
      </c>
      <c r="C357" t="s">
        <v>535</v>
      </c>
      <c r="E357" s="6">
        <v>19.466942612</v>
      </c>
      <c r="F357" s="11">
        <v>0</v>
      </c>
      <c r="G357" s="32">
        <v>1054</v>
      </c>
      <c r="H357" s="32">
        <v>0</v>
      </c>
      <c r="I357" s="31">
        <v>0</v>
      </c>
      <c r="J357" s="31">
        <v>0</v>
      </c>
    </row>
    <row r="358" spans="1:10" x14ac:dyDescent="0.25">
      <c r="A358" t="s">
        <v>330</v>
      </c>
      <c r="B358" t="s">
        <v>642</v>
      </c>
      <c r="C358" t="s">
        <v>535</v>
      </c>
      <c r="E358" s="6">
        <v>18.616715447499999</v>
      </c>
      <c r="F358" s="11">
        <v>0</v>
      </c>
      <c r="G358" s="32">
        <v>1055</v>
      </c>
      <c r="H358" s="32">
        <v>0</v>
      </c>
      <c r="I358" s="31">
        <v>0</v>
      </c>
      <c r="J358" s="31">
        <v>30000</v>
      </c>
    </row>
    <row r="359" spans="1:10" x14ac:dyDescent="0.25">
      <c r="A359" t="s">
        <v>331</v>
      </c>
      <c r="B359" t="s">
        <v>642</v>
      </c>
      <c r="C359" t="s">
        <v>533</v>
      </c>
      <c r="E359" s="6">
        <v>18.223014658</v>
      </c>
      <c r="F359" s="11">
        <v>0</v>
      </c>
      <c r="G359" s="32">
        <v>1056</v>
      </c>
      <c r="H359" s="32">
        <v>0</v>
      </c>
      <c r="I359" s="31">
        <v>0</v>
      </c>
      <c r="J359" s="31">
        <v>0</v>
      </c>
    </row>
    <row r="360" spans="1:10" x14ac:dyDescent="0.25">
      <c r="A360" t="s">
        <v>362</v>
      </c>
      <c r="B360" t="s">
        <v>642</v>
      </c>
      <c r="C360" t="s">
        <v>535</v>
      </c>
      <c r="E360" s="6">
        <v>16.855324520499998</v>
      </c>
      <c r="F360" s="11">
        <v>0</v>
      </c>
      <c r="G360" s="32">
        <v>1057</v>
      </c>
      <c r="H360" s="32">
        <v>0</v>
      </c>
      <c r="I360" s="31">
        <v>0</v>
      </c>
      <c r="J360" s="31">
        <v>30000</v>
      </c>
    </row>
    <row r="361" spans="1:10" x14ac:dyDescent="0.25">
      <c r="A361" t="s">
        <v>446</v>
      </c>
      <c r="B361" t="s">
        <v>642</v>
      </c>
      <c r="C361" t="s">
        <v>535</v>
      </c>
      <c r="E361" s="6">
        <v>16.283917880000001</v>
      </c>
      <c r="F361" s="11">
        <v>0</v>
      </c>
      <c r="G361" s="32">
        <v>1058</v>
      </c>
      <c r="H361" s="32">
        <v>0</v>
      </c>
      <c r="I361" s="31">
        <v>0</v>
      </c>
      <c r="J361" s="31">
        <v>30000</v>
      </c>
    </row>
    <row r="362" spans="1:10" x14ac:dyDescent="0.25">
      <c r="A362" t="s">
        <v>334</v>
      </c>
      <c r="B362" t="s">
        <v>642</v>
      </c>
      <c r="C362" t="s">
        <v>535</v>
      </c>
      <c r="E362" s="6">
        <v>15.7933300545</v>
      </c>
      <c r="F362" s="11">
        <v>0</v>
      </c>
      <c r="G362" s="32">
        <v>1059</v>
      </c>
      <c r="H362" s="32">
        <v>0</v>
      </c>
      <c r="I362" s="31">
        <v>0</v>
      </c>
      <c r="J362" s="31">
        <v>0</v>
      </c>
    </row>
    <row r="363" spans="1:10" x14ac:dyDescent="0.25">
      <c r="A363" t="s">
        <v>310</v>
      </c>
      <c r="B363" t="s">
        <v>642</v>
      </c>
      <c r="C363" t="s">
        <v>533</v>
      </c>
      <c r="E363" s="6">
        <v>16.048361392499999</v>
      </c>
      <c r="F363" s="11">
        <v>0</v>
      </c>
      <c r="G363" s="32">
        <v>1060</v>
      </c>
      <c r="H363" s="32">
        <v>0</v>
      </c>
      <c r="I363" s="31">
        <v>0</v>
      </c>
      <c r="J363" s="31">
        <v>0</v>
      </c>
    </row>
    <row r="364" spans="1:10" x14ac:dyDescent="0.25">
      <c r="A364" t="s">
        <v>492</v>
      </c>
      <c r="B364" t="s">
        <v>642</v>
      </c>
      <c r="C364" t="s">
        <v>533</v>
      </c>
      <c r="E364" s="6">
        <v>15.2801477595</v>
      </c>
      <c r="F364" s="11">
        <v>0</v>
      </c>
      <c r="G364" s="32">
        <v>1061</v>
      </c>
      <c r="H364" s="32">
        <v>0</v>
      </c>
      <c r="I364" s="31">
        <v>50000</v>
      </c>
      <c r="J364" s="31">
        <v>0</v>
      </c>
    </row>
    <row r="365" spans="1:10" x14ac:dyDescent="0.25">
      <c r="A365" t="s">
        <v>336</v>
      </c>
      <c r="B365" t="s">
        <v>642</v>
      </c>
      <c r="C365" t="s">
        <v>535</v>
      </c>
      <c r="E365" s="6">
        <v>15.024999461</v>
      </c>
      <c r="F365" s="11">
        <v>0</v>
      </c>
      <c r="G365" s="32">
        <v>1062</v>
      </c>
      <c r="H365" s="32">
        <v>0</v>
      </c>
      <c r="I365" s="31">
        <v>0</v>
      </c>
      <c r="J365" s="31">
        <v>0</v>
      </c>
    </row>
    <row r="366" spans="1:10" x14ac:dyDescent="0.25">
      <c r="A366" t="s">
        <v>376</v>
      </c>
      <c r="B366" t="s">
        <v>642</v>
      </c>
      <c r="C366" t="s">
        <v>535</v>
      </c>
      <c r="E366" s="6">
        <v>14.684812196000001</v>
      </c>
      <c r="F366" s="11">
        <v>0</v>
      </c>
      <c r="G366" s="32">
        <v>1063</v>
      </c>
      <c r="H366" s="32">
        <v>0</v>
      </c>
      <c r="I366" s="31">
        <v>0</v>
      </c>
      <c r="J366" s="31">
        <v>0</v>
      </c>
    </row>
    <row r="367" spans="1:10" x14ac:dyDescent="0.25">
      <c r="A367" t="s">
        <v>367</v>
      </c>
      <c r="B367" t="s">
        <v>642</v>
      </c>
      <c r="C367" t="s">
        <v>535</v>
      </c>
      <c r="E367" s="6">
        <v>14.4564758695</v>
      </c>
      <c r="F367" s="11">
        <v>0</v>
      </c>
      <c r="G367" s="32">
        <v>1064</v>
      </c>
      <c r="H367" s="32">
        <v>0</v>
      </c>
      <c r="I367" s="31">
        <v>0</v>
      </c>
      <c r="J367" s="31">
        <v>0</v>
      </c>
    </row>
    <row r="368" spans="1:10" x14ac:dyDescent="0.25">
      <c r="A368" t="s">
        <v>341</v>
      </c>
      <c r="B368" t="s">
        <v>642</v>
      </c>
      <c r="C368" t="s">
        <v>535</v>
      </c>
      <c r="E368" s="6">
        <v>13.660791408000001</v>
      </c>
      <c r="F368" s="11">
        <v>0</v>
      </c>
      <c r="G368" s="32">
        <v>1065</v>
      </c>
      <c r="H368" s="32">
        <v>0</v>
      </c>
      <c r="I368" s="31">
        <v>0</v>
      </c>
      <c r="J368" s="31">
        <v>30000</v>
      </c>
    </row>
    <row r="369" spans="1:10" x14ac:dyDescent="0.25">
      <c r="A369" t="s">
        <v>400</v>
      </c>
      <c r="B369" t="s">
        <v>642</v>
      </c>
      <c r="C369" t="s">
        <v>532</v>
      </c>
      <c r="E369" s="6">
        <v>14.402604695499999</v>
      </c>
      <c r="F369" s="11">
        <v>0</v>
      </c>
      <c r="G369" s="32">
        <v>1066</v>
      </c>
      <c r="H369" s="32">
        <v>0</v>
      </c>
      <c r="I369" s="31">
        <v>0</v>
      </c>
      <c r="J369" s="31">
        <v>0</v>
      </c>
    </row>
    <row r="370" spans="1:10" x14ac:dyDescent="0.25">
      <c r="A370" t="s">
        <v>343</v>
      </c>
      <c r="B370" t="s">
        <v>642</v>
      </c>
      <c r="C370" t="s">
        <v>535</v>
      </c>
      <c r="E370" s="6">
        <v>13.372704924000001</v>
      </c>
      <c r="F370" s="11">
        <v>0</v>
      </c>
      <c r="G370" s="32">
        <v>1067</v>
      </c>
      <c r="H370" s="32">
        <v>0</v>
      </c>
      <c r="I370" s="31">
        <v>0</v>
      </c>
      <c r="J370" s="31">
        <v>0</v>
      </c>
    </row>
    <row r="371" spans="1:10" x14ac:dyDescent="0.25">
      <c r="A371" t="s">
        <v>345</v>
      </c>
      <c r="B371" t="s">
        <v>642</v>
      </c>
      <c r="C371" t="s">
        <v>532</v>
      </c>
      <c r="E371" s="6">
        <v>15.318715284000001</v>
      </c>
      <c r="F371" s="11">
        <v>0</v>
      </c>
      <c r="G371" s="32">
        <v>1068</v>
      </c>
      <c r="H371" s="32">
        <v>0</v>
      </c>
      <c r="I371" s="31">
        <v>0</v>
      </c>
      <c r="J371" s="31">
        <v>20000</v>
      </c>
    </row>
    <row r="372" spans="1:10" x14ac:dyDescent="0.25">
      <c r="A372" t="s">
        <v>381</v>
      </c>
      <c r="B372" t="s">
        <v>642</v>
      </c>
      <c r="C372" t="s">
        <v>535</v>
      </c>
      <c r="E372" s="6">
        <v>13.659583793000001</v>
      </c>
      <c r="F372" s="11">
        <v>0</v>
      </c>
      <c r="G372" s="32">
        <v>1069</v>
      </c>
      <c r="H372" s="32">
        <v>0</v>
      </c>
      <c r="I372" s="31">
        <v>0</v>
      </c>
      <c r="J372" s="31">
        <v>0</v>
      </c>
    </row>
    <row r="373" spans="1:10" x14ac:dyDescent="0.25">
      <c r="A373" t="s">
        <v>394</v>
      </c>
      <c r="B373" t="s">
        <v>642</v>
      </c>
      <c r="C373" t="s">
        <v>532</v>
      </c>
      <c r="E373" s="6">
        <v>14.822813598500002</v>
      </c>
      <c r="F373" s="11">
        <v>0</v>
      </c>
      <c r="G373" s="32">
        <v>1070</v>
      </c>
      <c r="H373" s="32">
        <v>0</v>
      </c>
      <c r="I373" s="31">
        <v>0</v>
      </c>
      <c r="J373" s="31">
        <v>0</v>
      </c>
    </row>
    <row r="374" spans="1:10" x14ac:dyDescent="0.25">
      <c r="A374" t="s">
        <v>590</v>
      </c>
      <c r="B374" t="s">
        <v>642</v>
      </c>
      <c r="C374" t="s">
        <v>533</v>
      </c>
      <c r="E374" s="6">
        <v>13.1846623545</v>
      </c>
      <c r="F374" s="11">
        <v>0</v>
      </c>
      <c r="G374" s="32">
        <v>1071</v>
      </c>
      <c r="H374" s="32">
        <v>0</v>
      </c>
      <c r="I374" s="31">
        <v>0</v>
      </c>
      <c r="J374" s="31">
        <v>0</v>
      </c>
    </row>
    <row r="375" spans="1:10" x14ac:dyDescent="0.25">
      <c r="A375" t="s">
        <v>589</v>
      </c>
      <c r="B375" t="s">
        <v>642</v>
      </c>
      <c r="C375" t="s">
        <v>532</v>
      </c>
      <c r="E375" s="6">
        <v>14.142243708000002</v>
      </c>
      <c r="F375" s="11">
        <v>0</v>
      </c>
      <c r="G375" s="32">
        <v>1072</v>
      </c>
      <c r="H375" s="32">
        <v>0</v>
      </c>
      <c r="I375" s="31">
        <v>0</v>
      </c>
      <c r="J375" s="31">
        <v>0</v>
      </c>
    </row>
    <row r="376" spans="1:10" x14ac:dyDescent="0.25">
      <c r="A376" t="s">
        <v>302</v>
      </c>
      <c r="B376" t="s">
        <v>642</v>
      </c>
      <c r="C376" t="s">
        <v>533</v>
      </c>
      <c r="E376" s="6">
        <v>11.631991405000001</v>
      </c>
      <c r="F376" s="11">
        <v>0</v>
      </c>
      <c r="G376" s="32">
        <v>1073</v>
      </c>
      <c r="H376" s="32">
        <v>0</v>
      </c>
      <c r="I376" s="31">
        <v>0</v>
      </c>
      <c r="J376" s="31">
        <v>0</v>
      </c>
    </row>
    <row r="377" spans="1:10" x14ac:dyDescent="0.25">
      <c r="A377" t="s">
        <v>451</v>
      </c>
      <c r="B377" t="s">
        <v>642</v>
      </c>
      <c r="C377" t="s">
        <v>535</v>
      </c>
      <c r="E377" s="6">
        <v>12.628860320500001</v>
      </c>
      <c r="F377" s="11">
        <v>0</v>
      </c>
      <c r="G377" s="32">
        <v>1074</v>
      </c>
      <c r="H377" s="32">
        <v>0</v>
      </c>
      <c r="I377" s="31">
        <v>0</v>
      </c>
      <c r="J377" s="31">
        <v>0</v>
      </c>
    </row>
    <row r="378" spans="1:10" x14ac:dyDescent="0.25">
      <c r="A378" t="s">
        <v>349</v>
      </c>
      <c r="B378" t="s">
        <v>642</v>
      </c>
      <c r="C378" t="s">
        <v>533</v>
      </c>
      <c r="E378" s="6">
        <v>12.391887678</v>
      </c>
      <c r="F378" s="11">
        <v>0</v>
      </c>
      <c r="G378" s="32">
        <v>1075</v>
      </c>
      <c r="H378" s="32">
        <v>0</v>
      </c>
      <c r="I378" s="31">
        <v>0</v>
      </c>
      <c r="J378" s="31">
        <v>0</v>
      </c>
    </row>
    <row r="379" spans="1:10" x14ac:dyDescent="0.25">
      <c r="A379" t="s">
        <v>350</v>
      </c>
      <c r="B379" t="s">
        <v>642</v>
      </c>
      <c r="C379" t="s">
        <v>533</v>
      </c>
      <c r="E379" s="6">
        <v>12.498299793000001</v>
      </c>
      <c r="F379" s="11">
        <v>0</v>
      </c>
      <c r="G379" s="32">
        <v>1076</v>
      </c>
      <c r="H379" s="32">
        <v>0</v>
      </c>
      <c r="I379" s="31">
        <v>0</v>
      </c>
      <c r="J379" s="31">
        <v>0</v>
      </c>
    </row>
    <row r="380" spans="1:10" x14ac:dyDescent="0.25">
      <c r="A380" t="s">
        <v>588</v>
      </c>
      <c r="B380" t="s">
        <v>642</v>
      </c>
      <c r="C380" t="s">
        <v>532</v>
      </c>
      <c r="E380" s="6">
        <v>13.477634458000001</v>
      </c>
      <c r="F380" s="11">
        <v>0</v>
      </c>
      <c r="G380" s="32">
        <v>1077</v>
      </c>
      <c r="H380" s="32">
        <v>0</v>
      </c>
      <c r="I380" s="31">
        <v>0</v>
      </c>
      <c r="J380" s="31">
        <v>0</v>
      </c>
    </row>
    <row r="381" spans="1:10" x14ac:dyDescent="0.25">
      <c r="A381" t="s">
        <v>354</v>
      </c>
      <c r="B381" t="s">
        <v>642</v>
      </c>
      <c r="C381" t="s">
        <v>532</v>
      </c>
      <c r="E381" s="6">
        <v>11.360041339</v>
      </c>
      <c r="F381" s="11">
        <v>0</v>
      </c>
      <c r="G381" s="32">
        <v>1078</v>
      </c>
      <c r="H381" s="32">
        <v>0</v>
      </c>
      <c r="I381" s="31">
        <v>0</v>
      </c>
      <c r="J381" s="31">
        <v>0</v>
      </c>
    </row>
    <row r="382" spans="1:10" x14ac:dyDescent="0.25">
      <c r="A382" t="s">
        <v>351</v>
      </c>
      <c r="B382" t="s">
        <v>642</v>
      </c>
      <c r="C382" t="s">
        <v>533</v>
      </c>
      <c r="E382" s="6">
        <v>12.191047386000001</v>
      </c>
      <c r="F382" s="11">
        <v>0</v>
      </c>
      <c r="G382" s="32">
        <v>1079</v>
      </c>
      <c r="H382" s="32">
        <v>0</v>
      </c>
      <c r="I382" s="31">
        <v>0</v>
      </c>
      <c r="J382" s="31">
        <v>0</v>
      </c>
    </row>
    <row r="383" spans="1:10" x14ac:dyDescent="0.25">
      <c r="A383" t="s">
        <v>380</v>
      </c>
      <c r="B383" t="s">
        <v>642</v>
      </c>
      <c r="C383" t="s">
        <v>533</v>
      </c>
      <c r="E383" s="6">
        <v>11.532109823500001</v>
      </c>
      <c r="F383" s="11">
        <v>0</v>
      </c>
      <c r="G383" s="32">
        <v>1080</v>
      </c>
      <c r="H383" s="32">
        <v>0</v>
      </c>
      <c r="I383" s="31">
        <v>0</v>
      </c>
      <c r="J383" s="31">
        <v>0</v>
      </c>
    </row>
    <row r="384" spans="1:10" x14ac:dyDescent="0.25">
      <c r="A384" t="s">
        <v>340</v>
      </c>
      <c r="B384" t="s">
        <v>642</v>
      </c>
      <c r="C384" t="s">
        <v>533</v>
      </c>
      <c r="E384" s="6">
        <v>9.1671080425000007</v>
      </c>
      <c r="F384" s="11">
        <v>0</v>
      </c>
      <c r="G384" s="32">
        <v>1081</v>
      </c>
      <c r="H384" s="32">
        <v>0</v>
      </c>
      <c r="I384" s="31">
        <v>0</v>
      </c>
      <c r="J384" s="31">
        <v>0</v>
      </c>
    </row>
    <row r="385" spans="1:10" x14ac:dyDescent="0.25">
      <c r="A385" t="s">
        <v>386</v>
      </c>
      <c r="B385" t="s">
        <v>642</v>
      </c>
      <c r="C385" t="s">
        <v>533</v>
      </c>
      <c r="E385" s="6">
        <v>10.623754593000001</v>
      </c>
      <c r="F385" s="11">
        <v>0</v>
      </c>
      <c r="G385" s="32">
        <v>1082</v>
      </c>
      <c r="H385" s="32">
        <v>0</v>
      </c>
      <c r="I385" s="31">
        <v>0</v>
      </c>
      <c r="J385" s="31">
        <v>0</v>
      </c>
    </row>
    <row r="386" spans="1:10" x14ac:dyDescent="0.25">
      <c r="A386" t="s">
        <v>356</v>
      </c>
      <c r="B386" t="s">
        <v>642</v>
      </c>
      <c r="C386" t="s">
        <v>532</v>
      </c>
      <c r="E386" s="6">
        <v>8.9677908144999989</v>
      </c>
      <c r="F386" s="11">
        <v>0</v>
      </c>
      <c r="G386" s="32">
        <v>1083</v>
      </c>
      <c r="H386" s="32">
        <v>0</v>
      </c>
      <c r="I386" s="31">
        <v>0</v>
      </c>
      <c r="J386" s="31">
        <v>0</v>
      </c>
    </row>
    <row r="387" spans="1:10" x14ac:dyDescent="0.25">
      <c r="A387" t="s">
        <v>613</v>
      </c>
      <c r="B387" t="s">
        <v>642</v>
      </c>
      <c r="C387" t="s">
        <v>533</v>
      </c>
      <c r="E387" s="6">
        <v>10.233731001999999</v>
      </c>
      <c r="F387" s="11">
        <v>0</v>
      </c>
      <c r="G387" s="32">
        <v>1084</v>
      </c>
      <c r="H387" s="32">
        <v>0</v>
      </c>
      <c r="I387" s="31">
        <v>0</v>
      </c>
      <c r="J387" s="31">
        <v>0</v>
      </c>
    </row>
    <row r="388" spans="1:10" x14ac:dyDescent="0.25">
      <c r="A388" t="s">
        <v>357</v>
      </c>
      <c r="B388" t="s">
        <v>642</v>
      </c>
      <c r="C388" t="s">
        <v>533</v>
      </c>
      <c r="E388" s="6">
        <v>9.7156798335000012</v>
      </c>
      <c r="F388" s="11">
        <v>0</v>
      </c>
      <c r="G388" s="32">
        <v>1085</v>
      </c>
      <c r="H388" s="32">
        <v>0</v>
      </c>
      <c r="I388" s="31">
        <v>0</v>
      </c>
      <c r="J388" s="31">
        <v>0</v>
      </c>
    </row>
    <row r="389" spans="1:10" x14ac:dyDescent="0.25">
      <c r="A389" t="s">
        <v>612</v>
      </c>
      <c r="B389" t="s">
        <v>642</v>
      </c>
      <c r="C389" t="s">
        <v>532</v>
      </c>
      <c r="E389" s="6">
        <v>11.273200963000001</v>
      </c>
      <c r="F389" s="11">
        <v>0</v>
      </c>
      <c r="G389" s="32">
        <v>1086</v>
      </c>
      <c r="H389" s="32">
        <v>0</v>
      </c>
      <c r="I389" s="31">
        <v>0</v>
      </c>
      <c r="J389" s="31">
        <v>0</v>
      </c>
    </row>
    <row r="390" spans="1:10" x14ac:dyDescent="0.25">
      <c r="A390" t="s">
        <v>358</v>
      </c>
      <c r="B390" t="s">
        <v>642</v>
      </c>
      <c r="C390" t="s">
        <v>532</v>
      </c>
      <c r="E390" s="6">
        <v>10.809477234999999</v>
      </c>
      <c r="F390" s="11">
        <v>0</v>
      </c>
      <c r="G390" s="32">
        <v>1087</v>
      </c>
      <c r="H390" s="32">
        <v>0</v>
      </c>
      <c r="I390" s="31">
        <v>0</v>
      </c>
      <c r="J390" s="31">
        <v>0</v>
      </c>
    </row>
    <row r="391" spans="1:10" x14ac:dyDescent="0.25">
      <c r="A391" t="s">
        <v>348</v>
      </c>
      <c r="B391" t="s">
        <v>642</v>
      </c>
      <c r="C391" t="s">
        <v>533</v>
      </c>
      <c r="E391" s="6">
        <v>10.3447711755</v>
      </c>
      <c r="F391" s="11">
        <v>0</v>
      </c>
      <c r="G391" s="32">
        <v>1088</v>
      </c>
      <c r="H391" s="32">
        <v>0</v>
      </c>
      <c r="I391" s="31">
        <v>0</v>
      </c>
      <c r="J391" s="31">
        <v>0</v>
      </c>
    </row>
    <row r="392" spans="1:10" x14ac:dyDescent="0.25">
      <c r="A392" t="s">
        <v>359</v>
      </c>
      <c r="B392" t="s">
        <v>642</v>
      </c>
      <c r="C392" t="s">
        <v>532</v>
      </c>
      <c r="E392" s="6">
        <v>9.4732964320000015</v>
      </c>
      <c r="F392" s="11">
        <v>0</v>
      </c>
      <c r="G392" s="32">
        <v>1089</v>
      </c>
      <c r="H392" s="32">
        <v>0</v>
      </c>
      <c r="I392" s="31">
        <v>0</v>
      </c>
      <c r="J392" s="31">
        <v>0</v>
      </c>
    </row>
    <row r="393" spans="1:10" x14ac:dyDescent="0.25">
      <c r="A393" t="s">
        <v>360</v>
      </c>
      <c r="B393" t="s">
        <v>642</v>
      </c>
      <c r="C393" t="s">
        <v>533</v>
      </c>
      <c r="E393" s="6">
        <v>7.6298192555000002</v>
      </c>
      <c r="F393" s="11">
        <v>0</v>
      </c>
      <c r="G393" s="32">
        <v>1090</v>
      </c>
      <c r="H393" s="32">
        <v>0</v>
      </c>
      <c r="I393" s="31">
        <v>0</v>
      </c>
      <c r="J393" s="31">
        <v>0</v>
      </c>
    </row>
    <row r="394" spans="1:10" x14ac:dyDescent="0.25">
      <c r="A394" t="s">
        <v>332</v>
      </c>
      <c r="B394" t="s">
        <v>642</v>
      </c>
      <c r="C394" t="s">
        <v>532</v>
      </c>
      <c r="E394" s="6">
        <v>9.8550910209999998</v>
      </c>
      <c r="F394" s="11">
        <v>0</v>
      </c>
      <c r="G394" s="32">
        <v>1091</v>
      </c>
      <c r="H394" s="32">
        <v>0</v>
      </c>
      <c r="I394" s="31">
        <v>0</v>
      </c>
      <c r="J394" s="31">
        <v>25000</v>
      </c>
    </row>
    <row r="395" spans="1:10" x14ac:dyDescent="0.25">
      <c r="A395" t="s">
        <v>361</v>
      </c>
      <c r="B395" t="s">
        <v>642</v>
      </c>
      <c r="C395" t="s">
        <v>532</v>
      </c>
      <c r="E395" s="6">
        <v>8.735857085000001</v>
      </c>
      <c r="F395" s="11">
        <v>0</v>
      </c>
      <c r="G395" s="32">
        <v>1092</v>
      </c>
      <c r="H395" s="32">
        <v>0</v>
      </c>
      <c r="I395" s="31">
        <v>0</v>
      </c>
      <c r="J395" s="31">
        <v>0</v>
      </c>
    </row>
    <row r="396" spans="1:10" x14ac:dyDescent="0.25">
      <c r="A396" t="s">
        <v>333</v>
      </c>
      <c r="B396" t="s">
        <v>642</v>
      </c>
      <c r="C396" t="s">
        <v>535</v>
      </c>
      <c r="E396" s="6">
        <v>8.1844952080000013</v>
      </c>
      <c r="F396" s="11">
        <v>0</v>
      </c>
      <c r="G396" s="32">
        <v>1093</v>
      </c>
      <c r="H396" s="32">
        <v>0</v>
      </c>
      <c r="I396" s="31">
        <v>0</v>
      </c>
      <c r="J396" s="31">
        <v>0</v>
      </c>
    </row>
    <row r="397" spans="1:10" x14ac:dyDescent="0.25">
      <c r="A397" t="s">
        <v>363</v>
      </c>
      <c r="B397" t="s">
        <v>642</v>
      </c>
      <c r="C397" t="s">
        <v>533</v>
      </c>
      <c r="E397" s="6">
        <v>6.368354836</v>
      </c>
      <c r="F397" s="11">
        <v>0</v>
      </c>
      <c r="G397" s="32">
        <v>1094</v>
      </c>
      <c r="H397" s="32">
        <v>0</v>
      </c>
      <c r="I397" s="31">
        <v>0</v>
      </c>
      <c r="J397" s="31">
        <v>0</v>
      </c>
    </row>
    <row r="398" spans="1:10" x14ac:dyDescent="0.25">
      <c r="A398" t="s">
        <v>436</v>
      </c>
      <c r="B398" t="s">
        <v>642</v>
      </c>
      <c r="C398" t="s">
        <v>533</v>
      </c>
      <c r="E398" s="6">
        <v>8.1813099779999998</v>
      </c>
      <c r="F398" s="11">
        <v>0</v>
      </c>
      <c r="G398" s="32">
        <v>1095</v>
      </c>
      <c r="H398" s="32">
        <v>0</v>
      </c>
      <c r="I398" s="31">
        <v>0</v>
      </c>
      <c r="J398" s="31">
        <v>0</v>
      </c>
    </row>
    <row r="399" spans="1:10" x14ac:dyDescent="0.25">
      <c r="A399" t="s">
        <v>364</v>
      </c>
      <c r="B399" t="s">
        <v>642</v>
      </c>
      <c r="C399" t="s">
        <v>535</v>
      </c>
      <c r="E399" s="6">
        <v>7.9671829845000008</v>
      </c>
      <c r="F399" s="11">
        <v>0</v>
      </c>
      <c r="G399" s="32">
        <v>1096</v>
      </c>
      <c r="H399" s="32">
        <v>0</v>
      </c>
      <c r="I399" s="31">
        <v>0</v>
      </c>
      <c r="J399" s="31">
        <v>0</v>
      </c>
    </row>
    <row r="400" spans="1:10" x14ac:dyDescent="0.25">
      <c r="A400" t="s">
        <v>365</v>
      </c>
      <c r="B400" t="s">
        <v>642</v>
      </c>
      <c r="C400" t="s">
        <v>535</v>
      </c>
      <c r="E400" s="6">
        <v>7.6496234364999998</v>
      </c>
      <c r="F400" s="11">
        <v>0</v>
      </c>
      <c r="G400" s="32">
        <v>1097</v>
      </c>
      <c r="H400" s="32">
        <v>0</v>
      </c>
      <c r="I400" s="31">
        <v>0</v>
      </c>
      <c r="J400" s="31">
        <v>25000</v>
      </c>
    </row>
    <row r="401" spans="1:10" x14ac:dyDescent="0.25">
      <c r="A401" t="s">
        <v>377</v>
      </c>
      <c r="B401" t="s">
        <v>642</v>
      </c>
      <c r="C401" t="s">
        <v>533</v>
      </c>
      <c r="E401" s="6">
        <v>6.9713474675000002</v>
      </c>
      <c r="F401" s="11">
        <v>0</v>
      </c>
      <c r="G401" s="32">
        <v>1098</v>
      </c>
      <c r="H401" s="32">
        <v>0</v>
      </c>
      <c r="I401" s="31">
        <v>0</v>
      </c>
      <c r="J401" s="31">
        <v>0</v>
      </c>
    </row>
    <row r="402" spans="1:10" x14ac:dyDescent="0.25">
      <c r="A402" t="s">
        <v>611</v>
      </c>
      <c r="B402" t="s">
        <v>642</v>
      </c>
      <c r="C402" t="s">
        <v>533</v>
      </c>
      <c r="E402" s="6">
        <v>7.4443131784999999</v>
      </c>
      <c r="F402" s="11">
        <v>0</v>
      </c>
      <c r="G402" s="32">
        <v>1099</v>
      </c>
      <c r="H402" s="32">
        <v>0</v>
      </c>
      <c r="I402" s="31">
        <v>0</v>
      </c>
      <c r="J402" s="31">
        <v>0</v>
      </c>
    </row>
    <row r="403" spans="1:10" x14ac:dyDescent="0.25">
      <c r="A403" t="s">
        <v>366</v>
      </c>
      <c r="B403" t="s">
        <v>642</v>
      </c>
      <c r="C403" t="s">
        <v>535</v>
      </c>
      <c r="E403" s="6">
        <v>7.5724100419999996</v>
      </c>
      <c r="F403" s="11">
        <v>0</v>
      </c>
      <c r="G403" s="32">
        <v>1100</v>
      </c>
      <c r="H403" s="32">
        <v>0</v>
      </c>
      <c r="I403" s="31">
        <v>0</v>
      </c>
      <c r="J403" s="31">
        <v>25000</v>
      </c>
    </row>
    <row r="404" spans="1:10" x14ac:dyDescent="0.25">
      <c r="A404" t="s">
        <v>614</v>
      </c>
      <c r="B404" t="s">
        <v>642</v>
      </c>
      <c r="C404" t="s">
        <v>535</v>
      </c>
      <c r="E404" s="6">
        <v>7.5757033225000008</v>
      </c>
      <c r="F404" s="11">
        <v>0</v>
      </c>
      <c r="G404" s="32">
        <v>1101</v>
      </c>
      <c r="H404" s="32">
        <v>0</v>
      </c>
      <c r="I404" s="31">
        <v>0</v>
      </c>
      <c r="J404" s="31">
        <v>0</v>
      </c>
    </row>
    <row r="405" spans="1:10" x14ac:dyDescent="0.25">
      <c r="A405" t="s">
        <v>615</v>
      </c>
      <c r="B405" t="s">
        <v>642</v>
      </c>
      <c r="C405" t="s">
        <v>535</v>
      </c>
      <c r="E405" s="6">
        <v>7.4118610975000001</v>
      </c>
      <c r="F405" s="11">
        <v>0</v>
      </c>
      <c r="G405" s="32">
        <v>1102</v>
      </c>
      <c r="H405" s="32">
        <v>0</v>
      </c>
      <c r="I405" s="31">
        <v>0</v>
      </c>
      <c r="J405" s="31">
        <v>0</v>
      </c>
    </row>
    <row r="406" spans="1:10" x14ac:dyDescent="0.25">
      <c r="A406" t="s">
        <v>368</v>
      </c>
      <c r="B406" t="s">
        <v>642</v>
      </c>
      <c r="C406" t="s">
        <v>535</v>
      </c>
      <c r="E406" s="6">
        <v>7.486844541</v>
      </c>
      <c r="F406" s="11">
        <v>0</v>
      </c>
      <c r="G406" s="32">
        <v>1103</v>
      </c>
      <c r="H406" s="32">
        <v>0</v>
      </c>
      <c r="I406" s="31">
        <v>0</v>
      </c>
      <c r="J406" s="31">
        <v>0</v>
      </c>
    </row>
    <row r="407" spans="1:10" x14ac:dyDescent="0.25">
      <c r="A407" t="s">
        <v>621</v>
      </c>
      <c r="B407" t="s">
        <v>642</v>
      </c>
      <c r="C407" t="s">
        <v>533</v>
      </c>
      <c r="E407" s="6">
        <v>7.5625964490000008</v>
      </c>
      <c r="F407" s="11">
        <v>0</v>
      </c>
      <c r="G407" s="32">
        <v>1104</v>
      </c>
      <c r="H407" s="32">
        <v>0</v>
      </c>
      <c r="I407" s="31">
        <v>0</v>
      </c>
      <c r="J407" s="31">
        <v>0</v>
      </c>
    </row>
    <row r="408" spans="1:10" x14ac:dyDescent="0.25">
      <c r="A408" t="s">
        <v>405</v>
      </c>
      <c r="B408" t="s">
        <v>642</v>
      </c>
      <c r="C408" t="s">
        <v>533</v>
      </c>
      <c r="E408" s="6">
        <v>6.1282893215000005</v>
      </c>
      <c r="F408" s="11">
        <v>0</v>
      </c>
      <c r="G408" s="32">
        <v>1105</v>
      </c>
      <c r="H408" s="32">
        <v>0</v>
      </c>
      <c r="I408" s="31">
        <v>0</v>
      </c>
      <c r="J408" s="31">
        <v>0</v>
      </c>
    </row>
    <row r="409" spans="1:10" x14ac:dyDescent="0.25">
      <c r="A409" t="s">
        <v>437</v>
      </c>
      <c r="B409" t="s">
        <v>642</v>
      </c>
      <c r="C409" t="s">
        <v>532</v>
      </c>
      <c r="E409" s="6">
        <v>6.985816723500001</v>
      </c>
      <c r="F409" s="11">
        <v>0</v>
      </c>
      <c r="G409" s="32">
        <v>1106</v>
      </c>
      <c r="H409" s="32">
        <v>0</v>
      </c>
      <c r="I409" s="31">
        <v>0</v>
      </c>
      <c r="J409" s="31">
        <v>0</v>
      </c>
    </row>
    <row r="410" spans="1:10" x14ac:dyDescent="0.25">
      <c r="A410" t="s">
        <v>339</v>
      </c>
      <c r="B410" t="s">
        <v>642</v>
      </c>
      <c r="C410" t="s">
        <v>533</v>
      </c>
      <c r="E410" s="6">
        <v>6.9690347194999998</v>
      </c>
      <c r="F410" s="11">
        <v>0</v>
      </c>
      <c r="G410" s="32">
        <v>1107</v>
      </c>
      <c r="H410" s="32">
        <v>0</v>
      </c>
      <c r="I410" s="31">
        <v>0</v>
      </c>
      <c r="J410" s="31">
        <v>25000</v>
      </c>
    </row>
    <row r="411" spans="1:10" x14ac:dyDescent="0.25">
      <c r="A411" t="s">
        <v>370</v>
      </c>
      <c r="B411" t="s">
        <v>642</v>
      </c>
      <c r="C411" t="s">
        <v>535</v>
      </c>
      <c r="E411" s="6">
        <v>7.317376146</v>
      </c>
      <c r="F411" s="11">
        <v>0</v>
      </c>
      <c r="G411" s="32">
        <v>1108</v>
      </c>
      <c r="H411" s="32">
        <v>0</v>
      </c>
      <c r="I411" s="31">
        <v>0</v>
      </c>
      <c r="J411" s="31">
        <v>0</v>
      </c>
    </row>
    <row r="412" spans="1:10" x14ac:dyDescent="0.25">
      <c r="A412" t="s">
        <v>371</v>
      </c>
      <c r="B412" t="s">
        <v>642</v>
      </c>
      <c r="C412" t="s">
        <v>533</v>
      </c>
      <c r="E412" s="6">
        <v>7.1339166570000003</v>
      </c>
      <c r="F412" s="11">
        <v>0</v>
      </c>
      <c r="G412" s="32">
        <v>1109</v>
      </c>
      <c r="H412" s="32">
        <v>0</v>
      </c>
      <c r="I412" s="31">
        <v>0</v>
      </c>
      <c r="J412" s="31">
        <v>0</v>
      </c>
    </row>
    <row r="413" spans="1:10" x14ac:dyDescent="0.25">
      <c r="A413" t="s">
        <v>396</v>
      </c>
      <c r="B413" t="s">
        <v>642</v>
      </c>
      <c r="C413" t="s">
        <v>535</v>
      </c>
      <c r="E413" s="6">
        <v>7.2375183359999999</v>
      </c>
      <c r="F413" s="11">
        <v>0</v>
      </c>
      <c r="G413" s="32">
        <v>1110</v>
      </c>
      <c r="H413" s="32">
        <v>0</v>
      </c>
      <c r="I413" s="31">
        <v>0</v>
      </c>
      <c r="J413" s="31">
        <v>0</v>
      </c>
    </row>
    <row r="414" spans="1:10" x14ac:dyDescent="0.25">
      <c r="A414" t="s">
        <v>620</v>
      </c>
      <c r="B414" t="s">
        <v>642</v>
      </c>
      <c r="C414" t="s">
        <v>535</v>
      </c>
      <c r="E414" s="6">
        <v>7.080441059</v>
      </c>
      <c r="F414" s="11">
        <v>0</v>
      </c>
      <c r="G414" s="32">
        <v>1111</v>
      </c>
      <c r="H414" s="32">
        <v>0</v>
      </c>
      <c r="I414" s="31">
        <v>0</v>
      </c>
      <c r="J414" s="31">
        <v>0</v>
      </c>
    </row>
    <row r="415" spans="1:10" x14ac:dyDescent="0.25">
      <c r="A415" t="s">
        <v>616</v>
      </c>
      <c r="B415" t="s">
        <v>642</v>
      </c>
      <c r="C415" t="s">
        <v>533</v>
      </c>
      <c r="E415" s="6">
        <v>7.2165943280000002</v>
      </c>
      <c r="F415" s="11">
        <v>0</v>
      </c>
      <c r="G415" s="32">
        <v>1112</v>
      </c>
      <c r="H415" s="32">
        <v>0</v>
      </c>
      <c r="I415" s="31">
        <v>0</v>
      </c>
      <c r="J415" s="31">
        <v>0</v>
      </c>
    </row>
    <row r="416" spans="1:10" x14ac:dyDescent="0.25">
      <c r="A416" t="s">
        <v>373</v>
      </c>
      <c r="B416" t="s">
        <v>642</v>
      </c>
      <c r="C416" t="s">
        <v>533</v>
      </c>
      <c r="E416" s="6">
        <v>7.1970192185000004</v>
      </c>
      <c r="F416" s="11">
        <v>0</v>
      </c>
      <c r="G416" s="32">
        <v>1113</v>
      </c>
      <c r="H416" s="32">
        <v>0</v>
      </c>
      <c r="I416" s="31">
        <v>0</v>
      </c>
      <c r="J416" s="31">
        <v>0</v>
      </c>
    </row>
    <row r="417" spans="1:10" x14ac:dyDescent="0.25">
      <c r="A417" t="s">
        <v>375</v>
      </c>
      <c r="B417" t="s">
        <v>642</v>
      </c>
      <c r="C417" t="s">
        <v>535</v>
      </c>
      <c r="E417" s="6">
        <v>6.8970292935000002</v>
      </c>
      <c r="F417" s="11">
        <v>0</v>
      </c>
      <c r="G417" s="32">
        <v>1114</v>
      </c>
      <c r="H417" s="32">
        <v>0</v>
      </c>
      <c r="I417" s="31">
        <v>0</v>
      </c>
      <c r="J417" s="31">
        <v>0</v>
      </c>
    </row>
    <row r="418" spans="1:10" x14ac:dyDescent="0.25">
      <c r="A418" t="s">
        <v>619</v>
      </c>
      <c r="B418" t="s">
        <v>642</v>
      </c>
      <c r="C418" t="s">
        <v>532</v>
      </c>
      <c r="E418" s="6">
        <v>6.5964519030000002</v>
      </c>
      <c r="F418" s="11">
        <v>0</v>
      </c>
      <c r="G418" s="32">
        <v>1115</v>
      </c>
      <c r="H418" s="32">
        <v>0</v>
      </c>
      <c r="I418" s="31">
        <v>0</v>
      </c>
      <c r="J418" s="31">
        <v>0</v>
      </c>
    </row>
    <row r="419" spans="1:10" x14ac:dyDescent="0.25">
      <c r="A419" t="s">
        <v>379</v>
      </c>
      <c r="B419" t="s">
        <v>642</v>
      </c>
      <c r="C419" t="s">
        <v>535</v>
      </c>
      <c r="E419" s="6">
        <v>6.8830345555000001</v>
      </c>
      <c r="F419" s="11">
        <v>0</v>
      </c>
      <c r="G419" s="32">
        <v>1116</v>
      </c>
      <c r="H419" s="32">
        <v>0</v>
      </c>
      <c r="I419" s="31">
        <v>0</v>
      </c>
      <c r="J419" s="31">
        <v>0</v>
      </c>
    </row>
    <row r="420" spans="1:10" x14ac:dyDescent="0.25">
      <c r="A420" t="s">
        <v>378</v>
      </c>
      <c r="B420" t="s">
        <v>642</v>
      </c>
      <c r="C420" t="s">
        <v>533</v>
      </c>
      <c r="E420" s="6">
        <v>6.4481333804999998</v>
      </c>
      <c r="F420" s="11">
        <v>0</v>
      </c>
      <c r="G420" s="32">
        <v>1117</v>
      </c>
      <c r="H420" s="32">
        <v>0</v>
      </c>
      <c r="I420" s="31">
        <v>0</v>
      </c>
      <c r="J420" s="31">
        <v>0</v>
      </c>
    </row>
    <row r="421" spans="1:10" x14ac:dyDescent="0.25">
      <c r="A421" t="s">
        <v>618</v>
      </c>
      <c r="B421" t="s">
        <v>642</v>
      </c>
      <c r="C421" t="s">
        <v>533</v>
      </c>
      <c r="E421" s="6">
        <v>6.9433437764999999</v>
      </c>
      <c r="F421" s="11">
        <v>0</v>
      </c>
      <c r="G421" s="32">
        <v>1118</v>
      </c>
      <c r="H421" s="32">
        <v>0</v>
      </c>
      <c r="I421" s="31">
        <v>0</v>
      </c>
      <c r="J421" s="31">
        <v>0</v>
      </c>
    </row>
    <row r="422" spans="1:10" x14ac:dyDescent="0.25">
      <c r="A422" t="s">
        <v>617</v>
      </c>
      <c r="B422" t="s">
        <v>642</v>
      </c>
      <c r="C422" t="s">
        <v>535</v>
      </c>
      <c r="E422" s="6">
        <v>6.6091188265000005</v>
      </c>
      <c r="F422" s="11">
        <v>0</v>
      </c>
      <c r="G422" s="32">
        <v>1119</v>
      </c>
      <c r="H422" s="32">
        <v>0</v>
      </c>
      <c r="I422" s="31">
        <v>0</v>
      </c>
      <c r="J422" s="31">
        <v>0</v>
      </c>
    </row>
    <row r="423" spans="1:10" x14ac:dyDescent="0.25">
      <c r="A423" t="s">
        <v>384</v>
      </c>
      <c r="B423" t="s">
        <v>642</v>
      </c>
      <c r="C423" t="s">
        <v>533</v>
      </c>
      <c r="E423" s="6">
        <v>6.7930304465000004</v>
      </c>
      <c r="F423" s="11">
        <v>0</v>
      </c>
      <c r="G423" s="32">
        <v>1120</v>
      </c>
      <c r="H423" s="32">
        <v>0</v>
      </c>
      <c r="I423" s="31">
        <v>0</v>
      </c>
      <c r="J423" s="31">
        <v>30000</v>
      </c>
    </row>
    <row r="424" spans="1:10" x14ac:dyDescent="0.25">
      <c r="A424" t="s">
        <v>383</v>
      </c>
      <c r="B424" t="s">
        <v>642</v>
      </c>
      <c r="C424" t="s">
        <v>535</v>
      </c>
      <c r="E424" s="6">
        <v>6.6226669900000008</v>
      </c>
      <c r="F424" s="11">
        <v>0</v>
      </c>
      <c r="G424" s="32">
        <v>1121</v>
      </c>
      <c r="H424" s="32">
        <v>0</v>
      </c>
      <c r="I424" s="31">
        <v>0</v>
      </c>
      <c r="J424" s="31">
        <v>20000</v>
      </c>
    </row>
    <row r="425" spans="1:10" x14ac:dyDescent="0.25">
      <c r="A425" t="s">
        <v>385</v>
      </c>
      <c r="B425" t="s">
        <v>642</v>
      </c>
      <c r="C425" t="s">
        <v>535</v>
      </c>
      <c r="E425" s="6">
        <v>6.5470730140000004</v>
      </c>
      <c r="F425" s="11">
        <v>0</v>
      </c>
      <c r="G425" s="32">
        <v>1122</v>
      </c>
      <c r="H425" s="32">
        <v>0</v>
      </c>
      <c r="I425" s="31">
        <v>0</v>
      </c>
      <c r="J425" s="31">
        <v>0</v>
      </c>
    </row>
    <row r="426" spans="1:10" x14ac:dyDescent="0.25">
      <c r="A426" t="s">
        <v>610</v>
      </c>
      <c r="B426" t="s">
        <v>642</v>
      </c>
      <c r="C426" t="s">
        <v>533</v>
      </c>
      <c r="E426" s="6">
        <v>6.7502681300000003</v>
      </c>
      <c r="F426" s="11">
        <v>0</v>
      </c>
      <c r="G426" s="32">
        <v>1123</v>
      </c>
      <c r="H426" s="32">
        <v>0</v>
      </c>
      <c r="I426" s="31">
        <v>0</v>
      </c>
      <c r="J426" s="31">
        <v>0</v>
      </c>
    </row>
    <row r="427" spans="1:10" x14ac:dyDescent="0.25">
      <c r="A427" t="s">
        <v>387</v>
      </c>
      <c r="B427" t="s">
        <v>642</v>
      </c>
      <c r="C427" t="s">
        <v>535</v>
      </c>
      <c r="E427" s="6">
        <v>6.5549055190000001</v>
      </c>
      <c r="F427" s="11">
        <v>0</v>
      </c>
      <c r="G427" s="32">
        <v>1124</v>
      </c>
      <c r="H427" s="32">
        <v>0</v>
      </c>
      <c r="I427" s="31">
        <v>0</v>
      </c>
      <c r="J427" s="31">
        <v>0</v>
      </c>
    </row>
    <row r="428" spans="1:10" x14ac:dyDescent="0.25">
      <c r="A428" t="s">
        <v>600</v>
      </c>
      <c r="B428" t="s">
        <v>642</v>
      </c>
      <c r="C428" t="s">
        <v>533</v>
      </c>
      <c r="E428" s="6">
        <v>6.4630627094999999</v>
      </c>
      <c r="F428" s="11">
        <v>0</v>
      </c>
      <c r="G428" s="32">
        <v>1125</v>
      </c>
      <c r="H428" s="32">
        <v>0</v>
      </c>
      <c r="I428" s="31">
        <v>0</v>
      </c>
      <c r="J428" s="31">
        <v>0</v>
      </c>
    </row>
    <row r="429" spans="1:10" x14ac:dyDescent="0.25">
      <c r="A429" t="s">
        <v>388</v>
      </c>
      <c r="B429" t="s">
        <v>642</v>
      </c>
      <c r="C429" t="s">
        <v>533</v>
      </c>
      <c r="E429" s="6">
        <v>6.4966017285</v>
      </c>
      <c r="F429" s="11">
        <v>0</v>
      </c>
      <c r="G429" s="32">
        <v>1126</v>
      </c>
      <c r="H429" s="32">
        <v>0</v>
      </c>
      <c r="I429" s="31">
        <v>0</v>
      </c>
      <c r="J429" s="31">
        <v>0</v>
      </c>
    </row>
    <row r="430" spans="1:10" x14ac:dyDescent="0.25">
      <c r="A430" t="s">
        <v>391</v>
      </c>
      <c r="B430" t="s">
        <v>642</v>
      </c>
      <c r="C430" t="s">
        <v>532</v>
      </c>
      <c r="E430" s="6">
        <v>5.7185069105000004</v>
      </c>
      <c r="F430" s="11">
        <v>0</v>
      </c>
      <c r="G430" s="32">
        <v>1127</v>
      </c>
      <c r="H430" s="32">
        <v>0</v>
      </c>
      <c r="I430" s="31">
        <v>0</v>
      </c>
      <c r="J430" s="31">
        <v>0</v>
      </c>
    </row>
    <row r="431" spans="1:10" x14ac:dyDescent="0.25">
      <c r="A431" t="s">
        <v>599</v>
      </c>
      <c r="B431" t="s">
        <v>642</v>
      </c>
      <c r="C431" t="s">
        <v>533</v>
      </c>
      <c r="E431" s="6">
        <v>5.9102867465000006</v>
      </c>
      <c r="F431" s="11">
        <v>0</v>
      </c>
      <c r="G431" s="32">
        <v>1128</v>
      </c>
      <c r="H431" s="32">
        <v>0</v>
      </c>
      <c r="I431" s="31">
        <v>0</v>
      </c>
      <c r="J431" s="31">
        <v>0</v>
      </c>
    </row>
    <row r="432" spans="1:10" x14ac:dyDescent="0.25">
      <c r="A432" t="s">
        <v>598</v>
      </c>
      <c r="B432" t="s">
        <v>642</v>
      </c>
      <c r="C432" t="s">
        <v>533</v>
      </c>
      <c r="E432" s="6">
        <v>6.0424182304999992</v>
      </c>
      <c r="F432" s="11">
        <v>0</v>
      </c>
      <c r="G432" s="32">
        <v>1129</v>
      </c>
      <c r="H432" s="32">
        <v>0</v>
      </c>
      <c r="I432" s="31">
        <v>0</v>
      </c>
      <c r="J432" s="31">
        <v>0</v>
      </c>
    </row>
    <row r="433" spans="1:10" x14ac:dyDescent="0.25">
      <c r="A433" t="s">
        <v>406</v>
      </c>
      <c r="B433" t="s">
        <v>642</v>
      </c>
      <c r="C433" t="s">
        <v>533</v>
      </c>
      <c r="E433" s="6">
        <v>6.0954699835000001</v>
      </c>
      <c r="F433" s="11">
        <v>0</v>
      </c>
      <c r="G433" s="32">
        <v>1130</v>
      </c>
      <c r="H433" s="32">
        <v>0</v>
      </c>
      <c r="I433" s="31">
        <v>0</v>
      </c>
      <c r="J433" s="31">
        <v>0</v>
      </c>
    </row>
    <row r="434" spans="1:10" x14ac:dyDescent="0.25">
      <c r="A434" t="s">
        <v>447</v>
      </c>
      <c r="B434" t="s">
        <v>642</v>
      </c>
      <c r="C434" t="s">
        <v>533</v>
      </c>
      <c r="E434" s="6">
        <v>6.1249698170000002</v>
      </c>
      <c r="F434" s="11">
        <v>0</v>
      </c>
      <c r="G434" s="32">
        <v>1131</v>
      </c>
      <c r="H434" s="32">
        <v>0</v>
      </c>
      <c r="I434" s="31">
        <v>0</v>
      </c>
      <c r="J434" s="31">
        <v>0</v>
      </c>
    </row>
    <row r="435" spans="1:10" x14ac:dyDescent="0.25">
      <c r="A435" t="s">
        <v>355</v>
      </c>
      <c r="B435" t="s">
        <v>642</v>
      </c>
      <c r="C435" t="s">
        <v>532</v>
      </c>
      <c r="E435" s="6">
        <v>4.8618135794999997</v>
      </c>
      <c r="F435" s="11">
        <v>0</v>
      </c>
      <c r="G435" s="32">
        <v>1132</v>
      </c>
      <c r="H435" s="32">
        <v>0</v>
      </c>
      <c r="I435" s="31">
        <v>0</v>
      </c>
      <c r="J435" s="31">
        <v>0</v>
      </c>
    </row>
    <row r="436" spans="1:10" x14ac:dyDescent="0.25">
      <c r="A436" t="s">
        <v>449</v>
      </c>
      <c r="B436" t="s">
        <v>642</v>
      </c>
      <c r="C436" t="s">
        <v>533</v>
      </c>
      <c r="E436" s="6">
        <v>5.1770138990000003</v>
      </c>
      <c r="F436" s="11">
        <v>0</v>
      </c>
      <c r="G436" s="32">
        <v>1133</v>
      </c>
      <c r="H436" s="32">
        <v>0</v>
      </c>
      <c r="I436" s="31">
        <v>0</v>
      </c>
      <c r="J436" s="31">
        <v>0</v>
      </c>
    </row>
    <row r="437" spans="1:10" x14ac:dyDescent="0.25">
      <c r="A437" t="s">
        <v>403</v>
      </c>
      <c r="B437" t="s">
        <v>642</v>
      </c>
      <c r="C437" t="s">
        <v>533</v>
      </c>
      <c r="E437" s="6">
        <v>3.4979654775000002</v>
      </c>
      <c r="F437" s="11">
        <v>0</v>
      </c>
      <c r="G437" s="32">
        <v>1134</v>
      </c>
      <c r="H437" s="32">
        <v>0</v>
      </c>
      <c r="I437" s="31">
        <v>0</v>
      </c>
      <c r="J437" s="31">
        <v>0</v>
      </c>
    </row>
    <row r="438" spans="1:10" x14ac:dyDescent="0.25">
      <c r="A438" t="s">
        <v>392</v>
      </c>
      <c r="B438" t="s">
        <v>642</v>
      </c>
      <c r="C438" t="s">
        <v>533</v>
      </c>
      <c r="E438" s="6">
        <v>5.5434623460000001</v>
      </c>
      <c r="F438" s="11">
        <v>0</v>
      </c>
      <c r="G438" s="32">
        <v>1135</v>
      </c>
      <c r="H438" s="32">
        <v>0</v>
      </c>
      <c r="I438" s="31">
        <v>0</v>
      </c>
      <c r="J438" s="31">
        <v>0</v>
      </c>
    </row>
    <row r="439" spans="1:10" x14ac:dyDescent="0.25">
      <c r="A439" t="s">
        <v>393</v>
      </c>
      <c r="B439" t="s">
        <v>642</v>
      </c>
      <c r="C439" t="s">
        <v>532</v>
      </c>
      <c r="E439" s="6">
        <v>5.2549768405000004</v>
      </c>
      <c r="F439" s="11">
        <v>0</v>
      </c>
      <c r="G439" s="32">
        <v>1136</v>
      </c>
      <c r="H439" s="32">
        <v>0</v>
      </c>
      <c r="I439" s="31">
        <v>0</v>
      </c>
      <c r="J439" s="31">
        <v>0</v>
      </c>
    </row>
    <row r="440" spans="1:10" x14ac:dyDescent="0.25">
      <c r="A440" t="s">
        <v>402</v>
      </c>
      <c r="B440" t="s">
        <v>642</v>
      </c>
      <c r="C440" t="s">
        <v>533</v>
      </c>
      <c r="E440" s="6">
        <v>3.5627345625000002</v>
      </c>
      <c r="F440" s="11">
        <v>0</v>
      </c>
      <c r="G440" s="32">
        <v>1137</v>
      </c>
      <c r="H440" s="32">
        <v>0</v>
      </c>
      <c r="I440" s="31">
        <v>0</v>
      </c>
      <c r="J440" s="31">
        <v>0</v>
      </c>
    </row>
    <row r="441" spans="1:10" x14ac:dyDescent="0.25">
      <c r="A441" t="s">
        <v>404</v>
      </c>
      <c r="B441" t="s">
        <v>642</v>
      </c>
      <c r="C441" t="s">
        <v>533</v>
      </c>
      <c r="E441" s="6">
        <v>3.3205379630000005</v>
      </c>
      <c r="F441" s="11">
        <v>0</v>
      </c>
      <c r="G441" s="32">
        <v>1138</v>
      </c>
      <c r="H441" s="32">
        <v>0</v>
      </c>
      <c r="I441" s="31">
        <v>0</v>
      </c>
      <c r="J441" s="31">
        <v>0</v>
      </c>
    </row>
    <row r="442" spans="1:10" x14ac:dyDescent="0.25">
      <c r="A442" t="s">
        <v>597</v>
      </c>
      <c r="B442" t="s">
        <v>642</v>
      </c>
      <c r="C442" t="s">
        <v>533</v>
      </c>
      <c r="E442" s="6">
        <v>4.4964457800000002</v>
      </c>
      <c r="F442" s="11">
        <v>0</v>
      </c>
      <c r="G442" s="32">
        <v>1139</v>
      </c>
      <c r="H442" s="32">
        <v>0</v>
      </c>
      <c r="I442" s="31">
        <v>0</v>
      </c>
      <c r="J442" s="31">
        <v>0</v>
      </c>
    </row>
    <row r="443" spans="1:10" x14ac:dyDescent="0.25">
      <c r="A443" t="s">
        <v>466</v>
      </c>
      <c r="B443" t="s">
        <v>642</v>
      </c>
      <c r="C443" t="s">
        <v>532</v>
      </c>
      <c r="E443" s="6">
        <v>4.9590942459999994</v>
      </c>
      <c r="F443" s="11">
        <v>0</v>
      </c>
      <c r="G443" s="32">
        <v>1140</v>
      </c>
      <c r="H443" s="32">
        <v>0</v>
      </c>
      <c r="I443" s="31">
        <v>0</v>
      </c>
      <c r="J443" s="31">
        <v>25000</v>
      </c>
    </row>
    <row r="444" spans="1:10" x14ac:dyDescent="0.25">
      <c r="A444" t="s">
        <v>601</v>
      </c>
      <c r="B444" t="s">
        <v>642</v>
      </c>
      <c r="C444" t="s">
        <v>535</v>
      </c>
      <c r="E444" s="6">
        <v>4.045525424500001</v>
      </c>
      <c r="F444" s="11">
        <v>0</v>
      </c>
      <c r="G444" s="32">
        <v>1141</v>
      </c>
      <c r="H444" s="32">
        <v>0</v>
      </c>
      <c r="I444" s="31">
        <v>0</v>
      </c>
      <c r="J444" s="31">
        <v>0</v>
      </c>
    </row>
    <row r="445" spans="1:10" x14ac:dyDescent="0.25">
      <c r="A445" t="s">
        <v>478</v>
      </c>
      <c r="B445" t="s">
        <v>642</v>
      </c>
      <c r="C445" t="s">
        <v>535</v>
      </c>
      <c r="E445" s="6">
        <v>3.8195793485</v>
      </c>
      <c r="F445" s="11">
        <v>0</v>
      </c>
      <c r="G445" s="32">
        <v>1142</v>
      </c>
      <c r="H445" s="32">
        <v>0</v>
      </c>
      <c r="I445" s="31">
        <v>0</v>
      </c>
      <c r="J445" s="31">
        <v>30000</v>
      </c>
    </row>
    <row r="446" spans="1:10" x14ac:dyDescent="0.25">
      <c r="A446" t="s">
        <v>602</v>
      </c>
      <c r="B446" t="s">
        <v>642</v>
      </c>
      <c r="C446" t="s">
        <v>533</v>
      </c>
      <c r="E446" s="6">
        <v>3.8835768719999999</v>
      </c>
      <c r="F446" s="11">
        <v>0</v>
      </c>
      <c r="G446" s="32">
        <v>1143</v>
      </c>
      <c r="H446" s="32">
        <v>0</v>
      </c>
      <c r="I446" s="31">
        <v>0</v>
      </c>
      <c r="J446" s="31">
        <v>0</v>
      </c>
    </row>
    <row r="447" spans="1:10" x14ac:dyDescent="0.25">
      <c r="A447" t="s">
        <v>395</v>
      </c>
      <c r="B447" t="s">
        <v>642</v>
      </c>
      <c r="C447" t="s">
        <v>535</v>
      </c>
      <c r="E447" s="6">
        <v>3.6740031694999997</v>
      </c>
      <c r="F447" s="11">
        <v>0</v>
      </c>
      <c r="G447" s="32">
        <v>1144</v>
      </c>
      <c r="H447" s="32">
        <v>0</v>
      </c>
      <c r="I447" s="31">
        <v>0</v>
      </c>
      <c r="J447" s="31">
        <v>0</v>
      </c>
    </row>
    <row r="448" spans="1:10" x14ac:dyDescent="0.25">
      <c r="A448" t="s">
        <v>609</v>
      </c>
      <c r="B448" t="s">
        <v>642</v>
      </c>
      <c r="C448" t="s">
        <v>535</v>
      </c>
      <c r="E448" s="6">
        <v>3.6021405844999999</v>
      </c>
      <c r="F448" s="11">
        <v>0</v>
      </c>
      <c r="G448" s="32">
        <v>1145</v>
      </c>
      <c r="H448" s="32">
        <v>0</v>
      </c>
      <c r="I448" s="31">
        <v>0</v>
      </c>
      <c r="J448" s="31">
        <v>0</v>
      </c>
    </row>
    <row r="449" spans="1:10" x14ac:dyDescent="0.25">
      <c r="A449" t="s">
        <v>608</v>
      </c>
      <c r="B449" t="s">
        <v>642</v>
      </c>
      <c r="C449" t="s">
        <v>535</v>
      </c>
      <c r="E449" s="6">
        <v>3.5997986635000001</v>
      </c>
      <c r="F449" s="11">
        <v>0</v>
      </c>
      <c r="G449" s="32">
        <v>1146</v>
      </c>
      <c r="H449" s="32">
        <v>0</v>
      </c>
      <c r="I449" s="31">
        <v>0</v>
      </c>
      <c r="J449" s="31">
        <v>0</v>
      </c>
    </row>
    <row r="450" spans="1:10" x14ac:dyDescent="0.25">
      <c r="A450" t="s">
        <v>372</v>
      </c>
      <c r="B450" t="s">
        <v>642</v>
      </c>
      <c r="C450" t="s">
        <v>535</v>
      </c>
      <c r="E450" s="6">
        <v>3.5786838199999997</v>
      </c>
      <c r="F450" s="11">
        <v>0</v>
      </c>
      <c r="G450" s="32">
        <v>1147</v>
      </c>
      <c r="H450" s="32">
        <v>0</v>
      </c>
      <c r="I450" s="31">
        <v>0</v>
      </c>
      <c r="J450" s="31">
        <v>0</v>
      </c>
    </row>
    <row r="451" spans="1:10" x14ac:dyDescent="0.25">
      <c r="A451" t="s">
        <v>382</v>
      </c>
      <c r="B451" t="s">
        <v>642</v>
      </c>
      <c r="C451" t="s">
        <v>533</v>
      </c>
      <c r="E451" s="6">
        <v>3.6787834715000005</v>
      </c>
      <c r="F451" s="11">
        <v>0</v>
      </c>
      <c r="G451" s="32">
        <v>1148</v>
      </c>
      <c r="H451" s="32">
        <v>0</v>
      </c>
      <c r="I451" s="31">
        <v>0</v>
      </c>
      <c r="J451" s="31">
        <v>0</v>
      </c>
    </row>
    <row r="452" spans="1:10" x14ac:dyDescent="0.25">
      <c r="A452" t="s">
        <v>397</v>
      </c>
      <c r="B452" t="s">
        <v>642</v>
      </c>
      <c r="C452" t="s">
        <v>535</v>
      </c>
      <c r="E452" s="6">
        <v>3.5321039665000002</v>
      </c>
      <c r="F452" s="11">
        <v>0</v>
      </c>
      <c r="G452" s="32">
        <v>1149</v>
      </c>
      <c r="H452" s="32">
        <v>0</v>
      </c>
      <c r="I452" s="31">
        <v>0</v>
      </c>
      <c r="J452" s="31">
        <v>0</v>
      </c>
    </row>
    <row r="453" spans="1:10" x14ac:dyDescent="0.25">
      <c r="A453" t="s">
        <v>374</v>
      </c>
      <c r="B453" t="s">
        <v>642</v>
      </c>
      <c r="C453" t="s">
        <v>535</v>
      </c>
      <c r="E453" s="6">
        <v>3.506726177</v>
      </c>
      <c r="F453" s="11">
        <v>0</v>
      </c>
      <c r="G453" s="32">
        <v>1150</v>
      </c>
      <c r="H453" s="32">
        <v>0</v>
      </c>
      <c r="I453" s="31">
        <v>0</v>
      </c>
      <c r="J453" s="31">
        <v>0</v>
      </c>
    </row>
    <row r="454" spans="1:10" x14ac:dyDescent="0.25">
      <c r="A454" t="s">
        <v>607</v>
      </c>
      <c r="B454" t="s">
        <v>642</v>
      </c>
      <c r="C454" t="s">
        <v>535</v>
      </c>
      <c r="E454" s="6">
        <v>3.4340105200000002</v>
      </c>
      <c r="F454" s="11">
        <v>0</v>
      </c>
      <c r="G454" s="32">
        <v>1151</v>
      </c>
      <c r="H454" s="32">
        <v>0</v>
      </c>
      <c r="I454" s="31">
        <v>0</v>
      </c>
      <c r="J454" s="31">
        <v>0</v>
      </c>
    </row>
    <row r="455" spans="1:10" x14ac:dyDescent="0.25">
      <c r="A455" t="s">
        <v>606</v>
      </c>
      <c r="B455" t="s">
        <v>642</v>
      </c>
      <c r="C455" t="s">
        <v>533</v>
      </c>
      <c r="E455" s="6">
        <v>3.4886738405000002</v>
      </c>
      <c r="F455" s="11">
        <v>0</v>
      </c>
      <c r="G455" s="32">
        <v>1152</v>
      </c>
      <c r="H455" s="32">
        <v>0</v>
      </c>
      <c r="I455" s="31">
        <v>0</v>
      </c>
      <c r="J455" s="31">
        <v>0</v>
      </c>
    </row>
    <row r="456" spans="1:10" x14ac:dyDescent="0.25">
      <c r="A456" t="s">
        <v>605</v>
      </c>
      <c r="B456" t="s">
        <v>642</v>
      </c>
      <c r="C456" t="s">
        <v>535</v>
      </c>
      <c r="E456" s="6">
        <v>3.2104631020000003</v>
      </c>
      <c r="F456" s="11">
        <v>0</v>
      </c>
      <c r="G456" s="32">
        <v>1153</v>
      </c>
      <c r="H456" s="32">
        <v>0</v>
      </c>
      <c r="I456" s="31">
        <v>0</v>
      </c>
      <c r="J456" s="31">
        <v>0</v>
      </c>
    </row>
    <row r="457" spans="1:10" x14ac:dyDescent="0.25">
      <c r="A457" t="s">
        <v>604</v>
      </c>
      <c r="B457" t="s">
        <v>642</v>
      </c>
      <c r="C457" t="s">
        <v>533</v>
      </c>
      <c r="E457" s="6">
        <v>3.2252355399999999</v>
      </c>
      <c r="F457" s="11">
        <v>0</v>
      </c>
      <c r="G457" s="32">
        <v>1154</v>
      </c>
      <c r="H457" s="32">
        <v>0</v>
      </c>
      <c r="I457" s="31">
        <v>0</v>
      </c>
      <c r="J457" s="31">
        <v>0</v>
      </c>
    </row>
    <row r="458" spans="1:10" x14ac:dyDescent="0.25">
      <c r="A458" t="s">
        <v>390</v>
      </c>
      <c r="B458" t="s">
        <v>642</v>
      </c>
      <c r="C458" t="s">
        <v>533</v>
      </c>
      <c r="E458" s="6">
        <v>3.1292042139999996</v>
      </c>
      <c r="F458" s="11">
        <v>0</v>
      </c>
      <c r="G458" s="32">
        <v>1155</v>
      </c>
      <c r="H458" s="32">
        <v>0</v>
      </c>
      <c r="I458" s="31">
        <v>0</v>
      </c>
      <c r="J458" s="31">
        <v>0</v>
      </c>
    </row>
    <row r="459" spans="1:10" x14ac:dyDescent="0.25">
      <c r="A459" t="s">
        <v>398</v>
      </c>
      <c r="B459" t="s">
        <v>642</v>
      </c>
      <c r="C459" t="s">
        <v>532</v>
      </c>
      <c r="E459" s="6">
        <v>2.8199754785</v>
      </c>
      <c r="F459" s="11">
        <v>0</v>
      </c>
      <c r="G459" s="32">
        <v>1156</v>
      </c>
      <c r="H459" s="32">
        <v>0</v>
      </c>
      <c r="I459" s="31">
        <v>0</v>
      </c>
      <c r="J459" s="31">
        <v>0</v>
      </c>
    </row>
    <row r="460" spans="1:10" x14ac:dyDescent="0.25">
      <c r="A460" t="s">
        <v>553</v>
      </c>
      <c r="B460" t="s">
        <v>642</v>
      </c>
      <c r="C460" t="s">
        <v>533</v>
      </c>
      <c r="E460" s="6">
        <v>2.4647407814999998</v>
      </c>
      <c r="F460" s="11">
        <v>0</v>
      </c>
      <c r="G460" s="32">
        <v>1157</v>
      </c>
      <c r="H460" s="32">
        <v>0</v>
      </c>
      <c r="I460" s="31">
        <v>0</v>
      </c>
      <c r="J460" s="31">
        <v>0</v>
      </c>
    </row>
    <row r="461" spans="1:10" x14ac:dyDescent="0.25">
      <c r="A461" t="s">
        <v>399</v>
      </c>
      <c r="B461" t="s">
        <v>642</v>
      </c>
      <c r="C461" t="s">
        <v>535</v>
      </c>
      <c r="E461" s="6">
        <v>2.3172452450000001</v>
      </c>
      <c r="F461" s="11">
        <v>0</v>
      </c>
      <c r="G461" s="32">
        <v>1158</v>
      </c>
      <c r="H461" s="32">
        <v>0</v>
      </c>
      <c r="I461" s="31">
        <v>0</v>
      </c>
      <c r="J461" s="31">
        <v>0</v>
      </c>
    </row>
    <row r="462" spans="1:10" x14ac:dyDescent="0.25">
      <c r="A462" t="s">
        <v>596</v>
      </c>
      <c r="B462" t="s">
        <v>642</v>
      </c>
      <c r="C462" t="s">
        <v>532</v>
      </c>
      <c r="E462" s="6">
        <v>2.270959258</v>
      </c>
      <c r="F462" s="11">
        <v>0</v>
      </c>
      <c r="G462" s="32">
        <v>1160</v>
      </c>
      <c r="H462" s="32">
        <v>0</v>
      </c>
      <c r="I462" s="31">
        <v>0</v>
      </c>
      <c r="J462" s="31">
        <v>0</v>
      </c>
    </row>
    <row r="463" spans="1:10" x14ac:dyDescent="0.25">
      <c r="A463" t="s">
        <v>603</v>
      </c>
      <c r="B463" t="s">
        <v>642</v>
      </c>
      <c r="C463" t="s">
        <v>533</v>
      </c>
      <c r="E463" s="6">
        <v>0.81060245060000002</v>
      </c>
      <c r="F463" s="11">
        <v>0</v>
      </c>
      <c r="G463" s="32">
        <v>1161</v>
      </c>
      <c r="H463" s="32">
        <v>0</v>
      </c>
      <c r="I463" s="31">
        <v>0</v>
      </c>
      <c r="J463" s="31">
        <v>0</v>
      </c>
    </row>
  </sheetData>
  <conditionalFormatting pivot="1" sqref="E5:E4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5:F4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5:F463">
    <cfRule type="cellIs" dxfId="7" priority="3" operator="equal">
      <formula>0</formula>
    </cfRule>
  </conditionalFormatting>
  <conditionalFormatting pivot="1" sqref="G5:G46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5:G463">
    <cfRule type="cellIs" dxfId="6" priority="1" operator="equal">
      <formula>0</formula>
    </cfRule>
  </conditionalFormatting>
  <conditionalFormatting pivot="1" sqref="H5:H4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5:G46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5:I463">
    <cfRule type="colorScale" priority="7">
      <colorScale>
        <cfvo type="num" val="MIN(_xlfn._xlws.FILTER(rDK_OPOY,rDK_OPOY&gt;0))"/>
        <cfvo type="percentile" val="70"/>
        <cfvo type="max"/>
        <color rgb="FF63BE7B"/>
        <color rgb="FFFFEB84"/>
        <color rgb="FFF8696B"/>
      </colorScale>
    </cfRule>
  </conditionalFormatting>
  <conditionalFormatting pivot="1" sqref="I5:I463">
    <cfRule type="cellIs" dxfId="5" priority="2" operator="equal">
      <formula>0</formula>
    </cfRule>
  </conditionalFormatting>
  <conditionalFormatting pivot="1" sqref="J5:J463">
    <cfRule type="colorScale" priority="5">
      <colorScale>
        <cfvo type="num" val="MIN(_xlfn._xlws.FILTER(rDK_OROY,rDK_OROY&gt;0))"/>
        <cfvo type="percentile" val="90"/>
        <cfvo type="max"/>
        <color rgb="FF63BE7B"/>
        <color rgb="FFFFEB84"/>
        <color rgb="FFF8696B"/>
      </colorScale>
    </cfRule>
  </conditionalFormatting>
  <conditionalFormatting pivot="1" sqref="J5:J463">
    <cfRule type="cellIs" dxfId="4" priority="4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7B25-C605-4F0A-B66C-99A5384CA895}">
  <sheetPr codeName="Sheet2"/>
  <dimension ref="A1:B9"/>
  <sheetViews>
    <sheetView workbookViewId="0"/>
  </sheetViews>
  <sheetFormatPr defaultRowHeight="15" x14ac:dyDescent="0.25"/>
  <cols>
    <col min="1" max="1" width="13.85546875" bestFit="1" customWidth="1"/>
    <col min="2" max="2" width="8.85546875" customWidth="1"/>
  </cols>
  <sheetData>
    <row r="1" spans="1:2" x14ac:dyDescent="0.25">
      <c r="A1" t="s">
        <v>455</v>
      </c>
      <c r="B1" t="s">
        <v>456</v>
      </c>
    </row>
    <row r="2" spans="1:2" x14ac:dyDescent="0.25">
      <c r="A2" t="s">
        <v>2</v>
      </c>
      <c r="B2">
        <v>4</v>
      </c>
    </row>
    <row r="3" spans="1:2" x14ac:dyDescent="0.25">
      <c r="A3" t="s">
        <v>3</v>
      </c>
      <c r="B3">
        <v>-2</v>
      </c>
    </row>
    <row r="4" spans="1:2" x14ac:dyDescent="0.25">
      <c r="A4" t="s">
        <v>7</v>
      </c>
      <c r="B4">
        <v>6</v>
      </c>
    </row>
    <row r="5" spans="1:2" x14ac:dyDescent="0.25">
      <c r="A5" t="s">
        <v>6</v>
      </c>
      <c r="B5">
        <v>0.1</v>
      </c>
    </row>
    <row r="6" spans="1:2" x14ac:dyDescent="0.25">
      <c r="A6" t="s">
        <v>4</v>
      </c>
      <c r="B6">
        <v>0.1</v>
      </c>
    </row>
    <row r="7" spans="1:2" x14ac:dyDescent="0.25">
      <c r="A7" t="s">
        <v>5</v>
      </c>
      <c r="B7">
        <v>6</v>
      </c>
    </row>
    <row r="8" spans="1:2" x14ac:dyDescent="0.25">
      <c r="A8" t="s">
        <v>8</v>
      </c>
      <c r="B8">
        <v>0.5</v>
      </c>
    </row>
    <row r="9" spans="1:2" x14ac:dyDescent="0.25">
      <c r="A9" t="s">
        <v>1</v>
      </c>
      <c r="B9">
        <f>0.2/5</f>
        <v>0.04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A931C-9546-40E7-841E-9BABD19AA48F}">
  <sheetPr codeName="Sheet1"/>
  <dimension ref="B2:L10"/>
  <sheetViews>
    <sheetView showGridLines="0" zoomScale="145" zoomScaleNormal="145" workbookViewId="0"/>
  </sheetViews>
  <sheetFormatPr defaultRowHeight="15" x14ac:dyDescent="0.25"/>
  <cols>
    <col min="2" max="2" width="21.7109375" bestFit="1" customWidth="1"/>
  </cols>
  <sheetData>
    <row r="2" spans="2:12" ht="15.75" thickBot="1" x14ac:dyDescent="0.3">
      <c r="B2" s="12" t="s">
        <v>558</v>
      </c>
    </row>
    <row r="3" spans="2:12" x14ac:dyDescent="0.25">
      <c r="B3" s="16" t="s">
        <v>559</v>
      </c>
      <c r="C3" s="17" t="s">
        <v>560</v>
      </c>
      <c r="D3" s="17"/>
      <c r="E3" s="17"/>
      <c r="F3" s="17"/>
      <c r="G3" s="17"/>
      <c r="H3" s="17"/>
      <c r="I3" s="17"/>
      <c r="J3" s="17"/>
      <c r="K3" s="18"/>
    </row>
    <row r="4" spans="2:12" x14ac:dyDescent="0.25">
      <c r="B4" s="19"/>
      <c r="K4" s="20"/>
    </row>
    <row r="5" spans="2:12" ht="15.75" thickBot="1" x14ac:dyDescent="0.3">
      <c r="B5" s="21"/>
      <c r="C5" s="22"/>
      <c r="D5" s="22"/>
      <c r="E5" s="22"/>
      <c r="F5" s="22"/>
      <c r="G5" s="22"/>
      <c r="H5" s="22"/>
      <c r="I5" s="22"/>
      <c r="J5" s="22"/>
      <c r="K5" s="23"/>
    </row>
    <row r="7" spans="2:12" ht="15.75" thickBot="1" x14ac:dyDescent="0.3">
      <c r="B7" s="12" t="s">
        <v>459</v>
      </c>
      <c r="E7" s="12" t="s">
        <v>554</v>
      </c>
    </row>
    <row r="8" spans="2:12" x14ac:dyDescent="0.25">
      <c r="B8" s="14" t="s">
        <v>458</v>
      </c>
      <c r="C8" s="15" t="s">
        <v>460</v>
      </c>
      <c r="E8" s="16" t="s">
        <v>556</v>
      </c>
      <c r="F8" s="17"/>
      <c r="G8" s="17"/>
      <c r="H8" s="17"/>
      <c r="I8" s="17"/>
      <c r="J8" s="17"/>
      <c r="K8" s="17"/>
      <c r="L8" s="18"/>
    </row>
    <row r="9" spans="2:12" x14ac:dyDescent="0.25">
      <c r="B9" s="3" t="s">
        <v>457</v>
      </c>
      <c r="C9" s="5" t="str" cm="1">
        <f t="array" aca="1" ref="C9" ca="1">IF(SUMPRODUCT(--(ISNA(MATCH(rDK_Players, rESPN_Players, 0))),--NOT(rDK_OROY&gt;10000),--NOT(rDK_OPOY&gt;10000)),"Check Names in Scoring","OK")</f>
        <v>OK</v>
      </c>
      <c r="E9" s="19" t="s">
        <v>555</v>
      </c>
      <c r="L9" s="20"/>
    </row>
    <row r="10" spans="2:12" ht="15.75" thickBot="1" x14ac:dyDescent="0.3">
      <c r="B10" s="4" t="s">
        <v>551</v>
      </c>
      <c r="C10" s="13" t="str" cm="1">
        <f t="array" aca="1" ref="C10" ca="1">IF(SUMPRODUCT(--ISERROR(rPivotSource)),"Check formulas in Combined tab","OK")</f>
        <v>OK</v>
      </c>
      <c r="E10" s="21" t="s">
        <v>557</v>
      </c>
      <c r="F10" s="22"/>
      <c r="G10" s="22"/>
      <c r="H10" s="22"/>
      <c r="I10" s="22"/>
      <c r="J10" s="22"/>
      <c r="K10" s="22"/>
      <c r="L10" s="23"/>
    </row>
  </sheetData>
  <conditionalFormatting sqref="C9:C10">
    <cfRule type="containsText" dxfId="43" priority="1" operator="containsText" text="Check">
      <formula>NOT(ISERROR(SEARCH("Check",C9)))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6B01C-70DF-427F-ABBD-65098E5FD13E}">
  <sheetPr codeName="CombinedSheet"/>
  <dimension ref="A1:AJ518"/>
  <sheetViews>
    <sheetView workbookViewId="0"/>
  </sheetViews>
  <sheetFormatPr defaultRowHeight="15" x14ac:dyDescent="0.25"/>
  <cols>
    <col min="1" max="1" width="24.28515625" bestFit="1" customWidth="1"/>
    <col min="2" max="2" width="8.28515625" bestFit="1" customWidth="1"/>
    <col min="3" max="3" width="6.5703125" bestFit="1" customWidth="1"/>
    <col min="4" max="4" width="8.7109375" bestFit="1" customWidth="1"/>
    <col min="5" max="5" width="7" bestFit="1" customWidth="1"/>
    <col min="6" max="6" width="14" bestFit="1" customWidth="1"/>
    <col min="7" max="7" width="16.140625" bestFit="1" customWidth="1"/>
    <col min="8" max="8" width="14.42578125" bestFit="1" customWidth="1"/>
    <col min="9" max="9" width="17.28515625" bestFit="1" customWidth="1"/>
    <col min="10" max="10" width="19.42578125" bestFit="1" customWidth="1"/>
    <col min="11" max="11" width="17.7109375" bestFit="1" customWidth="1"/>
    <col min="12" max="12" width="7" bestFit="1" customWidth="1"/>
    <col min="13" max="13" width="9.140625" bestFit="1" customWidth="1"/>
    <col min="14" max="14" width="9.5703125" bestFit="1" customWidth="1"/>
    <col min="15" max="15" width="11.7109375" bestFit="1" customWidth="1"/>
    <col min="16" max="16" width="10" bestFit="1" customWidth="1"/>
    <col min="17" max="17" width="12.7109375" bestFit="1" customWidth="1"/>
    <col min="18" max="18" width="15" bestFit="1" customWidth="1"/>
    <col min="19" max="19" width="13.28515625" bestFit="1" customWidth="1"/>
    <col min="20" max="20" width="7.42578125" bestFit="1" customWidth="1"/>
    <col min="21" max="21" width="10.85546875" bestFit="1" customWidth="1"/>
    <col min="22" max="22" width="13.140625" bestFit="1" customWidth="1"/>
    <col min="23" max="23" width="11.28515625" bestFit="1" customWidth="1"/>
    <col min="24" max="24" width="14.140625" bestFit="1" customWidth="1"/>
    <col min="25" max="25" width="16.28515625" bestFit="1" customWidth="1"/>
    <col min="26" max="26" width="14.5703125" bestFit="1" customWidth="1"/>
    <col min="27" max="27" width="8.85546875" bestFit="1" customWidth="1"/>
    <col min="28" max="28" width="11.140625" bestFit="1" customWidth="1"/>
    <col min="29" max="29" width="8" bestFit="1" customWidth="1"/>
    <col min="30" max="30" width="6" bestFit="1" customWidth="1"/>
    <col min="31" max="31" width="34.7109375" bestFit="1" customWidth="1"/>
    <col min="32" max="32" width="16.28515625" bestFit="1" customWidth="1"/>
    <col min="33" max="33" width="9.5703125" bestFit="1" customWidth="1"/>
    <col min="34" max="34" width="14.140625" bestFit="1" customWidth="1"/>
    <col min="36" max="36" width="5" bestFit="1" customWidth="1"/>
    <col min="39" max="39" width="8.140625" bestFit="1" customWidth="1"/>
    <col min="40" max="40" width="14.42578125" bestFit="1" customWidth="1"/>
    <col min="41" max="41" width="10" bestFit="1" customWidth="1"/>
    <col min="42" max="42" width="13.28515625" bestFit="1" customWidth="1"/>
    <col min="43" max="43" width="11.28515625" bestFit="1" customWidth="1"/>
  </cols>
  <sheetData>
    <row r="1" spans="1:36" x14ac:dyDescent="0.25">
      <c r="A1" t="s">
        <v>0</v>
      </c>
      <c r="B1" t="s">
        <v>531</v>
      </c>
      <c r="C1" t="s">
        <v>497</v>
      </c>
      <c r="D1" t="s">
        <v>498</v>
      </c>
      <c r="E1" t="s">
        <v>499</v>
      </c>
      <c r="F1" t="s">
        <v>500</v>
      </c>
      <c r="G1" t="s">
        <v>501</v>
      </c>
      <c r="H1" t="s">
        <v>502</v>
      </c>
      <c r="I1" t="s">
        <v>503</v>
      </c>
      <c r="J1" t="s">
        <v>504</v>
      </c>
      <c r="K1" t="s">
        <v>505</v>
      </c>
      <c r="L1" t="s">
        <v>506</v>
      </c>
      <c r="M1" t="s">
        <v>507</v>
      </c>
      <c r="N1" t="s">
        <v>508</v>
      </c>
      <c r="O1" t="s">
        <v>509</v>
      </c>
      <c r="P1" t="s">
        <v>510</v>
      </c>
      <c r="Q1" t="s">
        <v>511</v>
      </c>
      <c r="R1" t="s">
        <v>512</v>
      </c>
      <c r="S1" t="s">
        <v>513</v>
      </c>
      <c r="T1" t="s">
        <v>514</v>
      </c>
      <c r="U1" t="s">
        <v>515</v>
      </c>
      <c r="V1" t="s">
        <v>516</v>
      </c>
      <c r="W1" t="s">
        <v>517</v>
      </c>
      <c r="X1" t="s">
        <v>518</v>
      </c>
      <c r="Y1" t="s">
        <v>519</v>
      </c>
      <c r="Z1" t="s">
        <v>520</v>
      </c>
      <c r="AA1" t="s">
        <v>112</v>
      </c>
      <c r="AB1" t="s">
        <v>111</v>
      </c>
      <c r="AC1" t="s">
        <v>461</v>
      </c>
      <c r="AD1" t="s">
        <v>462</v>
      </c>
      <c r="AE1" t="s">
        <v>521</v>
      </c>
      <c r="AF1" s="7" t="s">
        <v>549</v>
      </c>
      <c r="AG1" s="7" t="s">
        <v>522</v>
      </c>
      <c r="AH1" s="7" t="s">
        <v>550</v>
      </c>
      <c r="AI1" s="7" t="s">
        <v>640</v>
      </c>
      <c r="AJ1" s="7" t="s">
        <v>548</v>
      </c>
    </row>
    <row r="2" spans="1:36" x14ac:dyDescent="0.25">
      <c r="A2" t="s">
        <v>9</v>
      </c>
      <c r="B2" s="1" t="s">
        <v>534</v>
      </c>
      <c r="C2" s="1">
        <v>0</v>
      </c>
      <c r="D2" s="1">
        <v>12.60124042</v>
      </c>
      <c r="E2" s="1">
        <v>0</v>
      </c>
      <c r="F2" s="1">
        <v>19.5</v>
      </c>
      <c r="G2" s="1">
        <v>17.0504389</v>
      </c>
      <c r="H2" s="1">
        <v>2.4495610999999999</v>
      </c>
      <c r="I2" s="1">
        <v>3500.5</v>
      </c>
      <c r="J2" s="1">
        <v>3127.1638910000001</v>
      </c>
      <c r="K2" s="1">
        <v>373.336108999999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2.4149513310000001</v>
      </c>
      <c r="W2" s="1">
        <v>0</v>
      </c>
      <c r="X2" s="1">
        <v>0</v>
      </c>
      <c r="Y2" s="1">
        <v>180.36373259999999</v>
      </c>
      <c r="Z2" s="1">
        <v>0</v>
      </c>
      <c r="AA2" s="1">
        <v>423</v>
      </c>
      <c r="AB2" s="1">
        <v>0</v>
      </c>
      <c r="AC2" s="1">
        <v>0</v>
      </c>
      <c r="AD2">
        <v>0</v>
      </c>
      <c r="AE2" t="s">
        <v>561</v>
      </c>
      <c r="AF2" s="8" cm="1">
        <f t="array" aca="1" ref="AF2" ca="1">fScore_Total("ESPN",aCols)</f>
        <v>200.61191164600004</v>
      </c>
      <c r="AG2" s="8" cm="1">
        <f t="array" aca="1" ref="AG2" ca="1">-fScore_Total("diff",aCols)</f>
        <v>-24.731688759999962</v>
      </c>
      <c r="AH2" s="8">
        <f ca="1">+AF2+AG2</f>
        <v>175.88022288600007</v>
      </c>
      <c r="AI2" s="8" t="str">
        <f>IF(B2="QB","QB","FLEX")</f>
        <v>QB</v>
      </c>
      <c r="AJ2" s="8"/>
    </row>
    <row r="3" spans="1:36" x14ac:dyDescent="0.25">
      <c r="A3" t="s">
        <v>10</v>
      </c>
      <c r="B3" s="1" t="s">
        <v>534</v>
      </c>
      <c r="C3" s="1">
        <v>0</v>
      </c>
      <c r="D3" s="1">
        <v>6.7068598399999999</v>
      </c>
      <c r="E3" s="1">
        <v>0</v>
      </c>
      <c r="F3" s="1">
        <v>18.5</v>
      </c>
      <c r="G3" s="1">
        <v>9.9225614709999999</v>
      </c>
      <c r="H3" s="1">
        <v>8.5774385290000001</v>
      </c>
      <c r="I3" s="1">
        <v>2925.5</v>
      </c>
      <c r="J3" s="1">
        <v>2158.5123979999998</v>
      </c>
      <c r="K3" s="1">
        <v>766.98760200000004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1.5828317169999999</v>
      </c>
      <c r="W3" s="1">
        <v>0</v>
      </c>
      <c r="X3" s="1">
        <v>0</v>
      </c>
      <c r="Y3" s="1">
        <v>100.1357481</v>
      </c>
      <c r="Z3" s="1">
        <v>0</v>
      </c>
      <c r="AA3" s="1">
        <v>388</v>
      </c>
      <c r="AB3" s="1">
        <v>0</v>
      </c>
      <c r="AC3" s="1">
        <v>20000</v>
      </c>
      <c r="AD3">
        <v>0</v>
      </c>
      <c r="AE3" t="s">
        <v>524</v>
      </c>
      <c r="AF3" s="8" cm="1">
        <f t="array" aca="1" ref="AF3" ca="1">fScore_Total("ESPN",aCols)</f>
        <v>132.12758723599998</v>
      </c>
      <c r="AG3" s="8" cm="1">
        <f t="array" aca="1" ref="AG3" ca="1">-fScore_Total("diff",aCols)</f>
        <v>-64.989258196000009</v>
      </c>
      <c r="AH3" s="8">
        <f t="shared" ref="AH3:AH5" ca="1" si="0">+AF3+AG3</f>
        <v>67.138329039999974</v>
      </c>
      <c r="AI3" s="8" t="str">
        <f t="shared" ref="AI3:AI66" si="1">IF(B3="QB","QB","FLEX")</f>
        <v>QB</v>
      </c>
      <c r="AJ3" s="8"/>
    </row>
    <row r="4" spans="1:36" x14ac:dyDescent="0.25">
      <c r="A4" t="s">
        <v>11</v>
      </c>
      <c r="B4" s="1" t="s">
        <v>534</v>
      </c>
      <c r="C4" s="1">
        <v>10.5</v>
      </c>
      <c r="D4" s="1">
        <v>12.4294683</v>
      </c>
      <c r="E4" s="1">
        <v>-1.9294682999999999</v>
      </c>
      <c r="F4" s="1">
        <v>22.5</v>
      </c>
      <c r="G4" s="1">
        <v>23.142974049999999</v>
      </c>
      <c r="H4" s="1">
        <v>-0.64297404999999896</v>
      </c>
      <c r="I4" s="1">
        <v>3900.5</v>
      </c>
      <c r="J4" s="1">
        <v>4056.0946260000001</v>
      </c>
      <c r="K4" s="1">
        <v>-155.59462600000001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0.97853151100000002</v>
      </c>
      <c r="W4" s="1">
        <v>0</v>
      </c>
      <c r="X4" s="1">
        <v>0</v>
      </c>
      <c r="Y4" s="1">
        <v>68.192145319999995</v>
      </c>
      <c r="Z4" s="1">
        <v>0</v>
      </c>
      <c r="AA4" s="1">
        <v>270</v>
      </c>
      <c r="AB4" s="1">
        <v>0</v>
      </c>
      <c r="AC4" s="1">
        <v>20000</v>
      </c>
      <c r="AD4">
        <v>0</v>
      </c>
      <c r="AE4" t="s">
        <v>637</v>
      </c>
      <c r="AF4" s="8" cm="1">
        <f t="array" aca="1" ref="AF4" ca="1">fScore_Total("ESPN",aCols)</f>
        <v>242.647148238</v>
      </c>
      <c r="AG4" s="8" cm="1">
        <f t="array" aca="1" ref="AG4" ca="1">-fScore_Total("diff",aCols)</f>
        <v>4.9367446399999961</v>
      </c>
      <c r="AH4" s="8">
        <f t="shared" ca="1" si="0"/>
        <v>247.583892878</v>
      </c>
      <c r="AI4" s="8" t="str">
        <f t="shared" si="1"/>
        <v>QB</v>
      </c>
      <c r="AJ4" s="8"/>
    </row>
    <row r="5" spans="1:36" x14ac:dyDescent="0.25">
      <c r="A5" t="s">
        <v>12</v>
      </c>
      <c r="B5" s="1" t="s">
        <v>534</v>
      </c>
      <c r="C5" s="1">
        <v>9.5</v>
      </c>
      <c r="D5" s="1">
        <v>11.785359270000001</v>
      </c>
      <c r="E5" s="1">
        <v>-2.2853592699999998</v>
      </c>
      <c r="F5" s="1">
        <v>18.5</v>
      </c>
      <c r="G5" s="1">
        <v>15.935090600000001</v>
      </c>
      <c r="H5" s="1">
        <v>2.5649093999999901</v>
      </c>
      <c r="I5" s="1">
        <v>3200.5</v>
      </c>
      <c r="J5" s="1">
        <v>3388.6800790000002</v>
      </c>
      <c r="K5" s="1">
        <v>-188.18007900000001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7.5</v>
      </c>
      <c r="V5" s="1">
        <v>9.0709624810000005</v>
      </c>
      <c r="W5" s="1">
        <v>-1.570962481</v>
      </c>
      <c r="X5" s="1">
        <v>550.5</v>
      </c>
      <c r="Y5" s="1">
        <v>544.28095029999997</v>
      </c>
      <c r="Z5" s="1">
        <v>6.2190497000000198</v>
      </c>
      <c r="AA5" s="1">
        <v>62</v>
      </c>
      <c r="AB5" s="1">
        <v>9</v>
      </c>
      <c r="AC5" s="1">
        <v>5000</v>
      </c>
      <c r="AD5">
        <v>0</v>
      </c>
      <c r="AE5" t="s">
        <v>637</v>
      </c>
      <c r="AF5" s="8" cm="1">
        <f t="array" aca="1" ref="AF5" ca="1">fScore_Total("ESPN",aCols)</f>
        <v>284.570716936</v>
      </c>
      <c r="AG5" s="8" cm="1">
        <f t="array" aca="1" ref="AG5" ca="1">-fScore_Total("diff",aCols)</f>
        <v>1.5007169360000372</v>
      </c>
      <c r="AH5" s="8">
        <f t="shared" ca="1" si="0"/>
        <v>286.07143387200006</v>
      </c>
      <c r="AI5" s="8" t="str">
        <f t="shared" si="1"/>
        <v>QB</v>
      </c>
      <c r="AJ5" s="8"/>
    </row>
    <row r="6" spans="1:36" x14ac:dyDescent="0.25">
      <c r="A6" t="s">
        <v>13</v>
      </c>
      <c r="B6" s="1" t="s">
        <v>534</v>
      </c>
      <c r="C6" s="1">
        <v>9.5</v>
      </c>
      <c r="D6" s="1">
        <v>11.57715576</v>
      </c>
      <c r="E6" s="1">
        <v>-2.0771557600000001</v>
      </c>
      <c r="F6" s="1">
        <v>21.5</v>
      </c>
      <c r="G6" s="1">
        <v>17.390881629999999</v>
      </c>
      <c r="H6" s="1">
        <v>4.10911837</v>
      </c>
      <c r="I6" s="1">
        <v>3550.5</v>
      </c>
      <c r="J6" s="1">
        <v>3565.7942979999998</v>
      </c>
      <c r="K6" s="1">
        <v>-15.294297999999699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5.2320703039999996</v>
      </c>
      <c r="W6" s="1">
        <v>0</v>
      </c>
      <c r="X6" s="1">
        <v>475.5</v>
      </c>
      <c r="Y6" s="1">
        <v>487.24725169999999</v>
      </c>
      <c r="Z6" s="1">
        <v>-11.7472516999999</v>
      </c>
      <c r="AA6" s="1">
        <v>105</v>
      </c>
      <c r="AB6" s="1">
        <v>3</v>
      </c>
      <c r="AC6" s="1">
        <v>10000</v>
      </c>
      <c r="AD6">
        <v>0</v>
      </c>
      <c r="AE6" t="s">
        <v>526</v>
      </c>
      <c r="AF6" s="8" cm="1">
        <f t="array" aca="1" ref="AF6" ca="1">fScore_Total("ESPN",aCols)</f>
        <v>269.15813391400002</v>
      </c>
      <c r="AG6" s="8" cm="1">
        <f t="array" aca="1" ref="AG6" ca="1">-fScore_Total("diff",aCols)</f>
        <v>-18.804287910000021</v>
      </c>
      <c r="AH6" s="8">
        <f t="shared" ref="AH6:AH69" ca="1" si="2">+AF6+AG6</f>
        <v>250.35384600399999</v>
      </c>
      <c r="AI6" s="8" t="str">
        <f t="shared" si="1"/>
        <v>QB</v>
      </c>
      <c r="AJ6" s="8"/>
    </row>
    <row r="7" spans="1:36" x14ac:dyDescent="0.25">
      <c r="A7" t="s">
        <v>14</v>
      </c>
      <c r="B7" s="1" t="s">
        <v>534</v>
      </c>
      <c r="C7" s="1">
        <v>0</v>
      </c>
      <c r="D7" s="1">
        <v>12.75008006</v>
      </c>
      <c r="E7" s="1">
        <v>0</v>
      </c>
      <c r="F7" s="1">
        <v>18.5</v>
      </c>
      <c r="G7" s="1">
        <v>16.811417670000001</v>
      </c>
      <c r="H7" s="1">
        <v>1.68858232999999</v>
      </c>
      <c r="I7" s="1">
        <v>3100.5</v>
      </c>
      <c r="J7" s="1">
        <v>3153.6845130000002</v>
      </c>
      <c r="K7" s="1">
        <v>-53.184513000000102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3.5</v>
      </c>
      <c r="V7" s="1">
        <v>1.8263438750000001</v>
      </c>
      <c r="W7" s="1">
        <v>1.6736561249999999</v>
      </c>
      <c r="X7" s="1">
        <v>0</v>
      </c>
      <c r="Y7" s="1">
        <v>189.396795</v>
      </c>
      <c r="Z7" s="1">
        <v>0</v>
      </c>
      <c r="AA7" s="1">
        <v>318</v>
      </c>
      <c r="AB7" s="1">
        <v>0</v>
      </c>
      <c r="AC7" s="1">
        <v>20000</v>
      </c>
      <c r="AD7">
        <v>1000</v>
      </c>
      <c r="AE7" t="s">
        <v>562</v>
      </c>
      <c r="AF7" s="8" cm="1">
        <f t="array" aca="1" ref="AF7" ca="1">fScore_Total("ESPN",aCols)</f>
        <v>197.79063383000005</v>
      </c>
      <c r="AG7" s="8" cm="1">
        <f t="array" aca="1" ref="AG7" ca="1">-fScore_Total("diff",aCols)</f>
        <v>-14.668885549999956</v>
      </c>
      <c r="AH7" s="8">
        <f t="shared" ca="1" si="2"/>
        <v>183.12174828000008</v>
      </c>
      <c r="AI7" s="8" t="str">
        <f t="shared" si="1"/>
        <v>QB</v>
      </c>
      <c r="AJ7" s="8"/>
    </row>
    <row r="8" spans="1:36" x14ac:dyDescent="0.25">
      <c r="A8" t="s">
        <v>15</v>
      </c>
      <c r="B8" s="1" t="s">
        <v>534</v>
      </c>
      <c r="C8" s="1">
        <v>8.5</v>
      </c>
      <c r="D8" s="1">
        <v>10.675378520000001</v>
      </c>
      <c r="E8" s="1">
        <v>-2.1753785200000002</v>
      </c>
      <c r="F8" s="1">
        <v>16.5</v>
      </c>
      <c r="G8" s="1">
        <v>14.021176410000001</v>
      </c>
      <c r="H8" s="1">
        <v>2.47882358999999</v>
      </c>
      <c r="I8" s="1">
        <v>2800.5</v>
      </c>
      <c r="J8" s="1">
        <v>3284.9904489999999</v>
      </c>
      <c r="K8" s="1">
        <v>-484.49044899999899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2.9789552879999999</v>
      </c>
      <c r="W8" s="1">
        <v>0</v>
      </c>
      <c r="X8" s="1">
        <v>0</v>
      </c>
      <c r="Y8" s="1">
        <v>486.45426509999999</v>
      </c>
      <c r="Z8" s="1">
        <v>0</v>
      </c>
      <c r="AA8" s="1">
        <v>277</v>
      </c>
      <c r="AB8" s="1">
        <v>0</v>
      </c>
      <c r="AC8" s="1">
        <v>20000</v>
      </c>
      <c r="AD8">
        <v>0</v>
      </c>
      <c r="AE8" t="s">
        <v>637</v>
      </c>
      <c r="AF8" s="8" cm="1">
        <f t="array" aca="1" ref="AF8" ca="1">fScore_Total("ESPN",aCols)</f>
        <v>232.65272479800001</v>
      </c>
      <c r="AG8" s="8" cm="1">
        <f t="array" aca="1" ref="AG8" ca="1">-fScore_Total("diff",aCols)</f>
        <v>5.1135665599999989</v>
      </c>
      <c r="AH8" s="8">
        <f t="shared" ca="1" si="2"/>
        <v>237.76629135800002</v>
      </c>
      <c r="AI8" s="8" t="str">
        <f t="shared" si="1"/>
        <v>QB</v>
      </c>
      <c r="AJ8" s="8"/>
    </row>
    <row r="9" spans="1:36" x14ac:dyDescent="0.25">
      <c r="A9" t="s">
        <v>16</v>
      </c>
      <c r="B9" s="1" t="s">
        <v>534</v>
      </c>
      <c r="C9" s="1">
        <v>10.5</v>
      </c>
      <c r="D9" s="1">
        <v>10.13020661</v>
      </c>
      <c r="E9" s="1">
        <v>0.369793389999999</v>
      </c>
      <c r="F9" s="1">
        <v>25.5</v>
      </c>
      <c r="G9" s="1">
        <v>23.136184020000002</v>
      </c>
      <c r="H9" s="1">
        <v>2.3638159799999898</v>
      </c>
      <c r="I9" s="1">
        <v>4050.5</v>
      </c>
      <c r="J9" s="1">
        <v>3753.5334859999998</v>
      </c>
      <c r="K9" s="1">
        <v>296.96651400000002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1.8281136899999999</v>
      </c>
      <c r="W9" s="1">
        <v>0</v>
      </c>
      <c r="X9" s="1">
        <v>0</v>
      </c>
      <c r="Y9" s="1">
        <v>51.167192069999999</v>
      </c>
      <c r="Z9" s="1">
        <v>0</v>
      </c>
      <c r="AA9" s="1">
        <v>214</v>
      </c>
      <c r="AB9" s="1">
        <v>0</v>
      </c>
      <c r="AC9" s="1">
        <v>15000</v>
      </c>
      <c r="AD9">
        <v>0</v>
      </c>
      <c r="AE9" t="s">
        <v>563</v>
      </c>
      <c r="AF9" s="8" cm="1">
        <f t="array" aca="1" ref="AF9" ca="1">fScore_Total("ESPN",aCols)</f>
        <v>238.51106364699999</v>
      </c>
      <c r="AG9" s="8" cm="1">
        <f t="array" aca="1" ref="AG9" ca="1">-fScore_Total("diff",aCols)</f>
        <v>-20.594337699999961</v>
      </c>
      <c r="AH9" s="8">
        <f t="shared" ca="1" si="2"/>
        <v>217.91672594700003</v>
      </c>
      <c r="AI9" s="8" t="str">
        <f t="shared" si="1"/>
        <v>QB</v>
      </c>
      <c r="AJ9" s="8"/>
    </row>
    <row r="10" spans="1:36" x14ac:dyDescent="0.25">
      <c r="A10" t="s">
        <v>17</v>
      </c>
      <c r="B10" s="1" t="s">
        <v>534</v>
      </c>
      <c r="C10" s="1">
        <v>12.5</v>
      </c>
      <c r="D10" s="1">
        <v>13.52611355</v>
      </c>
      <c r="E10" s="1">
        <v>-1.02611354999999</v>
      </c>
      <c r="F10" s="1">
        <v>18.5</v>
      </c>
      <c r="G10" s="1">
        <v>15.21986693</v>
      </c>
      <c r="H10" s="1">
        <v>3.28013306999999</v>
      </c>
      <c r="I10" s="1">
        <v>3150.5</v>
      </c>
      <c r="J10" s="1">
        <v>3461.8488189999998</v>
      </c>
      <c r="K10" s="1">
        <v>-311.34881899999903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5.5</v>
      </c>
      <c r="V10" s="1">
        <v>5.0886542849999996</v>
      </c>
      <c r="W10" s="1">
        <v>0.411345715</v>
      </c>
      <c r="X10" s="1">
        <v>550.5</v>
      </c>
      <c r="Y10" s="1">
        <v>587.23477349999996</v>
      </c>
      <c r="Z10" s="1">
        <v>-36.734773499999903</v>
      </c>
      <c r="AA10" s="1">
        <v>117</v>
      </c>
      <c r="AB10" s="1">
        <v>2</v>
      </c>
      <c r="AC10" s="1">
        <v>12000</v>
      </c>
      <c r="AD10">
        <v>475</v>
      </c>
      <c r="AE10" t="s">
        <v>637</v>
      </c>
      <c r="AF10" s="8" cm="1">
        <f t="array" aca="1" ref="AF10" ca="1">fScore_Total("ESPN",aCols)</f>
        <v>261.55659644000002</v>
      </c>
      <c r="AG10" s="8" cm="1">
        <f t="array" aca="1" ref="AG10" ca="1">-fScore_Total("diff",aCols)</f>
        <v>-1.5134035599999893</v>
      </c>
      <c r="AH10" s="8">
        <f t="shared" ca="1" si="2"/>
        <v>260.04319288000005</v>
      </c>
      <c r="AI10" s="8" t="str">
        <f t="shared" si="1"/>
        <v>QB</v>
      </c>
      <c r="AJ10" s="8"/>
    </row>
    <row r="11" spans="1:36" x14ac:dyDescent="0.25">
      <c r="A11" t="s">
        <v>18</v>
      </c>
      <c r="B11" s="1" t="s">
        <v>534</v>
      </c>
      <c r="C11" s="1">
        <v>12.5</v>
      </c>
      <c r="D11" s="1">
        <v>12.45175399</v>
      </c>
      <c r="E11" s="1">
        <v>4.8246009999999701E-2</v>
      </c>
      <c r="F11" s="1">
        <v>27.5</v>
      </c>
      <c r="G11" s="1">
        <v>23.02469404</v>
      </c>
      <c r="H11" s="1">
        <v>4.47530596</v>
      </c>
      <c r="I11" s="1">
        <v>3750.5</v>
      </c>
      <c r="J11" s="1">
        <v>3752.977198</v>
      </c>
      <c r="K11" s="1">
        <v>-2.47719800000004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9.5</v>
      </c>
      <c r="V11" s="1">
        <v>8.5714553149999997</v>
      </c>
      <c r="W11" s="1">
        <v>0.92854468499999998</v>
      </c>
      <c r="X11" s="1">
        <v>480.5</v>
      </c>
      <c r="Y11" s="1">
        <v>495.73247429999998</v>
      </c>
      <c r="Z11" s="1">
        <v>-15.2324742999999</v>
      </c>
      <c r="AA11" s="1">
        <v>35</v>
      </c>
      <c r="AB11" s="1">
        <v>22</v>
      </c>
      <c r="AC11" s="1">
        <v>6500</v>
      </c>
      <c r="AD11">
        <v>0</v>
      </c>
      <c r="AE11" t="s">
        <v>526</v>
      </c>
      <c r="AF11" s="8" cm="1">
        <f t="array" aca="1" ref="AF11" ca="1">fScore_Total("ESPN",aCols)</f>
        <v>318.31633541999997</v>
      </c>
      <c r="AG11" s="8" cm="1">
        <f t="array" aca="1" ref="AG11" ca="1">-fScore_Total("diff",aCols)</f>
        <v>-21.753664580000006</v>
      </c>
      <c r="AH11" s="8">
        <f t="shared" ca="1" si="2"/>
        <v>296.56267083999995</v>
      </c>
      <c r="AI11" s="8" t="str">
        <f t="shared" si="1"/>
        <v>QB</v>
      </c>
      <c r="AJ11" s="8"/>
    </row>
    <row r="12" spans="1:36" x14ac:dyDescent="0.25">
      <c r="A12" t="s">
        <v>19</v>
      </c>
      <c r="B12" s="1" t="s">
        <v>534</v>
      </c>
      <c r="C12" s="1">
        <v>7.5</v>
      </c>
      <c r="D12" s="1">
        <v>11.157714110000001</v>
      </c>
      <c r="E12" s="1">
        <v>-3.6577141100000001</v>
      </c>
      <c r="F12" s="1">
        <v>22.5</v>
      </c>
      <c r="G12" s="1">
        <v>22.00716384</v>
      </c>
      <c r="H12" s="1">
        <v>0.49283615999999902</v>
      </c>
      <c r="I12" s="1">
        <v>3250.5</v>
      </c>
      <c r="J12" s="1">
        <v>3396.2095100000001</v>
      </c>
      <c r="K12" s="1">
        <v>-145.70950999999999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4.5</v>
      </c>
      <c r="V12" s="1">
        <v>5.6808812739999999</v>
      </c>
      <c r="W12" s="1">
        <v>-1.1808812739999901</v>
      </c>
      <c r="X12" s="1">
        <v>675.5</v>
      </c>
      <c r="Y12" s="1">
        <v>737.42541110000002</v>
      </c>
      <c r="Z12" s="1">
        <v>-61.925411099999998</v>
      </c>
      <c r="AA12" s="1">
        <v>51</v>
      </c>
      <c r="AB12" s="1">
        <v>13</v>
      </c>
      <c r="AC12" s="1">
        <v>7000</v>
      </c>
      <c r="AD12">
        <v>0</v>
      </c>
      <c r="AE12" t="s">
        <v>637</v>
      </c>
      <c r="AF12" s="8" cm="1">
        <f t="array" aca="1" ref="AF12" ca="1">fScore_Total("ESPN",aCols)</f>
        <v>309.38943629400001</v>
      </c>
      <c r="AG12" s="8" cm="1">
        <f t="array" aca="1" ref="AG12" ca="1">-fScore_Total("diff",aCols)</f>
        <v>9.8194362939999458</v>
      </c>
      <c r="AH12" s="8">
        <f t="shared" ca="1" si="2"/>
        <v>319.20887258799996</v>
      </c>
      <c r="AI12" s="8" t="str">
        <f t="shared" si="1"/>
        <v>QB</v>
      </c>
      <c r="AJ12" s="8"/>
    </row>
    <row r="13" spans="1:36" x14ac:dyDescent="0.25">
      <c r="A13" t="s">
        <v>20</v>
      </c>
      <c r="B13" s="1" t="s">
        <v>534</v>
      </c>
      <c r="C13" s="1">
        <v>11.5</v>
      </c>
      <c r="D13" s="1">
        <v>11.161446919999999</v>
      </c>
      <c r="E13" s="1">
        <v>0.33855308000000001</v>
      </c>
      <c r="F13" s="1">
        <v>21.5</v>
      </c>
      <c r="G13" s="1">
        <v>20.586038670000001</v>
      </c>
      <c r="H13" s="1">
        <v>0.91396132999999902</v>
      </c>
      <c r="I13" s="1">
        <v>3350.5</v>
      </c>
      <c r="J13" s="1">
        <v>3813.2749739999999</v>
      </c>
      <c r="K13" s="1">
        <v>-462.77497399999902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0.48928778899999997</v>
      </c>
      <c r="W13" s="1">
        <v>0</v>
      </c>
      <c r="X13" s="1">
        <v>0</v>
      </c>
      <c r="Y13" s="1">
        <v>83.00616599</v>
      </c>
      <c r="Z13" s="1">
        <v>0</v>
      </c>
      <c r="AA13" s="1">
        <v>383</v>
      </c>
      <c r="AB13" s="1">
        <v>0</v>
      </c>
      <c r="AC13" s="1">
        <v>20000</v>
      </c>
      <c r="AD13">
        <v>0</v>
      </c>
      <c r="AE13" t="s">
        <v>564</v>
      </c>
      <c r="AF13" s="8" cm="1">
        <f t="array" aca="1" ref="AF13" ca="1">fScore_Total("ESPN",aCols)</f>
        <v>223.78860313300001</v>
      </c>
      <c r="AG13" s="8" cm="1">
        <f t="array" aca="1" ref="AG13" ca="1">-fScore_Total("diff",aCols)</f>
        <v>15.532259799999967</v>
      </c>
      <c r="AH13" s="8">
        <f t="shared" ca="1" si="2"/>
        <v>239.32086293299997</v>
      </c>
      <c r="AI13" s="8" t="str">
        <f t="shared" si="1"/>
        <v>QB</v>
      </c>
      <c r="AJ13" s="8"/>
    </row>
    <row r="14" spans="1:36" x14ac:dyDescent="0.25">
      <c r="A14" t="s">
        <v>21</v>
      </c>
      <c r="B14" s="1" t="s">
        <v>534</v>
      </c>
      <c r="C14" s="1">
        <v>7.5</v>
      </c>
      <c r="D14" s="1">
        <v>9.0527273430000008</v>
      </c>
      <c r="E14" s="1">
        <v>-1.5527273429999999</v>
      </c>
      <c r="F14" s="1">
        <v>26.5</v>
      </c>
      <c r="G14" s="1">
        <v>27.210867029999999</v>
      </c>
      <c r="H14" s="1">
        <v>-0.71086702999999896</v>
      </c>
      <c r="I14" s="1">
        <v>3650.5</v>
      </c>
      <c r="J14" s="1">
        <v>3849.855204</v>
      </c>
      <c r="K14" s="1">
        <v>-199.35520399999899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2.0730321940000001</v>
      </c>
      <c r="W14" s="1">
        <v>0</v>
      </c>
      <c r="X14" s="1">
        <v>0</v>
      </c>
      <c r="Y14" s="1">
        <v>109.46645100000001</v>
      </c>
      <c r="Z14" s="1">
        <v>0</v>
      </c>
      <c r="AA14" s="1">
        <v>144</v>
      </c>
      <c r="AB14" s="1">
        <v>2</v>
      </c>
      <c r="AC14" s="1">
        <v>10000</v>
      </c>
      <c r="AD14">
        <v>0</v>
      </c>
      <c r="AE14" t="s">
        <v>637</v>
      </c>
      <c r="AF14" s="8" cm="1">
        <f t="array" aca="1" ref="AF14" ca="1">fScore_Total("ESPN",aCols)</f>
        <v>268.117059858</v>
      </c>
      <c r="AG14" s="8" cm="1">
        <f t="array" aca="1" ref="AG14" ca="1">-fScore_Total("diff",aCols)</f>
        <v>7.7122215939999563</v>
      </c>
      <c r="AH14" s="8">
        <f t="shared" ca="1" si="2"/>
        <v>275.82928145199998</v>
      </c>
      <c r="AI14" s="8" t="str">
        <f t="shared" si="1"/>
        <v>QB</v>
      </c>
      <c r="AJ14" s="8"/>
    </row>
    <row r="15" spans="1:36" x14ac:dyDescent="0.25">
      <c r="A15" t="s">
        <v>22</v>
      </c>
      <c r="B15" s="1" t="s">
        <v>534</v>
      </c>
      <c r="C15" s="1">
        <v>10.5</v>
      </c>
      <c r="D15" s="1">
        <v>11.26852585</v>
      </c>
      <c r="E15" s="1">
        <v>-0.76852584999999896</v>
      </c>
      <c r="F15" s="1">
        <v>22.5</v>
      </c>
      <c r="G15" s="1">
        <v>20.94957325</v>
      </c>
      <c r="H15" s="1">
        <v>1.55042674999999</v>
      </c>
      <c r="I15" s="1">
        <v>3600.5</v>
      </c>
      <c r="J15" s="1">
        <v>3623.4440220000001</v>
      </c>
      <c r="K15" s="1">
        <v>-22.9440220000001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9.5</v>
      </c>
      <c r="V15" s="1">
        <v>9.9441202050000008</v>
      </c>
      <c r="W15" s="1">
        <v>-0.44412020499999999</v>
      </c>
      <c r="X15" s="1">
        <v>550.5</v>
      </c>
      <c r="Y15" s="1">
        <v>535.97716319999995</v>
      </c>
      <c r="Z15" s="1">
        <v>14.5228368</v>
      </c>
      <c r="AA15" s="1">
        <v>39</v>
      </c>
      <c r="AB15" s="1">
        <v>21</v>
      </c>
      <c r="AC15" s="1">
        <v>6000</v>
      </c>
      <c r="AD15">
        <v>0</v>
      </c>
      <c r="AE15" t="s">
        <v>637</v>
      </c>
      <c r="AF15" s="8" cm="1">
        <f t="array" aca="1" ref="AF15" ca="1">fScore_Total("ESPN",aCols)</f>
        <v>319.46143973000005</v>
      </c>
      <c r="AG15" s="8" cm="1">
        <f t="array" aca="1" ref="AG15" ca="1">-fScore_Total("diff",aCols)</f>
        <v>-5.6085602699999528</v>
      </c>
      <c r="AH15" s="8">
        <f t="shared" ca="1" si="2"/>
        <v>313.85287946000011</v>
      </c>
      <c r="AI15" s="8" t="str">
        <f t="shared" si="1"/>
        <v>QB</v>
      </c>
      <c r="AJ15" s="8"/>
    </row>
    <row r="16" spans="1:36" x14ac:dyDescent="0.25">
      <c r="A16" t="s">
        <v>23</v>
      </c>
      <c r="B16" s="1" t="s">
        <v>534</v>
      </c>
      <c r="C16" s="1">
        <v>12.5</v>
      </c>
      <c r="D16" s="1">
        <v>12.543527689999999</v>
      </c>
      <c r="E16" s="1">
        <v>-4.3527689999999397E-2</v>
      </c>
      <c r="F16" s="1">
        <v>20.5</v>
      </c>
      <c r="G16" s="1">
        <v>20.508465489999999</v>
      </c>
      <c r="H16" s="1">
        <v>-8.46548999999896E-3</v>
      </c>
      <c r="I16" s="1">
        <v>3400.5</v>
      </c>
      <c r="J16" s="1">
        <v>3812.2506800000001</v>
      </c>
      <c r="K16" s="1">
        <v>-411.75067999999999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2.0445339890000001</v>
      </c>
      <c r="W16" s="1">
        <v>0</v>
      </c>
      <c r="X16" s="1">
        <v>0</v>
      </c>
      <c r="Y16" s="1">
        <v>162.89434510000001</v>
      </c>
      <c r="Z16" s="1">
        <v>0</v>
      </c>
      <c r="AA16" s="1">
        <v>282</v>
      </c>
      <c r="AB16" s="1">
        <v>0</v>
      </c>
      <c r="AC16" s="1">
        <v>20000</v>
      </c>
      <c r="AD16">
        <v>0</v>
      </c>
      <c r="AE16" t="s">
        <v>565</v>
      </c>
      <c r="AF16" s="8" cm="1">
        <f t="array" aca="1" ref="AF16" ca="1">fScore_Total("ESPN",aCols)</f>
        <v>237.99347222400004</v>
      </c>
      <c r="AG16" s="8" cm="1">
        <f t="array" aca="1" ref="AG16" ca="1">-fScore_Total("diff",aCols)</f>
        <v>16.416833779999997</v>
      </c>
      <c r="AH16" s="8">
        <f t="shared" ca="1" si="2"/>
        <v>254.41030600400003</v>
      </c>
      <c r="AI16" s="8" t="str">
        <f t="shared" si="1"/>
        <v>QB</v>
      </c>
      <c r="AJ16" s="8"/>
    </row>
    <row r="17" spans="1:36" x14ac:dyDescent="0.25">
      <c r="A17" t="s">
        <v>24</v>
      </c>
      <c r="B17" s="1" t="s">
        <v>534</v>
      </c>
      <c r="C17" s="1">
        <v>9.5</v>
      </c>
      <c r="D17" s="1">
        <v>10.616827260000001</v>
      </c>
      <c r="E17" s="1">
        <v>-1.11682726</v>
      </c>
      <c r="F17" s="1">
        <v>19.5</v>
      </c>
      <c r="G17" s="1">
        <v>20.653771410000001</v>
      </c>
      <c r="H17" s="1">
        <v>-1.1537714100000001</v>
      </c>
      <c r="I17" s="1">
        <v>3300.5</v>
      </c>
      <c r="J17" s="1">
        <v>3795.5988179999999</v>
      </c>
      <c r="K17" s="1">
        <v>-495.09881799999903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2.5575046960000001</v>
      </c>
      <c r="W17" s="1">
        <v>0</v>
      </c>
      <c r="X17" s="1">
        <v>0</v>
      </c>
      <c r="Y17" s="1">
        <v>361.92465950000002</v>
      </c>
      <c r="Z17" s="1">
        <v>0</v>
      </c>
      <c r="AA17" s="1">
        <v>166</v>
      </c>
      <c r="AB17" s="1">
        <v>1</v>
      </c>
      <c r="AC17" s="1">
        <v>15000</v>
      </c>
      <c r="AD17">
        <v>0</v>
      </c>
      <c r="AE17" t="s">
        <v>566</v>
      </c>
      <c r="AF17" s="8" cm="1">
        <f t="array" aca="1" ref="AF17" ca="1">fScore_Total("ESPN",aCols)</f>
        <v>264.74287796599998</v>
      </c>
      <c r="AG17" s="8" cm="1">
        <f t="array" aca="1" ref="AG17" ca="1">-fScore_Total("diff",aCols)</f>
        <v>22.185383839999965</v>
      </c>
      <c r="AH17" s="8">
        <f t="shared" ca="1" si="2"/>
        <v>286.92826180599997</v>
      </c>
      <c r="AI17" s="8" t="str">
        <f t="shared" si="1"/>
        <v>QB</v>
      </c>
      <c r="AJ17" s="8"/>
    </row>
    <row r="18" spans="1:36" x14ac:dyDescent="0.25">
      <c r="A18" t="s">
        <v>25</v>
      </c>
      <c r="B18" s="1" t="s">
        <v>534</v>
      </c>
      <c r="C18" s="1">
        <v>10.5</v>
      </c>
      <c r="D18" s="1">
        <v>12.648819899999999</v>
      </c>
      <c r="E18" s="1">
        <v>-2.1488198999999901</v>
      </c>
      <c r="F18" s="1">
        <v>27.5</v>
      </c>
      <c r="G18" s="1">
        <v>26.395372519999999</v>
      </c>
      <c r="H18" s="1">
        <v>1.10462748</v>
      </c>
      <c r="I18" s="1">
        <v>3900.5</v>
      </c>
      <c r="J18" s="1">
        <v>3720.2118930000001</v>
      </c>
      <c r="K18" s="1">
        <v>180.288106999999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2.5393800679999998</v>
      </c>
      <c r="W18" s="1">
        <v>0</v>
      </c>
      <c r="X18" s="1">
        <v>0</v>
      </c>
      <c r="Y18" s="1">
        <v>209.40185600000001</v>
      </c>
      <c r="Z18" s="1">
        <v>0</v>
      </c>
      <c r="AA18" s="1">
        <v>107</v>
      </c>
      <c r="AB18" s="1">
        <v>3</v>
      </c>
      <c r="AC18" s="1">
        <v>7500</v>
      </c>
      <c r="AD18">
        <v>0</v>
      </c>
      <c r="AE18" t="s">
        <v>567</v>
      </c>
      <c r="AF18" s="8" cm="1">
        <f t="array" aca="1" ref="AF18" ca="1">fScore_Total("ESPN",aCols)</f>
        <v>265.26879200799999</v>
      </c>
      <c r="AG18" s="8" cm="1">
        <f t="array" aca="1" ref="AG18" ca="1">-fScore_Total("diff",aCols)</f>
        <v>-15.927673999999939</v>
      </c>
      <c r="AH18" s="8">
        <f t="shared" ca="1" si="2"/>
        <v>249.34111800800005</v>
      </c>
      <c r="AI18" s="8" t="str">
        <f t="shared" si="1"/>
        <v>QB</v>
      </c>
      <c r="AJ18" s="8"/>
    </row>
    <row r="19" spans="1:36" x14ac:dyDescent="0.25">
      <c r="A19" t="s">
        <v>26</v>
      </c>
      <c r="B19" s="1" t="s">
        <v>534</v>
      </c>
      <c r="C19" s="1">
        <v>12.5</v>
      </c>
      <c r="D19" s="1">
        <v>12.457242770000001</v>
      </c>
      <c r="E19" s="1">
        <v>4.2757229999999397E-2</v>
      </c>
      <c r="F19" s="1">
        <v>22.5</v>
      </c>
      <c r="G19" s="1">
        <v>20.464372099999999</v>
      </c>
      <c r="H19" s="1">
        <v>2.0356279000000002</v>
      </c>
      <c r="I19" s="1">
        <v>3800.5</v>
      </c>
      <c r="J19" s="1">
        <v>3770.7600779999998</v>
      </c>
      <c r="K19" s="1">
        <v>29.739922000000199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3.1615680089999998</v>
      </c>
      <c r="W19" s="1">
        <v>0</v>
      </c>
      <c r="X19" s="1">
        <v>0</v>
      </c>
      <c r="Y19" s="1">
        <v>281.47992679999999</v>
      </c>
      <c r="Z19" s="1">
        <v>0</v>
      </c>
      <c r="AA19" s="1">
        <v>168</v>
      </c>
      <c r="AB19" s="1">
        <v>1</v>
      </c>
      <c r="AC19" s="1">
        <v>15000</v>
      </c>
      <c r="AD19">
        <v>0</v>
      </c>
      <c r="AE19" t="s">
        <v>637</v>
      </c>
      <c r="AF19" s="8" cm="1">
        <f t="array" aca="1" ref="AF19" ca="1">fScore_Total("ESPN",aCols)</f>
        <v>254.89080671400001</v>
      </c>
      <c r="AG19" s="8" cm="1">
        <f t="array" aca="1" ref="AG19" ca="1">-fScore_Total("diff",aCols)</f>
        <v>-9.2465940200000105</v>
      </c>
      <c r="AH19" s="8">
        <f t="shared" ca="1" si="2"/>
        <v>245.644212694</v>
      </c>
      <c r="AI19" s="8" t="str">
        <f t="shared" si="1"/>
        <v>QB</v>
      </c>
      <c r="AJ19" s="8"/>
    </row>
    <row r="20" spans="1:36" x14ac:dyDescent="0.25">
      <c r="A20" t="s">
        <v>27</v>
      </c>
      <c r="B20" s="1" t="s">
        <v>534</v>
      </c>
      <c r="C20" s="1">
        <v>8.5</v>
      </c>
      <c r="D20" s="1">
        <v>11.03075484</v>
      </c>
      <c r="E20" s="1">
        <v>-2.5307548400000002</v>
      </c>
      <c r="F20" s="1">
        <v>27.5</v>
      </c>
      <c r="G20" s="1">
        <v>24.85774893</v>
      </c>
      <c r="H20" s="1">
        <v>2.6422510699999999</v>
      </c>
      <c r="I20" s="1">
        <v>3800.5</v>
      </c>
      <c r="J20" s="1">
        <v>3958.1655820000001</v>
      </c>
      <c r="K20" s="1">
        <v>-157.665582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1.5868922599999999</v>
      </c>
      <c r="W20" s="1">
        <v>0</v>
      </c>
      <c r="X20" s="1">
        <v>0</v>
      </c>
      <c r="Y20" s="1">
        <v>117.8267172</v>
      </c>
      <c r="Z20" s="1">
        <v>0</v>
      </c>
      <c r="AA20" s="1">
        <v>149</v>
      </c>
      <c r="AB20" s="1">
        <v>2</v>
      </c>
      <c r="AC20" s="1">
        <v>10000</v>
      </c>
      <c r="AD20">
        <v>0</v>
      </c>
      <c r="AE20" t="s">
        <v>637</v>
      </c>
      <c r="AF20" s="8" cm="1">
        <f t="array" aca="1" ref="AF20" ca="1">fScore_Total("ESPN",aCols)</f>
        <v>257.00013460000002</v>
      </c>
      <c r="AG20" s="8" cm="1">
        <f t="array" aca="1" ref="AG20" ca="1">-fScore_Total("diff",aCols)</f>
        <v>-9.3238906799999999</v>
      </c>
      <c r="AH20" s="8">
        <f t="shared" ca="1" si="2"/>
        <v>247.67624392000002</v>
      </c>
      <c r="AI20" s="8" t="str">
        <f t="shared" si="1"/>
        <v>QB</v>
      </c>
      <c r="AJ20" s="8"/>
    </row>
    <row r="21" spans="1:36" x14ac:dyDescent="0.25">
      <c r="A21" t="s">
        <v>28</v>
      </c>
      <c r="B21" s="1" t="s">
        <v>534</v>
      </c>
      <c r="C21" s="1">
        <v>9.5</v>
      </c>
      <c r="D21" s="1">
        <v>10.775035559999999</v>
      </c>
      <c r="E21" s="1">
        <v>-1.2750355599999901</v>
      </c>
      <c r="F21" s="1">
        <v>28.5</v>
      </c>
      <c r="G21" s="1">
        <v>24.182402750000001</v>
      </c>
      <c r="H21" s="1">
        <v>4.3175972499999897</v>
      </c>
      <c r="I21" s="1">
        <v>3900.5</v>
      </c>
      <c r="J21" s="1">
        <v>3909.1096830000001</v>
      </c>
      <c r="K21" s="1">
        <v>-8.6096830000001301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2.3089634600000002</v>
      </c>
      <c r="W21" s="1">
        <v>0</v>
      </c>
      <c r="X21" s="1">
        <v>0</v>
      </c>
      <c r="Y21" s="1">
        <v>173.09462529999999</v>
      </c>
      <c r="Z21" s="1">
        <v>0</v>
      </c>
      <c r="AA21" s="1">
        <v>109</v>
      </c>
      <c r="AB21" s="1">
        <v>3</v>
      </c>
      <c r="AC21" s="1">
        <v>10000</v>
      </c>
      <c r="AD21">
        <v>0</v>
      </c>
      <c r="AE21" t="s">
        <v>526</v>
      </c>
      <c r="AF21" s="8" cm="1">
        <f t="array" aca="1" ref="AF21" ca="1">fScore_Total("ESPN",aCols)</f>
        <v>262.70717049000007</v>
      </c>
      <c r="AG21" s="8" cm="1">
        <f t="array" aca="1" ref="AG21" ca="1">-fScore_Total("diff",aCols)</f>
        <v>-19.476072799999933</v>
      </c>
      <c r="AH21" s="8">
        <f t="shared" ca="1" si="2"/>
        <v>243.23109769000013</v>
      </c>
      <c r="AI21" s="8" t="str">
        <f t="shared" si="1"/>
        <v>QB</v>
      </c>
      <c r="AJ21" s="8"/>
    </row>
    <row r="22" spans="1:36" x14ac:dyDescent="0.25">
      <c r="A22" t="s">
        <v>29</v>
      </c>
      <c r="B22" s="1" t="s">
        <v>534</v>
      </c>
      <c r="C22" s="1">
        <v>9.5</v>
      </c>
      <c r="D22" s="1">
        <v>12.279953709999999</v>
      </c>
      <c r="E22" s="1">
        <v>-2.7799537099999898</v>
      </c>
      <c r="F22" s="1">
        <v>30.5</v>
      </c>
      <c r="G22" s="1">
        <v>26.615168409999999</v>
      </c>
      <c r="H22" s="1">
        <v>3.8848315900000001</v>
      </c>
      <c r="I22" s="1">
        <v>4100.5</v>
      </c>
      <c r="J22" s="1">
        <v>4078.9691189999999</v>
      </c>
      <c r="K22" s="1">
        <v>21.5308810000001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2.0471772279999998</v>
      </c>
      <c r="W22" s="1">
        <v>0</v>
      </c>
      <c r="X22" s="1">
        <v>0</v>
      </c>
      <c r="Y22" s="1">
        <v>227.11273890000001</v>
      </c>
      <c r="Z22" s="1">
        <v>0</v>
      </c>
      <c r="AA22" s="1">
        <v>69</v>
      </c>
      <c r="AB22" s="1">
        <v>8</v>
      </c>
      <c r="AC22" s="1">
        <v>10000</v>
      </c>
      <c r="AD22">
        <v>0</v>
      </c>
      <c r="AE22" t="s">
        <v>525</v>
      </c>
      <c r="AF22" s="8" cm="1">
        <f t="array" aca="1" ref="AF22" ca="1">fScore_Total("ESPN",aCols)</f>
        <v>280.05386823799995</v>
      </c>
      <c r="AG22" s="8" cm="1">
        <f t="array" aca="1" ref="AG22" ca="1">-fScore_Total("diff",aCols)</f>
        <v>-21.960469019999984</v>
      </c>
      <c r="AH22" s="8">
        <f t="shared" ca="1" si="2"/>
        <v>258.09339921799994</v>
      </c>
      <c r="AI22" s="8" t="str">
        <f t="shared" si="1"/>
        <v>QB</v>
      </c>
      <c r="AJ22" s="8"/>
    </row>
    <row r="23" spans="1:36" x14ac:dyDescent="0.25">
      <c r="A23" t="s">
        <v>30</v>
      </c>
      <c r="B23" s="1" t="s">
        <v>534</v>
      </c>
      <c r="C23" s="1">
        <v>10.5</v>
      </c>
      <c r="D23" s="1">
        <v>11.97313737</v>
      </c>
      <c r="E23" s="1">
        <v>-1.4731373699999999</v>
      </c>
      <c r="F23" s="1">
        <v>25.5</v>
      </c>
      <c r="G23" s="1">
        <v>22.915737289999999</v>
      </c>
      <c r="H23" s="1">
        <v>2.58426271</v>
      </c>
      <c r="I23" s="1">
        <v>4100.5</v>
      </c>
      <c r="J23" s="1">
        <v>4025.1765190000001</v>
      </c>
      <c r="K23" s="1">
        <v>75.323480999999902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1.034898155</v>
      </c>
      <c r="W23" s="1">
        <v>0</v>
      </c>
      <c r="X23" s="1">
        <v>0</v>
      </c>
      <c r="Y23" s="1">
        <v>113.79734740000001</v>
      </c>
      <c r="Z23" s="1">
        <v>0</v>
      </c>
      <c r="AA23" s="1">
        <v>212</v>
      </c>
      <c r="AB23" s="1">
        <v>0</v>
      </c>
      <c r="AC23" s="1">
        <v>15000</v>
      </c>
      <c r="AD23">
        <v>0</v>
      </c>
      <c r="AE23" t="s">
        <v>527</v>
      </c>
      <c r="AF23" s="8" cm="1">
        <f t="array" aca="1" ref="AF23" ca="1">fScore_Total("ESPN",aCols)</f>
        <v>246.31285885</v>
      </c>
      <c r="AG23" s="8" cm="1">
        <f t="array" aca="1" ref="AG23" ca="1">-fScore_Total("diff",aCols)</f>
        <v>-16.296264819999998</v>
      </c>
      <c r="AH23" s="8">
        <f t="shared" ca="1" si="2"/>
        <v>230.01659402999999</v>
      </c>
      <c r="AI23" s="8" t="str">
        <f t="shared" si="1"/>
        <v>QB</v>
      </c>
      <c r="AJ23" s="8"/>
    </row>
    <row r="24" spans="1:36" x14ac:dyDescent="0.25">
      <c r="A24" t="s">
        <v>31</v>
      </c>
      <c r="B24" s="1" t="s">
        <v>534</v>
      </c>
      <c r="C24" s="1">
        <v>11.5</v>
      </c>
      <c r="D24" s="1">
        <v>13.18917398</v>
      </c>
      <c r="E24" s="1">
        <v>-1.6891739799999901</v>
      </c>
      <c r="F24" s="1">
        <v>23.5</v>
      </c>
      <c r="G24" s="1">
        <v>22.964714870000002</v>
      </c>
      <c r="H24" s="1">
        <v>0.535285129999998</v>
      </c>
      <c r="I24" s="1">
        <v>3500.5</v>
      </c>
      <c r="J24" s="1">
        <v>3537.9534250000002</v>
      </c>
      <c r="K24" s="1">
        <v>-37.453425000000102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3.17266388</v>
      </c>
      <c r="W24" s="1">
        <v>0</v>
      </c>
      <c r="X24" s="1">
        <v>0</v>
      </c>
      <c r="Y24" s="1">
        <v>311.11597039999998</v>
      </c>
      <c r="Z24" s="1">
        <v>0</v>
      </c>
      <c r="AA24" s="1">
        <v>164</v>
      </c>
      <c r="AB24" s="1">
        <v>1</v>
      </c>
      <c r="AC24" s="1">
        <v>7500</v>
      </c>
      <c r="AD24">
        <v>135</v>
      </c>
      <c r="AE24" t="s">
        <v>637</v>
      </c>
      <c r="AF24" s="8" cm="1">
        <f t="array" aca="1" ref="AF24" ca="1">fScore_Total("ESPN",aCols)</f>
        <v>257.14622884000005</v>
      </c>
      <c r="AG24" s="8" cm="1">
        <f t="array" aca="1" ref="AG24" ca="1">-fScore_Total("diff",aCols)</f>
        <v>-4.0213514799999679</v>
      </c>
      <c r="AH24" s="8">
        <f t="shared" ca="1" si="2"/>
        <v>253.12487736000008</v>
      </c>
      <c r="AI24" s="8" t="str">
        <f t="shared" si="1"/>
        <v>QB</v>
      </c>
      <c r="AJ24" s="8"/>
    </row>
    <row r="25" spans="1:36" x14ac:dyDescent="0.25">
      <c r="A25" t="s">
        <v>32</v>
      </c>
      <c r="B25" s="1" t="s">
        <v>534</v>
      </c>
      <c r="C25" s="1">
        <v>9.5</v>
      </c>
      <c r="D25" s="1">
        <v>11.370627710000001</v>
      </c>
      <c r="E25" s="1">
        <v>-1.8706277099999999</v>
      </c>
      <c r="F25" s="1">
        <v>28.5</v>
      </c>
      <c r="G25" s="1">
        <v>26.767267329999999</v>
      </c>
      <c r="H25" s="1">
        <v>1.7327326700000001</v>
      </c>
      <c r="I25" s="1">
        <v>4000.5</v>
      </c>
      <c r="J25" s="1">
        <v>4127.8768389999996</v>
      </c>
      <c r="K25" s="1">
        <v>-127.37683899999899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2.575149626</v>
      </c>
      <c r="W25" s="1">
        <v>0</v>
      </c>
      <c r="X25" s="1">
        <v>0</v>
      </c>
      <c r="Y25" s="1">
        <v>174.03090209999999</v>
      </c>
      <c r="Z25" s="1">
        <v>0</v>
      </c>
      <c r="AA25" s="1">
        <v>67</v>
      </c>
      <c r="AB25" s="1">
        <v>9</v>
      </c>
      <c r="AC25" s="1">
        <v>7500</v>
      </c>
      <c r="AD25">
        <v>0</v>
      </c>
      <c r="AE25" t="s">
        <v>637</v>
      </c>
      <c r="AF25" s="8" cm="1">
        <f t="array" aca="1" ref="AF25" ca="1">fScore_Total("ESPN",aCols)</f>
        <v>282.29687542599999</v>
      </c>
      <c r="AG25" s="8" cm="1">
        <f t="array" aca="1" ref="AG25" ca="1">-fScore_Total("diff",aCols)</f>
        <v>-5.5771125400000416</v>
      </c>
      <c r="AH25" s="8">
        <f t="shared" ca="1" si="2"/>
        <v>276.71976288599996</v>
      </c>
      <c r="AI25" s="8" t="str">
        <f t="shared" si="1"/>
        <v>QB</v>
      </c>
      <c r="AJ25" s="8"/>
    </row>
    <row r="26" spans="1:36" x14ac:dyDescent="0.25">
      <c r="A26" t="s">
        <v>33</v>
      </c>
      <c r="B26" s="1" t="s">
        <v>534</v>
      </c>
      <c r="C26" s="1">
        <v>10.5</v>
      </c>
      <c r="D26" s="1">
        <v>11.63658468</v>
      </c>
      <c r="E26" s="1">
        <v>-1.1365846799999999</v>
      </c>
      <c r="F26" s="1">
        <v>18.5</v>
      </c>
      <c r="G26" s="1">
        <v>20.111568599999998</v>
      </c>
      <c r="H26" s="1">
        <v>-1.61156859999999</v>
      </c>
      <c r="I26" s="1">
        <v>3200.5</v>
      </c>
      <c r="J26" s="1">
        <v>3530.0175939999999</v>
      </c>
      <c r="K26" s="1">
        <v>-329.51759399999901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0.81496349499999998</v>
      </c>
      <c r="W26" s="1">
        <v>0</v>
      </c>
      <c r="X26" s="1">
        <v>0</v>
      </c>
      <c r="Y26" s="1">
        <v>267.50821860000002</v>
      </c>
      <c r="Z26" s="1">
        <v>0</v>
      </c>
      <c r="AA26" s="1">
        <v>275</v>
      </c>
      <c r="AB26" s="1">
        <v>0</v>
      </c>
      <c r="AC26" s="1">
        <v>20000</v>
      </c>
      <c r="AD26">
        <v>0</v>
      </c>
      <c r="AE26" t="s">
        <v>568</v>
      </c>
      <c r="AF26" s="8" cm="1">
        <f t="array" aca="1" ref="AF26" ca="1">fScore_Total("ESPN",aCols)</f>
        <v>230.01441163000001</v>
      </c>
      <c r="AG26" s="8" cm="1">
        <f t="array" aca="1" ref="AG26" ca="1">-fScore_Total("diff",aCols)</f>
        <v>17.353808799999921</v>
      </c>
      <c r="AH26" s="8">
        <f t="shared" ca="1" si="2"/>
        <v>247.36822042999992</v>
      </c>
      <c r="AI26" s="8" t="str">
        <f t="shared" si="1"/>
        <v>QB</v>
      </c>
      <c r="AJ26" s="8"/>
    </row>
    <row r="27" spans="1:36" x14ac:dyDescent="0.25">
      <c r="A27" t="s">
        <v>431</v>
      </c>
      <c r="B27" s="1" t="s">
        <v>534</v>
      </c>
      <c r="C27" s="1">
        <v>9.5</v>
      </c>
      <c r="D27" s="1">
        <v>10.746518439999999</v>
      </c>
      <c r="E27" s="1">
        <v>-1.24651843999999</v>
      </c>
      <c r="F27" s="1">
        <v>28.5</v>
      </c>
      <c r="G27" s="1">
        <v>26.874842009999998</v>
      </c>
      <c r="H27" s="1">
        <v>1.6251579899999999</v>
      </c>
      <c r="I27" s="1">
        <v>4150.5</v>
      </c>
      <c r="J27" s="1">
        <v>4048.706326</v>
      </c>
      <c r="K27" s="1">
        <v>101.793674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2.525954783</v>
      </c>
      <c r="W27" s="1">
        <v>0</v>
      </c>
      <c r="X27" s="1">
        <v>0</v>
      </c>
      <c r="Y27" s="1">
        <v>181.8641551</v>
      </c>
      <c r="Z27" s="1">
        <v>0</v>
      </c>
      <c r="AA27" s="1">
        <v>64</v>
      </c>
      <c r="AB27" s="1">
        <v>9</v>
      </c>
      <c r="AC27" s="1">
        <v>6500</v>
      </c>
      <c r="AD27">
        <v>0</v>
      </c>
      <c r="AE27" t="s">
        <v>528</v>
      </c>
      <c r="AF27" s="8" cm="1">
        <f t="array" aca="1" ref="AF27" ca="1">fScore_Total("ESPN",aCols)</f>
        <v>281.29672840800004</v>
      </c>
      <c r="AG27" s="8" cm="1">
        <f t="array" aca="1" ref="AG27" ca="1">-fScore_Total("diff",aCols)</f>
        <v>-13.065415799999979</v>
      </c>
      <c r="AH27" s="8">
        <f t="shared" ca="1" si="2"/>
        <v>268.23131260800005</v>
      </c>
      <c r="AI27" s="8" t="str">
        <f t="shared" si="1"/>
        <v>QB</v>
      </c>
      <c r="AJ27" s="8"/>
    </row>
    <row r="28" spans="1:36" x14ac:dyDescent="0.25">
      <c r="A28" t="s">
        <v>34</v>
      </c>
      <c r="B28" s="1" t="s">
        <v>534</v>
      </c>
      <c r="C28" s="1">
        <v>11.5</v>
      </c>
      <c r="D28" s="1">
        <v>12.10537236</v>
      </c>
      <c r="E28" s="1">
        <v>-0.60537236000000005</v>
      </c>
      <c r="F28" s="1">
        <v>23.5</v>
      </c>
      <c r="G28" s="1">
        <v>23.609087079999998</v>
      </c>
      <c r="H28" s="1">
        <v>-0.109087079999998</v>
      </c>
      <c r="I28" s="1">
        <v>3550.5</v>
      </c>
      <c r="J28" s="1">
        <v>3918.4828520000001</v>
      </c>
      <c r="K28" s="1">
        <v>-367.98285199999998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1.2398660029999999</v>
      </c>
      <c r="W28" s="1">
        <v>0</v>
      </c>
      <c r="X28" s="1">
        <v>0</v>
      </c>
      <c r="Y28" s="1">
        <v>161.07863420000001</v>
      </c>
      <c r="Z28" s="1">
        <v>0</v>
      </c>
      <c r="AA28" s="1">
        <v>314</v>
      </c>
      <c r="AB28" s="1">
        <v>0</v>
      </c>
      <c r="AC28" s="1">
        <v>25000</v>
      </c>
      <c r="AD28">
        <v>0</v>
      </c>
      <c r="AE28" t="s">
        <v>569</v>
      </c>
      <c r="AF28" s="8" cm="1">
        <f t="array" aca="1" ref="AF28" ca="1">fScore_Total("ESPN",aCols)</f>
        <v>250.511977118</v>
      </c>
      <c r="AG28" s="8" cm="1">
        <f t="array" aca="1" ref="AG28" ca="1">-fScore_Total("diff",aCols)</f>
        <v>13.944917679999993</v>
      </c>
      <c r="AH28" s="8">
        <f t="shared" ca="1" si="2"/>
        <v>264.45689479800001</v>
      </c>
      <c r="AI28" s="8" t="str">
        <f t="shared" si="1"/>
        <v>QB</v>
      </c>
      <c r="AJ28" s="8"/>
    </row>
    <row r="29" spans="1:36" x14ac:dyDescent="0.25">
      <c r="A29" t="s">
        <v>35</v>
      </c>
      <c r="B29" s="1" t="s">
        <v>534</v>
      </c>
      <c r="C29" s="1">
        <v>9.5</v>
      </c>
      <c r="D29" s="1">
        <v>10.938401259999999</v>
      </c>
      <c r="E29" s="1">
        <v>-1.43840125999999</v>
      </c>
      <c r="F29" s="1">
        <v>34.5</v>
      </c>
      <c r="G29" s="1">
        <v>33.231996950000003</v>
      </c>
      <c r="H29" s="1">
        <v>1.2680030499999899</v>
      </c>
      <c r="I29" s="1">
        <v>4350.5</v>
      </c>
      <c r="J29" s="1">
        <v>4033.5526530000002</v>
      </c>
      <c r="K29" s="1">
        <v>316.94734699999901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0.98335099500000001</v>
      </c>
      <c r="W29" s="1">
        <v>0</v>
      </c>
      <c r="X29" s="1">
        <v>0</v>
      </c>
      <c r="Y29" s="1">
        <v>337.07539750000001</v>
      </c>
      <c r="Z29" s="1">
        <v>0</v>
      </c>
      <c r="AA29" s="1">
        <v>53</v>
      </c>
      <c r="AB29" s="1">
        <v>13</v>
      </c>
      <c r="AC29" s="1">
        <v>5500</v>
      </c>
      <c r="AD29">
        <v>0</v>
      </c>
      <c r="AE29" t="s">
        <v>570</v>
      </c>
      <c r="AF29" s="8" cm="1">
        <f t="array" aca="1" ref="AF29" ca="1">fScore_Total("ESPN",aCols)</f>
        <v>312.00093712000006</v>
      </c>
      <c r="AG29" s="8" cm="1">
        <f t="array" aca="1" ref="AG29" ca="1">-fScore_Total("diff",aCols)</f>
        <v>-20.626708599999901</v>
      </c>
      <c r="AH29" s="8">
        <f t="shared" ca="1" si="2"/>
        <v>291.37422852000014</v>
      </c>
      <c r="AI29" s="8" t="str">
        <f t="shared" si="1"/>
        <v>QB</v>
      </c>
      <c r="AJ29" s="8"/>
    </row>
    <row r="30" spans="1:36" x14ac:dyDescent="0.25">
      <c r="A30" t="s">
        <v>36</v>
      </c>
      <c r="B30" s="1" t="s">
        <v>535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65.5</v>
      </c>
      <c r="M30" s="1">
        <v>64.045631729999997</v>
      </c>
      <c r="N30" s="1">
        <v>5.5</v>
      </c>
      <c r="O30" s="1">
        <v>5.3229086900000002</v>
      </c>
      <c r="P30" s="1">
        <v>0.177091309999999</v>
      </c>
      <c r="Q30" s="1">
        <v>725.5</v>
      </c>
      <c r="R30" s="1">
        <v>753.88920889999997</v>
      </c>
      <c r="S30" s="1">
        <v>-28.3892088999999</v>
      </c>
      <c r="T30" s="1">
        <v>1.45436827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120</v>
      </c>
      <c r="AB30" s="1">
        <v>2</v>
      </c>
      <c r="AC30" s="1">
        <v>20000</v>
      </c>
      <c r="AD30">
        <v>0</v>
      </c>
      <c r="AE30" t="s">
        <v>637</v>
      </c>
      <c r="AF30" s="8" cm="1">
        <f t="array" aca="1" ref="AF30" ca="1">fScore_Total("ESPN",aCols)</f>
        <v>139.349188895</v>
      </c>
      <c r="AG30" s="8" cm="1">
        <f t="array" aca="1" ref="AG30" ca="1">-fScore_Total("diff",aCols)</f>
        <v>1.0491888949999959</v>
      </c>
      <c r="AH30" s="8">
        <f t="shared" ca="1" si="2"/>
        <v>140.39837778999998</v>
      </c>
      <c r="AI30" s="8" t="str">
        <f t="shared" si="1"/>
        <v>FLEX</v>
      </c>
      <c r="AJ30" s="8"/>
    </row>
    <row r="31" spans="1:36" x14ac:dyDescent="0.25">
      <c r="A31" t="s">
        <v>37</v>
      </c>
      <c r="B31" s="1" t="s">
        <v>533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62.779271139999999</v>
      </c>
      <c r="N31" s="1">
        <v>4.5</v>
      </c>
      <c r="O31" s="1">
        <v>5.0808281710000003</v>
      </c>
      <c r="P31" s="1">
        <v>-0.58082817099999995</v>
      </c>
      <c r="Q31" s="1">
        <v>775.5</v>
      </c>
      <c r="R31" s="1">
        <v>766.56783180000002</v>
      </c>
      <c r="S31" s="1">
        <v>8.9321681999999694</v>
      </c>
      <c r="T31" s="1">
        <v>0</v>
      </c>
      <c r="U31" s="1">
        <v>0</v>
      </c>
      <c r="V31" s="1">
        <v>0.57400680000000004</v>
      </c>
      <c r="W31" s="1">
        <v>0</v>
      </c>
      <c r="X31" s="1">
        <v>0</v>
      </c>
      <c r="Y31" s="1">
        <v>86.037444170000001</v>
      </c>
      <c r="Z31" s="1">
        <v>0</v>
      </c>
      <c r="AA31" s="1">
        <v>95</v>
      </c>
      <c r="AB31" s="1">
        <v>4</v>
      </c>
      <c r="AC31" s="1">
        <v>12000</v>
      </c>
      <c r="AD31">
        <v>0</v>
      </c>
      <c r="AE31" t="s">
        <v>637</v>
      </c>
      <c r="AF31" s="8" cm="1">
        <f t="array" aca="1" ref="AF31" ca="1">fScore_Total("ESPN",aCols)</f>
        <v>150.57917299300001</v>
      </c>
      <c r="AG31" s="8" cm="1">
        <f t="array" aca="1" ref="AG31" ca="1">-fScore_Total("diff",aCols)</f>
        <v>2.5917522060000029</v>
      </c>
      <c r="AH31" s="8">
        <f t="shared" ca="1" si="2"/>
        <v>153.17092519900001</v>
      </c>
      <c r="AI31" s="8" t="str">
        <f t="shared" si="1"/>
        <v>FLEX</v>
      </c>
      <c r="AJ31" s="8"/>
    </row>
    <row r="32" spans="1:36" x14ac:dyDescent="0.25">
      <c r="A32" t="s">
        <v>38</v>
      </c>
      <c r="B32" s="1" t="s">
        <v>533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74.656419630000002</v>
      </c>
      <c r="N32" s="1">
        <v>4.5</v>
      </c>
      <c r="O32" s="1">
        <v>3.250391048</v>
      </c>
      <c r="P32" s="1">
        <v>1.249608952</v>
      </c>
      <c r="Q32" s="1">
        <v>925.5</v>
      </c>
      <c r="R32" s="1">
        <v>1008.80313</v>
      </c>
      <c r="S32" s="1">
        <v>-83.303129999999996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80</v>
      </c>
      <c r="AB32" s="1">
        <v>6</v>
      </c>
      <c r="AC32" s="1">
        <v>12000</v>
      </c>
      <c r="AD32">
        <v>0</v>
      </c>
      <c r="AE32" t="s">
        <v>637</v>
      </c>
      <c r="AF32" s="8" cm="1">
        <f t="array" aca="1" ref="AF32" ca="1">fScore_Total("ESPN",aCols)</f>
        <v>157.71086910299999</v>
      </c>
      <c r="AG32" s="8" cm="1">
        <f t="array" aca="1" ref="AG32" ca="1">-fScore_Total("diff",aCols)</f>
        <v>0.83265928800000033</v>
      </c>
      <c r="AH32" s="8">
        <f t="shared" ca="1" si="2"/>
        <v>158.543528391</v>
      </c>
      <c r="AI32" s="8" t="str">
        <f t="shared" si="1"/>
        <v>FLEX</v>
      </c>
      <c r="AJ32" s="8"/>
    </row>
    <row r="33" spans="1:36" x14ac:dyDescent="0.25">
      <c r="A33" t="s">
        <v>39</v>
      </c>
      <c r="B33" s="1" t="s">
        <v>533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68.871762910000001</v>
      </c>
      <c r="N33" s="1">
        <v>4.5</v>
      </c>
      <c r="O33" s="1">
        <v>4.1906564120000001</v>
      </c>
      <c r="P33" s="1">
        <v>0.309343587999999</v>
      </c>
      <c r="Q33" s="1">
        <v>775.5</v>
      </c>
      <c r="R33" s="1">
        <v>762.41489520000005</v>
      </c>
      <c r="S33" s="1">
        <v>13.0851047999999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131</v>
      </c>
      <c r="AB33" s="1">
        <v>2</v>
      </c>
      <c r="AC33" s="1">
        <v>15000</v>
      </c>
      <c r="AD33">
        <v>0</v>
      </c>
      <c r="AE33" t="s">
        <v>637</v>
      </c>
      <c r="AF33" s="8" cm="1">
        <f t="array" aca="1" ref="AF33" ca="1">fScore_Total("ESPN",aCols)</f>
        <v>135.821309447</v>
      </c>
      <c r="AG33" s="8" cm="1">
        <f t="array" aca="1" ref="AG33" ca="1">-fScore_Total("diff",aCols)</f>
        <v>-3.1645720079999839</v>
      </c>
      <c r="AH33" s="8">
        <f t="shared" ca="1" si="2"/>
        <v>132.65673743900001</v>
      </c>
      <c r="AI33" s="8" t="str">
        <f t="shared" si="1"/>
        <v>FLEX</v>
      </c>
      <c r="AJ33" s="8"/>
    </row>
    <row r="34" spans="1:36" x14ac:dyDescent="0.25">
      <c r="A34" t="s">
        <v>413</v>
      </c>
      <c r="B34" s="1" t="s">
        <v>533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75.214403309999994</v>
      </c>
      <c r="N34" s="1">
        <v>5.5</v>
      </c>
      <c r="O34" s="1">
        <v>6.8254017779999998</v>
      </c>
      <c r="P34" s="1">
        <v>-1.32540177799999</v>
      </c>
      <c r="Q34" s="1">
        <v>950.5</v>
      </c>
      <c r="R34" s="1">
        <v>1067.241217</v>
      </c>
      <c r="S34" s="1">
        <v>-116.74121700000001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33</v>
      </c>
      <c r="AB34" s="1">
        <v>24</v>
      </c>
      <c r="AC34" s="1">
        <v>12000</v>
      </c>
      <c r="AD34">
        <v>0</v>
      </c>
      <c r="AE34" t="s">
        <v>571</v>
      </c>
      <c r="AF34" s="8" cm="1">
        <f t="array" aca="1" ref="AF34" ca="1">fScore_Total("ESPN",aCols)</f>
        <v>185.28373402300002</v>
      </c>
      <c r="AG34" s="8" cm="1">
        <f t="array" aca="1" ref="AG34" ca="1">-fScore_Total("diff",aCols)</f>
        <v>19.626532367999943</v>
      </c>
      <c r="AH34" s="8">
        <f t="shared" ca="1" si="2"/>
        <v>204.91026639099996</v>
      </c>
      <c r="AI34" s="8" t="str">
        <f t="shared" si="1"/>
        <v>FLEX</v>
      </c>
      <c r="AJ34" s="8"/>
    </row>
    <row r="35" spans="1:36" x14ac:dyDescent="0.25">
      <c r="A35" t="s">
        <v>40</v>
      </c>
      <c r="B35" s="1" t="s">
        <v>533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81.394802229999996</v>
      </c>
      <c r="N35" s="1">
        <v>4.5</v>
      </c>
      <c r="O35" s="1">
        <v>5.3493986720000004</v>
      </c>
      <c r="P35" s="1">
        <v>-0.84939867199999997</v>
      </c>
      <c r="Q35" s="1">
        <v>850.5</v>
      </c>
      <c r="R35" s="1">
        <v>972.50487669999995</v>
      </c>
      <c r="S35" s="1">
        <v>-122.004876699999</v>
      </c>
      <c r="T35" s="1">
        <v>0</v>
      </c>
      <c r="U35" s="1">
        <v>0</v>
      </c>
      <c r="V35" s="1">
        <v>0.25733065500000002</v>
      </c>
      <c r="W35" s="1">
        <v>0</v>
      </c>
      <c r="X35" s="1">
        <v>0</v>
      </c>
      <c r="Y35" s="1">
        <v>24.335856239999998</v>
      </c>
      <c r="Z35" s="1">
        <v>0</v>
      </c>
      <c r="AA35" s="1">
        <v>58</v>
      </c>
      <c r="AB35" s="1">
        <v>10</v>
      </c>
      <c r="AC35" s="1">
        <v>15000</v>
      </c>
      <c r="AD35">
        <v>0</v>
      </c>
      <c r="AE35" t="s">
        <v>540</v>
      </c>
      <c r="AF35" s="8" cm="1">
        <f t="array" aca="1" ref="AF35" ca="1">fScore_Total("ESPN",aCols)</f>
        <v>174.021850371</v>
      </c>
      <c r="AG35" s="8" cm="1">
        <f t="array" aca="1" ref="AG35" ca="1">-fScore_Total("diff",aCols)</f>
        <v>17.296879701999902</v>
      </c>
      <c r="AH35" s="8">
        <f t="shared" ca="1" si="2"/>
        <v>191.3187300729999</v>
      </c>
      <c r="AI35" s="8" t="str">
        <f t="shared" si="1"/>
        <v>FLEX</v>
      </c>
      <c r="AJ35" s="8"/>
    </row>
    <row r="36" spans="1:36" x14ac:dyDescent="0.25">
      <c r="A36" t="s">
        <v>41</v>
      </c>
      <c r="B36" s="1" t="s">
        <v>535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65.429859820000004</v>
      </c>
      <c r="N36" s="1">
        <v>5.5</v>
      </c>
      <c r="O36" s="1">
        <v>5.4408097619999998</v>
      </c>
      <c r="P36" s="1">
        <v>5.91902380000002E-2</v>
      </c>
      <c r="Q36" s="1">
        <v>675.5</v>
      </c>
      <c r="R36" s="1">
        <v>674.98195999999996</v>
      </c>
      <c r="S36" s="1">
        <v>0.51804000000004102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121</v>
      </c>
      <c r="AB36" s="1">
        <v>2</v>
      </c>
      <c r="AC36" s="1">
        <v>25000</v>
      </c>
      <c r="AD36">
        <v>0</v>
      </c>
      <c r="AE36" t="s">
        <v>637</v>
      </c>
      <c r="AF36" s="8" cm="1">
        <f t="array" aca="1" ref="AF36" ca="1">fScore_Total("ESPN",aCols)</f>
        <v>132.85798448200001</v>
      </c>
      <c r="AG36" s="8" cm="1">
        <f t="array" aca="1" ref="AG36" ca="1">-fScore_Total("diff",aCols)</f>
        <v>-0.40694542800000533</v>
      </c>
      <c r="AH36" s="8">
        <f t="shared" ca="1" si="2"/>
        <v>132.45103905400001</v>
      </c>
      <c r="AI36" s="8" t="str">
        <f t="shared" si="1"/>
        <v>FLEX</v>
      </c>
      <c r="AJ36" s="8"/>
    </row>
    <row r="37" spans="1:36" x14ac:dyDescent="0.25">
      <c r="A37" t="s">
        <v>42</v>
      </c>
      <c r="B37" s="1" t="s">
        <v>535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56.8728956</v>
      </c>
      <c r="N37" s="1">
        <v>3.5</v>
      </c>
      <c r="O37" s="1">
        <v>3.8548246900000001</v>
      </c>
      <c r="P37" s="1">
        <v>-0.35482469</v>
      </c>
      <c r="Q37" s="1">
        <v>475.5</v>
      </c>
      <c r="R37" s="1">
        <v>589.60385880000001</v>
      </c>
      <c r="S37" s="1">
        <v>-114.1038588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172</v>
      </c>
      <c r="AB37" s="1">
        <v>1</v>
      </c>
      <c r="AC37" s="1">
        <v>0</v>
      </c>
      <c r="AD37">
        <v>0</v>
      </c>
      <c r="AE37" t="s">
        <v>536</v>
      </c>
      <c r="AF37" s="8" cm="1">
        <f t="array" aca="1" ref="AF37" ca="1">fScore_Total("ESPN",aCols)</f>
        <v>110.52578182000001</v>
      </c>
      <c r="AG37" s="8" cm="1">
        <f t="array" aca="1" ref="AG37" ca="1">-fScore_Total("diff",aCols)</f>
        <v>13.53933402</v>
      </c>
      <c r="AH37" s="8">
        <f t="shared" ca="1" si="2"/>
        <v>124.06511584</v>
      </c>
      <c r="AI37" s="8" t="str">
        <f t="shared" si="1"/>
        <v>FLEX</v>
      </c>
      <c r="AJ37" s="8"/>
    </row>
    <row r="38" spans="1:36" x14ac:dyDescent="0.25">
      <c r="A38" t="s">
        <v>43</v>
      </c>
      <c r="B38" s="1" t="s">
        <v>533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70.44518875</v>
      </c>
      <c r="N38" s="1">
        <v>4.5</v>
      </c>
      <c r="O38" s="1">
        <v>5.8129586819999997</v>
      </c>
      <c r="P38" s="1">
        <v>-1.3129586819999901</v>
      </c>
      <c r="Q38" s="1">
        <v>825.5</v>
      </c>
      <c r="R38" s="1">
        <v>943.60996709999995</v>
      </c>
      <c r="S38" s="1">
        <v>-118.109967099999</v>
      </c>
      <c r="T38" s="1">
        <v>0</v>
      </c>
      <c r="U38" s="1">
        <v>0</v>
      </c>
      <c r="V38" s="1">
        <v>0.583340529</v>
      </c>
      <c r="W38" s="1">
        <v>0</v>
      </c>
      <c r="X38" s="1">
        <v>0</v>
      </c>
      <c r="Y38" s="1">
        <v>92.943872459999994</v>
      </c>
      <c r="Z38" s="1">
        <v>0</v>
      </c>
      <c r="AA38" s="1">
        <v>59</v>
      </c>
      <c r="AB38" s="1">
        <v>10</v>
      </c>
      <c r="AC38" s="1">
        <v>15000</v>
      </c>
      <c r="AD38">
        <v>0</v>
      </c>
      <c r="AE38" t="s">
        <v>572</v>
      </c>
      <c r="AF38" s="8" cm="1">
        <f t="array" aca="1" ref="AF38" ca="1">fScore_Total("ESPN",aCols)</f>
        <v>177.25577359700003</v>
      </c>
      <c r="AG38" s="8" cm="1">
        <f t="array" aca="1" ref="AG38" ca="1">-fScore_Total("diff",aCols)</f>
        <v>19.688748801999843</v>
      </c>
      <c r="AH38" s="8">
        <f t="shared" ca="1" si="2"/>
        <v>196.94452239899988</v>
      </c>
      <c r="AI38" s="8" t="str">
        <f t="shared" si="1"/>
        <v>FLEX</v>
      </c>
      <c r="AJ38" s="8"/>
    </row>
    <row r="39" spans="1:36" x14ac:dyDescent="0.25">
      <c r="A39" t="s">
        <v>44</v>
      </c>
      <c r="B39" s="1" t="s">
        <v>533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64.5</v>
      </c>
      <c r="M39" s="1">
        <v>75.358557790000006</v>
      </c>
      <c r="N39" s="1">
        <v>4.5</v>
      </c>
      <c r="O39" s="1">
        <v>4.7357705829999999</v>
      </c>
      <c r="P39" s="1">
        <v>-0.23577058299999901</v>
      </c>
      <c r="Q39" s="1">
        <v>775.5</v>
      </c>
      <c r="R39" s="1">
        <v>883.85265679999998</v>
      </c>
      <c r="S39" s="1">
        <v>-108.352656799999</v>
      </c>
      <c r="T39" s="1">
        <v>-10.858557790000001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82</v>
      </c>
      <c r="AB39" s="1">
        <v>6</v>
      </c>
      <c r="AC39" s="1">
        <v>15000</v>
      </c>
      <c r="AD39">
        <v>0</v>
      </c>
      <c r="AE39" t="s">
        <v>537</v>
      </c>
      <c r="AF39" s="8" cm="1">
        <f t="array" aca="1" ref="AF39" ca="1">fScore_Total("ESPN",aCols)</f>
        <v>154.47916807300001</v>
      </c>
      <c r="AG39" s="8" cm="1">
        <f t="array" aca="1" ref="AG39" ca="1">-fScore_Total("diff",aCols)</f>
        <v>17.679168072999893</v>
      </c>
      <c r="AH39" s="8">
        <f t="shared" ca="1" si="2"/>
        <v>172.1583361459999</v>
      </c>
      <c r="AI39" s="8" t="str">
        <f t="shared" si="1"/>
        <v>FLEX</v>
      </c>
      <c r="AJ39" s="8"/>
    </row>
    <row r="40" spans="1:36" x14ac:dyDescent="0.25">
      <c r="A40" t="s">
        <v>45</v>
      </c>
      <c r="B40" s="1" t="s">
        <v>535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59.859840320000004</v>
      </c>
      <c r="N40" s="1">
        <v>4.5</v>
      </c>
      <c r="O40" s="1">
        <v>4.1826102479999996</v>
      </c>
      <c r="P40" s="1">
        <v>0.31738975200000002</v>
      </c>
      <c r="Q40" s="1">
        <v>750.5</v>
      </c>
      <c r="R40" s="1">
        <v>821.81264399999998</v>
      </c>
      <c r="S40" s="1">
        <v>-71.312643999999906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87</v>
      </c>
      <c r="AB40" s="1">
        <v>5</v>
      </c>
      <c r="AC40" s="1">
        <v>25000</v>
      </c>
      <c r="AD40">
        <v>0</v>
      </c>
      <c r="AE40" t="s">
        <v>637</v>
      </c>
      <c r="AF40" s="8" cm="1">
        <f t="array" aca="1" ref="AF40" ca="1">fScore_Total("ESPN",aCols)</f>
        <v>137.20684604799999</v>
      </c>
      <c r="AG40" s="8" cm="1">
        <f t="array" aca="1" ref="AG40" ca="1">-fScore_Total("diff",aCols)</f>
        <v>5.2269258879999914</v>
      </c>
      <c r="AH40" s="8">
        <f t="shared" ca="1" si="2"/>
        <v>142.43377193599997</v>
      </c>
      <c r="AI40" s="8" t="str">
        <f t="shared" si="1"/>
        <v>FLEX</v>
      </c>
      <c r="AJ40" s="8"/>
    </row>
    <row r="41" spans="1:36" x14ac:dyDescent="0.25">
      <c r="A41" t="s">
        <v>46</v>
      </c>
      <c r="B41" s="1" t="s">
        <v>535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80.5</v>
      </c>
      <c r="M41" s="1">
        <v>75.408418690000005</v>
      </c>
      <c r="N41" s="1">
        <v>5.5</v>
      </c>
      <c r="O41" s="1">
        <v>3.9805674839999998</v>
      </c>
      <c r="P41" s="1">
        <v>1.519432516</v>
      </c>
      <c r="Q41" s="1">
        <v>750.5</v>
      </c>
      <c r="R41" s="1">
        <v>734.7416819</v>
      </c>
      <c r="S41" s="1">
        <v>15.758318099999901</v>
      </c>
      <c r="T41" s="1">
        <v>5.0915813099999898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84</v>
      </c>
      <c r="AB41" s="1">
        <v>5</v>
      </c>
      <c r="AC41" s="1">
        <v>25000</v>
      </c>
      <c r="AD41">
        <v>0</v>
      </c>
      <c r="AE41" t="s">
        <v>529</v>
      </c>
      <c r="AF41" s="8" cm="1">
        <f t="array" aca="1" ref="AF41" ca="1">fScore_Total("ESPN",aCols)</f>
        <v>135.06178243900001</v>
      </c>
      <c r="AG41" s="8" cm="1">
        <f t="array" aca="1" ref="AG41" ca="1">-fScore_Total("diff",aCols)</f>
        <v>-13.238217560999985</v>
      </c>
      <c r="AH41" s="8">
        <f t="shared" ca="1" si="2"/>
        <v>121.82356487800003</v>
      </c>
      <c r="AI41" s="8" t="str">
        <f t="shared" si="1"/>
        <v>FLEX</v>
      </c>
      <c r="AJ41" s="8"/>
    </row>
    <row r="42" spans="1:36" x14ac:dyDescent="0.25">
      <c r="A42" t="s">
        <v>47</v>
      </c>
      <c r="B42" s="1" t="s">
        <v>533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54.921708219999999</v>
      </c>
      <c r="N42" s="1">
        <v>5.5</v>
      </c>
      <c r="O42" s="1">
        <v>7.6054809260000003</v>
      </c>
      <c r="P42" s="1">
        <v>-2.1054809259999998</v>
      </c>
      <c r="Q42" s="1">
        <v>750.5</v>
      </c>
      <c r="R42" s="1">
        <v>840.59734639999999</v>
      </c>
      <c r="S42" s="1">
        <v>-90.097346399999907</v>
      </c>
      <c r="T42" s="1">
        <v>0</v>
      </c>
      <c r="U42" s="1">
        <v>0</v>
      </c>
      <c r="V42" s="1">
        <v>0.30300000999999999</v>
      </c>
      <c r="W42" s="1">
        <v>0</v>
      </c>
      <c r="X42" s="1">
        <v>0</v>
      </c>
      <c r="Y42" s="1">
        <v>38.151383690000003</v>
      </c>
      <c r="Z42" s="1">
        <v>0</v>
      </c>
      <c r="AA42" s="1">
        <v>93</v>
      </c>
      <c r="AB42" s="1">
        <v>4</v>
      </c>
      <c r="AC42" s="1">
        <v>15000</v>
      </c>
      <c r="AD42">
        <v>0</v>
      </c>
      <c r="AE42" t="s">
        <v>538</v>
      </c>
      <c r="AF42" s="8" cm="1">
        <f t="array" aca="1" ref="AF42" ca="1">fScore_Total("ESPN",aCols)</f>
        <v>162.78661273500003</v>
      </c>
      <c r="AG42" s="8" cm="1">
        <f t="array" aca="1" ref="AG42" ca="1">-fScore_Total("diff",aCols)</f>
        <v>21.642620195999989</v>
      </c>
      <c r="AH42" s="8">
        <f t="shared" ca="1" si="2"/>
        <v>184.42923293100003</v>
      </c>
      <c r="AI42" s="8" t="str">
        <f t="shared" si="1"/>
        <v>FLEX</v>
      </c>
      <c r="AJ42" s="8"/>
    </row>
    <row r="43" spans="1:36" x14ac:dyDescent="0.25">
      <c r="A43" t="s">
        <v>48</v>
      </c>
      <c r="B43" s="1" t="s">
        <v>533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83.502809600000006</v>
      </c>
      <c r="N43" s="1">
        <v>4.5</v>
      </c>
      <c r="O43" s="1">
        <v>4.4107176480000003</v>
      </c>
      <c r="P43" s="1">
        <v>8.9282351999999607E-2</v>
      </c>
      <c r="Q43" s="1">
        <v>900.5</v>
      </c>
      <c r="R43" s="1">
        <v>951.24973</v>
      </c>
      <c r="S43" s="1">
        <v>-50.74973</v>
      </c>
      <c r="T43" s="1">
        <v>0</v>
      </c>
      <c r="U43" s="1">
        <v>0</v>
      </c>
      <c r="V43" s="1">
        <v>7.8779418000000004E-2</v>
      </c>
      <c r="W43" s="1">
        <v>0</v>
      </c>
      <c r="X43" s="1">
        <v>0</v>
      </c>
      <c r="Y43" s="1">
        <v>11.898150660000001</v>
      </c>
      <c r="Z43" s="1">
        <v>0</v>
      </c>
      <c r="AA43" s="1">
        <v>81</v>
      </c>
      <c r="AB43" s="1">
        <v>6</v>
      </c>
      <c r="AC43" s="1">
        <v>25000</v>
      </c>
      <c r="AD43">
        <v>0</v>
      </c>
      <c r="AE43" t="s">
        <v>637</v>
      </c>
      <c r="AF43" s="8" cm="1">
        <f t="array" aca="1" ref="AF43" ca="1">fScore_Total("ESPN",aCols)</f>
        <v>165.00317526200001</v>
      </c>
      <c r="AG43" s="8" cm="1">
        <f t="array" aca="1" ref="AG43" ca="1">-fScore_Total("diff",aCols)</f>
        <v>4.5392788880000019</v>
      </c>
      <c r="AH43" s="8">
        <f t="shared" ca="1" si="2"/>
        <v>169.54245415000003</v>
      </c>
      <c r="AI43" s="8" t="str">
        <f t="shared" si="1"/>
        <v>FLEX</v>
      </c>
      <c r="AJ43" s="8"/>
    </row>
    <row r="44" spans="1:36" x14ac:dyDescent="0.25">
      <c r="A44" t="s">
        <v>49</v>
      </c>
      <c r="B44" s="1" t="s">
        <v>533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56.192311529999998</v>
      </c>
      <c r="N44" s="1">
        <v>4.5</v>
      </c>
      <c r="O44" s="1">
        <v>5.7070077570000004</v>
      </c>
      <c r="P44" s="1">
        <v>-1.207007757</v>
      </c>
      <c r="Q44" s="1">
        <v>725.5</v>
      </c>
      <c r="R44" s="1">
        <v>763.00172469999995</v>
      </c>
      <c r="S44" s="1">
        <v>-37.501724699999897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130</v>
      </c>
      <c r="AB44" s="1">
        <v>2</v>
      </c>
      <c r="AC44" s="1">
        <v>15000</v>
      </c>
      <c r="AD44">
        <v>0</v>
      </c>
      <c r="AE44" t="s">
        <v>539</v>
      </c>
      <c r="AF44" s="8" cm="1">
        <f t="array" aca="1" ref="AF44" ca="1">fScore_Total("ESPN",aCols)</f>
        <v>138.638374777</v>
      </c>
      <c r="AG44" s="8" cm="1">
        <f t="array" aca="1" ref="AG44" ca="1">-fScore_Total("diff",aCols)</f>
        <v>10.992219011999989</v>
      </c>
      <c r="AH44" s="8">
        <f t="shared" ca="1" si="2"/>
        <v>149.63059378899999</v>
      </c>
      <c r="AI44" s="8" t="str">
        <f t="shared" si="1"/>
        <v>FLEX</v>
      </c>
      <c r="AJ44" s="8"/>
    </row>
    <row r="45" spans="1:36" x14ac:dyDescent="0.25">
      <c r="A45" t="s">
        <v>50</v>
      </c>
      <c r="B45" s="1" t="s">
        <v>533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65.5</v>
      </c>
      <c r="M45" s="1">
        <v>70.039379179999997</v>
      </c>
      <c r="N45" s="1">
        <v>5.5</v>
      </c>
      <c r="O45" s="1">
        <v>7.1905227629999997</v>
      </c>
      <c r="P45" s="1">
        <v>-1.6905227629999899</v>
      </c>
      <c r="Q45" s="1">
        <v>875.5</v>
      </c>
      <c r="R45" s="1">
        <v>1034.7869470000001</v>
      </c>
      <c r="S45" s="1">
        <v>-159.286947</v>
      </c>
      <c r="T45" s="1">
        <v>-4.5393791799999903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56</v>
      </c>
      <c r="AB45" s="1">
        <v>11</v>
      </c>
      <c r="AC45" s="1">
        <v>10000</v>
      </c>
      <c r="AD45">
        <v>0</v>
      </c>
      <c r="AE45" t="s">
        <v>573</v>
      </c>
      <c r="AF45" s="8" cm="1">
        <f t="array" aca="1" ref="AF45" ca="1">fScore_Total("ESPN",aCols)</f>
        <v>181.64152086799999</v>
      </c>
      <c r="AG45" s="8" cm="1">
        <f t="array" aca="1" ref="AG45" ca="1">-fScore_Total("diff",aCols)</f>
        <v>28.341520867999936</v>
      </c>
      <c r="AH45" s="8">
        <f t="shared" ca="1" si="2"/>
        <v>209.98304173599993</v>
      </c>
      <c r="AI45" s="8" t="str">
        <f t="shared" si="1"/>
        <v>FLEX</v>
      </c>
      <c r="AJ45" s="8"/>
    </row>
    <row r="46" spans="1:36" x14ac:dyDescent="0.25">
      <c r="A46" t="s">
        <v>51</v>
      </c>
      <c r="B46" s="1" t="s">
        <v>533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73.993799580000001</v>
      </c>
      <c r="N46" s="1">
        <v>3.5</v>
      </c>
      <c r="O46" s="1">
        <v>4.6112006939999999</v>
      </c>
      <c r="P46" s="1">
        <v>-1.1112006939999901</v>
      </c>
      <c r="Q46" s="1">
        <v>550.5</v>
      </c>
      <c r="R46" s="1">
        <v>706.89500129999999</v>
      </c>
      <c r="S46" s="1">
        <v>-156.39500129999999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175</v>
      </c>
      <c r="AB46" s="1">
        <v>1</v>
      </c>
      <c r="AC46" s="1">
        <v>25000</v>
      </c>
      <c r="AD46">
        <v>0</v>
      </c>
      <c r="AE46" t="s">
        <v>574</v>
      </c>
      <c r="AF46" s="8" cm="1">
        <f t="array" aca="1" ref="AF46" ca="1">fScore_Total("ESPN",aCols)</f>
        <v>135.35360408399998</v>
      </c>
      <c r="AG46" s="8" cm="1">
        <f t="array" aca="1" ref="AG46" ca="1">-fScore_Total("diff",aCols)</f>
        <v>22.306704293999942</v>
      </c>
      <c r="AH46" s="8">
        <f t="shared" ca="1" si="2"/>
        <v>157.66030837799991</v>
      </c>
      <c r="AI46" s="8" t="str">
        <f t="shared" si="1"/>
        <v>FLEX</v>
      </c>
      <c r="AJ46" s="8"/>
    </row>
    <row r="47" spans="1:36" x14ac:dyDescent="0.25">
      <c r="A47" t="s">
        <v>52</v>
      </c>
      <c r="B47" s="1" t="s">
        <v>533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71.5</v>
      </c>
      <c r="M47" s="1">
        <v>84.51208561</v>
      </c>
      <c r="N47" s="1">
        <v>4.5</v>
      </c>
      <c r="O47" s="1">
        <v>4.792893168</v>
      </c>
      <c r="P47" s="1">
        <v>-0.29289316799999998</v>
      </c>
      <c r="Q47" s="1">
        <v>800.5</v>
      </c>
      <c r="R47" s="1">
        <v>883.11043410000002</v>
      </c>
      <c r="S47" s="1">
        <v>-82.610434100000006</v>
      </c>
      <c r="T47" s="1">
        <v>-13.01208561</v>
      </c>
      <c r="U47" s="1">
        <v>0</v>
      </c>
      <c r="V47" s="1">
        <v>9.3697954E-2</v>
      </c>
      <c r="W47" s="1">
        <v>0</v>
      </c>
      <c r="X47" s="1">
        <v>0</v>
      </c>
      <c r="Y47" s="1">
        <v>12.44118701</v>
      </c>
      <c r="Z47" s="1">
        <v>0</v>
      </c>
      <c r="AA47" s="1">
        <v>79</v>
      </c>
      <c r="AB47" s="1">
        <v>6</v>
      </c>
      <c r="AC47" s="1">
        <v>10000</v>
      </c>
      <c r="AD47">
        <v>0</v>
      </c>
      <c r="AE47" t="s">
        <v>575</v>
      </c>
      <c r="AF47" s="8" cm="1">
        <f t="array" aca="1" ref="AF47" ca="1">fScore_Total("ESPN",aCols)</f>
        <v>161.130751648</v>
      </c>
      <c r="AG47" s="8" cm="1">
        <f t="array" aca="1" ref="AG47" ca="1">-fScore_Total("diff",aCols)</f>
        <v>16.524445223000001</v>
      </c>
      <c r="AH47" s="8">
        <f t="shared" ca="1" si="2"/>
        <v>177.65519687099999</v>
      </c>
      <c r="AI47" s="8" t="str">
        <f t="shared" si="1"/>
        <v>FLEX</v>
      </c>
      <c r="AJ47" s="8"/>
    </row>
    <row r="48" spans="1:36" x14ac:dyDescent="0.25">
      <c r="A48" t="s">
        <v>53</v>
      </c>
      <c r="B48" s="1" t="s">
        <v>533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62.5</v>
      </c>
      <c r="M48" s="1">
        <v>62.283604330000003</v>
      </c>
      <c r="N48" s="1">
        <v>5.5</v>
      </c>
      <c r="O48" s="1">
        <v>5.606564745</v>
      </c>
      <c r="P48" s="1">
        <v>-0.106564745</v>
      </c>
      <c r="Q48" s="1">
        <v>800.5</v>
      </c>
      <c r="R48" s="1">
        <v>923.13895260000004</v>
      </c>
      <c r="S48" s="1">
        <v>-122.6389526</v>
      </c>
      <c r="T48" s="1">
        <v>0.21639566999999699</v>
      </c>
      <c r="U48" s="1">
        <v>0</v>
      </c>
      <c r="V48" s="1">
        <v>2.8095470840000001</v>
      </c>
      <c r="W48" s="1">
        <v>0</v>
      </c>
      <c r="X48" s="1">
        <v>0</v>
      </c>
      <c r="Y48" s="1">
        <v>164.32474300000001</v>
      </c>
      <c r="Z48" s="1">
        <v>0</v>
      </c>
      <c r="AA48" s="1">
        <v>32</v>
      </c>
      <c r="AB48" s="1">
        <v>25</v>
      </c>
      <c r="AC48" s="1">
        <v>5000</v>
      </c>
      <c r="AD48">
        <v>0</v>
      </c>
      <c r="AE48" t="s">
        <v>540</v>
      </c>
      <c r="AF48" s="8" cm="1">
        <f t="array" aca="1" ref="AF48" ca="1">fScore_Total("ESPN",aCols)</f>
        <v>190.38484269900002</v>
      </c>
      <c r="AG48" s="8" cm="1">
        <f t="array" aca="1" ref="AG48" ca="1">-fScore_Total("diff",aCols)</f>
        <v>12.795085895000001</v>
      </c>
      <c r="AH48" s="8">
        <f t="shared" ca="1" si="2"/>
        <v>203.17992859400002</v>
      </c>
      <c r="AI48" s="8" t="str">
        <f t="shared" si="1"/>
        <v>FLEX</v>
      </c>
      <c r="AJ48" s="8"/>
    </row>
    <row r="49" spans="1:36" x14ac:dyDescent="0.25">
      <c r="A49" t="s">
        <v>54</v>
      </c>
      <c r="B49" s="1" t="s">
        <v>535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59.5</v>
      </c>
      <c r="M49" s="1">
        <v>62.877652320000003</v>
      </c>
      <c r="N49" s="1">
        <v>5.5</v>
      </c>
      <c r="O49" s="1">
        <v>4.6686795139999999</v>
      </c>
      <c r="P49" s="1">
        <v>0.83132048599999997</v>
      </c>
      <c r="Q49" s="1">
        <v>750.5</v>
      </c>
      <c r="R49" s="1">
        <v>845.17383199999995</v>
      </c>
      <c r="S49" s="1">
        <v>-94.673831999999905</v>
      </c>
      <c r="T49" s="1">
        <v>-3.3776523200000002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83</v>
      </c>
      <c r="AB49" s="1">
        <v>6</v>
      </c>
      <c r="AC49" s="1">
        <v>15000</v>
      </c>
      <c r="AD49">
        <v>0</v>
      </c>
      <c r="AE49" t="s">
        <v>637</v>
      </c>
      <c r="AF49" s="8" cm="1">
        <f t="array" aca="1" ref="AF49" ca="1">fScore_Total("ESPN",aCols)</f>
        <v>143.968286444</v>
      </c>
      <c r="AG49" s="8" cm="1">
        <f t="array" aca="1" ref="AG49" ca="1">-fScore_Total("diff",aCols)</f>
        <v>6.1682864439999925</v>
      </c>
      <c r="AH49" s="8">
        <f t="shared" ca="1" si="2"/>
        <v>150.13657288799999</v>
      </c>
      <c r="AI49" s="8" t="str">
        <f t="shared" si="1"/>
        <v>FLEX</v>
      </c>
      <c r="AJ49" s="8"/>
    </row>
    <row r="50" spans="1:36" x14ac:dyDescent="0.25">
      <c r="A50" t="s">
        <v>55</v>
      </c>
      <c r="B50" s="1" t="s">
        <v>533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65.5</v>
      </c>
      <c r="M50" s="1">
        <v>73.462050550000001</v>
      </c>
      <c r="N50" s="1">
        <v>5.5</v>
      </c>
      <c r="O50" s="1">
        <v>5.4450453660000004</v>
      </c>
      <c r="P50" s="1">
        <v>5.4954633999999503E-2</v>
      </c>
      <c r="Q50" s="1">
        <v>950.5</v>
      </c>
      <c r="R50" s="1">
        <v>1045.366671</v>
      </c>
      <c r="S50" s="1">
        <v>-94.866670999999997</v>
      </c>
      <c r="T50" s="1">
        <v>-7.9620505499999998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77</v>
      </c>
      <c r="AB50" s="1">
        <v>7</v>
      </c>
      <c r="AC50" s="1">
        <v>10000</v>
      </c>
      <c r="AD50">
        <v>0</v>
      </c>
      <c r="AE50" t="s">
        <v>576</v>
      </c>
      <c r="AF50" s="8" cm="1">
        <f t="array" aca="1" ref="AF50" ca="1">fScore_Total("ESPN",aCols)</f>
        <v>173.93796457100001</v>
      </c>
      <c r="AG50" s="8" cm="1">
        <f t="array" aca="1" ref="AG50" ca="1">-fScore_Total("diff",aCols)</f>
        <v>13.137964571000003</v>
      </c>
      <c r="AH50" s="8">
        <f t="shared" ca="1" si="2"/>
        <v>187.07592914200001</v>
      </c>
      <c r="AI50" s="8" t="str">
        <f t="shared" si="1"/>
        <v>FLEX</v>
      </c>
      <c r="AJ50" s="8"/>
    </row>
    <row r="51" spans="1:36" x14ac:dyDescent="0.25">
      <c r="A51" t="s">
        <v>56</v>
      </c>
      <c r="B51" s="1" t="s">
        <v>535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53.592605849999998</v>
      </c>
      <c r="N51" s="1">
        <v>3.5</v>
      </c>
      <c r="O51" s="1">
        <v>4.2467287999999996</v>
      </c>
      <c r="P51" s="1">
        <v>-0.74672879999999897</v>
      </c>
      <c r="Q51" s="1">
        <v>550.5</v>
      </c>
      <c r="R51" s="1">
        <v>543.47935240000004</v>
      </c>
      <c r="S51" s="1">
        <v>7.0206475999999602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173</v>
      </c>
      <c r="AB51" s="1">
        <v>1</v>
      </c>
      <c r="AC51" s="1">
        <v>25000</v>
      </c>
      <c r="AD51">
        <v>0</v>
      </c>
      <c r="AE51" t="s">
        <v>637</v>
      </c>
      <c r="AF51" s="8" cm="1">
        <f t="array" aca="1" ref="AF51" ca="1">fScore_Total("ESPN",aCols)</f>
        <v>106.624610965</v>
      </c>
      <c r="AG51" s="8" cm="1">
        <f t="array" aca="1" ref="AG51" ca="1">-fScore_Total("diff",aCols)</f>
        <v>3.778308039999998</v>
      </c>
      <c r="AH51" s="8">
        <f t="shared" ca="1" si="2"/>
        <v>110.402919005</v>
      </c>
      <c r="AI51" s="8" t="str">
        <f t="shared" si="1"/>
        <v>FLEX</v>
      </c>
      <c r="AJ51" s="8"/>
    </row>
    <row r="52" spans="1:36" x14ac:dyDescent="0.25">
      <c r="A52" t="s">
        <v>57</v>
      </c>
      <c r="B52" s="1" t="s">
        <v>533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60.5</v>
      </c>
      <c r="M52" s="1">
        <v>71.186665950000005</v>
      </c>
      <c r="N52" s="1">
        <v>5.5</v>
      </c>
      <c r="O52" s="1">
        <v>4.9572877259999997</v>
      </c>
      <c r="P52" s="1">
        <v>0.54271227399999999</v>
      </c>
      <c r="Q52" s="1">
        <v>800.5</v>
      </c>
      <c r="R52" s="1">
        <v>896.49218180000003</v>
      </c>
      <c r="S52" s="1">
        <v>-95.992181799999997</v>
      </c>
      <c r="T52" s="1">
        <v>-10.68666595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94</v>
      </c>
      <c r="AB52" s="1">
        <v>4</v>
      </c>
      <c r="AC52" s="1">
        <v>15000</v>
      </c>
      <c r="AD52">
        <v>0</v>
      </c>
      <c r="AE52" t="s">
        <v>577</v>
      </c>
      <c r="AF52" s="8" cm="1">
        <f t="array" aca="1" ref="AF52" ca="1">fScore_Total("ESPN",aCols)</f>
        <v>154.98627751100003</v>
      </c>
      <c r="AG52" s="8" cm="1">
        <f t="array" aca="1" ref="AG52" ca="1">-fScore_Total("diff",aCols)</f>
        <v>11.686277511</v>
      </c>
      <c r="AH52" s="8">
        <f t="shared" ca="1" si="2"/>
        <v>166.67255502200004</v>
      </c>
      <c r="AI52" s="8" t="str">
        <f t="shared" si="1"/>
        <v>FLEX</v>
      </c>
      <c r="AJ52" s="8"/>
    </row>
    <row r="53" spans="1:36" x14ac:dyDescent="0.25">
      <c r="A53" t="s">
        <v>58</v>
      </c>
      <c r="B53" s="1" t="s">
        <v>533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60.381814609999999</v>
      </c>
      <c r="N53" s="1">
        <v>0</v>
      </c>
      <c r="O53" s="1">
        <v>4.4020102400000001</v>
      </c>
      <c r="P53" s="1">
        <v>0</v>
      </c>
      <c r="Q53" s="1">
        <v>700.5</v>
      </c>
      <c r="R53" s="1">
        <v>727.20626849999996</v>
      </c>
      <c r="S53" s="1">
        <v>-26.706268499999901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180</v>
      </c>
      <c r="AB53" s="1">
        <v>1</v>
      </c>
      <c r="AC53" s="1">
        <v>0</v>
      </c>
      <c r="AD53">
        <v>0</v>
      </c>
      <c r="AE53" t="s">
        <v>637</v>
      </c>
      <c r="AF53" s="8" cm="1">
        <f t="array" aca="1" ref="AF53" ca="1">fScore_Total("ESPN",aCols)</f>
        <v>129.323595595</v>
      </c>
      <c r="AG53" s="8" cm="1">
        <f t="array" aca="1" ref="AG53" ca="1">-fScore_Total("diff",aCols)</f>
        <v>2.6706268499999903</v>
      </c>
      <c r="AH53" s="8">
        <f t="shared" ca="1" si="2"/>
        <v>131.99422244499999</v>
      </c>
      <c r="AI53" s="8" t="str">
        <f t="shared" si="1"/>
        <v>FLEX</v>
      </c>
      <c r="AJ53" s="8"/>
    </row>
    <row r="54" spans="1:36" x14ac:dyDescent="0.25">
      <c r="A54" t="s">
        <v>59</v>
      </c>
      <c r="B54" s="1" t="s">
        <v>533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74.5</v>
      </c>
      <c r="M54" s="1">
        <v>80.725202319999994</v>
      </c>
      <c r="N54" s="1">
        <v>5.5</v>
      </c>
      <c r="O54" s="1">
        <v>4.749267208</v>
      </c>
      <c r="P54" s="1">
        <v>0.75073279199999998</v>
      </c>
      <c r="Q54" s="1">
        <v>1000.5</v>
      </c>
      <c r="R54" s="1">
        <v>1067.566624</v>
      </c>
      <c r="S54" s="1">
        <v>-67.066624000000004</v>
      </c>
      <c r="T54" s="1">
        <v>-6.2252023199999904</v>
      </c>
      <c r="U54" s="1">
        <v>0</v>
      </c>
      <c r="V54" s="1">
        <v>0.238319274</v>
      </c>
      <c r="W54" s="1">
        <v>0</v>
      </c>
      <c r="X54" s="1">
        <v>0</v>
      </c>
      <c r="Y54" s="1">
        <v>24.918192770000001</v>
      </c>
      <c r="Z54" s="1">
        <v>0</v>
      </c>
      <c r="AA54" s="1">
        <v>46</v>
      </c>
      <c r="AB54" s="1">
        <v>17</v>
      </c>
      <c r="AC54" s="1">
        <v>12000</v>
      </c>
      <c r="AD54">
        <v>0</v>
      </c>
      <c r="AE54" t="s">
        <v>637</v>
      </c>
      <c r="AF54" s="8" cm="1">
        <f t="array" aca="1" ref="AF54" ca="1">fScore_Total("ESPN",aCols)</f>
        <v>179.53660172900001</v>
      </c>
      <c r="AG54" s="8" cm="1">
        <f t="array" aca="1" ref="AG54" ca="1">-fScore_Total("diff",aCols)</f>
        <v>5.3148668079999961</v>
      </c>
      <c r="AH54" s="8">
        <f t="shared" ca="1" si="2"/>
        <v>184.85146853700002</v>
      </c>
      <c r="AI54" s="8" t="str">
        <f t="shared" si="1"/>
        <v>FLEX</v>
      </c>
      <c r="AJ54" s="8"/>
    </row>
    <row r="55" spans="1:36" x14ac:dyDescent="0.25">
      <c r="A55" t="s">
        <v>60</v>
      </c>
      <c r="B55" s="1" t="s">
        <v>533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82.5</v>
      </c>
      <c r="M55" s="1">
        <v>86.457998140000001</v>
      </c>
      <c r="N55" s="1">
        <v>5.5</v>
      </c>
      <c r="O55" s="1">
        <v>5.6055695940000003</v>
      </c>
      <c r="P55" s="1">
        <v>-0.105569594</v>
      </c>
      <c r="Q55" s="1">
        <v>1025.5</v>
      </c>
      <c r="R55" s="1">
        <v>1264.4167359999999</v>
      </c>
      <c r="S55" s="1">
        <v>-238.91673599999899</v>
      </c>
      <c r="T55" s="1">
        <v>-3.9579981399999999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18</v>
      </c>
      <c r="AB55" s="1">
        <v>37</v>
      </c>
      <c r="AC55" s="1">
        <v>10000</v>
      </c>
      <c r="AD55">
        <v>0</v>
      </c>
      <c r="AE55" t="s">
        <v>578</v>
      </c>
      <c r="AF55" s="8" cm="1">
        <f t="array" aca="1" ref="AF55" ca="1">fScore_Total("ESPN",aCols)</f>
        <v>203.304090234</v>
      </c>
      <c r="AG55" s="8" cm="1">
        <f t="array" aca="1" ref="AG55" ca="1">-fScore_Total("diff",aCols)</f>
        <v>26.5040902339999</v>
      </c>
      <c r="AH55" s="8">
        <f t="shared" ca="1" si="2"/>
        <v>229.8081804679999</v>
      </c>
      <c r="AI55" s="8" t="str">
        <f t="shared" si="1"/>
        <v>FLEX</v>
      </c>
      <c r="AJ55" s="8"/>
    </row>
    <row r="56" spans="1:36" x14ac:dyDescent="0.25">
      <c r="A56" t="s">
        <v>61</v>
      </c>
      <c r="B56" s="1" t="s">
        <v>533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72.5</v>
      </c>
      <c r="M56" s="1">
        <v>78.100504330000007</v>
      </c>
      <c r="N56" s="1">
        <v>5.5</v>
      </c>
      <c r="O56" s="1">
        <v>7.525567272</v>
      </c>
      <c r="P56" s="1">
        <v>-2.025567272</v>
      </c>
      <c r="Q56" s="1">
        <v>1050.5</v>
      </c>
      <c r="R56" s="1">
        <v>1068.9827700000001</v>
      </c>
      <c r="S56" s="1">
        <v>-18.482769999999999</v>
      </c>
      <c r="T56" s="1">
        <v>-5.6005043299999997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26</v>
      </c>
      <c r="AB56" s="1">
        <v>30</v>
      </c>
      <c r="AC56" s="1">
        <v>6500</v>
      </c>
      <c r="AD56">
        <v>0</v>
      </c>
      <c r="AE56" t="s">
        <v>538</v>
      </c>
      <c r="AF56" s="8" cm="1">
        <f t="array" aca="1" ref="AF56" ca="1">fScore_Total("ESPN",aCols)</f>
        <v>191.10193279700002</v>
      </c>
      <c r="AG56" s="8" cm="1">
        <f t="array" aca="1" ref="AG56" ca="1">-fScore_Total("diff",aCols)</f>
        <v>16.801932796999999</v>
      </c>
      <c r="AH56" s="8">
        <f t="shared" ca="1" si="2"/>
        <v>207.90386559400002</v>
      </c>
      <c r="AI56" s="8" t="str">
        <f t="shared" si="1"/>
        <v>FLEX</v>
      </c>
      <c r="AJ56" s="8"/>
    </row>
    <row r="57" spans="1:36" x14ac:dyDescent="0.25">
      <c r="A57" t="s">
        <v>432</v>
      </c>
      <c r="B57" s="1" t="s">
        <v>533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87.5</v>
      </c>
      <c r="M57" s="1">
        <v>89.755443260000007</v>
      </c>
      <c r="N57" s="1">
        <v>8.5</v>
      </c>
      <c r="O57" s="1">
        <v>7.6339362839999998</v>
      </c>
      <c r="P57" s="1">
        <v>0.86606371599999998</v>
      </c>
      <c r="Q57" s="1">
        <v>1250.5</v>
      </c>
      <c r="R57" s="1">
        <v>1250.9910190000001</v>
      </c>
      <c r="S57" s="1">
        <v>-0.491019000000051</v>
      </c>
      <c r="T57" s="1">
        <v>-2.2554432599999998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11</v>
      </c>
      <c r="AB57" s="1">
        <v>48</v>
      </c>
      <c r="AC57" s="1">
        <v>3000</v>
      </c>
      <c r="AD57">
        <v>0</v>
      </c>
      <c r="AE57" t="s">
        <v>637</v>
      </c>
      <c r="AF57" s="8" cm="1">
        <f t="array" aca="1" ref="AF57" ca="1">fScore_Total("ESPN",aCols)</f>
        <v>215.78044123400002</v>
      </c>
      <c r="AG57" s="8" cm="1">
        <f t="array" aca="1" ref="AG57" ca="1">-fScore_Total("diff",aCols)</f>
        <v>-4.0195587659999941</v>
      </c>
      <c r="AH57" s="8">
        <f t="shared" ca="1" si="2"/>
        <v>211.76088246800003</v>
      </c>
      <c r="AI57" s="8" t="str">
        <f t="shared" si="1"/>
        <v>FLEX</v>
      </c>
      <c r="AJ57" s="8"/>
    </row>
    <row r="58" spans="1:36" x14ac:dyDescent="0.25">
      <c r="A58" t="s">
        <v>439</v>
      </c>
      <c r="B58" s="1" t="s">
        <v>533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82.5</v>
      </c>
      <c r="M58" s="1">
        <v>82.44161991</v>
      </c>
      <c r="N58" s="1">
        <v>6.5</v>
      </c>
      <c r="O58" s="1">
        <v>5.6701490379999999</v>
      </c>
      <c r="P58" s="1">
        <v>0.82985096199999997</v>
      </c>
      <c r="Q58" s="1">
        <v>1000.5</v>
      </c>
      <c r="R58" s="1">
        <v>1113.8022550000001</v>
      </c>
      <c r="S58" s="1">
        <v>-113.302255</v>
      </c>
      <c r="T58" s="1">
        <v>5.8380089999999898E-2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22</v>
      </c>
      <c r="AB58" s="1">
        <v>33</v>
      </c>
      <c r="AC58" s="1">
        <v>12000</v>
      </c>
      <c r="AD58">
        <v>650</v>
      </c>
      <c r="AE58" t="s">
        <v>637</v>
      </c>
      <c r="AF58" s="8" cm="1">
        <f t="array" aca="1" ref="AF58" ca="1">fScore_Total("ESPN",aCols)</f>
        <v>186.62192968300002</v>
      </c>
      <c r="AG58" s="8" cm="1">
        <f t="array" aca="1" ref="AG58" ca="1">-fScore_Total("diff",aCols)</f>
        <v>6.3219296830000014</v>
      </c>
      <c r="AH58" s="8">
        <f t="shared" ca="1" si="2"/>
        <v>192.94385936600003</v>
      </c>
      <c r="AI58" s="8" t="str">
        <f t="shared" si="1"/>
        <v>FLEX</v>
      </c>
      <c r="AJ58" s="8"/>
    </row>
    <row r="59" spans="1:36" x14ac:dyDescent="0.25">
      <c r="A59" t="s">
        <v>62</v>
      </c>
      <c r="B59" s="1" t="s">
        <v>533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72.5</v>
      </c>
      <c r="M59" s="1">
        <v>78.466350730000002</v>
      </c>
      <c r="N59" s="1">
        <v>5.5</v>
      </c>
      <c r="O59" s="1">
        <v>5.5574943350000003</v>
      </c>
      <c r="P59" s="1">
        <v>-5.7494335000000299E-2</v>
      </c>
      <c r="Q59" s="1">
        <v>925.5</v>
      </c>
      <c r="R59" s="1">
        <v>971.51958890000003</v>
      </c>
      <c r="S59" s="1">
        <v>-46.019588900000002</v>
      </c>
      <c r="T59" s="1">
        <v>-5.9663507300000003</v>
      </c>
      <c r="U59" s="1">
        <v>0</v>
      </c>
      <c r="V59" s="1">
        <v>0.50729034200000001</v>
      </c>
      <c r="W59" s="1">
        <v>0</v>
      </c>
      <c r="X59" s="1">
        <v>0</v>
      </c>
      <c r="Y59" s="1">
        <v>55.43273336</v>
      </c>
      <c r="Z59" s="1">
        <v>0</v>
      </c>
      <c r="AA59" s="1">
        <v>49</v>
      </c>
      <c r="AB59" s="1">
        <v>15</v>
      </c>
      <c r="AC59" s="1">
        <v>15000</v>
      </c>
      <c r="AD59">
        <v>0</v>
      </c>
      <c r="AE59" t="s">
        <v>637</v>
      </c>
      <c r="AF59" s="8" cm="1">
        <f t="array" aca="1" ref="AF59" ca="1">fScore_Total("ESPN",aCols)</f>
        <v>178.317115653</v>
      </c>
      <c r="AG59" s="8" cm="1">
        <f t="array" aca="1" ref="AG59" ca="1">-fScore_Total("diff",aCols)</f>
        <v>7.9301002650000028</v>
      </c>
      <c r="AH59" s="8">
        <f t="shared" ca="1" si="2"/>
        <v>186.24721591799999</v>
      </c>
      <c r="AI59" s="8" t="str">
        <f t="shared" si="1"/>
        <v>FLEX</v>
      </c>
      <c r="AJ59" s="8"/>
    </row>
    <row r="60" spans="1:36" x14ac:dyDescent="0.25">
      <c r="A60" t="s">
        <v>63</v>
      </c>
      <c r="B60" s="1" t="s">
        <v>533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90.5</v>
      </c>
      <c r="M60" s="1">
        <v>80.49012793</v>
      </c>
      <c r="N60" s="1">
        <v>7.5</v>
      </c>
      <c r="O60" s="1">
        <v>9.0705794520000005</v>
      </c>
      <c r="P60" s="1">
        <v>-1.570579452</v>
      </c>
      <c r="Q60" s="1">
        <v>1125.5</v>
      </c>
      <c r="R60" s="1">
        <v>1139.6464289999999</v>
      </c>
      <c r="S60" s="1">
        <v>-14.146428999999801</v>
      </c>
      <c r="T60" s="1">
        <v>10.00987207</v>
      </c>
      <c r="U60" s="1">
        <v>0</v>
      </c>
      <c r="V60" s="1">
        <v>0.19817676000000001</v>
      </c>
      <c r="W60" s="1">
        <v>0</v>
      </c>
      <c r="X60" s="1">
        <v>0</v>
      </c>
      <c r="Y60" s="1">
        <v>23.66450116</v>
      </c>
      <c r="Z60" s="1">
        <v>0</v>
      </c>
      <c r="AA60" s="1">
        <v>13</v>
      </c>
      <c r="AB60" s="1">
        <v>45</v>
      </c>
      <c r="AC60" s="1">
        <v>3000</v>
      </c>
      <c r="AD60">
        <v>0</v>
      </c>
      <c r="AE60" t="s">
        <v>637</v>
      </c>
      <c r="AF60" s="8" cm="1">
        <f t="array" aca="1" ref="AF60" ca="1">fScore_Total("ESPN",aCols)</f>
        <v>212.18869425300002</v>
      </c>
      <c r="AG60" s="8" cm="1">
        <f t="array" aca="1" ref="AG60" ca="1">-fScore_Total("diff",aCols)</f>
        <v>5.8331835769999794</v>
      </c>
      <c r="AH60" s="8">
        <f t="shared" ca="1" si="2"/>
        <v>218.02187782999999</v>
      </c>
      <c r="AI60" s="8" t="str">
        <f t="shared" si="1"/>
        <v>FLEX</v>
      </c>
      <c r="AJ60" s="8"/>
    </row>
    <row r="61" spans="1:36" x14ac:dyDescent="0.25">
      <c r="A61" t="s">
        <v>64</v>
      </c>
      <c r="B61" s="1" t="s">
        <v>533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97.5</v>
      </c>
      <c r="M61" s="1">
        <v>105.8088125</v>
      </c>
      <c r="N61" s="1">
        <v>9.5</v>
      </c>
      <c r="O61" s="1">
        <v>7.7191455219999998</v>
      </c>
      <c r="P61" s="1">
        <v>1.780854478</v>
      </c>
      <c r="Q61" s="1">
        <v>1375.5</v>
      </c>
      <c r="R61" s="1">
        <v>1435.9199599999999</v>
      </c>
      <c r="S61" s="1">
        <v>-60.419959999999897</v>
      </c>
      <c r="T61" s="1">
        <v>-8.3088125000000002</v>
      </c>
      <c r="U61" s="1">
        <v>0</v>
      </c>
      <c r="V61" s="1">
        <v>0.26433866</v>
      </c>
      <c r="W61" s="1">
        <v>0</v>
      </c>
      <c r="X61" s="1">
        <v>0</v>
      </c>
      <c r="Y61" s="1">
        <v>24.96510808</v>
      </c>
      <c r="Z61" s="1">
        <v>0</v>
      </c>
      <c r="AA61" s="1">
        <v>5</v>
      </c>
      <c r="AB61" s="1">
        <v>54</v>
      </c>
      <c r="AC61" s="1">
        <v>700</v>
      </c>
      <c r="AD61">
        <v>0</v>
      </c>
      <c r="AE61" t="s">
        <v>637</v>
      </c>
      <c r="AF61" s="8" cm="1">
        <f t="array" aca="1" ref="AF61" ca="1">fScore_Total("ESPN",aCols)</f>
        <v>246.89381815000002</v>
      </c>
      <c r="AG61" s="8" cm="1">
        <f t="array" aca="1" ref="AG61" ca="1">-fScore_Total("diff",aCols)</f>
        <v>-0.48872461800000888</v>
      </c>
      <c r="AH61" s="8">
        <f t="shared" ca="1" si="2"/>
        <v>246.405093532</v>
      </c>
      <c r="AI61" s="8" t="str">
        <f t="shared" si="1"/>
        <v>FLEX</v>
      </c>
      <c r="AJ61" s="8"/>
    </row>
    <row r="62" spans="1:36" x14ac:dyDescent="0.25">
      <c r="A62" t="s">
        <v>65</v>
      </c>
      <c r="B62" s="1" t="s">
        <v>533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74.5</v>
      </c>
      <c r="M62" s="1">
        <v>86.979652229999999</v>
      </c>
      <c r="N62" s="1">
        <v>5.5</v>
      </c>
      <c r="O62" s="1">
        <v>5.7470948369999997</v>
      </c>
      <c r="P62" s="1">
        <v>-0.24709483699999901</v>
      </c>
      <c r="Q62" s="1">
        <v>900.5</v>
      </c>
      <c r="R62" s="1">
        <v>1050.8262810000001</v>
      </c>
      <c r="S62" s="1">
        <v>-150.32628099999999</v>
      </c>
      <c r="T62" s="1">
        <v>-12.479652229999999</v>
      </c>
      <c r="U62" s="1">
        <v>0</v>
      </c>
      <c r="V62" s="1">
        <v>7.8458304000000006E-2</v>
      </c>
      <c r="W62" s="1">
        <v>0</v>
      </c>
      <c r="X62" s="1">
        <v>0</v>
      </c>
      <c r="Y62" s="1">
        <v>11.80761813</v>
      </c>
      <c r="Z62" s="1">
        <v>0</v>
      </c>
      <c r="AA62" s="1">
        <v>44</v>
      </c>
      <c r="AB62" s="1">
        <v>19</v>
      </c>
      <c r="AC62" s="1">
        <v>7500</v>
      </c>
      <c r="AD62">
        <v>0</v>
      </c>
      <c r="AE62" t="s">
        <v>579</v>
      </c>
      <c r="AF62" s="8" cm="1">
        <f t="array" aca="1" ref="AF62" ca="1">fScore_Total("ESPN",aCols)</f>
        <v>184.70653487400003</v>
      </c>
      <c r="AG62" s="8" cm="1">
        <f t="array" aca="1" ref="AG62" ca="1">-fScore_Total("diff",aCols)</f>
        <v>22.755023236999996</v>
      </c>
      <c r="AH62" s="8">
        <f t="shared" ca="1" si="2"/>
        <v>207.46155811100002</v>
      </c>
      <c r="AI62" s="8" t="str">
        <f t="shared" si="1"/>
        <v>FLEX</v>
      </c>
      <c r="AJ62" s="8"/>
    </row>
    <row r="63" spans="1:36" x14ac:dyDescent="0.25">
      <c r="A63" t="s">
        <v>66</v>
      </c>
      <c r="B63" s="1" t="s">
        <v>533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94.5</v>
      </c>
      <c r="M63" s="1">
        <v>106.1879926</v>
      </c>
      <c r="N63" s="1">
        <v>7.5</v>
      </c>
      <c r="O63" s="1">
        <v>6.6250065930000002</v>
      </c>
      <c r="P63" s="1">
        <v>0.87499340699999895</v>
      </c>
      <c r="Q63" s="1">
        <v>1300.5</v>
      </c>
      <c r="R63" s="1">
        <v>1358.8997629999999</v>
      </c>
      <c r="S63" s="1">
        <v>-58.399762999999801</v>
      </c>
      <c r="T63" s="1">
        <v>-11.687992599999999</v>
      </c>
      <c r="U63" s="1">
        <v>0</v>
      </c>
      <c r="V63" s="1">
        <v>9.5277438000000006E-2</v>
      </c>
      <c r="W63" s="1">
        <v>0</v>
      </c>
      <c r="X63" s="1">
        <v>0</v>
      </c>
      <c r="Y63" s="1">
        <v>10.22366442</v>
      </c>
      <c r="Z63" s="1">
        <v>0</v>
      </c>
      <c r="AA63" s="1">
        <v>8</v>
      </c>
      <c r="AB63" s="1">
        <v>52</v>
      </c>
      <c r="AC63" s="1">
        <v>1300</v>
      </c>
      <c r="AD63">
        <v>0</v>
      </c>
      <c r="AE63" t="s">
        <v>637</v>
      </c>
      <c r="AF63" s="8" cm="1">
        <f t="array" aca="1" ref="AF63" ca="1">fScore_Total("ESPN",aCols)</f>
        <v>230.32804322799998</v>
      </c>
      <c r="AG63" s="8" cm="1">
        <f t="array" aca="1" ref="AG63" ca="1">-fScore_Total("diff",aCols)</f>
        <v>6.4340121579999865</v>
      </c>
      <c r="AH63" s="8">
        <f t="shared" ca="1" si="2"/>
        <v>236.76205538599996</v>
      </c>
      <c r="AI63" s="8" t="str">
        <f t="shared" si="1"/>
        <v>FLEX</v>
      </c>
      <c r="AJ63" s="8"/>
    </row>
    <row r="64" spans="1:36" x14ac:dyDescent="0.25">
      <c r="A64" t="s">
        <v>415</v>
      </c>
      <c r="B64" s="1" t="s">
        <v>533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74.5</v>
      </c>
      <c r="M64" s="1">
        <v>82.31971068</v>
      </c>
      <c r="N64" s="1">
        <v>5.5</v>
      </c>
      <c r="O64" s="1">
        <v>5.4669062869999996</v>
      </c>
      <c r="P64" s="1">
        <v>3.3093713000000399E-2</v>
      </c>
      <c r="Q64" s="1">
        <v>900.5</v>
      </c>
      <c r="R64" s="1">
        <v>1077.518824</v>
      </c>
      <c r="S64" s="1">
        <v>-177.018824</v>
      </c>
      <c r="T64" s="1">
        <v>-7.81971068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27</v>
      </c>
      <c r="AB64" s="1">
        <v>30</v>
      </c>
      <c r="AC64" s="1">
        <v>15000</v>
      </c>
      <c r="AD64">
        <v>1400</v>
      </c>
      <c r="AE64" t="s">
        <v>580</v>
      </c>
      <c r="AF64" s="8" cm="1">
        <f t="array" aca="1" ref="AF64" ca="1">fScore_Total("ESPN",aCols)</f>
        <v>181.71317546199998</v>
      </c>
      <c r="AG64" s="8" cm="1">
        <f t="array" aca="1" ref="AG64" ca="1">-fScore_Total("diff",aCols)</f>
        <v>21.413175461999998</v>
      </c>
      <c r="AH64" s="8">
        <f t="shared" ca="1" si="2"/>
        <v>203.12635092399998</v>
      </c>
      <c r="AI64" s="8" t="str">
        <f t="shared" si="1"/>
        <v>FLEX</v>
      </c>
      <c r="AJ64" s="8"/>
    </row>
    <row r="65" spans="1:36" x14ac:dyDescent="0.25">
      <c r="A65" t="s">
        <v>67</v>
      </c>
      <c r="B65" s="1" t="s">
        <v>533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59.738536109999998</v>
      </c>
      <c r="N65" s="1">
        <v>4.5</v>
      </c>
      <c r="O65" s="1">
        <v>5.5486749929999997</v>
      </c>
      <c r="P65" s="1">
        <v>-1.0486749929999899</v>
      </c>
      <c r="Q65" s="1">
        <v>675.5</v>
      </c>
      <c r="R65" s="1">
        <v>804.71239349999996</v>
      </c>
      <c r="S65" s="1">
        <v>-129.212393499999</v>
      </c>
      <c r="T65" s="1">
        <v>0</v>
      </c>
      <c r="U65" s="1">
        <v>0</v>
      </c>
      <c r="V65" s="1">
        <v>9.6280887999999995E-2</v>
      </c>
      <c r="W65" s="1">
        <v>0</v>
      </c>
      <c r="X65" s="1">
        <v>0</v>
      </c>
      <c r="Y65" s="1">
        <v>12.845802519999999</v>
      </c>
      <c r="Z65" s="1">
        <v>0</v>
      </c>
      <c r="AA65" s="1">
        <v>99</v>
      </c>
      <c r="AB65" s="1">
        <v>4</v>
      </c>
      <c r="AC65" s="1">
        <v>20000</v>
      </c>
      <c r="AD65">
        <v>7000</v>
      </c>
      <c r="AE65" t="s">
        <v>542</v>
      </c>
      <c r="AF65" s="8" cm="1">
        <f t="array" aca="1" ref="AF65" ca="1">fScore_Total("ESPN",aCols)</f>
        <v>145.494822943</v>
      </c>
      <c r="AG65" s="8" cm="1">
        <f t="array" aca="1" ref="AG65" ca="1">-fScore_Total("diff",aCols)</f>
        <v>19.21328930799984</v>
      </c>
      <c r="AH65" s="8">
        <f t="shared" ca="1" si="2"/>
        <v>164.70811225099985</v>
      </c>
      <c r="AI65" s="8" t="str">
        <f t="shared" si="1"/>
        <v>FLEX</v>
      </c>
      <c r="AJ65" s="8"/>
    </row>
    <row r="66" spans="1:36" x14ac:dyDescent="0.25">
      <c r="A66" t="s">
        <v>68</v>
      </c>
      <c r="B66" s="1" t="s">
        <v>535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82.5</v>
      </c>
      <c r="M66" s="1">
        <v>84.110996639999996</v>
      </c>
      <c r="N66" s="1">
        <v>7.5</v>
      </c>
      <c r="O66" s="1">
        <v>6.5732571770000003</v>
      </c>
      <c r="P66" s="1">
        <v>0.92674282299999899</v>
      </c>
      <c r="Q66" s="1">
        <v>850.5</v>
      </c>
      <c r="R66" s="1">
        <v>859.7639782</v>
      </c>
      <c r="S66" s="1">
        <v>-9.2639781999999897</v>
      </c>
      <c r="T66" s="1">
        <v>-1.61099663999999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37</v>
      </c>
      <c r="AB66" s="1">
        <v>22</v>
      </c>
      <c r="AC66" s="1">
        <v>15000</v>
      </c>
      <c r="AD66">
        <v>0</v>
      </c>
      <c r="AE66" t="s">
        <v>637</v>
      </c>
      <c r="AF66" s="8" cm="1">
        <f t="array" aca="1" ref="AF66" ca="1">fScore_Total("ESPN",aCols)</f>
        <v>167.471439202</v>
      </c>
      <c r="AG66" s="8" cm="1">
        <f t="array" aca="1" ref="AG66" ca="1">-fScore_Total("diff",aCols)</f>
        <v>-3.8285607980000007</v>
      </c>
      <c r="AH66" s="8">
        <f t="shared" ca="1" si="2"/>
        <v>163.64287840399999</v>
      </c>
      <c r="AI66" s="8" t="str">
        <f t="shared" si="1"/>
        <v>FLEX</v>
      </c>
      <c r="AJ66" s="8"/>
    </row>
    <row r="67" spans="1:36" x14ac:dyDescent="0.25">
      <c r="A67" t="s">
        <v>414</v>
      </c>
      <c r="B67" s="1" t="s">
        <v>533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72.5</v>
      </c>
      <c r="M67" s="1">
        <v>83.935632960000007</v>
      </c>
      <c r="N67" s="1">
        <v>6.5</v>
      </c>
      <c r="O67" s="1">
        <v>6.3272390920000001</v>
      </c>
      <c r="P67" s="1">
        <v>0.17276090799999899</v>
      </c>
      <c r="Q67" s="1">
        <v>975.5</v>
      </c>
      <c r="R67" s="1">
        <v>1039.561242</v>
      </c>
      <c r="S67" s="1">
        <v>-64.061241999999993</v>
      </c>
      <c r="T67" s="1">
        <v>-11.43563296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45</v>
      </c>
      <c r="AB67" s="1">
        <v>18</v>
      </c>
      <c r="AC67" s="1">
        <v>12000</v>
      </c>
      <c r="AD67">
        <v>0</v>
      </c>
      <c r="AE67" t="s">
        <v>543</v>
      </c>
      <c r="AF67" s="8" cm="1">
        <f t="array" aca="1" ref="AF67" ca="1">fScore_Total("ESPN",aCols)</f>
        <v>183.88737523200001</v>
      </c>
      <c r="AG67" s="8" cm="1">
        <f t="array" aca="1" ref="AG67" ca="1">-fScore_Total("diff",aCols)</f>
        <v>11.087375232000007</v>
      </c>
      <c r="AH67" s="8">
        <f t="shared" ca="1" si="2"/>
        <v>194.97475046400001</v>
      </c>
      <c r="AI67" s="8" t="str">
        <f t="shared" ref="AI67:AI130" si="3">IF(B67="QB","QB","FLEX")</f>
        <v>FLEX</v>
      </c>
      <c r="AJ67" s="8"/>
    </row>
    <row r="68" spans="1:36" x14ac:dyDescent="0.25">
      <c r="A68" t="s">
        <v>69</v>
      </c>
      <c r="B68" s="1" t="s">
        <v>533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105.5</v>
      </c>
      <c r="M68" s="1">
        <v>109.56019019999999</v>
      </c>
      <c r="N68" s="1">
        <v>8.5</v>
      </c>
      <c r="O68" s="1">
        <v>7.3654043160000002</v>
      </c>
      <c r="P68" s="1">
        <v>1.13459568399999</v>
      </c>
      <c r="Q68" s="1">
        <v>1250.5</v>
      </c>
      <c r="R68" s="1">
        <v>1263.6232869999999</v>
      </c>
      <c r="S68" s="1">
        <v>-13.123286999999801</v>
      </c>
      <c r="T68" s="1">
        <v>-4.0601901999999903</v>
      </c>
      <c r="U68" s="1">
        <v>0</v>
      </c>
      <c r="V68" s="1">
        <v>0.25987584000000002</v>
      </c>
      <c r="W68" s="1">
        <v>0</v>
      </c>
      <c r="X68" s="1">
        <v>0</v>
      </c>
      <c r="Y68" s="1">
        <v>29.206890749999999</v>
      </c>
      <c r="Z68" s="1">
        <v>0</v>
      </c>
      <c r="AA68" s="1">
        <v>6</v>
      </c>
      <c r="AB68" s="1">
        <v>53</v>
      </c>
      <c r="AC68" s="1">
        <v>1800</v>
      </c>
      <c r="AD68">
        <v>0</v>
      </c>
      <c r="AE68" t="s">
        <v>637</v>
      </c>
      <c r="AF68" s="8" cm="1">
        <f t="array" aca="1" ref="AF68" ca="1">fScore_Total("ESPN",aCols)</f>
        <v>229.81479381100002</v>
      </c>
      <c r="AG68" s="8" cm="1">
        <f t="array" aca="1" ref="AG68" ca="1">-fScore_Total("diff",aCols)</f>
        <v>-3.4651503039999647</v>
      </c>
      <c r="AH68" s="8">
        <f t="shared" ca="1" si="2"/>
        <v>226.34964350700005</v>
      </c>
      <c r="AI68" s="8" t="str">
        <f t="shared" si="3"/>
        <v>FLEX</v>
      </c>
      <c r="AJ68" s="8"/>
    </row>
    <row r="69" spans="1:36" x14ac:dyDescent="0.25">
      <c r="A69" t="s">
        <v>70</v>
      </c>
      <c r="B69" s="1" t="s">
        <v>535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56.543111500000002</v>
      </c>
      <c r="N69" s="1">
        <v>4.5</v>
      </c>
      <c r="O69" s="1">
        <v>3.7966898250000001</v>
      </c>
      <c r="P69" s="1">
        <v>0.70331017499999904</v>
      </c>
      <c r="Q69" s="1">
        <v>650.5</v>
      </c>
      <c r="R69" s="1">
        <v>649.37202000000002</v>
      </c>
      <c r="S69" s="1">
        <v>1.12797999999997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135</v>
      </c>
      <c r="AB69" s="1">
        <v>2</v>
      </c>
      <c r="AC69" s="1">
        <v>20000</v>
      </c>
      <c r="AD69">
        <v>5000</v>
      </c>
      <c r="AE69" t="s">
        <v>637</v>
      </c>
      <c r="AF69" s="8" cm="1">
        <f t="array" aca="1" ref="AF69" ca="1">fScore_Total("ESPN",aCols)</f>
        <v>115.9888967</v>
      </c>
      <c r="AG69" s="8" cm="1">
        <f t="array" aca="1" ref="AG69" ca="1">-fScore_Total("diff",aCols)</f>
        <v>-4.3326590499999913</v>
      </c>
      <c r="AH69" s="8">
        <f t="shared" ca="1" si="2"/>
        <v>111.65623765000001</v>
      </c>
      <c r="AI69" s="8" t="str">
        <f t="shared" si="3"/>
        <v>FLEX</v>
      </c>
      <c r="AJ69" s="8"/>
    </row>
    <row r="70" spans="1:36" x14ac:dyDescent="0.25">
      <c r="A70" t="s">
        <v>71</v>
      </c>
      <c r="B70" s="1" t="s">
        <v>533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81.5</v>
      </c>
      <c r="M70" s="1">
        <v>83.311058900000006</v>
      </c>
      <c r="N70" s="1">
        <v>6.5</v>
      </c>
      <c r="O70" s="1">
        <v>6.8241921320000003</v>
      </c>
      <c r="P70" s="1">
        <v>-0.32419213200000002</v>
      </c>
      <c r="Q70" s="1">
        <v>1000.5</v>
      </c>
      <c r="R70" s="1">
        <v>1021.439201</v>
      </c>
      <c r="S70" s="1">
        <v>-20.939201000000001</v>
      </c>
      <c r="T70" s="1">
        <v>-1.8110588999999999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23</v>
      </c>
      <c r="AB70" s="1">
        <v>32</v>
      </c>
      <c r="AC70" s="1">
        <v>5000</v>
      </c>
      <c r="AD70">
        <v>0</v>
      </c>
      <c r="AE70" t="s">
        <v>637</v>
      </c>
      <c r="AF70" s="8" cm="1">
        <f t="array" aca="1" ref="AF70" ca="1">fScore_Total("ESPN",aCols)</f>
        <v>184.74460234200001</v>
      </c>
      <c r="AG70" s="8" cm="1">
        <f t="array" aca="1" ref="AG70" ca="1">-fScore_Total("diff",aCols)</f>
        <v>4.9446023419999996</v>
      </c>
      <c r="AH70" s="8">
        <f t="shared" ref="AH70:AH133" ca="1" si="4">+AF70+AG70</f>
        <v>189.689204684</v>
      </c>
      <c r="AI70" s="8" t="str">
        <f t="shared" si="3"/>
        <v>FLEX</v>
      </c>
      <c r="AJ70" s="8"/>
    </row>
    <row r="71" spans="1:36" x14ac:dyDescent="0.25">
      <c r="A71" t="s">
        <v>72</v>
      </c>
      <c r="B71" s="1" t="s">
        <v>535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80.5</v>
      </c>
      <c r="M71" s="1">
        <v>82.842308470000006</v>
      </c>
      <c r="N71" s="1">
        <v>6.5</v>
      </c>
      <c r="O71" s="1">
        <v>7.0909349099999996</v>
      </c>
      <c r="P71" s="1">
        <v>-0.59093490999999898</v>
      </c>
      <c r="Q71" s="1">
        <v>900.5</v>
      </c>
      <c r="R71" s="1">
        <v>837.47640339999998</v>
      </c>
      <c r="S71" s="1">
        <v>63.023596599999998</v>
      </c>
      <c r="T71" s="1">
        <v>-2.3423084699999999</v>
      </c>
      <c r="U71" s="1">
        <v>0</v>
      </c>
      <c r="V71" s="1">
        <v>3.9870083000000001E-2</v>
      </c>
      <c r="W71" s="1">
        <v>0</v>
      </c>
      <c r="X71" s="1">
        <v>0</v>
      </c>
      <c r="Y71" s="1">
        <v>0.68514563500000003</v>
      </c>
      <c r="Z71" s="1">
        <v>0</v>
      </c>
      <c r="AA71" s="1">
        <v>38</v>
      </c>
      <c r="AB71" s="1">
        <v>22</v>
      </c>
      <c r="AC71" s="1">
        <v>10000</v>
      </c>
      <c r="AD71">
        <v>0</v>
      </c>
      <c r="AE71" t="s">
        <v>637</v>
      </c>
      <c r="AF71" s="8" cm="1">
        <f t="array" aca="1" ref="AF71" ca="1">fScore_Total("ESPN",aCols)</f>
        <v>168.02213909650001</v>
      </c>
      <c r="AG71" s="8" cm="1">
        <f t="array" aca="1" ref="AG71" ca="1">-fScore_Total("diff",aCols)</f>
        <v>-1.5855959650000067</v>
      </c>
      <c r="AH71" s="8">
        <f t="shared" ca="1" si="4"/>
        <v>166.4365431315</v>
      </c>
      <c r="AI71" s="8" t="str">
        <f t="shared" si="3"/>
        <v>FLEX</v>
      </c>
      <c r="AJ71" s="8"/>
    </row>
    <row r="72" spans="1:36" x14ac:dyDescent="0.25">
      <c r="A72" t="s">
        <v>73</v>
      </c>
      <c r="B72" s="1" t="s">
        <v>533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63.649976580000001</v>
      </c>
      <c r="N72" s="1">
        <v>4.5</v>
      </c>
      <c r="O72" s="1">
        <v>4.8557623440000004</v>
      </c>
      <c r="P72" s="1">
        <v>-0.35576234400000001</v>
      </c>
      <c r="Q72" s="1">
        <v>725.5</v>
      </c>
      <c r="R72" s="1">
        <v>802.46539900000005</v>
      </c>
      <c r="S72" s="1">
        <v>-76.965399000000005</v>
      </c>
      <c r="T72" s="1">
        <v>0</v>
      </c>
      <c r="U72" s="1">
        <v>0</v>
      </c>
      <c r="V72" s="1">
        <v>7.4318295000000006E-2</v>
      </c>
      <c r="W72" s="1">
        <v>0</v>
      </c>
      <c r="X72" s="1">
        <v>0</v>
      </c>
      <c r="Y72" s="1">
        <v>13.67908203</v>
      </c>
      <c r="Z72" s="1">
        <v>0</v>
      </c>
      <c r="AA72" s="1">
        <v>111</v>
      </c>
      <c r="AB72" s="1">
        <v>3</v>
      </c>
      <c r="AC72" s="1">
        <v>50000</v>
      </c>
      <c r="AD72">
        <v>3500</v>
      </c>
      <c r="AE72" t="s">
        <v>637</v>
      </c>
      <c r="AF72" s="8" cm="1">
        <f t="array" aca="1" ref="AF72" ca="1">fScore_Total("ESPN",aCols)</f>
        <v>143.01992022700003</v>
      </c>
      <c r="AG72" s="8" cm="1">
        <f t="array" aca="1" ref="AG72" ca="1">-fScore_Total("diff",aCols)</f>
        <v>9.8311139640000018</v>
      </c>
      <c r="AH72" s="8">
        <f t="shared" ca="1" si="4"/>
        <v>152.85103419100002</v>
      </c>
      <c r="AI72" s="8" t="str">
        <f t="shared" si="3"/>
        <v>FLEX</v>
      </c>
      <c r="AJ72" s="8"/>
    </row>
    <row r="73" spans="1:36" x14ac:dyDescent="0.25">
      <c r="A73" t="s">
        <v>74</v>
      </c>
      <c r="B73" s="1" t="s">
        <v>533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98.5</v>
      </c>
      <c r="M73" s="1">
        <v>105.8864786</v>
      </c>
      <c r="N73" s="1">
        <v>8.5</v>
      </c>
      <c r="O73" s="1">
        <v>8.2969312350000006</v>
      </c>
      <c r="P73" s="1">
        <v>0.20306876499999901</v>
      </c>
      <c r="Q73" s="1">
        <v>1250.5</v>
      </c>
      <c r="R73" s="1">
        <v>1347.9209719999999</v>
      </c>
      <c r="S73" s="1">
        <v>-97.420971999999793</v>
      </c>
      <c r="T73" s="1">
        <v>-7.3864786000000002</v>
      </c>
      <c r="U73" s="1">
        <v>0</v>
      </c>
      <c r="V73" s="1">
        <v>0.15580259499999999</v>
      </c>
      <c r="W73" s="1">
        <v>0</v>
      </c>
      <c r="X73" s="1">
        <v>0</v>
      </c>
      <c r="Y73" s="1">
        <v>18.157686930000001</v>
      </c>
      <c r="Z73" s="1">
        <v>0</v>
      </c>
      <c r="AA73" s="1">
        <v>7</v>
      </c>
      <c r="AB73" s="1">
        <v>53</v>
      </c>
      <c r="AC73" s="1">
        <v>1200</v>
      </c>
      <c r="AD73">
        <v>0</v>
      </c>
      <c r="AE73" t="s">
        <v>544</v>
      </c>
      <c r="AF73" s="8" cm="1">
        <f t="array" aca="1" ref="AF73" ca="1">fScore_Total("ESPN",aCols)</f>
        <v>240.26750817300001</v>
      </c>
      <c r="AG73" s="8" cm="1">
        <f t="array" aca="1" ref="AG73" ca="1">-fScore_Total("diff",aCols)</f>
        <v>12.216923909999986</v>
      </c>
      <c r="AH73" s="8">
        <f t="shared" ca="1" si="4"/>
        <v>252.484432083</v>
      </c>
      <c r="AI73" s="8" t="str">
        <f t="shared" si="3"/>
        <v>FLEX</v>
      </c>
      <c r="AJ73" s="8"/>
    </row>
    <row r="74" spans="1:36" x14ac:dyDescent="0.25">
      <c r="A74" t="s">
        <v>440</v>
      </c>
      <c r="B74" s="1" t="s">
        <v>533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61.385361209999999</v>
      </c>
      <c r="N74" s="1">
        <v>4.5</v>
      </c>
      <c r="O74" s="1">
        <v>4.8189823839999999</v>
      </c>
      <c r="P74" s="1">
        <v>-0.31898238399999901</v>
      </c>
      <c r="Q74" s="1">
        <v>750.5</v>
      </c>
      <c r="R74" s="1">
        <v>814.55663909999998</v>
      </c>
      <c r="S74" s="1">
        <v>-64.056639099999899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114</v>
      </c>
      <c r="AB74" s="1">
        <v>2</v>
      </c>
      <c r="AC74" s="1">
        <v>50000</v>
      </c>
      <c r="AD74">
        <v>5000</v>
      </c>
      <c r="AE74" t="s">
        <v>637</v>
      </c>
      <c r="AF74" s="8" cm="1">
        <f t="array" aca="1" ref="AF74" ca="1">fScore_Total("ESPN",aCols)</f>
        <v>141.06223881900002</v>
      </c>
      <c r="AG74" s="8" cm="1">
        <f t="array" aca="1" ref="AG74" ca="1">-fScore_Total("diff",aCols)</f>
        <v>8.3195582139999846</v>
      </c>
      <c r="AH74" s="8">
        <f t="shared" ca="1" si="4"/>
        <v>149.381797033</v>
      </c>
      <c r="AI74" s="8" t="str">
        <f t="shared" si="3"/>
        <v>FLEX</v>
      </c>
      <c r="AJ74" s="8"/>
    </row>
    <row r="75" spans="1:36" x14ac:dyDescent="0.25">
      <c r="A75" t="s">
        <v>75</v>
      </c>
      <c r="B75" s="1" t="s">
        <v>533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84.5</v>
      </c>
      <c r="M75" s="1">
        <v>89.122284769999993</v>
      </c>
      <c r="N75" s="1">
        <v>6.5</v>
      </c>
      <c r="O75" s="1">
        <v>5.1065542730000004</v>
      </c>
      <c r="P75" s="1">
        <v>1.39344572699999</v>
      </c>
      <c r="Q75" s="1">
        <v>1025.5</v>
      </c>
      <c r="R75" s="1">
        <v>1148.109741</v>
      </c>
      <c r="S75" s="1">
        <v>-122.609740999999</v>
      </c>
      <c r="T75" s="1">
        <v>-4.6222847699999896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21</v>
      </c>
      <c r="AB75" s="1">
        <v>34</v>
      </c>
      <c r="AC75" s="1">
        <v>7500</v>
      </c>
      <c r="AD75">
        <v>0</v>
      </c>
      <c r="AE75" t="s">
        <v>637</v>
      </c>
      <c r="AF75" s="8" cm="1">
        <f t="array" aca="1" ref="AF75" ca="1">fScore_Total("ESPN",aCols)</f>
        <v>190.01144212299999</v>
      </c>
      <c r="AG75" s="8" cm="1">
        <f t="array" aca="1" ref="AG75" ca="1">-fScore_Total("diff",aCols)</f>
        <v>6.211442122999955</v>
      </c>
      <c r="AH75" s="8">
        <f t="shared" ca="1" si="4"/>
        <v>196.22288424599995</v>
      </c>
      <c r="AI75" s="8" t="str">
        <f t="shared" si="3"/>
        <v>FLEX</v>
      </c>
      <c r="AJ75" s="8"/>
    </row>
    <row r="76" spans="1:36" x14ac:dyDescent="0.25">
      <c r="A76" t="s">
        <v>76</v>
      </c>
      <c r="B76" s="1" t="s">
        <v>533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79.5</v>
      </c>
      <c r="M76" s="1">
        <v>78.103868869999999</v>
      </c>
      <c r="N76" s="1">
        <v>6.5</v>
      </c>
      <c r="O76" s="1">
        <v>6.4832966140000003</v>
      </c>
      <c r="P76" s="1">
        <v>1.6703385999999602E-2</v>
      </c>
      <c r="Q76" s="1">
        <v>950.5</v>
      </c>
      <c r="R76" s="1">
        <v>996.56367439999997</v>
      </c>
      <c r="S76" s="1">
        <v>-46.063674399999897</v>
      </c>
      <c r="T76" s="1">
        <v>1.3961311300000001</v>
      </c>
      <c r="U76" s="1">
        <v>0</v>
      </c>
      <c r="V76" s="1">
        <v>0.103571154</v>
      </c>
      <c r="W76" s="1">
        <v>0</v>
      </c>
      <c r="X76" s="1">
        <v>0</v>
      </c>
      <c r="Y76" s="1">
        <v>11.96084898</v>
      </c>
      <c r="Z76" s="1">
        <v>0</v>
      </c>
      <c r="AA76" s="1">
        <v>47</v>
      </c>
      <c r="AB76" s="1">
        <v>17</v>
      </c>
      <c r="AC76" s="1">
        <v>6000</v>
      </c>
      <c r="AD76">
        <v>0</v>
      </c>
      <c r="AE76" t="s">
        <v>637</v>
      </c>
      <c r="AF76" s="8" cm="1">
        <f t="array" aca="1" ref="AF76" ca="1">fScore_Total("ESPN",aCols)</f>
        <v>179.425593381</v>
      </c>
      <c r="AG76" s="8" cm="1">
        <f t="array" aca="1" ref="AG76" ca="1">-fScore_Total("diff",aCols)</f>
        <v>3.8080815589999921</v>
      </c>
      <c r="AH76" s="8">
        <f t="shared" ca="1" si="4"/>
        <v>183.23367493999999</v>
      </c>
      <c r="AI76" s="8" t="str">
        <f t="shared" si="3"/>
        <v>FLEX</v>
      </c>
      <c r="AJ76" s="8"/>
    </row>
    <row r="77" spans="1:36" x14ac:dyDescent="0.25">
      <c r="A77" t="s">
        <v>77</v>
      </c>
      <c r="B77" s="1" t="s">
        <v>533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56.38100214</v>
      </c>
      <c r="N77" s="1">
        <v>4.5</v>
      </c>
      <c r="O77" s="1">
        <v>6.340266765</v>
      </c>
      <c r="P77" s="1">
        <v>-1.840266765</v>
      </c>
      <c r="Q77" s="1">
        <v>750.5</v>
      </c>
      <c r="R77" s="1">
        <v>761.91854890000002</v>
      </c>
      <c r="S77" s="1">
        <v>-11.418548899999999</v>
      </c>
      <c r="T77" s="1">
        <v>0</v>
      </c>
      <c r="U77" s="1">
        <v>0</v>
      </c>
      <c r="V77" s="1">
        <v>0.278512912</v>
      </c>
      <c r="W77" s="1">
        <v>0</v>
      </c>
      <c r="X77" s="1">
        <v>0</v>
      </c>
      <c r="Y77" s="1">
        <v>35.196831799999998</v>
      </c>
      <c r="Z77" s="1">
        <v>0</v>
      </c>
      <c r="AA77" s="1">
        <v>98</v>
      </c>
      <c r="AB77" s="1">
        <v>4</v>
      </c>
      <c r="AC77" s="1">
        <v>0</v>
      </c>
      <c r="AD77">
        <v>2200</v>
      </c>
      <c r="AE77" t="s">
        <v>539</v>
      </c>
      <c r="AF77" s="8" cm="1">
        <f t="array" aca="1" ref="AF77" ca="1">fScore_Total("ESPN",aCols)</f>
        <v>147.61471720200001</v>
      </c>
      <c r="AG77" s="8" cm="1">
        <f t="array" aca="1" ref="AG77" ca="1">-fScore_Total("diff",aCols)</f>
        <v>12.183455479999999</v>
      </c>
      <c r="AH77" s="8">
        <f t="shared" ca="1" si="4"/>
        <v>159.798172682</v>
      </c>
      <c r="AI77" s="8" t="str">
        <f t="shared" si="3"/>
        <v>FLEX</v>
      </c>
      <c r="AJ77" s="8"/>
    </row>
    <row r="78" spans="1:36" x14ac:dyDescent="0.25">
      <c r="A78" t="s">
        <v>78</v>
      </c>
      <c r="B78" s="1" t="s">
        <v>533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104.5</v>
      </c>
      <c r="M78" s="1">
        <v>112.85836329999999</v>
      </c>
      <c r="N78" s="1">
        <v>9.5</v>
      </c>
      <c r="O78" s="1">
        <v>8.5502473630000004</v>
      </c>
      <c r="P78" s="1">
        <v>0.94975263699999901</v>
      </c>
      <c r="Q78" s="1">
        <v>1350.5</v>
      </c>
      <c r="R78" s="1">
        <v>1406.527327</v>
      </c>
      <c r="S78" s="1">
        <v>-56.027327</v>
      </c>
      <c r="T78" s="1">
        <v>-8.3583632999999899</v>
      </c>
      <c r="U78" s="1">
        <v>0</v>
      </c>
      <c r="V78" s="1">
        <v>0.78298634</v>
      </c>
      <c r="W78" s="1">
        <v>0</v>
      </c>
      <c r="X78" s="1">
        <v>0</v>
      </c>
      <c r="Y78" s="1">
        <v>85.893220159999998</v>
      </c>
      <c r="Z78" s="1">
        <v>0</v>
      </c>
      <c r="AA78" s="1">
        <v>4</v>
      </c>
      <c r="AB78" s="1">
        <v>55</v>
      </c>
      <c r="AC78" s="1">
        <v>1000</v>
      </c>
      <c r="AD78">
        <v>0</v>
      </c>
      <c r="AE78" t="s">
        <v>637</v>
      </c>
      <c r="AF78" s="8" cm="1">
        <f t="array" aca="1" ref="AF78" ca="1">fScore_Total("ESPN",aCols)</f>
        <v>261.67063858399996</v>
      </c>
      <c r="AG78" s="8" cm="1">
        <f t="array" aca="1" ref="AG78" ca="1">-fScore_Total("diff",aCols)</f>
        <v>4.0833985280000018</v>
      </c>
      <c r="AH78" s="8">
        <f t="shared" ca="1" si="4"/>
        <v>265.75403711199993</v>
      </c>
      <c r="AI78" s="8" t="str">
        <f t="shared" si="3"/>
        <v>FLEX</v>
      </c>
      <c r="AJ78" s="8"/>
    </row>
    <row r="79" spans="1:36" x14ac:dyDescent="0.25">
      <c r="A79" t="s">
        <v>79</v>
      </c>
      <c r="B79" s="1" t="s">
        <v>533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85.5</v>
      </c>
      <c r="M79" s="1">
        <v>88.52396238</v>
      </c>
      <c r="N79" s="1">
        <v>6.5</v>
      </c>
      <c r="O79" s="1">
        <v>5.8816697700000002</v>
      </c>
      <c r="P79" s="1">
        <v>0.61833022999999898</v>
      </c>
      <c r="Q79" s="1">
        <v>1150.5</v>
      </c>
      <c r="R79" s="1">
        <v>1237.816294</v>
      </c>
      <c r="S79" s="1">
        <v>-87.3162939999999</v>
      </c>
      <c r="T79" s="1">
        <v>-3.0239623799999999</v>
      </c>
      <c r="U79" s="1">
        <v>0</v>
      </c>
      <c r="V79" s="1">
        <v>0.652338062</v>
      </c>
      <c r="W79" s="1">
        <v>0</v>
      </c>
      <c r="X79" s="1">
        <v>0</v>
      </c>
      <c r="Y79" s="1">
        <v>77.240782240000001</v>
      </c>
      <c r="Z79" s="1">
        <v>0</v>
      </c>
      <c r="AA79" s="1">
        <v>12</v>
      </c>
      <c r="AB79" s="1">
        <v>46</v>
      </c>
      <c r="AC79" s="1">
        <v>2800</v>
      </c>
      <c r="AD79">
        <v>0</v>
      </c>
      <c r="AE79" t="s">
        <v>637</v>
      </c>
      <c r="AF79" s="8" cm="1">
        <f t="array" aca="1" ref="AF79" ca="1">fScore_Total("ESPN",aCols)</f>
        <v>214.971735806</v>
      </c>
      <c r="AG79" s="8" cm="1">
        <f t="array" aca="1" ref="AG79" ca="1">-fScore_Total("diff",aCols)</f>
        <v>6.5336292099999964</v>
      </c>
      <c r="AH79" s="8">
        <f t="shared" ca="1" si="4"/>
        <v>221.50536501599998</v>
      </c>
      <c r="AI79" s="8" t="str">
        <f t="shared" si="3"/>
        <v>FLEX</v>
      </c>
      <c r="AJ79" s="8"/>
    </row>
    <row r="80" spans="1:36" x14ac:dyDescent="0.25">
      <c r="A80" t="s">
        <v>80</v>
      </c>
      <c r="B80" s="1" t="s">
        <v>533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58.952453669999997</v>
      </c>
      <c r="N80" s="1">
        <v>4.5</v>
      </c>
      <c r="O80" s="1">
        <v>4.9550540410000004</v>
      </c>
      <c r="P80" s="1">
        <v>-0.45505404100000002</v>
      </c>
      <c r="Q80" s="1">
        <v>675.5</v>
      </c>
      <c r="R80" s="1">
        <v>814.61080159999995</v>
      </c>
      <c r="S80" s="1">
        <v>-139.11080159999901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113</v>
      </c>
      <c r="AB80" s="1">
        <v>3</v>
      </c>
      <c r="AC80" s="1">
        <v>20000</v>
      </c>
      <c r="AD80">
        <v>3500</v>
      </c>
      <c r="AE80" t="s">
        <v>541</v>
      </c>
      <c r="AF80" s="8" cm="1">
        <f t="array" aca="1" ref="AF80" ca="1">fScore_Total("ESPN",aCols)</f>
        <v>140.66763124099998</v>
      </c>
      <c r="AG80" s="8" cm="1">
        <f t="array" aca="1" ref="AG80" ca="1">-fScore_Total("diff",aCols)</f>
        <v>16.6414044059999</v>
      </c>
      <c r="AH80" s="8">
        <f t="shared" ca="1" si="4"/>
        <v>157.30903564699989</v>
      </c>
      <c r="AI80" s="8" t="str">
        <f t="shared" si="3"/>
        <v>FLEX</v>
      </c>
      <c r="AJ80" s="8"/>
    </row>
    <row r="81" spans="1:36" x14ac:dyDescent="0.25">
      <c r="A81" t="s">
        <v>81</v>
      </c>
      <c r="B81" s="1" t="s">
        <v>533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68.5</v>
      </c>
      <c r="M81" s="1">
        <v>77.372182480000006</v>
      </c>
      <c r="N81" s="1">
        <v>6.5</v>
      </c>
      <c r="O81" s="1">
        <v>6.6947263149999996</v>
      </c>
      <c r="P81" s="1">
        <v>-0.19472631499999901</v>
      </c>
      <c r="Q81" s="1">
        <v>950.5</v>
      </c>
      <c r="R81" s="1">
        <v>1048.235212</v>
      </c>
      <c r="S81" s="1">
        <v>-97.735212000000004</v>
      </c>
      <c r="T81" s="1">
        <v>-8.8721824799999993</v>
      </c>
      <c r="U81" s="1">
        <v>0</v>
      </c>
      <c r="V81" s="1">
        <v>9.5130708999999994E-2</v>
      </c>
      <c r="W81" s="1">
        <v>0</v>
      </c>
      <c r="X81" s="1">
        <v>0</v>
      </c>
      <c r="Y81" s="1">
        <v>12.63974966</v>
      </c>
      <c r="Z81" s="1">
        <v>0</v>
      </c>
      <c r="AA81" s="1">
        <v>34</v>
      </c>
      <c r="AB81" s="1">
        <v>23</v>
      </c>
      <c r="AC81" s="1">
        <v>10000</v>
      </c>
      <c r="AD81">
        <v>0</v>
      </c>
      <c r="AE81" t="s">
        <v>544</v>
      </c>
      <c r="AF81" s="8" cm="1">
        <f t="array" aca="1" ref="AF81" ca="1">fScore_Total("ESPN",aCols)</f>
        <v>185.51272955000002</v>
      </c>
      <c r="AG81" s="8" cm="1">
        <f t="array" aca="1" ref="AG81" ca="1">-fScore_Total("diff",aCols)</f>
        <v>15.377970329999995</v>
      </c>
      <c r="AH81" s="8">
        <f t="shared" ca="1" si="4"/>
        <v>200.89069988</v>
      </c>
      <c r="AI81" s="8" t="str">
        <f t="shared" si="3"/>
        <v>FLEX</v>
      </c>
      <c r="AJ81" s="8"/>
    </row>
    <row r="82" spans="1:36" x14ac:dyDescent="0.25">
      <c r="A82" t="s">
        <v>412</v>
      </c>
      <c r="B82" s="1" t="s">
        <v>533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67.5</v>
      </c>
      <c r="M82" s="1">
        <v>69.573018300000001</v>
      </c>
      <c r="N82" s="1">
        <v>6.5</v>
      </c>
      <c r="O82" s="1">
        <v>8.2051118729999999</v>
      </c>
      <c r="P82" s="1">
        <v>-1.7051118729999999</v>
      </c>
      <c r="Q82" s="1">
        <v>1000.5</v>
      </c>
      <c r="R82" s="1">
        <v>1070.4863519999999</v>
      </c>
      <c r="S82" s="1">
        <v>-69.986351999999897</v>
      </c>
      <c r="T82" s="1">
        <v>-2.0730183000000002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31</v>
      </c>
      <c r="AB82" s="1">
        <v>26</v>
      </c>
      <c r="AC82" s="1">
        <v>6000</v>
      </c>
      <c r="AD82">
        <v>0</v>
      </c>
      <c r="AE82" t="s">
        <v>539</v>
      </c>
      <c r="AF82" s="8" cm="1">
        <f t="array" aca="1" ref="AF82" ca="1">fScore_Total("ESPN",aCols)</f>
        <v>191.06581558799999</v>
      </c>
      <c r="AG82" s="8" cm="1">
        <f t="array" aca="1" ref="AG82" ca="1">-fScore_Total("diff",aCols)</f>
        <v>18.265815587999988</v>
      </c>
      <c r="AH82" s="8">
        <f t="shared" ca="1" si="4"/>
        <v>209.33163117599997</v>
      </c>
      <c r="AI82" s="8" t="str">
        <f t="shared" si="3"/>
        <v>FLEX</v>
      </c>
      <c r="AJ82" s="8"/>
    </row>
    <row r="83" spans="1:36" x14ac:dyDescent="0.25">
      <c r="A83" t="s">
        <v>82</v>
      </c>
      <c r="B83" s="1" t="s">
        <v>533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68.5</v>
      </c>
      <c r="M83" s="1">
        <v>77.114572300000006</v>
      </c>
      <c r="N83" s="1">
        <v>8.5</v>
      </c>
      <c r="O83" s="1">
        <v>7.435436793</v>
      </c>
      <c r="P83" s="1">
        <v>1.064563207</v>
      </c>
      <c r="Q83" s="1">
        <v>1050.5</v>
      </c>
      <c r="R83" s="1">
        <v>1137.9072550000001</v>
      </c>
      <c r="S83" s="1">
        <v>-87.407255000000006</v>
      </c>
      <c r="T83" s="1">
        <v>-8.6145723000000007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20</v>
      </c>
      <c r="AB83" s="1">
        <v>35</v>
      </c>
      <c r="AC83" s="1">
        <v>7500</v>
      </c>
      <c r="AD83">
        <v>0</v>
      </c>
      <c r="AE83" t="s">
        <v>637</v>
      </c>
      <c r="AF83" s="8" cm="1">
        <f t="array" aca="1" ref="AF83" ca="1">fScore_Total("ESPN",aCols)</f>
        <v>196.96063240800001</v>
      </c>
      <c r="AG83" s="8" cm="1">
        <f t="array" aca="1" ref="AG83" ca="1">-fScore_Total("diff",aCols)</f>
        <v>6.6606324080000023</v>
      </c>
      <c r="AH83" s="8">
        <f t="shared" ca="1" si="4"/>
        <v>203.62126481600001</v>
      </c>
      <c r="AI83" s="8" t="str">
        <f t="shared" si="3"/>
        <v>FLEX</v>
      </c>
      <c r="AJ83" s="8"/>
    </row>
    <row r="84" spans="1:36" x14ac:dyDescent="0.25">
      <c r="A84" t="s">
        <v>83</v>
      </c>
      <c r="B84" s="1" t="s">
        <v>533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71.029840640000003</v>
      </c>
      <c r="N84" s="1">
        <v>4.5</v>
      </c>
      <c r="O84" s="1">
        <v>4.557735278</v>
      </c>
      <c r="P84" s="1">
        <v>-5.7735278000000001E-2</v>
      </c>
      <c r="Q84" s="1">
        <v>925.5</v>
      </c>
      <c r="R84" s="1">
        <v>1091.3722769999999</v>
      </c>
      <c r="S84" s="1">
        <v>-165.872276999999</v>
      </c>
      <c r="T84" s="1">
        <v>0</v>
      </c>
      <c r="U84" s="1">
        <v>0</v>
      </c>
      <c r="V84" s="1">
        <v>0.211371686</v>
      </c>
      <c r="W84" s="1">
        <v>0</v>
      </c>
      <c r="X84" s="1">
        <v>0</v>
      </c>
      <c r="Y84" s="1">
        <v>28.532366939999999</v>
      </c>
      <c r="Z84" s="1">
        <v>0</v>
      </c>
      <c r="AA84" s="1">
        <v>57</v>
      </c>
      <c r="AB84" s="1">
        <v>11</v>
      </c>
      <c r="AC84" s="1">
        <v>12000</v>
      </c>
      <c r="AD84">
        <v>0</v>
      </c>
      <c r="AE84" t="s">
        <v>545</v>
      </c>
      <c r="AF84" s="8" cm="1">
        <f t="array" aca="1" ref="AF84" ca="1">fScore_Total("ESPN",aCols)</f>
        <v>176.12002649800002</v>
      </c>
      <c r="AG84" s="8" cm="1">
        <f t="array" aca="1" ref="AG84" ca="1">-fScore_Total("diff",aCols)</f>
        <v>16.933639367999902</v>
      </c>
      <c r="AH84" s="8">
        <f t="shared" ca="1" si="4"/>
        <v>193.0536658659999</v>
      </c>
      <c r="AI84" s="8" t="str">
        <f t="shared" si="3"/>
        <v>FLEX</v>
      </c>
      <c r="AJ84" s="8"/>
    </row>
    <row r="85" spans="1:36" x14ac:dyDescent="0.25">
      <c r="A85" t="s">
        <v>84</v>
      </c>
      <c r="B85" s="1" t="s">
        <v>533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46.340764780000001</v>
      </c>
      <c r="N85" s="1">
        <v>3.5</v>
      </c>
      <c r="O85" s="1">
        <v>3.085782069</v>
      </c>
      <c r="P85" s="1">
        <v>0.41421793099999998</v>
      </c>
      <c r="Q85" s="1">
        <v>500.5</v>
      </c>
      <c r="R85" s="1">
        <v>609.57128079999995</v>
      </c>
      <c r="S85" s="1">
        <v>-109.071280799999</v>
      </c>
      <c r="T85" s="1">
        <v>0</v>
      </c>
      <c r="U85" s="1">
        <v>0</v>
      </c>
      <c r="V85" s="1">
        <v>0.32062824099999998</v>
      </c>
      <c r="W85" s="1">
        <v>0</v>
      </c>
      <c r="X85" s="1">
        <v>0</v>
      </c>
      <c r="Y85" s="1">
        <v>38.936171190000003</v>
      </c>
      <c r="Z85" s="1">
        <v>0</v>
      </c>
      <c r="AA85" s="1">
        <v>191</v>
      </c>
      <c r="AB85" s="1">
        <v>1</v>
      </c>
      <c r="AC85" s="1">
        <v>0</v>
      </c>
      <c r="AD85">
        <v>7500</v>
      </c>
      <c r="AE85" t="s">
        <v>637</v>
      </c>
      <c r="AF85" s="8" cm="1">
        <f t="array" aca="1" ref="AF85" ca="1">fScore_Total("ESPN",aCols)</f>
        <v>108.45958944899999</v>
      </c>
      <c r="AG85" s="8" cm="1">
        <f t="array" aca="1" ref="AG85" ca="1">-fScore_Total("diff",aCols)</f>
        <v>8.4218204939999008</v>
      </c>
      <c r="AH85" s="8">
        <f t="shared" ca="1" si="4"/>
        <v>116.88140994299989</v>
      </c>
      <c r="AI85" s="8" t="str">
        <f t="shared" si="3"/>
        <v>FLEX</v>
      </c>
      <c r="AJ85" s="8"/>
    </row>
    <row r="86" spans="1:36" x14ac:dyDescent="0.25">
      <c r="A86" t="s">
        <v>85</v>
      </c>
      <c r="B86" s="1" t="s">
        <v>535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67.5</v>
      </c>
      <c r="M86" s="1">
        <v>73.735570269999997</v>
      </c>
      <c r="N86" s="1">
        <v>6.5</v>
      </c>
      <c r="O86" s="1">
        <v>6.9943424040000002</v>
      </c>
      <c r="P86" s="1">
        <v>-0.49434240400000001</v>
      </c>
      <c r="Q86" s="1">
        <v>800.5</v>
      </c>
      <c r="R86" s="1">
        <v>819.7098694</v>
      </c>
      <c r="S86" s="1">
        <v>-19.209869399999999</v>
      </c>
      <c r="T86" s="1">
        <v>-6.2355702699999904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55</v>
      </c>
      <c r="AB86" s="1">
        <v>12</v>
      </c>
      <c r="AC86" s="1">
        <v>25000</v>
      </c>
      <c r="AD86">
        <v>0</v>
      </c>
      <c r="AE86" t="s">
        <v>637</v>
      </c>
      <c r="AF86" s="8" cm="1">
        <f t="array" aca="1" ref="AF86" ca="1">fScore_Total("ESPN",aCols)</f>
        <v>160.804826499</v>
      </c>
      <c r="AG86" s="8" cm="1">
        <f t="array" aca="1" ref="AG86" ca="1">-fScore_Total("diff",aCols)</f>
        <v>8.0048264989999964</v>
      </c>
      <c r="AH86" s="8">
        <f t="shared" ca="1" si="4"/>
        <v>168.80965299799999</v>
      </c>
      <c r="AI86" s="8" t="str">
        <f t="shared" si="3"/>
        <v>FLEX</v>
      </c>
      <c r="AJ86" s="8"/>
    </row>
    <row r="87" spans="1:36" x14ac:dyDescent="0.25">
      <c r="A87" t="s">
        <v>441</v>
      </c>
      <c r="B87" s="1" t="s">
        <v>533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85.5</v>
      </c>
      <c r="M87" s="1">
        <v>99.234961389999995</v>
      </c>
      <c r="N87" s="1">
        <v>5.5</v>
      </c>
      <c r="O87" s="1">
        <v>4.0196772059999999</v>
      </c>
      <c r="P87" s="1">
        <v>1.4803227940000001</v>
      </c>
      <c r="Q87" s="1">
        <v>950.5</v>
      </c>
      <c r="R87" s="1">
        <v>1089.644178</v>
      </c>
      <c r="S87" s="1">
        <v>-139.14417800000001</v>
      </c>
      <c r="T87" s="1">
        <v>-13.734961389999899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19</v>
      </c>
      <c r="AB87" s="1">
        <v>36</v>
      </c>
      <c r="AC87" s="1">
        <v>10000</v>
      </c>
      <c r="AD87">
        <v>0</v>
      </c>
      <c r="AE87" t="s">
        <v>541</v>
      </c>
      <c r="AF87" s="8" cm="1">
        <f t="array" aca="1" ref="AF87" ca="1">fScore_Total("ESPN",aCols)</f>
        <v>182.699961731</v>
      </c>
      <c r="AG87" s="8" cm="1">
        <f t="array" aca="1" ref="AG87" ca="1">-fScore_Total("diff",aCols)</f>
        <v>11.899961730999951</v>
      </c>
      <c r="AH87" s="8">
        <f t="shared" ca="1" si="4"/>
        <v>194.59992346199996</v>
      </c>
      <c r="AI87" s="8" t="str">
        <f t="shared" si="3"/>
        <v>FLEX</v>
      </c>
      <c r="AJ87" s="8"/>
    </row>
    <row r="88" spans="1:36" x14ac:dyDescent="0.25">
      <c r="A88" t="s">
        <v>86</v>
      </c>
      <c r="B88" s="1" t="s">
        <v>533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71.5</v>
      </c>
      <c r="M88" s="1">
        <v>71.593339409999999</v>
      </c>
      <c r="N88" s="1">
        <v>4.5</v>
      </c>
      <c r="O88" s="1">
        <v>6.2306102799999996</v>
      </c>
      <c r="P88" s="1">
        <v>-1.7306102799999901</v>
      </c>
      <c r="Q88" s="1">
        <v>825.5</v>
      </c>
      <c r="R88" s="1">
        <v>986.94498759999999</v>
      </c>
      <c r="S88" s="1">
        <v>-161.44498759999999</v>
      </c>
      <c r="T88" s="1">
        <v>-9.3339409999998596E-2</v>
      </c>
      <c r="U88" s="1">
        <v>0</v>
      </c>
      <c r="V88" s="1">
        <v>8.7638385999999999E-2</v>
      </c>
      <c r="W88" s="1">
        <v>0</v>
      </c>
      <c r="X88" s="1">
        <v>0</v>
      </c>
      <c r="Y88" s="1">
        <v>13.009039720000001</v>
      </c>
      <c r="Z88" s="1">
        <v>0</v>
      </c>
      <c r="AA88" s="1">
        <v>78</v>
      </c>
      <c r="AB88" s="1">
        <v>6</v>
      </c>
      <c r="AC88" s="1">
        <v>20000</v>
      </c>
      <c r="AD88">
        <v>0</v>
      </c>
      <c r="AE88" t="s">
        <v>581</v>
      </c>
      <c r="AF88" s="8" cm="1">
        <f t="array" aca="1" ref="AF88" ca="1">fScore_Total("ESPN",aCols)</f>
        <v>173.70156443299996</v>
      </c>
      <c r="AG88" s="8" cm="1">
        <f t="array" aca="1" ref="AG88" ca="1">-fScore_Total("diff",aCols)</f>
        <v>26.574830144999943</v>
      </c>
      <c r="AH88" s="8">
        <f t="shared" ca="1" si="4"/>
        <v>200.27639457799989</v>
      </c>
      <c r="AI88" s="8" t="str">
        <f t="shared" si="3"/>
        <v>FLEX</v>
      </c>
      <c r="AJ88" s="8"/>
    </row>
    <row r="89" spans="1:36" x14ac:dyDescent="0.25">
      <c r="A89" t="s">
        <v>87</v>
      </c>
      <c r="B89" s="1" t="s">
        <v>533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72.997157090000002</v>
      </c>
      <c r="N89" s="1">
        <v>4.5</v>
      </c>
      <c r="O89" s="1">
        <v>7.3491682200000001</v>
      </c>
      <c r="P89" s="1">
        <v>-2.8491682200000001</v>
      </c>
      <c r="Q89" s="1">
        <v>875.5</v>
      </c>
      <c r="R89" s="1">
        <v>1000.2263850000001</v>
      </c>
      <c r="S89" s="1">
        <v>-124.72638499999999</v>
      </c>
      <c r="T89" s="1">
        <v>0</v>
      </c>
      <c r="U89" s="1">
        <v>0</v>
      </c>
      <c r="V89" s="1">
        <v>0.144708534</v>
      </c>
      <c r="W89" s="1">
        <v>0</v>
      </c>
      <c r="X89" s="1">
        <v>0</v>
      </c>
      <c r="Y89" s="1">
        <v>18.823418780000001</v>
      </c>
      <c r="Z89" s="1">
        <v>0</v>
      </c>
      <c r="AA89" s="1">
        <v>48</v>
      </c>
      <c r="AB89" s="1">
        <v>15</v>
      </c>
      <c r="AC89" s="1">
        <v>15000</v>
      </c>
      <c r="AD89">
        <v>0</v>
      </c>
      <c r="AE89" t="s">
        <v>538</v>
      </c>
      <c r="AF89" s="8" cm="1">
        <f t="array" aca="1" ref="AF89" ca="1">fScore_Total("ESPN",aCols)</f>
        <v>183.36681944700001</v>
      </c>
      <c r="AG89" s="8" cm="1">
        <f t="array" aca="1" ref="AG89" ca="1">-fScore_Total("diff",aCols)</f>
        <v>29.567647820000005</v>
      </c>
      <c r="AH89" s="8">
        <f t="shared" ca="1" si="4"/>
        <v>212.934467267</v>
      </c>
      <c r="AI89" s="8" t="str">
        <f t="shared" si="3"/>
        <v>FLEX</v>
      </c>
      <c r="AJ89" s="8"/>
    </row>
    <row r="90" spans="1:36" x14ac:dyDescent="0.25">
      <c r="A90" t="s">
        <v>88</v>
      </c>
      <c r="B90" s="1" t="s">
        <v>532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62.5</v>
      </c>
      <c r="M90" s="1">
        <v>67.313641129999993</v>
      </c>
      <c r="N90" s="1">
        <v>5.5</v>
      </c>
      <c r="O90" s="1">
        <v>3.853017146</v>
      </c>
      <c r="P90" s="1">
        <v>1.646982854</v>
      </c>
      <c r="Q90" s="1">
        <v>500.5</v>
      </c>
      <c r="R90" s="1">
        <v>526.40418390000002</v>
      </c>
      <c r="S90" s="1">
        <v>-25.9041839</v>
      </c>
      <c r="T90" s="1">
        <v>-4.8136411299999899</v>
      </c>
      <c r="U90" s="1">
        <v>10.5</v>
      </c>
      <c r="V90" s="1">
        <v>11.89892905</v>
      </c>
      <c r="W90" s="1">
        <v>-1.39892904999999</v>
      </c>
      <c r="X90" s="1">
        <v>1150.5</v>
      </c>
      <c r="Y90" s="1">
        <v>1218.158443</v>
      </c>
      <c r="Z90" s="1">
        <v>-67.658443000000005</v>
      </c>
      <c r="AA90" s="1">
        <v>1</v>
      </c>
      <c r="AB90" s="1">
        <v>57</v>
      </c>
      <c r="AC90" s="1">
        <v>850</v>
      </c>
      <c r="AD90">
        <v>0</v>
      </c>
      <c r="AE90" t="s">
        <v>529</v>
      </c>
      <c r="AF90" s="8" cm="1">
        <f t="array" aca="1" ref="AF90" ca="1">fScore_Total("ESPN",aCols)</f>
        <v>302.62476043100003</v>
      </c>
      <c r="AG90" s="8" cm="1">
        <f t="array" aca="1" ref="AG90" ca="1">-fScore_Total("diff",aCols)</f>
        <v>10.274760430999937</v>
      </c>
      <c r="AH90" s="8">
        <f t="shared" ca="1" si="4"/>
        <v>312.89952086199997</v>
      </c>
      <c r="AI90" s="8" t="str">
        <f t="shared" si="3"/>
        <v>FLEX</v>
      </c>
      <c r="AJ90" s="8"/>
    </row>
    <row r="91" spans="1:36" x14ac:dyDescent="0.25">
      <c r="A91" t="s">
        <v>89</v>
      </c>
      <c r="B91" s="1" t="s">
        <v>533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61.459535780000003</v>
      </c>
      <c r="N91" s="1">
        <v>3.5</v>
      </c>
      <c r="O91" s="1">
        <v>4.0160872029999997</v>
      </c>
      <c r="P91" s="1">
        <v>-0.516087202999999</v>
      </c>
      <c r="Q91" s="1">
        <v>700.5</v>
      </c>
      <c r="R91" s="1">
        <v>922.21809570000005</v>
      </c>
      <c r="S91" s="1">
        <v>-221.71809569999999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155</v>
      </c>
      <c r="AB91" s="1">
        <v>1</v>
      </c>
      <c r="AC91" s="1">
        <v>20000</v>
      </c>
      <c r="AD91">
        <v>0</v>
      </c>
      <c r="AE91" t="s">
        <v>582</v>
      </c>
      <c r="AF91" s="8" cm="1">
        <f t="array" aca="1" ref="AF91" ca="1">fScore_Total("ESPN",aCols)</f>
        <v>147.048100678</v>
      </c>
      <c r="AG91" s="8" cm="1">
        <f t="array" aca="1" ref="AG91" ca="1">-fScore_Total("diff",aCols)</f>
        <v>25.268332787999995</v>
      </c>
      <c r="AH91" s="8">
        <f t="shared" ca="1" si="4"/>
        <v>172.31643346599998</v>
      </c>
      <c r="AI91" s="8" t="str">
        <f t="shared" si="3"/>
        <v>FLEX</v>
      </c>
      <c r="AJ91" s="8"/>
    </row>
    <row r="92" spans="1:36" x14ac:dyDescent="0.25">
      <c r="A92" t="s">
        <v>90</v>
      </c>
      <c r="B92" s="1" t="s">
        <v>532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26.14410328</v>
      </c>
      <c r="N92" s="1">
        <v>0</v>
      </c>
      <c r="O92" s="1">
        <v>1.17131322</v>
      </c>
      <c r="P92" s="1">
        <v>0</v>
      </c>
      <c r="Q92" s="1">
        <v>0</v>
      </c>
      <c r="R92" s="1">
        <v>188.3206696</v>
      </c>
      <c r="S92" s="1">
        <v>0</v>
      </c>
      <c r="T92" s="1">
        <v>0</v>
      </c>
      <c r="U92" s="1">
        <v>7.5</v>
      </c>
      <c r="V92" s="1">
        <v>7.9227431490000004</v>
      </c>
      <c r="W92" s="1">
        <v>-0.42274314899999998</v>
      </c>
      <c r="X92" s="1">
        <v>675.5</v>
      </c>
      <c r="Y92" s="1">
        <v>720.40550710000002</v>
      </c>
      <c r="Z92" s="1">
        <v>-44.905507100000001</v>
      </c>
      <c r="AA92" s="1">
        <v>122</v>
      </c>
      <c r="AB92" s="1">
        <v>2</v>
      </c>
      <c r="AC92" s="1">
        <v>10000</v>
      </c>
      <c r="AD92">
        <v>0</v>
      </c>
      <c r="AE92" t="s">
        <v>637</v>
      </c>
      <c r="AF92" s="8" cm="1">
        <f t="array" aca="1" ref="AF92" ca="1">fScore_Total("ESPN",aCols)</f>
        <v>158.50900752400003</v>
      </c>
      <c r="AG92" s="8" cm="1">
        <f t="array" aca="1" ref="AG92" ca="1">-fScore_Total("diff",aCols)</f>
        <v>7.0270096039999999</v>
      </c>
      <c r="AH92" s="8">
        <f t="shared" ca="1" si="4"/>
        <v>165.53601712800003</v>
      </c>
      <c r="AI92" s="8" t="str">
        <f t="shared" si="3"/>
        <v>FLEX</v>
      </c>
      <c r="AJ92" s="8"/>
    </row>
    <row r="93" spans="1:36" x14ac:dyDescent="0.25">
      <c r="A93" t="s">
        <v>91</v>
      </c>
      <c r="B93" s="1" t="s">
        <v>532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35.492156629999997</v>
      </c>
      <c r="N93" s="1">
        <v>0</v>
      </c>
      <c r="O93" s="1">
        <v>0.59553220900000003</v>
      </c>
      <c r="P93" s="1">
        <v>0</v>
      </c>
      <c r="Q93" s="1">
        <v>0</v>
      </c>
      <c r="R93" s="1">
        <v>224.91261299999999</v>
      </c>
      <c r="S93" s="1">
        <v>0</v>
      </c>
      <c r="T93" s="1">
        <v>0</v>
      </c>
      <c r="U93" s="1">
        <v>4.5</v>
      </c>
      <c r="V93" s="1">
        <v>4.5807278370000004</v>
      </c>
      <c r="W93" s="1">
        <v>-8.0727837000000399E-2</v>
      </c>
      <c r="X93" s="1">
        <v>725.5</v>
      </c>
      <c r="Y93" s="1">
        <v>787.06253419999996</v>
      </c>
      <c r="Z93" s="1">
        <v>-61.562534199999902</v>
      </c>
      <c r="AA93" s="1">
        <v>103</v>
      </c>
      <c r="AB93" s="1">
        <v>3</v>
      </c>
      <c r="AC93" s="1">
        <v>25000</v>
      </c>
      <c r="AD93">
        <v>0</v>
      </c>
      <c r="AE93" t="s">
        <v>637</v>
      </c>
      <c r="AF93" s="8" cm="1">
        <f t="array" aca="1" ref="AF93" ca="1">fScore_Total("ESPN",aCols)</f>
        <v>150.001153311</v>
      </c>
      <c r="AG93" s="8" cm="1">
        <f t="array" aca="1" ref="AG93" ca="1">-fScore_Total("diff",aCols)</f>
        <v>6.6406204419999932</v>
      </c>
      <c r="AH93" s="8">
        <f t="shared" ca="1" si="4"/>
        <v>156.641773753</v>
      </c>
      <c r="AI93" s="8" t="str">
        <f t="shared" si="3"/>
        <v>FLEX</v>
      </c>
      <c r="AJ93" s="8"/>
    </row>
    <row r="94" spans="1:36" x14ac:dyDescent="0.25">
      <c r="A94" t="s">
        <v>92</v>
      </c>
      <c r="B94" s="1" t="s">
        <v>532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67.80669872</v>
      </c>
      <c r="N94" s="1">
        <v>0</v>
      </c>
      <c r="O94" s="1">
        <v>2.5352651819999998</v>
      </c>
      <c r="P94" s="1">
        <v>0</v>
      </c>
      <c r="Q94" s="1">
        <v>0</v>
      </c>
      <c r="R94" s="1">
        <v>546.4325169</v>
      </c>
      <c r="S94" s="1">
        <v>0</v>
      </c>
      <c r="T94" s="1">
        <v>0</v>
      </c>
      <c r="U94" s="1">
        <v>7.5</v>
      </c>
      <c r="V94" s="1">
        <v>7.9822839019999998</v>
      </c>
      <c r="W94" s="1">
        <v>-0.48228390199999899</v>
      </c>
      <c r="X94" s="1">
        <v>1050.5</v>
      </c>
      <c r="Y94" s="1">
        <v>1049.4063679999999</v>
      </c>
      <c r="Z94" s="1">
        <v>1.0936320000000701</v>
      </c>
      <c r="AA94" s="1">
        <v>3</v>
      </c>
      <c r="AB94" s="1">
        <v>55</v>
      </c>
      <c r="AC94" s="1">
        <v>1500</v>
      </c>
      <c r="AD94">
        <v>0</v>
      </c>
      <c r="AE94" t="s">
        <v>637</v>
      </c>
      <c r="AF94" s="8" cm="1">
        <f t="array" aca="1" ref="AF94" ca="1">fScore_Total("ESPN",aCols)</f>
        <v>256.59253235400001</v>
      </c>
      <c r="AG94" s="8" cm="1">
        <f t="array" aca="1" ref="AG94" ca="1">-fScore_Total("diff",aCols)</f>
        <v>2.7843402119999872</v>
      </c>
      <c r="AH94" s="8">
        <f t="shared" ca="1" si="4"/>
        <v>259.37687256599997</v>
      </c>
      <c r="AI94" s="8" t="str">
        <f t="shared" si="3"/>
        <v>FLEX</v>
      </c>
      <c r="AJ94" s="8"/>
    </row>
    <row r="95" spans="1:36" x14ac:dyDescent="0.25">
      <c r="A95" t="s">
        <v>93</v>
      </c>
      <c r="B95" s="1" t="s">
        <v>532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45.45333342</v>
      </c>
      <c r="N95" s="1">
        <v>0</v>
      </c>
      <c r="O95" s="1">
        <v>2.0488881280000002</v>
      </c>
      <c r="P95" s="1">
        <v>0</v>
      </c>
      <c r="Q95" s="1">
        <v>0</v>
      </c>
      <c r="R95" s="1">
        <v>290.18322669999998</v>
      </c>
      <c r="S95" s="1">
        <v>0</v>
      </c>
      <c r="T95" s="1">
        <v>0</v>
      </c>
      <c r="U95" s="1">
        <v>6.5</v>
      </c>
      <c r="V95" s="1">
        <v>8.2311669240000001</v>
      </c>
      <c r="W95" s="1">
        <v>-1.7311669240000001</v>
      </c>
      <c r="X95" s="1">
        <v>900.5</v>
      </c>
      <c r="Y95" s="1">
        <v>978.72175319999997</v>
      </c>
      <c r="Z95" s="1">
        <v>-78.221753199999895</v>
      </c>
      <c r="AA95" s="1">
        <v>16</v>
      </c>
      <c r="AB95" s="1">
        <v>40</v>
      </c>
      <c r="AC95" s="1">
        <v>10000</v>
      </c>
      <c r="AD95">
        <v>0</v>
      </c>
      <c r="AE95" t="s">
        <v>546</v>
      </c>
      <c r="AF95" s="8" cm="1">
        <f t="array" aca="1" ref="AF95" ca="1">fScore_Total("ESPN",aCols)</f>
        <v>211.29749501200001</v>
      </c>
      <c r="AG95" s="8" cm="1">
        <f t="array" aca="1" ref="AG95" ca="1">-fScore_Total("diff",aCols)</f>
        <v>18.209176863999989</v>
      </c>
      <c r="AH95" s="8">
        <f t="shared" ca="1" si="4"/>
        <v>229.50667187600001</v>
      </c>
      <c r="AI95" s="8" t="str">
        <f t="shared" si="3"/>
        <v>FLEX</v>
      </c>
      <c r="AJ95" s="8"/>
    </row>
    <row r="96" spans="1:36" x14ac:dyDescent="0.25">
      <c r="A96" t="s">
        <v>94</v>
      </c>
      <c r="B96" s="1" t="s">
        <v>532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49.255515029999998</v>
      </c>
      <c r="N96" s="1">
        <v>0</v>
      </c>
      <c r="O96" s="1">
        <v>2.3653872549999999</v>
      </c>
      <c r="P96" s="1">
        <v>0</v>
      </c>
      <c r="Q96" s="1">
        <v>0</v>
      </c>
      <c r="R96" s="1">
        <v>406.01022160000002</v>
      </c>
      <c r="S96" s="1">
        <v>0</v>
      </c>
      <c r="T96" s="1">
        <v>0</v>
      </c>
      <c r="U96" s="1">
        <v>4.5</v>
      </c>
      <c r="V96" s="1">
        <v>4.3515844220000002</v>
      </c>
      <c r="W96" s="1">
        <v>0.14841557799999899</v>
      </c>
      <c r="X96" s="1">
        <v>925.5</v>
      </c>
      <c r="Y96" s="1">
        <v>935.20860879999998</v>
      </c>
      <c r="Z96" s="1">
        <v>-9.7086087999999702</v>
      </c>
      <c r="AA96" s="1">
        <v>29</v>
      </c>
      <c r="AB96" s="1">
        <v>28</v>
      </c>
      <c r="AC96" s="1">
        <v>7500</v>
      </c>
      <c r="AD96">
        <v>0</v>
      </c>
      <c r="AE96" t="s">
        <v>637</v>
      </c>
      <c r="AF96" s="8" cm="1">
        <f t="array" aca="1" ref="AF96" ca="1">fScore_Total("ESPN",aCols)</f>
        <v>199.05147061700001</v>
      </c>
      <c r="AG96" s="8" cm="1">
        <f t="array" aca="1" ref="AG96" ca="1">-fScore_Total("diff",aCols)</f>
        <v>8.036741200000308E-2</v>
      </c>
      <c r="AH96" s="8">
        <f t="shared" ca="1" si="4"/>
        <v>199.13183802900002</v>
      </c>
      <c r="AI96" s="8" t="str">
        <f t="shared" si="3"/>
        <v>FLEX</v>
      </c>
      <c r="AJ96" s="8"/>
    </row>
    <row r="97" spans="1:36" x14ac:dyDescent="0.25">
      <c r="A97" t="s">
        <v>442</v>
      </c>
      <c r="B97" s="1" t="s">
        <v>532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46.70183609</v>
      </c>
      <c r="N97" s="1">
        <v>0</v>
      </c>
      <c r="O97" s="1">
        <v>1.138724874</v>
      </c>
      <c r="P97" s="1">
        <v>0</v>
      </c>
      <c r="Q97" s="1">
        <v>0</v>
      </c>
      <c r="R97" s="1">
        <v>355.03243179999998</v>
      </c>
      <c r="S97" s="1">
        <v>0</v>
      </c>
      <c r="T97" s="1">
        <v>0</v>
      </c>
      <c r="U97" s="1">
        <v>6.5</v>
      </c>
      <c r="V97" s="1">
        <v>6.990935243</v>
      </c>
      <c r="W97" s="1">
        <v>-0.49093524300000002</v>
      </c>
      <c r="X97" s="1">
        <v>925.5</v>
      </c>
      <c r="Y97" s="1">
        <v>950.97773199999995</v>
      </c>
      <c r="Z97" s="1">
        <v>-25.4777319999999</v>
      </c>
      <c r="AA97" s="1">
        <v>17</v>
      </c>
      <c r="AB97" s="1">
        <v>38</v>
      </c>
      <c r="AC97" s="1">
        <v>7500</v>
      </c>
      <c r="AD97">
        <v>0</v>
      </c>
      <c r="AE97" t="s">
        <v>637</v>
      </c>
      <c r="AF97" s="8" cm="1">
        <f t="array" aca="1" ref="AF97" ca="1">fScore_Total("ESPN",aCols)</f>
        <v>202.72989512700002</v>
      </c>
      <c r="AG97" s="8" cm="1">
        <f t="array" aca="1" ref="AG97" ca="1">-fScore_Total("diff",aCols)</f>
        <v>5.4933846579999903</v>
      </c>
      <c r="AH97" s="8">
        <f t="shared" ca="1" si="4"/>
        <v>208.22327978500002</v>
      </c>
      <c r="AI97" s="8" t="str">
        <f t="shared" si="3"/>
        <v>FLEX</v>
      </c>
      <c r="AJ97" s="8"/>
    </row>
    <row r="98" spans="1:36" x14ac:dyDescent="0.25">
      <c r="A98" t="s">
        <v>95</v>
      </c>
      <c r="B98" s="1" t="s">
        <v>532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53.61480246</v>
      </c>
      <c r="N98" s="1">
        <v>0</v>
      </c>
      <c r="O98" s="1">
        <v>1.7239678190000001</v>
      </c>
      <c r="P98" s="1">
        <v>0</v>
      </c>
      <c r="Q98" s="1">
        <v>0</v>
      </c>
      <c r="R98" s="1">
        <v>395.13540449999999</v>
      </c>
      <c r="S98" s="1">
        <v>0</v>
      </c>
      <c r="T98" s="1">
        <v>0</v>
      </c>
      <c r="U98" s="1">
        <v>5.5</v>
      </c>
      <c r="V98" s="1">
        <v>6.1387052769999997</v>
      </c>
      <c r="W98" s="1">
        <v>-0.63870527699999902</v>
      </c>
      <c r="X98" s="1">
        <v>825.5</v>
      </c>
      <c r="Y98" s="1">
        <v>863.15660349999996</v>
      </c>
      <c r="Z98" s="1">
        <v>-37.656603499999903</v>
      </c>
      <c r="AA98" s="1">
        <v>25</v>
      </c>
      <c r="AB98" s="1">
        <v>31</v>
      </c>
      <c r="AC98" s="1">
        <v>10000</v>
      </c>
      <c r="AD98">
        <v>0</v>
      </c>
      <c r="AE98" t="s">
        <v>637</v>
      </c>
      <c r="AF98" s="8" cm="1">
        <f t="array" aca="1" ref="AF98" ca="1">fScore_Total("ESPN",aCols)</f>
        <v>199.812640606</v>
      </c>
      <c r="AG98" s="8" cm="1">
        <f t="array" aca="1" ref="AG98" ca="1">-fScore_Total("diff",aCols)</f>
        <v>7.5978920119999849</v>
      </c>
      <c r="AH98" s="8">
        <f t="shared" ca="1" si="4"/>
        <v>207.41053261799999</v>
      </c>
      <c r="AI98" s="8" t="str">
        <f t="shared" si="3"/>
        <v>FLEX</v>
      </c>
      <c r="AJ98" s="8"/>
    </row>
    <row r="99" spans="1:36" x14ac:dyDescent="0.25">
      <c r="A99" t="s">
        <v>96</v>
      </c>
      <c r="B99" s="1" t="s">
        <v>532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64.231886270000004</v>
      </c>
      <c r="N99" s="1">
        <v>0</v>
      </c>
      <c r="O99" s="1">
        <v>4.1379154949999997</v>
      </c>
      <c r="P99" s="1">
        <v>0</v>
      </c>
      <c r="Q99" s="1">
        <v>0</v>
      </c>
      <c r="R99" s="1">
        <v>564.34513059999995</v>
      </c>
      <c r="S99" s="1">
        <v>0</v>
      </c>
      <c r="T99" s="1">
        <v>0</v>
      </c>
      <c r="U99" s="1">
        <v>6.5</v>
      </c>
      <c r="V99" s="1">
        <v>7.6910078579999999</v>
      </c>
      <c r="W99" s="1">
        <v>-1.1910078579999901</v>
      </c>
      <c r="X99" s="1">
        <v>1000.5</v>
      </c>
      <c r="Y99" s="1">
        <v>1030.7824370000001</v>
      </c>
      <c r="Z99" s="1">
        <v>-30.282437000000002</v>
      </c>
      <c r="AA99" s="1">
        <v>2</v>
      </c>
      <c r="AB99" s="1">
        <v>56</v>
      </c>
      <c r="AC99" s="1">
        <v>1800</v>
      </c>
      <c r="AD99">
        <v>0</v>
      </c>
      <c r="AE99" t="s">
        <v>546</v>
      </c>
      <c r="AF99" s="8" cm="1">
        <f t="array" aca="1" ref="AF99" ca="1">fScore_Total("ESPN",aCols)</f>
        <v>262.60224001300003</v>
      </c>
      <c r="AG99" s="8" cm="1">
        <f t="array" aca="1" ref="AG99" ca="1">-fScore_Total("diff",aCols)</f>
        <v>10.174290847999941</v>
      </c>
      <c r="AH99" s="8">
        <f t="shared" ca="1" si="4"/>
        <v>272.77653086099997</v>
      </c>
      <c r="AI99" s="8" t="str">
        <f t="shared" si="3"/>
        <v>FLEX</v>
      </c>
      <c r="AJ99" s="8"/>
    </row>
    <row r="100" spans="1:36" x14ac:dyDescent="0.25">
      <c r="A100" t="s">
        <v>97</v>
      </c>
      <c r="B100" s="1" t="s">
        <v>532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35.347358710000002</v>
      </c>
      <c r="N100" s="1">
        <v>0</v>
      </c>
      <c r="O100" s="1">
        <v>0.78411001300000005</v>
      </c>
      <c r="P100" s="1">
        <v>0</v>
      </c>
      <c r="Q100" s="1">
        <v>0</v>
      </c>
      <c r="R100" s="1">
        <v>246.12559060000001</v>
      </c>
      <c r="S100" s="1">
        <v>0</v>
      </c>
      <c r="T100" s="1">
        <v>0</v>
      </c>
      <c r="U100" s="1">
        <v>4.5</v>
      </c>
      <c r="V100" s="1">
        <v>5.3187264560000003</v>
      </c>
      <c r="W100" s="1">
        <v>-0.81872645600000005</v>
      </c>
      <c r="X100" s="1">
        <v>800.5</v>
      </c>
      <c r="Y100" s="1">
        <v>871.59981230000005</v>
      </c>
      <c r="Z100" s="1">
        <v>-71.099812299999996</v>
      </c>
      <c r="AA100" s="1">
        <v>76</v>
      </c>
      <c r="AB100" s="1">
        <v>7</v>
      </c>
      <c r="AC100" s="1">
        <v>12000</v>
      </c>
      <c r="AD100">
        <v>0</v>
      </c>
      <c r="AE100" t="s">
        <v>583</v>
      </c>
      <c r="AF100" s="8" cm="1">
        <f t="array" aca="1" ref="AF100" ca="1">fScore_Total("ESPN",aCols)</f>
        <v>166.06323845900002</v>
      </c>
      <c r="AG100" s="8" cm="1">
        <f t="array" aca="1" ref="AG100" ca="1">-fScore_Total("diff",aCols)</f>
        <v>12.022339966000001</v>
      </c>
      <c r="AH100" s="8">
        <f t="shared" ca="1" si="4"/>
        <v>178.08557842500002</v>
      </c>
      <c r="AI100" s="8" t="str">
        <f t="shared" si="3"/>
        <v>FLEX</v>
      </c>
      <c r="AJ100" s="8"/>
    </row>
    <row r="101" spans="1:36" x14ac:dyDescent="0.25">
      <c r="A101" t="s">
        <v>98</v>
      </c>
      <c r="B101" s="1" t="s">
        <v>532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46.547634979999998</v>
      </c>
      <c r="N101" s="1">
        <v>0</v>
      </c>
      <c r="O101" s="1">
        <v>2.5368537679999998</v>
      </c>
      <c r="P101" s="1">
        <v>0</v>
      </c>
      <c r="Q101" s="1">
        <v>0</v>
      </c>
      <c r="R101" s="1">
        <v>391.30836740000001</v>
      </c>
      <c r="S101" s="1">
        <v>0</v>
      </c>
      <c r="T101" s="1">
        <v>0</v>
      </c>
      <c r="U101" s="1">
        <v>7.5</v>
      </c>
      <c r="V101" s="1">
        <v>5.9363907859999996</v>
      </c>
      <c r="W101" s="1">
        <v>1.563609214</v>
      </c>
      <c r="X101" s="1">
        <v>750.5</v>
      </c>
      <c r="Y101" s="1">
        <v>749.18884519999995</v>
      </c>
      <c r="Z101" s="1">
        <v>1.3111548000000499</v>
      </c>
      <c r="AA101" s="1">
        <v>43</v>
      </c>
      <c r="AB101" s="1">
        <v>19</v>
      </c>
      <c r="AC101" s="1">
        <v>6000</v>
      </c>
      <c r="AD101">
        <v>0</v>
      </c>
      <c r="AE101" t="s">
        <v>637</v>
      </c>
      <c r="AF101" s="8" cm="1">
        <f t="array" aca="1" ref="AF101" ca="1">fScore_Total("ESPN",aCols)</f>
        <v>188.16300607400001</v>
      </c>
      <c r="AG101" s="8" cm="1">
        <f t="array" aca="1" ref="AG101" ca="1">-fScore_Total("diff",aCols)</f>
        <v>-9.5127707640000061</v>
      </c>
      <c r="AH101" s="8">
        <f t="shared" ca="1" si="4"/>
        <v>178.65023531</v>
      </c>
      <c r="AI101" s="8" t="str">
        <f t="shared" si="3"/>
        <v>FLEX</v>
      </c>
      <c r="AJ101" s="8"/>
    </row>
    <row r="102" spans="1:36" x14ac:dyDescent="0.25">
      <c r="A102" t="s">
        <v>99</v>
      </c>
      <c r="B102" s="1" t="s">
        <v>532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42.594751670000001</v>
      </c>
      <c r="N102" s="1">
        <v>0</v>
      </c>
      <c r="O102" s="1">
        <v>2.9044979299999998</v>
      </c>
      <c r="P102" s="1">
        <v>0</v>
      </c>
      <c r="Q102" s="1">
        <v>0</v>
      </c>
      <c r="R102" s="1">
        <v>299.5688371</v>
      </c>
      <c r="S102" s="1">
        <v>0</v>
      </c>
      <c r="T102" s="1">
        <v>0</v>
      </c>
      <c r="U102" s="1">
        <v>6.5</v>
      </c>
      <c r="V102" s="1">
        <v>6.704902637</v>
      </c>
      <c r="W102" s="1">
        <v>-0.204902637</v>
      </c>
      <c r="X102" s="1">
        <v>850.5</v>
      </c>
      <c r="Y102" s="1">
        <v>884.65459450000003</v>
      </c>
      <c r="Z102" s="1">
        <v>-34.154594500000002</v>
      </c>
      <c r="AA102" s="1">
        <v>41</v>
      </c>
      <c r="AB102" s="1">
        <v>21</v>
      </c>
      <c r="AC102" s="1">
        <v>15000</v>
      </c>
      <c r="AD102">
        <v>0</v>
      </c>
      <c r="AE102" t="s">
        <v>637</v>
      </c>
      <c r="AF102" s="8" cm="1">
        <f t="array" aca="1" ref="AF102" ca="1">fScore_Total("ESPN",aCols)</f>
        <v>197.37612239700002</v>
      </c>
      <c r="AG102" s="8" cm="1">
        <f t="array" aca="1" ref="AG102" ca="1">-fScore_Total("diff",aCols)</f>
        <v>4.6448752720000002</v>
      </c>
      <c r="AH102" s="8">
        <f t="shared" ca="1" si="4"/>
        <v>202.02099766900002</v>
      </c>
      <c r="AI102" s="8" t="str">
        <f t="shared" si="3"/>
        <v>FLEX</v>
      </c>
      <c r="AJ102" s="8"/>
    </row>
    <row r="103" spans="1:36" x14ac:dyDescent="0.25">
      <c r="A103" t="s">
        <v>100</v>
      </c>
      <c r="B103" s="1" t="s">
        <v>532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  <c r="M103" s="1">
        <v>43.198821160000001</v>
      </c>
      <c r="N103" s="1">
        <v>0</v>
      </c>
      <c r="O103" s="1">
        <v>1.848297775</v>
      </c>
      <c r="P103" s="1">
        <v>0</v>
      </c>
      <c r="Q103" s="1">
        <v>0</v>
      </c>
      <c r="R103" s="1">
        <v>342.65862090000002</v>
      </c>
      <c r="S103" s="1">
        <v>0</v>
      </c>
      <c r="T103" s="1">
        <v>0</v>
      </c>
      <c r="U103" s="1">
        <v>5.5</v>
      </c>
      <c r="V103" s="1">
        <v>4.4379902380000003</v>
      </c>
      <c r="W103" s="1">
        <v>1.06200976199999</v>
      </c>
      <c r="X103" s="1">
        <v>750.5</v>
      </c>
      <c r="Y103" s="1">
        <v>755.36764249999999</v>
      </c>
      <c r="Z103" s="1">
        <v>-4.8676424999999801</v>
      </c>
      <c r="AA103" s="1">
        <v>75</v>
      </c>
      <c r="AB103" s="1">
        <v>7</v>
      </c>
      <c r="AC103" s="1">
        <v>12000</v>
      </c>
      <c r="AD103">
        <v>0</v>
      </c>
      <c r="AE103" t="s">
        <v>637</v>
      </c>
      <c r="AF103" s="8" cm="1">
        <f t="array" aca="1" ref="AF103" ca="1">fScore_Total("ESPN",aCols)</f>
        <v>169.11976499799999</v>
      </c>
      <c r="AG103" s="8" cm="1">
        <f t="array" aca="1" ref="AG103" ca="1">-fScore_Total("diff",aCols)</f>
        <v>-5.8852943219999414</v>
      </c>
      <c r="AH103" s="8">
        <f t="shared" ca="1" si="4"/>
        <v>163.23447067600006</v>
      </c>
      <c r="AI103" s="8" t="str">
        <f t="shared" si="3"/>
        <v>FLEX</v>
      </c>
      <c r="AJ103" s="8"/>
    </row>
    <row r="104" spans="1:36" x14ac:dyDescent="0.25">
      <c r="A104" t="s">
        <v>101</v>
      </c>
      <c r="B104" s="1" t="s">
        <v>532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  <c r="M104" s="1">
        <v>32.110698020000001</v>
      </c>
      <c r="N104" s="1">
        <v>0</v>
      </c>
      <c r="O104" s="1">
        <v>1.090138643</v>
      </c>
      <c r="P104" s="1">
        <v>0</v>
      </c>
      <c r="Q104" s="1">
        <v>0</v>
      </c>
      <c r="R104" s="1">
        <v>216.677346</v>
      </c>
      <c r="S104" s="1">
        <v>0</v>
      </c>
      <c r="T104" s="1">
        <v>0</v>
      </c>
      <c r="U104" s="1">
        <v>0</v>
      </c>
      <c r="V104" s="1">
        <v>6.3246496329999999</v>
      </c>
      <c r="W104" s="1">
        <v>0</v>
      </c>
      <c r="X104" s="1">
        <v>575.5</v>
      </c>
      <c r="Y104" s="1">
        <v>752.22064030000001</v>
      </c>
      <c r="Z104" s="1">
        <v>-176.72064030000001</v>
      </c>
      <c r="AA104" s="1">
        <v>124</v>
      </c>
      <c r="AB104" s="1">
        <v>2</v>
      </c>
      <c r="AC104" s="1">
        <v>25000</v>
      </c>
      <c r="AD104">
        <v>0</v>
      </c>
      <c r="AE104" t="s">
        <v>584</v>
      </c>
      <c r="AF104" s="8" cm="1">
        <f t="array" aca="1" ref="AF104" ca="1">fScore_Total("ESPN",aCols)</f>
        <v>157.43387729599999</v>
      </c>
      <c r="AG104" s="8" cm="1">
        <f t="array" aca="1" ref="AG104" ca="1">-fScore_Total("diff",aCols)</f>
        <v>17.672064030000001</v>
      </c>
      <c r="AH104" s="8">
        <f t="shared" ca="1" si="4"/>
        <v>175.10594132599999</v>
      </c>
      <c r="AI104" s="8" t="str">
        <f t="shared" si="3"/>
        <v>FLEX</v>
      </c>
      <c r="AJ104" s="8"/>
    </row>
    <row r="105" spans="1:36" x14ac:dyDescent="0.25">
      <c r="A105" t="s">
        <v>102</v>
      </c>
      <c r="B105" s="1" t="s">
        <v>532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  <c r="M105" s="1">
        <v>67.826318470000004</v>
      </c>
      <c r="N105" s="1">
        <v>0</v>
      </c>
      <c r="O105" s="1">
        <v>1.8603031800000001</v>
      </c>
      <c r="P105" s="1">
        <v>0</v>
      </c>
      <c r="Q105" s="1">
        <v>0</v>
      </c>
      <c r="R105" s="1">
        <v>497.55178069999999</v>
      </c>
      <c r="S105" s="1">
        <v>0</v>
      </c>
      <c r="T105" s="1">
        <v>0</v>
      </c>
      <c r="U105" s="1">
        <v>4.5</v>
      </c>
      <c r="V105" s="1">
        <v>4.6353202370000002</v>
      </c>
      <c r="W105" s="1">
        <v>-0.13532023700000001</v>
      </c>
      <c r="X105" s="1">
        <v>625.5</v>
      </c>
      <c r="Y105" s="1">
        <v>752.84350099999995</v>
      </c>
      <c r="Z105" s="1">
        <v>-127.34350099999899</v>
      </c>
      <c r="AA105" s="1">
        <v>28</v>
      </c>
      <c r="AB105" s="1">
        <v>29</v>
      </c>
      <c r="AC105" s="1">
        <v>10000</v>
      </c>
      <c r="AD105">
        <v>0</v>
      </c>
      <c r="AE105" t="s">
        <v>585</v>
      </c>
      <c r="AF105" s="8" cm="1">
        <f t="array" aca="1" ref="AF105" ca="1">fScore_Total("ESPN",aCols)</f>
        <v>197.926427907</v>
      </c>
      <c r="AG105" s="8" cm="1">
        <f t="array" aca="1" ref="AG105" ca="1">-fScore_Total("diff",aCols)</f>
        <v>13.5462715219999</v>
      </c>
      <c r="AH105" s="8">
        <f t="shared" ca="1" si="4"/>
        <v>211.4726994289999</v>
      </c>
      <c r="AI105" s="8" t="str">
        <f t="shared" si="3"/>
        <v>FLEX</v>
      </c>
      <c r="AJ105" s="8"/>
    </row>
    <row r="106" spans="1:36" x14ac:dyDescent="0.25">
      <c r="A106" t="s">
        <v>103</v>
      </c>
      <c r="B106" s="1" t="s">
        <v>532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41.314067809999997</v>
      </c>
      <c r="N106" s="1">
        <v>0</v>
      </c>
      <c r="O106" s="1">
        <v>1.4462940520000001</v>
      </c>
      <c r="P106" s="1">
        <v>0</v>
      </c>
      <c r="Q106" s="1">
        <v>0</v>
      </c>
      <c r="R106" s="1">
        <v>319.72616249999999</v>
      </c>
      <c r="S106" s="1">
        <v>0</v>
      </c>
      <c r="T106" s="1">
        <v>0</v>
      </c>
      <c r="U106" s="1">
        <v>8.5</v>
      </c>
      <c r="V106" s="1">
        <v>9.7820691350000004</v>
      </c>
      <c r="W106" s="1">
        <v>-1.282069135</v>
      </c>
      <c r="X106" s="1">
        <v>1075.5</v>
      </c>
      <c r="Y106" s="1">
        <v>1174.858017</v>
      </c>
      <c r="Z106" s="1">
        <v>-99.358017000000004</v>
      </c>
      <c r="AA106" s="1">
        <v>9</v>
      </c>
      <c r="AB106" s="1">
        <v>51</v>
      </c>
      <c r="AC106" s="1">
        <v>2800</v>
      </c>
      <c r="AD106">
        <v>0</v>
      </c>
      <c r="AE106" t="s">
        <v>586</v>
      </c>
      <c r="AF106" s="8" cm="1">
        <f t="array" aca="1" ref="AF106" ca="1">fScore_Total("ESPN",aCols)</f>
        <v>237.48563097700003</v>
      </c>
      <c r="AG106" s="8" cm="1">
        <f t="array" aca="1" ref="AG106" ca="1">-fScore_Total("diff",aCols)</f>
        <v>17.628216510000001</v>
      </c>
      <c r="AH106" s="8">
        <f t="shared" ca="1" si="4"/>
        <v>255.11384748700004</v>
      </c>
      <c r="AI106" s="8" t="str">
        <f t="shared" si="3"/>
        <v>FLEX</v>
      </c>
      <c r="AJ106" s="8"/>
    </row>
    <row r="107" spans="1:36" x14ac:dyDescent="0.25">
      <c r="A107" t="s">
        <v>104</v>
      </c>
      <c r="B107" s="1" t="s">
        <v>532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46.040619100000001</v>
      </c>
      <c r="N107" s="1">
        <v>0</v>
      </c>
      <c r="O107" s="1">
        <v>2.3757154420000002</v>
      </c>
      <c r="P107" s="1">
        <v>0</v>
      </c>
      <c r="Q107" s="1">
        <v>0</v>
      </c>
      <c r="R107" s="1">
        <v>360.34718420000002</v>
      </c>
      <c r="S107" s="1">
        <v>0</v>
      </c>
      <c r="T107" s="1">
        <v>0</v>
      </c>
      <c r="U107" s="1">
        <v>7.5</v>
      </c>
      <c r="V107" s="1">
        <v>8.7860475289999993</v>
      </c>
      <c r="W107" s="1">
        <v>-1.28604752899999</v>
      </c>
      <c r="X107" s="1">
        <v>1000.5</v>
      </c>
      <c r="Y107" s="1">
        <v>1044.3385060000001</v>
      </c>
      <c r="Z107" s="1">
        <v>-43.838506000000002</v>
      </c>
      <c r="AA107" s="1">
        <v>10</v>
      </c>
      <c r="AB107" s="1">
        <v>50</v>
      </c>
      <c r="AC107" s="1">
        <v>2200</v>
      </c>
      <c r="AD107">
        <v>0</v>
      </c>
      <c r="AE107" t="s">
        <v>546</v>
      </c>
      <c r="AF107" s="8" cm="1">
        <f t="array" aca="1" ref="AF107" ca="1">fScore_Total("ESPN",aCols)</f>
        <v>230.45945639600001</v>
      </c>
      <c r="AG107" s="8" cm="1">
        <f t="array" aca="1" ref="AG107" ca="1">-fScore_Total("diff",aCols)</f>
        <v>12.100135773999941</v>
      </c>
      <c r="AH107" s="8">
        <f t="shared" ca="1" si="4"/>
        <v>242.55959216999995</v>
      </c>
      <c r="AI107" s="8" t="str">
        <f t="shared" si="3"/>
        <v>FLEX</v>
      </c>
      <c r="AJ107" s="8"/>
    </row>
    <row r="108" spans="1:36" x14ac:dyDescent="0.25">
      <c r="A108" t="s">
        <v>105</v>
      </c>
      <c r="B108" s="1" t="s">
        <v>532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v>42.015658889999997</v>
      </c>
      <c r="N108" s="1">
        <v>0</v>
      </c>
      <c r="O108" s="1">
        <v>1.5267205349999999</v>
      </c>
      <c r="P108" s="1">
        <v>0</v>
      </c>
      <c r="Q108" s="1">
        <v>0</v>
      </c>
      <c r="R108" s="1">
        <v>325.44137979999999</v>
      </c>
      <c r="S108" s="1">
        <v>0</v>
      </c>
      <c r="T108" s="1">
        <v>0</v>
      </c>
      <c r="U108" s="1">
        <v>7.5</v>
      </c>
      <c r="V108" s="1">
        <v>6.6993324489999999</v>
      </c>
      <c r="W108" s="1">
        <v>0.80066755099999998</v>
      </c>
      <c r="X108" s="1">
        <v>950.5</v>
      </c>
      <c r="Y108" s="1">
        <v>959.48837860000003</v>
      </c>
      <c r="Z108" s="1">
        <v>-8.9883786000000292</v>
      </c>
      <c r="AA108" s="1">
        <v>30</v>
      </c>
      <c r="AB108" s="1">
        <v>27</v>
      </c>
      <c r="AC108" s="1">
        <v>12000</v>
      </c>
      <c r="AD108">
        <v>0</v>
      </c>
      <c r="AE108" t="s">
        <v>637</v>
      </c>
      <c r="AF108" s="8" cm="1">
        <f t="array" aca="1" ref="AF108" ca="1">fScore_Total("ESPN",aCols)</f>
        <v>198.85712318899999</v>
      </c>
      <c r="AG108" s="8" cm="1">
        <f t="array" aca="1" ref="AG108" ca="1">-fScore_Total("diff",aCols)</f>
        <v>-3.9051674459999965</v>
      </c>
      <c r="AH108" s="8">
        <f t="shared" ca="1" si="4"/>
        <v>194.95195574299998</v>
      </c>
      <c r="AI108" s="8" t="str">
        <f t="shared" si="3"/>
        <v>FLEX</v>
      </c>
      <c r="AJ108" s="8"/>
    </row>
    <row r="109" spans="1:36" x14ac:dyDescent="0.25">
      <c r="A109" t="s">
        <v>106</v>
      </c>
      <c r="B109" s="1" t="s">
        <v>532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27.22548591</v>
      </c>
      <c r="N109" s="1">
        <v>0</v>
      </c>
      <c r="O109" s="1">
        <v>1.1151121770000001</v>
      </c>
      <c r="P109" s="1">
        <v>0</v>
      </c>
      <c r="Q109" s="1">
        <v>0</v>
      </c>
      <c r="R109" s="1">
        <v>223.2960191</v>
      </c>
      <c r="S109" s="1">
        <v>0</v>
      </c>
      <c r="T109" s="1">
        <v>0</v>
      </c>
      <c r="U109" s="1">
        <v>10.5</v>
      </c>
      <c r="V109" s="1">
        <v>11.48918877</v>
      </c>
      <c r="W109" s="1">
        <v>-0.98918877000000005</v>
      </c>
      <c r="X109" s="1">
        <v>975.5</v>
      </c>
      <c r="Y109" s="1">
        <v>1060.2649550000001</v>
      </c>
      <c r="Z109" s="1">
        <v>-84.7649550000001</v>
      </c>
      <c r="AA109" s="1">
        <v>24</v>
      </c>
      <c r="AB109" s="1">
        <v>32</v>
      </c>
      <c r="AC109" s="1">
        <v>5000</v>
      </c>
      <c r="AD109">
        <v>0</v>
      </c>
      <c r="AE109" t="s">
        <v>587</v>
      </c>
      <c r="AF109" s="8" cm="1">
        <f t="array" aca="1" ref="AF109" ca="1">fScore_Total("ESPN",aCols)</f>
        <v>217.59464604700003</v>
      </c>
      <c r="AG109" s="8" cm="1">
        <f t="array" aca="1" ref="AG109" ca="1">-fScore_Total("diff",aCols)</f>
        <v>14.41162812000001</v>
      </c>
      <c r="AH109" s="8">
        <f t="shared" ca="1" si="4"/>
        <v>232.00627416700004</v>
      </c>
      <c r="AI109" s="8" t="str">
        <f t="shared" si="3"/>
        <v>FLEX</v>
      </c>
      <c r="AJ109" s="8"/>
    </row>
    <row r="110" spans="1:36" x14ac:dyDescent="0.25">
      <c r="A110" t="s">
        <v>107</v>
      </c>
      <c r="B110" s="1" t="s">
        <v>532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34.82745671</v>
      </c>
      <c r="N110" s="1">
        <v>0</v>
      </c>
      <c r="O110" s="1">
        <v>1.387834107</v>
      </c>
      <c r="P110" s="1">
        <v>0</v>
      </c>
      <c r="Q110" s="1">
        <v>0</v>
      </c>
      <c r="R110" s="1">
        <v>249.2422631</v>
      </c>
      <c r="S110" s="1">
        <v>0</v>
      </c>
      <c r="T110" s="1">
        <v>0</v>
      </c>
      <c r="U110" s="1">
        <v>5.5</v>
      </c>
      <c r="V110" s="1">
        <v>5.1275603729999997</v>
      </c>
      <c r="W110" s="1">
        <v>0.372439627</v>
      </c>
      <c r="X110" s="1">
        <v>725.5</v>
      </c>
      <c r="Y110" s="1">
        <v>831.59694139999999</v>
      </c>
      <c r="Z110" s="1">
        <v>-106.096941399999</v>
      </c>
      <c r="AA110" s="1">
        <v>72</v>
      </c>
      <c r="AB110" s="1">
        <v>8</v>
      </c>
      <c r="AC110" s="1">
        <v>12000</v>
      </c>
      <c r="AD110">
        <v>0</v>
      </c>
      <c r="AE110" t="s">
        <v>637</v>
      </c>
      <c r="AF110" s="8" cm="1">
        <f t="array" aca="1" ref="AF110" ca="1">fScore_Total("ESPN",aCols)</f>
        <v>164.590015685</v>
      </c>
      <c r="AG110" s="8" cm="1">
        <f t="array" aca="1" ref="AG110" ca="1">-fScore_Total("diff",aCols)</f>
        <v>8.3750563779999005</v>
      </c>
      <c r="AH110" s="8">
        <f t="shared" ca="1" si="4"/>
        <v>172.96507206299989</v>
      </c>
      <c r="AI110" s="8" t="str">
        <f t="shared" si="3"/>
        <v>FLEX</v>
      </c>
      <c r="AJ110" s="8"/>
    </row>
    <row r="111" spans="1:36" x14ac:dyDescent="0.25">
      <c r="A111" t="s">
        <v>108</v>
      </c>
      <c r="B111" s="1" t="s">
        <v>532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38.095198109999998</v>
      </c>
      <c r="N111" s="1">
        <v>0</v>
      </c>
      <c r="O111" s="1">
        <v>1.013365072</v>
      </c>
      <c r="P111" s="1">
        <v>0</v>
      </c>
      <c r="Q111" s="1">
        <v>0</v>
      </c>
      <c r="R111" s="1">
        <v>245.5219361</v>
      </c>
      <c r="S111" s="1">
        <v>0</v>
      </c>
      <c r="T111" s="1">
        <v>0</v>
      </c>
      <c r="U111" s="1">
        <v>5.5</v>
      </c>
      <c r="V111" s="1">
        <v>5.110948789</v>
      </c>
      <c r="W111" s="1">
        <v>0.38905121099999901</v>
      </c>
      <c r="X111" s="1">
        <v>775.5</v>
      </c>
      <c r="Y111" s="1">
        <v>742.75700080000001</v>
      </c>
      <c r="Z111" s="1">
        <v>32.7429991999999</v>
      </c>
      <c r="AA111" s="1">
        <v>101</v>
      </c>
      <c r="AB111" s="1">
        <v>3</v>
      </c>
      <c r="AC111" s="1">
        <v>15000</v>
      </c>
      <c r="AD111">
        <v>0</v>
      </c>
      <c r="AE111" t="s">
        <v>637</v>
      </c>
      <c r="AF111" s="8" cm="1">
        <f t="array" aca="1" ref="AF111" ca="1">fScore_Total("ESPN",aCols)</f>
        <v>154.62137591100003</v>
      </c>
      <c r="AG111" s="8" cm="1">
        <f t="array" aca="1" ref="AG111" ca="1">-fScore_Total("diff",aCols)</f>
        <v>-5.6086071859999844</v>
      </c>
      <c r="AH111" s="8">
        <f t="shared" ca="1" si="4"/>
        <v>149.01276872500006</v>
      </c>
      <c r="AI111" s="8" t="str">
        <f t="shared" si="3"/>
        <v>FLEX</v>
      </c>
      <c r="AJ111" s="8"/>
    </row>
    <row r="112" spans="1:36" x14ac:dyDescent="0.25">
      <c r="A112" t="s">
        <v>109</v>
      </c>
      <c r="B112" s="1" t="s">
        <v>532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30.334626</v>
      </c>
      <c r="N112" s="1">
        <v>0</v>
      </c>
      <c r="O112" s="1">
        <v>1.04865078</v>
      </c>
      <c r="P112" s="1">
        <v>0</v>
      </c>
      <c r="Q112" s="1">
        <v>0</v>
      </c>
      <c r="R112" s="1">
        <v>206.603396</v>
      </c>
      <c r="S112" s="1">
        <v>0</v>
      </c>
      <c r="T112" s="1">
        <v>0</v>
      </c>
      <c r="U112" s="1">
        <v>6.5</v>
      </c>
      <c r="V112" s="1">
        <v>5.5886300020000004</v>
      </c>
      <c r="W112" s="1">
        <v>0.91136999799999896</v>
      </c>
      <c r="X112" s="1">
        <v>700.5</v>
      </c>
      <c r="Y112" s="1">
        <v>646.75282960000004</v>
      </c>
      <c r="Z112" s="1">
        <v>53.747170399999902</v>
      </c>
      <c r="AA112" s="1">
        <v>126</v>
      </c>
      <c r="AB112" s="1">
        <v>2</v>
      </c>
      <c r="AC112" s="1">
        <v>0</v>
      </c>
      <c r="AD112">
        <v>0</v>
      </c>
      <c r="AE112" t="s">
        <v>530</v>
      </c>
      <c r="AF112" s="8" cm="1">
        <f t="array" aca="1" ref="AF112" ca="1">fScore_Total("ESPN",aCols)</f>
        <v>140.326620252</v>
      </c>
      <c r="AG112" s="8" cm="1">
        <f t="array" aca="1" ref="AG112" ca="1">-fScore_Total("diff",aCols)</f>
        <v>-10.842937027999984</v>
      </c>
      <c r="AH112" s="8">
        <f t="shared" ca="1" si="4"/>
        <v>129.483683224</v>
      </c>
      <c r="AI112" s="8" t="str">
        <f t="shared" si="3"/>
        <v>FLEX</v>
      </c>
      <c r="AJ112" s="8"/>
    </row>
    <row r="113" spans="1:36" x14ac:dyDescent="0.25">
      <c r="A113" t="s">
        <v>110</v>
      </c>
      <c r="B113" s="1" t="s">
        <v>533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62.5</v>
      </c>
      <c r="M113" s="1">
        <v>60.375152890000003</v>
      </c>
      <c r="N113" s="1">
        <v>0</v>
      </c>
      <c r="O113" s="1">
        <v>3.6154112669999998</v>
      </c>
      <c r="P113" s="1">
        <v>0</v>
      </c>
      <c r="Q113" s="1">
        <v>0</v>
      </c>
      <c r="R113" s="1">
        <v>720.36365179999996</v>
      </c>
      <c r="S113" s="1">
        <v>0</v>
      </c>
      <c r="T113" s="1">
        <v>2.1248471099999899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160</v>
      </c>
      <c r="AB113" s="1">
        <v>1</v>
      </c>
      <c r="AC113" s="1">
        <v>20000</v>
      </c>
      <c r="AD113">
        <v>0</v>
      </c>
      <c r="AE113" t="s">
        <v>637</v>
      </c>
      <c r="AF113" s="8" cm="1">
        <f t="array" aca="1" ref="AF113" ca="1">fScore_Total("ESPN",aCols)</f>
        <v>123.916409227</v>
      </c>
      <c r="AG113" s="8" cm="1">
        <f t="array" aca="1" ref="AG113" ca="1">-fScore_Total("diff",aCols)</f>
        <v>-1.062423554999995</v>
      </c>
      <c r="AH113" s="8">
        <f t="shared" ca="1" si="4"/>
        <v>122.85398567200001</v>
      </c>
      <c r="AI113" s="8" t="str">
        <f t="shared" si="3"/>
        <v>FLEX</v>
      </c>
      <c r="AJ113" s="8"/>
    </row>
    <row r="114" spans="1:36" x14ac:dyDescent="0.25">
      <c r="A114" t="s">
        <v>208</v>
      </c>
      <c r="B114" s="1" t="s">
        <v>534</v>
      </c>
      <c r="C114" s="1">
        <v>0</v>
      </c>
      <c r="D114" s="1">
        <v>12.56713358</v>
      </c>
      <c r="E114" s="1">
        <v>0</v>
      </c>
      <c r="F114" s="1">
        <v>0</v>
      </c>
      <c r="G114" s="1">
        <v>15.577754260000001</v>
      </c>
      <c r="H114" s="1">
        <v>0</v>
      </c>
      <c r="I114" s="1">
        <v>0</v>
      </c>
      <c r="J114" s="1">
        <v>3203.5242410000001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2.3699670089999998</v>
      </c>
      <c r="W114" s="1">
        <v>0</v>
      </c>
      <c r="X114" s="1">
        <v>0</v>
      </c>
      <c r="Y114" s="1">
        <v>308.82247580000001</v>
      </c>
      <c r="Z114" s="1">
        <v>0</v>
      </c>
      <c r="AA114" s="1">
        <v>386</v>
      </c>
      <c r="AB114" s="1">
        <v>0</v>
      </c>
      <c r="AC114" s="1">
        <v>30000</v>
      </c>
      <c r="AD114">
        <v>2000</v>
      </c>
      <c r="AE114" t="s">
        <v>637</v>
      </c>
      <c r="AF114" s="8" cm="1">
        <f t="array" aca="1" ref="AF114" ca="1">fScore_Total("ESPN",aCols)</f>
        <v>210.41976915400005</v>
      </c>
      <c r="AG114" s="8" cm="1">
        <f t="array" aca="1" ref="AG114" ca="1">-fScore_Total("diff",aCols)</f>
        <v>0</v>
      </c>
      <c r="AH114" s="8">
        <f t="shared" ca="1" si="4"/>
        <v>210.41976915400005</v>
      </c>
      <c r="AI114" s="8" t="str">
        <f t="shared" si="3"/>
        <v>QB</v>
      </c>
      <c r="AJ114" s="8"/>
    </row>
    <row r="115" spans="1:36" x14ac:dyDescent="0.25">
      <c r="A115" t="s">
        <v>125</v>
      </c>
      <c r="B115" s="1" t="s">
        <v>532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16.532312579999999</v>
      </c>
      <c r="N115" s="1">
        <v>0</v>
      </c>
      <c r="O115" s="1">
        <v>0.71061741099999998</v>
      </c>
      <c r="P115" s="1">
        <v>0</v>
      </c>
      <c r="Q115" s="1">
        <v>0</v>
      </c>
      <c r="R115" s="1">
        <v>116.4293303</v>
      </c>
      <c r="S115" s="1">
        <v>0</v>
      </c>
      <c r="T115" s="1">
        <v>0</v>
      </c>
      <c r="U115" s="1">
        <v>0</v>
      </c>
      <c r="V115" s="1">
        <v>1.4275378999999999</v>
      </c>
      <c r="W115" s="1">
        <v>0</v>
      </c>
      <c r="X115" s="1">
        <v>0</v>
      </c>
      <c r="Y115" s="1">
        <v>244.21154949999999</v>
      </c>
      <c r="Z115" s="1">
        <v>0</v>
      </c>
      <c r="AA115" s="1">
        <v>204</v>
      </c>
      <c r="AB115" s="1">
        <v>1</v>
      </c>
      <c r="AC115" s="1">
        <v>0</v>
      </c>
      <c r="AD115">
        <v>6000</v>
      </c>
      <c r="AE115" t="s">
        <v>637</v>
      </c>
      <c r="AF115" s="8" cm="1">
        <f t="array" aca="1" ref="AF115" ca="1">fScore_Total("ESPN",aCols)</f>
        <v>57.159176135999999</v>
      </c>
      <c r="AG115" s="8" cm="1">
        <f t="array" aca="1" ref="AG115" ca="1">-fScore_Total("diff",aCols)</f>
        <v>0</v>
      </c>
      <c r="AH115" s="8">
        <f t="shared" ca="1" si="4"/>
        <v>57.159176135999999</v>
      </c>
      <c r="AI115" s="8" t="str">
        <f t="shared" si="3"/>
        <v>FLEX</v>
      </c>
      <c r="AJ115" s="8"/>
    </row>
    <row r="116" spans="1:36" x14ac:dyDescent="0.25">
      <c r="A116" t="s">
        <v>131</v>
      </c>
      <c r="B116" s="1" t="s">
        <v>533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v>45.986977090000003</v>
      </c>
      <c r="N116" s="1">
        <v>0</v>
      </c>
      <c r="O116" s="1">
        <v>3.3478108419999999</v>
      </c>
      <c r="P116" s="1">
        <v>0</v>
      </c>
      <c r="Q116" s="1">
        <v>0</v>
      </c>
      <c r="R116" s="1">
        <v>638.11252560000003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189</v>
      </c>
      <c r="AB116" s="1">
        <v>1</v>
      </c>
      <c r="AC116" s="1">
        <v>30000</v>
      </c>
      <c r="AD116">
        <v>7500</v>
      </c>
      <c r="AE116" t="s">
        <v>637</v>
      </c>
      <c r="AF116" s="8" cm="1">
        <f t="array" aca="1" ref="AF116" ca="1">fScore_Total("ESPN",aCols)</f>
        <v>106.89160615700001</v>
      </c>
      <c r="AG116" s="8" cm="1">
        <f t="array" aca="1" ref="AG116" ca="1">-fScore_Total("diff",aCols)</f>
        <v>0</v>
      </c>
      <c r="AH116" s="8">
        <f t="shared" ca="1" si="4"/>
        <v>106.89160615700001</v>
      </c>
      <c r="AI116" s="8" t="str">
        <f t="shared" si="3"/>
        <v>FLEX</v>
      </c>
      <c r="AJ116" s="8"/>
    </row>
    <row r="117" spans="1:36" x14ac:dyDescent="0.25">
      <c r="A117" t="s">
        <v>189</v>
      </c>
      <c r="B117" s="1" t="s">
        <v>533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30.196847890000001</v>
      </c>
      <c r="N117" s="1">
        <v>0</v>
      </c>
      <c r="O117" s="1">
        <v>2.1414665620000002</v>
      </c>
      <c r="P117" s="1">
        <v>0</v>
      </c>
      <c r="Q117" s="1">
        <v>0</v>
      </c>
      <c r="R117" s="1">
        <v>335.33298389999999</v>
      </c>
      <c r="S117" s="1">
        <v>0</v>
      </c>
      <c r="T117" s="1">
        <v>0</v>
      </c>
      <c r="U117" s="1">
        <v>0</v>
      </c>
      <c r="V117" s="1">
        <v>0.45192023399999998</v>
      </c>
      <c r="W117" s="1">
        <v>0</v>
      </c>
      <c r="X117" s="1">
        <v>0</v>
      </c>
      <c r="Y117" s="1">
        <v>53.919125229999999</v>
      </c>
      <c r="Z117" s="1">
        <v>0</v>
      </c>
      <c r="AA117" s="1">
        <v>334</v>
      </c>
      <c r="AB117" s="1">
        <v>0</v>
      </c>
      <c r="AC117" s="1">
        <v>0</v>
      </c>
      <c r="AD117">
        <v>7500</v>
      </c>
      <c r="AE117" t="s">
        <v>637</v>
      </c>
      <c r="AF117" s="8" cm="1">
        <f t="array" aca="1" ref="AF117" ca="1">fScore_Total("ESPN",aCols)</f>
        <v>69.583955634000006</v>
      </c>
      <c r="AG117" s="8" cm="1">
        <f t="array" aca="1" ref="AG117" ca="1">-fScore_Total("diff",aCols)</f>
        <v>0</v>
      </c>
      <c r="AH117" s="8">
        <f t="shared" ca="1" si="4"/>
        <v>69.583955634000006</v>
      </c>
      <c r="AI117" s="8" t="str">
        <f t="shared" si="3"/>
        <v>FLEX</v>
      </c>
      <c r="AJ117" s="8"/>
    </row>
    <row r="118" spans="1:36" x14ac:dyDescent="0.25">
      <c r="A118" t="s">
        <v>115</v>
      </c>
      <c r="B118" s="1" t="s">
        <v>532</v>
      </c>
      <c r="C118" s="1">
        <v>0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  <c r="M118" s="1">
        <v>25.647238000000002</v>
      </c>
      <c r="N118" s="1">
        <v>0</v>
      </c>
      <c r="O118" s="1">
        <v>0.83653710100000001</v>
      </c>
      <c r="P118" s="1">
        <v>0</v>
      </c>
      <c r="Q118" s="1">
        <v>0</v>
      </c>
      <c r="R118" s="1">
        <v>181.73639700000001</v>
      </c>
      <c r="S118" s="1">
        <v>0</v>
      </c>
      <c r="T118" s="1">
        <v>0</v>
      </c>
      <c r="U118" s="1">
        <v>0</v>
      </c>
      <c r="V118" s="1">
        <v>3.2924050920000001</v>
      </c>
      <c r="W118" s="1">
        <v>0</v>
      </c>
      <c r="X118" s="1">
        <v>0</v>
      </c>
      <c r="Y118" s="1">
        <v>556.0722657</v>
      </c>
      <c r="Z118" s="1">
        <v>0</v>
      </c>
      <c r="AA118" s="1">
        <v>181</v>
      </c>
      <c r="AB118" s="1">
        <v>1</v>
      </c>
      <c r="AC118" s="1">
        <v>0</v>
      </c>
      <c r="AD118">
        <v>7500</v>
      </c>
      <c r="AE118" t="s">
        <v>637</v>
      </c>
      <c r="AF118" s="8" cm="1">
        <f t="array" aca="1" ref="AF118" ca="1">fScore_Total("ESPN",aCols)</f>
        <v>111.378138428</v>
      </c>
      <c r="AG118" s="8" cm="1">
        <f t="array" aca="1" ref="AG118" ca="1">-fScore_Total("diff",aCols)</f>
        <v>0</v>
      </c>
      <c r="AH118" s="8">
        <f t="shared" ca="1" si="4"/>
        <v>111.378138428</v>
      </c>
      <c r="AI118" s="8" t="str">
        <f t="shared" si="3"/>
        <v>FLEX</v>
      </c>
      <c r="AJ118" s="8"/>
    </row>
    <row r="119" spans="1:36" x14ac:dyDescent="0.25">
      <c r="A119" t="s">
        <v>186</v>
      </c>
      <c r="B119" s="1" t="s">
        <v>533</v>
      </c>
      <c r="C119" s="1">
        <v>0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26.554466340000001</v>
      </c>
      <c r="N119" s="1">
        <v>0</v>
      </c>
      <c r="O119" s="1">
        <v>1.953508636</v>
      </c>
      <c r="P119" s="1">
        <v>0</v>
      </c>
      <c r="Q119" s="1">
        <v>0</v>
      </c>
      <c r="R119" s="1">
        <v>309.4201142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420</v>
      </c>
      <c r="AB119" s="1">
        <v>0</v>
      </c>
      <c r="AC119" s="1">
        <v>0</v>
      </c>
      <c r="AD119">
        <v>7500</v>
      </c>
      <c r="AE119" t="s">
        <v>637</v>
      </c>
      <c r="AF119" s="8" cm="1">
        <f t="array" aca="1" ref="AF119" ca="1">fScore_Total("ESPN",aCols)</f>
        <v>55.940296406000002</v>
      </c>
      <c r="AG119" s="8" cm="1">
        <f t="array" aca="1" ref="AG119" ca="1">-fScore_Total("diff",aCols)</f>
        <v>0</v>
      </c>
      <c r="AH119" s="8">
        <f t="shared" ca="1" si="4"/>
        <v>55.940296406000002</v>
      </c>
      <c r="AI119" s="8" t="str">
        <f t="shared" si="3"/>
        <v>FLEX</v>
      </c>
      <c r="AJ119" s="8"/>
    </row>
    <row r="120" spans="1:36" x14ac:dyDescent="0.25">
      <c r="A120" t="s">
        <v>113</v>
      </c>
      <c r="B120" s="1" t="s">
        <v>532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17.691747159999998</v>
      </c>
      <c r="N120" s="1">
        <v>0</v>
      </c>
      <c r="O120" s="1">
        <v>0.67052919899999996</v>
      </c>
      <c r="P120" s="1">
        <v>0</v>
      </c>
      <c r="Q120" s="1">
        <v>0</v>
      </c>
      <c r="R120" s="1">
        <v>129.6048831</v>
      </c>
      <c r="S120" s="1">
        <v>0</v>
      </c>
      <c r="T120" s="1">
        <v>0</v>
      </c>
      <c r="U120" s="1">
        <v>0</v>
      </c>
      <c r="V120" s="1">
        <v>4.2209609099999996</v>
      </c>
      <c r="W120" s="1">
        <v>0</v>
      </c>
      <c r="X120" s="1">
        <v>0</v>
      </c>
      <c r="Y120" s="1">
        <v>563.15569519999997</v>
      </c>
      <c r="Z120" s="1">
        <v>0</v>
      </c>
      <c r="AA120" s="1">
        <v>182</v>
      </c>
      <c r="AB120" s="1">
        <v>1</v>
      </c>
      <c r="AC120" s="1">
        <v>20000</v>
      </c>
      <c r="AD120">
        <v>7500</v>
      </c>
      <c r="AE120" t="s">
        <v>637</v>
      </c>
      <c r="AF120" s="8" cm="1">
        <f t="array" aca="1" ref="AF120" ca="1">fScore_Total("ESPN",aCols)</f>
        <v>107.47087206399999</v>
      </c>
      <c r="AG120" s="8" cm="1">
        <f t="array" aca="1" ref="AG120" ca="1">-fScore_Total("diff",aCols)</f>
        <v>0</v>
      </c>
      <c r="AH120" s="8">
        <f t="shared" ca="1" si="4"/>
        <v>107.47087206399999</v>
      </c>
      <c r="AI120" s="8" t="str">
        <f t="shared" si="3"/>
        <v>FLEX</v>
      </c>
      <c r="AJ120" s="8"/>
    </row>
    <row r="121" spans="1:36" x14ac:dyDescent="0.25">
      <c r="A121" t="s">
        <v>147</v>
      </c>
      <c r="B121" s="1" t="s">
        <v>533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  <c r="M121" s="1">
        <v>55.881329970000003</v>
      </c>
      <c r="N121" s="1">
        <v>0</v>
      </c>
      <c r="O121" s="1">
        <v>2.9222094470000002</v>
      </c>
      <c r="P121" s="1">
        <v>0</v>
      </c>
      <c r="Q121" s="1">
        <v>0</v>
      </c>
      <c r="R121" s="1">
        <v>695.75820720000002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162</v>
      </c>
      <c r="AB121" s="1">
        <v>1</v>
      </c>
      <c r="AC121" s="1">
        <v>0</v>
      </c>
      <c r="AD121">
        <v>10000</v>
      </c>
      <c r="AE121" t="s">
        <v>637</v>
      </c>
      <c r="AF121" s="8" cm="1">
        <f t="array" aca="1" ref="AF121" ca="1">fScore_Total("ESPN",aCols)</f>
        <v>115.04974238700001</v>
      </c>
      <c r="AG121" s="8" cm="1">
        <f t="array" aca="1" ref="AG121" ca="1">-fScore_Total("diff",aCols)</f>
        <v>0</v>
      </c>
      <c r="AH121" s="8">
        <f t="shared" ca="1" si="4"/>
        <v>115.04974238700001</v>
      </c>
      <c r="AI121" s="8" t="str">
        <f t="shared" si="3"/>
        <v>FLEX</v>
      </c>
      <c r="AJ121" s="8"/>
    </row>
    <row r="122" spans="1:36" x14ac:dyDescent="0.25">
      <c r="A122" t="s">
        <v>454</v>
      </c>
      <c r="B122" s="1" t="s">
        <v>534</v>
      </c>
      <c r="C122" s="1">
        <v>0</v>
      </c>
      <c r="D122" s="1">
        <v>1.8625164999999999</v>
      </c>
      <c r="E122" s="1">
        <v>0</v>
      </c>
      <c r="F122" s="1">
        <v>0</v>
      </c>
      <c r="G122" s="1">
        <v>3.5516003469999999</v>
      </c>
      <c r="H122" s="1">
        <v>0</v>
      </c>
      <c r="I122" s="1">
        <v>0</v>
      </c>
      <c r="J122" s="1">
        <v>470.29901860000001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0.18874587700000001</v>
      </c>
      <c r="W122" s="1">
        <v>0</v>
      </c>
      <c r="X122" s="1">
        <v>0</v>
      </c>
      <c r="Y122" s="1">
        <v>15.360693380000001</v>
      </c>
      <c r="Z122" s="1">
        <v>0</v>
      </c>
      <c r="AA122" s="1">
        <v>450</v>
      </c>
      <c r="AB122" s="1">
        <v>0</v>
      </c>
      <c r="AC122" s="1">
        <v>20000</v>
      </c>
      <c r="AD122">
        <v>10000</v>
      </c>
      <c r="AE122" t="s">
        <v>637</v>
      </c>
      <c r="AF122" s="8" cm="1">
        <f t="array" aca="1" ref="AF122" ca="1">fScore_Total("ESPN",aCols)</f>
        <v>31.961873732000001</v>
      </c>
      <c r="AG122" s="8" cm="1">
        <f t="array" aca="1" ref="AG122" ca="1">-fScore_Total("diff",aCols)</f>
        <v>0</v>
      </c>
      <c r="AH122" s="8">
        <f t="shared" ca="1" si="4"/>
        <v>31.961873732000001</v>
      </c>
      <c r="AI122" s="8" t="str">
        <f t="shared" si="3"/>
        <v>QB</v>
      </c>
      <c r="AJ122" s="8"/>
    </row>
    <row r="123" spans="1:36" x14ac:dyDescent="0.25">
      <c r="A123" t="s">
        <v>418</v>
      </c>
      <c r="B123" s="1" t="s">
        <v>532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23.619981419999998</v>
      </c>
      <c r="N123" s="1">
        <v>0</v>
      </c>
      <c r="O123" s="1">
        <v>0.83119949400000004</v>
      </c>
      <c r="P123" s="1">
        <v>0</v>
      </c>
      <c r="Q123" s="1">
        <v>0</v>
      </c>
      <c r="R123" s="1">
        <v>174.000023</v>
      </c>
      <c r="S123" s="1">
        <v>0</v>
      </c>
      <c r="T123" s="1">
        <v>0</v>
      </c>
      <c r="U123" s="1">
        <v>0</v>
      </c>
      <c r="V123" s="1">
        <v>4.8356369020000001</v>
      </c>
      <c r="W123" s="1">
        <v>0</v>
      </c>
      <c r="X123" s="1">
        <v>0</v>
      </c>
      <c r="Y123" s="1">
        <v>656.35878530000002</v>
      </c>
      <c r="Z123" s="1">
        <v>0</v>
      </c>
      <c r="AA123" s="1">
        <v>128</v>
      </c>
      <c r="AB123" s="1">
        <v>2</v>
      </c>
      <c r="AC123" s="1">
        <v>0</v>
      </c>
      <c r="AD123">
        <v>10000</v>
      </c>
      <c r="AE123" t="s">
        <v>637</v>
      </c>
      <c r="AF123" s="8" cm="1">
        <f t="array" aca="1" ref="AF123" ca="1">fScore_Total("ESPN",aCols)</f>
        <v>128.84688991600001</v>
      </c>
      <c r="AG123" s="8" cm="1">
        <f t="array" aca="1" ref="AG123" ca="1">-fScore_Total("diff",aCols)</f>
        <v>0</v>
      </c>
      <c r="AH123" s="8">
        <f t="shared" ca="1" si="4"/>
        <v>128.84688991600001</v>
      </c>
      <c r="AI123" s="8" t="str">
        <f t="shared" si="3"/>
        <v>FLEX</v>
      </c>
      <c r="AJ123" s="8"/>
    </row>
    <row r="124" spans="1:36" x14ac:dyDescent="0.25">
      <c r="A124" t="s">
        <v>164</v>
      </c>
      <c r="B124" s="1" t="s">
        <v>532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13.086808980000001</v>
      </c>
      <c r="N124" s="1">
        <v>0</v>
      </c>
      <c r="O124" s="1">
        <v>0.56454516399999999</v>
      </c>
      <c r="P124" s="1">
        <v>0</v>
      </c>
      <c r="Q124" s="1">
        <v>0</v>
      </c>
      <c r="R124" s="1">
        <v>93.326489280000004</v>
      </c>
      <c r="S124" s="1">
        <v>0</v>
      </c>
      <c r="T124" s="1">
        <v>0</v>
      </c>
      <c r="U124" s="1">
        <v>0</v>
      </c>
      <c r="V124" s="1">
        <v>2.6793903999999999</v>
      </c>
      <c r="W124" s="1">
        <v>0</v>
      </c>
      <c r="X124" s="1">
        <v>0</v>
      </c>
      <c r="Y124" s="1">
        <v>338.73691769999999</v>
      </c>
      <c r="Z124" s="1">
        <v>0</v>
      </c>
      <c r="AA124" s="1">
        <v>325</v>
      </c>
      <c r="AB124" s="1">
        <v>0</v>
      </c>
      <c r="AC124" s="1">
        <v>0</v>
      </c>
      <c r="AD124">
        <v>10000</v>
      </c>
      <c r="AE124" t="s">
        <v>637</v>
      </c>
      <c r="AF124" s="8" cm="1">
        <f t="array" aca="1" ref="AF124" ca="1">fScore_Total("ESPN",aCols)</f>
        <v>69.213358572000004</v>
      </c>
      <c r="AG124" s="8" cm="1">
        <f t="array" aca="1" ref="AG124" ca="1">-fScore_Total("diff",aCols)</f>
        <v>0</v>
      </c>
      <c r="AH124" s="8">
        <f t="shared" ca="1" si="4"/>
        <v>69.213358572000004</v>
      </c>
      <c r="AI124" s="8" t="str">
        <f t="shared" si="3"/>
        <v>FLEX</v>
      </c>
      <c r="AJ124" s="8"/>
    </row>
    <row r="125" spans="1:36" x14ac:dyDescent="0.25">
      <c r="A125" t="s">
        <v>135</v>
      </c>
      <c r="B125" s="1" t="s">
        <v>532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12.50927555</v>
      </c>
      <c r="N125" s="1">
        <v>0</v>
      </c>
      <c r="O125" s="1">
        <v>0.49851373700000001</v>
      </c>
      <c r="P125" s="1">
        <v>0</v>
      </c>
      <c r="Q125" s="1">
        <v>0</v>
      </c>
      <c r="R125" s="1">
        <v>90.289441460000006</v>
      </c>
      <c r="S125" s="1">
        <v>0</v>
      </c>
      <c r="T125" s="1">
        <v>0</v>
      </c>
      <c r="U125" s="1">
        <v>0</v>
      </c>
      <c r="V125" s="1">
        <v>1.494482571</v>
      </c>
      <c r="W125" s="1">
        <v>0</v>
      </c>
      <c r="X125" s="1">
        <v>0</v>
      </c>
      <c r="Y125" s="1">
        <v>225.9791085</v>
      </c>
      <c r="Z125" s="1">
        <v>0</v>
      </c>
      <c r="AA125" s="1">
        <v>201</v>
      </c>
      <c r="AB125" s="1">
        <v>1</v>
      </c>
      <c r="AC125" s="1">
        <v>0</v>
      </c>
      <c r="AD125">
        <v>10000</v>
      </c>
      <c r="AE125" t="s">
        <v>637</v>
      </c>
      <c r="AF125" s="8" cm="1">
        <f t="array" aca="1" ref="AF125" ca="1">fScore_Total("ESPN",aCols)</f>
        <v>49.839470619000004</v>
      </c>
      <c r="AG125" s="8" cm="1">
        <f t="array" aca="1" ref="AG125" ca="1">-fScore_Total("diff",aCols)</f>
        <v>0</v>
      </c>
      <c r="AH125" s="8">
        <f t="shared" ca="1" si="4"/>
        <v>49.839470619000004</v>
      </c>
      <c r="AI125" s="8" t="str">
        <f t="shared" si="3"/>
        <v>FLEX</v>
      </c>
      <c r="AJ125" s="8"/>
    </row>
    <row r="126" spans="1:36" x14ac:dyDescent="0.25">
      <c r="A126" t="s">
        <v>281</v>
      </c>
      <c r="B126" s="1" t="s">
        <v>533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33.15138735</v>
      </c>
      <c r="N126" s="1">
        <v>0</v>
      </c>
      <c r="O126" s="1">
        <v>2.0108440349999999</v>
      </c>
      <c r="P126" s="1">
        <v>0</v>
      </c>
      <c r="Q126" s="1">
        <v>0</v>
      </c>
      <c r="R126" s="1">
        <v>420.69197559999998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333</v>
      </c>
      <c r="AB126" s="1">
        <v>0</v>
      </c>
      <c r="AC126" s="1">
        <v>30000</v>
      </c>
      <c r="AD126">
        <v>12000</v>
      </c>
      <c r="AE126" t="s">
        <v>637</v>
      </c>
      <c r="AF126" s="8" cm="1">
        <f t="array" aca="1" ref="AF126" ca="1">fScore_Total("ESPN",aCols)</f>
        <v>70.709955444999991</v>
      </c>
      <c r="AG126" s="8" cm="1">
        <f t="array" aca="1" ref="AG126" ca="1">-fScore_Total("diff",aCols)</f>
        <v>0</v>
      </c>
      <c r="AH126" s="8">
        <f t="shared" ca="1" si="4"/>
        <v>70.709955444999991</v>
      </c>
      <c r="AI126" s="8" t="str">
        <f t="shared" si="3"/>
        <v>FLEX</v>
      </c>
      <c r="AJ126" s="8"/>
    </row>
    <row r="127" spans="1:36" x14ac:dyDescent="0.25">
      <c r="A127" t="s">
        <v>215</v>
      </c>
      <c r="B127" s="1" t="s">
        <v>532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16.71612373</v>
      </c>
      <c r="N127" s="1">
        <v>0</v>
      </c>
      <c r="O127" s="1">
        <v>0.56707874999999996</v>
      </c>
      <c r="P127" s="1">
        <v>0</v>
      </c>
      <c r="Q127" s="1">
        <v>0</v>
      </c>
      <c r="R127" s="1">
        <v>120.4386822</v>
      </c>
      <c r="S127" s="1">
        <v>0</v>
      </c>
      <c r="T127" s="1">
        <v>0</v>
      </c>
      <c r="U127" s="1">
        <v>0</v>
      </c>
      <c r="V127" s="1">
        <v>1.1905374010000001</v>
      </c>
      <c r="W127" s="1">
        <v>0</v>
      </c>
      <c r="X127" s="1">
        <v>0</v>
      </c>
      <c r="Y127" s="1">
        <v>205.33974230000001</v>
      </c>
      <c r="Z127" s="1">
        <v>0</v>
      </c>
      <c r="AA127" s="1">
        <v>347</v>
      </c>
      <c r="AB127" s="1">
        <v>0</v>
      </c>
      <c r="AC127" s="1">
        <v>0</v>
      </c>
      <c r="AD127">
        <v>15000</v>
      </c>
      <c r="AE127" t="s">
        <v>637</v>
      </c>
      <c r="AF127" s="8" cm="1">
        <f t="array" aca="1" ref="AF127" ca="1">fScore_Total("ESPN",aCols)</f>
        <v>51.481601221000005</v>
      </c>
      <c r="AG127" s="8" cm="1">
        <f t="array" aca="1" ref="AG127" ca="1">-fScore_Total("diff",aCols)</f>
        <v>0</v>
      </c>
      <c r="AH127" s="8">
        <f t="shared" ca="1" si="4"/>
        <v>51.481601221000005</v>
      </c>
      <c r="AI127" s="8" t="str">
        <f t="shared" si="3"/>
        <v>FLEX</v>
      </c>
      <c r="AJ127" s="8"/>
    </row>
    <row r="128" spans="1:36" x14ac:dyDescent="0.25">
      <c r="A128" t="s">
        <v>311</v>
      </c>
      <c r="B128" s="1" t="s">
        <v>534</v>
      </c>
      <c r="C128" s="1">
        <v>0</v>
      </c>
      <c r="D128" s="1">
        <v>1.5516168349999999</v>
      </c>
      <c r="E128" s="1">
        <v>0</v>
      </c>
      <c r="F128" s="1">
        <v>0</v>
      </c>
      <c r="G128" s="1">
        <v>2.798411958</v>
      </c>
      <c r="H128" s="1">
        <v>0</v>
      </c>
      <c r="I128" s="1">
        <v>0</v>
      </c>
      <c r="J128" s="1">
        <v>473.37704450000001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0.18832575800000001</v>
      </c>
      <c r="W128" s="1">
        <v>0</v>
      </c>
      <c r="X128" s="1">
        <v>0</v>
      </c>
      <c r="Y128" s="1">
        <v>24.365169179999999</v>
      </c>
      <c r="Z128" s="1">
        <v>0</v>
      </c>
      <c r="AA128" s="1">
        <v>1033</v>
      </c>
      <c r="AB128" s="1">
        <v>0</v>
      </c>
      <c r="AC128" s="1">
        <v>0</v>
      </c>
      <c r="AD128">
        <v>15000</v>
      </c>
      <c r="AE128" t="s">
        <v>637</v>
      </c>
      <c r="AF128" s="8" cm="1">
        <f t="array" aca="1" ref="AF128" ca="1">fScore_Total("ESPN",aCols)</f>
        <v>30.591967407999999</v>
      </c>
      <c r="AG128" s="8" cm="1">
        <f t="array" aca="1" ref="AG128" ca="1">-fScore_Total("diff",aCols)</f>
        <v>0</v>
      </c>
      <c r="AH128" s="8">
        <f t="shared" ca="1" si="4"/>
        <v>30.591967407999999</v>
      </c>
      <c r="AI128" s="8" t="str">
        <f t="shared" si="3"/>
        <v>QB</v>
      </c>
      <c r="AJ128" s="8" t="s">
        <v>641</v>
      </c>
    </row>
    <row r="129" spans="1:36" x14ac:dyDescent="0.25">
      <c r="A129" t="s">
        <v>269</v>
      </c>
      <c r="B129" s="1" t="s">
        <v>533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24.814561789999999</v>
      </c>
      <c r="N129" s="1">
        <v>0</v>
      </c>
      <c r="O129" s="1">
        <v>1.6775248199999999</v>
      </c>
      <c r="P129" s="1">
        <v>0</v>
      </c>
      <c r="Q129" s="1">
        <v>0</v>
      </c>
      <c r="R129" s="1">
        <v>318.60201360000002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980</v>
      </c>
      <c r="AB129" s="1">
        <v>0</v>
      </c>
      <c r="AC129" s="1">
        <v>0</v>
      </c>
      <c r="AD129">
        <v>15000</v>
      </c>
      <c r="AE129" t="s">
        <v>637</v>
      </c>
      <c r="AF129" s="8" cm="1">
        <f t="array" aca="1" ref="AF129" ca="1">fScore_Total("ESPN",aCols)</f>
        <v>54.332631175000003</v>
      </c>
      <c r="AG129" s="8" cm="1">
        <f t="array" aca="1" ref="AG129" ca="1">-fScore_Total("diff",aCols)</f>
        <v>0</v>
      </c>
      <c r="AH129" s="8">
        <f t="shared" ca="1" si="4"/>
        <v>54.332631175000003</v>
      </c>
      <c r="AI129" s="8" t="str">
        <f t="shared" si="3"/>
        <v>FLEX</v>
      </c>
      <c r="AJ129" s="8"/>
    </row>
    <row r="130" spans="1:36" x14ac:dyDescent="0.25">
      <c r="A130" t="s">
        <v>150</v>
      </c>
      <c r="B130" s="1" t="s">
        <v>533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26.531712089999999</v>
      </c>
      <c r="N130" s="1">
        <v>0</v>
      </c>
      <c r="O130" s="1">
        <v>2.43197017</v>
      </c>
      <c r="P130" s="1">
        <v>0</v>
      </c>
      <c r="Q130" s="1">
        <v>0</v>
      </c>
      <c r="R130" s="1">
        <v>352.6883244</v>
      </c>
      <c r="S130" s="1">
        <v>0</v>
      </c>
      <c r="T130" s="1">
        <v>0</v>
      </c>
      <c r="U130" s="1">
        <v>0</v>
      </c>
      <c r="V130" s="1">
        <v>0.27278292500000001</v>
      </c>
      <c r="W130" s="1">
        <v>0</v>
      </c>
      <c r="X130" s="1">
        <v>0</v>
      </c>
      <c r="Y130" s="1">
        <v>28.969495389999999</v>
      </c>
      <c r="Z130" s="1">
        <v>0</v>
      </c>
      <c r="AA130" s="1">
        <v>370</v>
      </c>
      <c r="AB130" s="1">
        <v>0</v>
      </c>
      <c r="AC130" s="1">
        <v>0</v>
      </c>
      <c r="AD130">
        <v>15000</v>
      </c>
      <c r="AE130" t="s">
        <v>637</v>
      </c>
      <c r="AF130" s="8" cm="1">
        <f t="array" aca="1" ref="AF130" ca="1">fScore_Total("ESPN",aCols)</f>
        <v>67.660156594</v>
      </c>
      <c r="AG130" s="8" cm="1">
        <f t="array" aca="1" ref="AG130" ca="1">-fScore_Total("diff",aCols)</f>
        <v>0</v>
      </c>
      <c r="AH130" s="8">
        <f t="shared" ca="1" si="4"/>
        <v>67.660156594</v>
      </c>
      <c r="AI130" s="8" t="str">
        <f t="shared" si="3"/>
        <v>FLEX</v>
      </c>
      <c r="AJ130" s="8"/>
    </row>
    <row r="131" spans="1:36" x14ac:dyDescent="0.25">
      <c r="A131" t="s">
        <v>184</v>
      </c>
      <c r="B131" s="1" t="s">
        <v>533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43.480784249999999</v>
      </c>
      <c r="N131" s="1">
        <v>0</v>
      </c>
      <c r="O131" s="1">
        <v>3.2799893980000001</v>
      </c>
      <c r="P131" s="1">
        <v>0</v>
      </c>
      <c r="Q131" s="1">
        <v>0</v>
      </c>
      <c r="R131" s="1">
        <v>534.88746760000004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305</v>
      </c>
      <c r="AB131" s="1">
        <v>0</v>
      </c>
      <c r="AC131" s="1">
        <v>0</v>
      </c>
      <c r="AD131">
        <v>15000</v>
      </c>
      <c r="AE131" t="s">
        <v>637</v>
      </c>
      <c r="AF131" s="8" cm="1">
        <f t="array" aca="1" ref="AF131" ca="1">fScore_Total("ESPN",aCols)</f>
        <v>94.909075273000013</v>
      </c>
      <c r="AG131" s="8" cm="1">
        <f t="array" aca="1" ref="AG131" ca="1">-fScore_Total("diff",aCols)</f>
        <v>0</v>
      </c>
      <c r="AH131" s="8">
        <f t="shared" ca="1" si="4"/>
        <v>94.909075273000013</v>
      </c>
      <c r="AI131" s="8" t="str">
        <f t="shared" ref="AI131:AI194" si="5">IF(B131="QB","QB","FLEX")</f>
        <v>FLEX</v>
      </c>
      <c r="AJ131" s="8"/>
    </row>
    <row r="132" spans="1:36" x14ac:dyDescent="0.25">
      <c r="A132" t="s">
        <v>234</v>
      </c>
      <c r="B132" s="1" t="s">
        <v>532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5.5566164569999996</v>
      </c>
      <c r="N132" s="1">
        <v>0</v>
      </c>
      <c r="O132" s="1">
        <v>0.25349841299999998</v>
      </c>
      <c r="P132" s="1">
        <v>0</v>
      </c>
      <c r="Q132" s="1">
        <v>0</v>
      </c>
      <c r="R132" s="1">
        <v>40.638663080000001</v>
      </c>
      <c r="S132" s="1">
        <v>0</v>
      </c>
      <c r="T132" s="1">
        <v>0</v>
      </c>
      <c r="U132" s="1">
        <v>0</v>
      </c>
      <c r="V132" s="1">
        <v>1.629401943</v>
      </c>
      <c r="W132" s="1">
        <v>0</v>
      </c>
      <c r="X132" s="1">
        <v>0</v>
      </c>
      <c r="Y132" s="1">
        <v>196.37596919999999</v>
      </c>
      <c r="Z132" s="1">
        <v>0</v>
      </c>
      <c r="AA132" s="1">
        <v>398</v>
      </c>
      <c r="AB132" s="1">
        <v>0</v>
      </c>
      <c r="AC132" s="1">
        <v>0</v>
      </c>
      <c r="AD132">
        <v>15000</v>
      </c>
      <c r="AE132" t="s">
        <v>637</v>
      </c>
      <c r="AF132" s="8" cm="1">
        <f t="array" aca="1" ref="AF132" ca="1">fScore_Total("ESPN",aCols)</f>
        <v>37.777173592500006</v>
      </c>
      <c r="AG132" s="8" cm="1">
        <f t="array" aca="1" ref="AG132" ca="1">-fScore_Total("diff",aCols)</f>
        <v>0</v>
      </c>
      <c r="AH132" s="8">
        <f t="shared" ca="1" si="4"/>
        <v>37.777173592500006</v>
      </c>
      <c r="AI132" s="8" t="str">
        <f t="shared" si="5"/>
        <v>FLEX</v>
      </c>
      <c r="AJ132" s="8"/>
    </row>
    <row r="133" spans="1:36" x14ac:dyDescent="0.25">
      <c r="A133" t="s">
        <v>279</v>
      </c>
      <c r="B133" s="1" t="s">
        <v>533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12.64299555</v>
      </c>
      <c r="N133" s="1">
        <v>0</v>
      </c>
      <c r="O133" s="1">
        <v>1.0587296349999999</v>
      </c>
      <c r="P133" s="1">
        <v>0</v>
      </c>
      <c r="Q133" s="1">
        <v>0</v>
      </c>
      <c r="R133" s="1">
        <v>152.3419164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1013</v>
      </c>
      <c r="AB133" s="1">
        <v>0</v>
      </c>
      <c r="AC133" s="1">
        <v>30000</v>
      </c>
      <c r="AD133">
        <v>15000</v>
      </c>
      <c r="AE133" t="s">
        <v>637</v>
      </c>
      <c r="AF133" s="8" cm="1">
        <f t="array" aca="1" ref="AF133" ca="1">fScore_Total("ESPN",aCols)</f>
        <v>27.908067225000003</v>
      </c>
      <c r="AG133" s="8" cm="1">
        <f t="array" aca="1" ref="AG133" ca="1">-fScore_Total("diff",aCols)</f>
        <v>0</v>
      </c>
      <c r="AH133" s="8">
        <f t="shared" ca="1" si="4"/>
        <v>27.908067225000003</v>
      </c>
      <c r="AI133" s="8" t="str">
        <f t="shared" si="5"/>
        <v>FLEX</v>
      </c>
      <c r="AJ133" s="8"/>
    </row>
    <row r="134" spans="1:36" x14ac:dyDescent="0.25">
      <c r="A134" t="s">
        <v>219</v>
      </c>
      <c r="B134" s="1" t="s">
        <v>532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3.8366240920000001</v>
      </c>
      <c r="N134" s="1">
        <v>0</v>
      </c>
      <c r="O134" s="1">
        <v>0.15855531</v>
      </c>
      <c r="P134" s="1">
        <v>0</v>
      </c>
      <c r="Q134" s="1">
        <v>0</v>
      </c>
      <c r="R134" s="1">
        <v>27.009182089999999</v>
      </c>
      <c r="S134" s="1">
        <v>0</v>
      </c>
      <c r="T134" s="1">
        <v>0</v>
      </c>
      <c r="U134" s="1">
        <v>0</v>
      </c>
      <c r="V134" s="1">
        <v>0.78908621999999995</v>
      </c>
      <c r="W134" s="1">
        <v>0</v>
      </c>
      <c r="X134" s="1">
        <v>0</v>
      </c>
      <c r="Y134" s="1">
        <v>145.2251478</v>
      </c>
      <c r="Z134" s="1">
        <v>0</v>
      </c>
      <c r="AA134" s="1">
        <v>438</v>
      </c>
      <c r="AB134" s="1">
        <v>0</v>
      </c>
      <c r="AC134" s="1">
        <v>0</v>
      </c>
      <c r="AD134">
        <v>15000</v>
      </c>
      <c r="AE134" t="s">
        <v>637</v>
      </c>
      <c r="AF134" s="8" cm="1">
        <f t="array" aca="1" ref="AF134" ca="1">fScore_Total("ESPN",aCols)</f>
        <v>24.827594215000001</v>
      </c>
      <c r="AG134" s="8" cm="1">
        <f t="array" aca="1" ref="AG134" ca="1">-fScore_Total("diff",aCols)</f>
        <v>0</v>
      </c>
      <c r="AH134" s="8">
        <f t="shared" ref="AH134:AH197" ca="1" si="6">+AF134+AG134</f>
        <v>24.827594215000001</v>
      </c>
      <c r="AI134" s="8" t="str">
        <f t="shared" si="5"/>
        <v>FLEX</v>
      </c>
      <c r="AJ134" s="8"/>
    </row>
    <row r="135" spans="1:36" x14ac:dyDescent="0.25">
      <c r="A135" t="s">
        <v>180</v>
      </c>
      <c r="B135" s="1" t="s">
        <v>532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26.596670199999998</v>
      </c>
      <c r="N135" s="1">
        <v>0</v>
      </c>
      <c r="O135" s="1">
        <v>1.0567618320000001</v>
      </c>
      <c r="P135" s="1">
        <v>0</v>
      </c>
      <c r="Q135" s="1">
        <v>0</v>
      </c>
      <c r="R135" s="1">
        <v>193.06928679999999</v>
      </c>
      <c r="S135" s="1">
        <v>0</v>
      </c>
      <c r="T135" s="1">
        <v>0</v>
      </c>
      <c r="U135" s="1">
        <v>0</v>
      </c>
      <c r="V135" s="1">
        <v>2.3585781730000002</v>
      </c>
      <c r="W135" s="1">
        <v>0</v>
      </c>
      <c r="X135" s="1">
        <v>0</v>
      </c>
      <c r="Y135" s="1">
        <v>447.14397750000001</v>
      </c>
      <c r="Z135" s="1">
        <v>0</v>
      </c>
      <c r="AA135" s="1">
        <v>187</v>
      </c>
      <c r="AB135" s="1">
        <v>1</v>
      </c>
      <c r="AC135" s="1">
        <v>0</v>
      </c>
      <c r="AD135">
        <v>15000</v>
      </c>
      <c r="AE135" t="s">
        <v>637</v>
      </c>
      <c r="AF135" s="8" cm="1">
        <f t="array" aca="1" ref="AF135" ca="1">fScore_Total("ESPN",aCols)</f>
        <v>97.811701560000003</v>
      </c>
      <c r="AG135" s="8" cm="1">
        <f t="array" aca="1" ref="AG135" ca="1">-fScore_Total("diff",aCols)</f>
        <v>0</v>
      </c>
      <c r="AH135" s="8">
        <f t="shared" ca="1" si="6"/>
        <v>97.811701560000003</v>
      </c>
      <c r="AI135" s="8" t="str">
        <f t="shared" si="5"/>
        <v>FLEX</v>
      </c>
      <c r="AJ135" s="8"/>
    </row>
    <row r="136" spans="1:36" x14ac:dyDescent="0.25">
      <c r="A136" t="s">
        <v>523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D136">
        <v>15000</v>
      </c>
      <c r="AE136" t="s">
        <v>637</v>
      </c>
      <c r="AF136" s="8" cm="1">
        <f t="array" aca="1" ref="AF136" ca="1">fScore_Total("ESPN",aCols)</f>
        <v>0</v>
      </c>
      <c r="AG136" s="8" cm="1">
        <f t="array" aca="1" ref="AG136" ca="1">-fScore_Total("diff",aCols)</f>
        <v>0</v>
      </c>
      <c r="AH136" s="8">
        <f t="shared" ca="1" si="6"/>
        <v>0</v>
      </c>
      <c r="AI136" s="8" t="str">
        <f t="shared" si="5"/>
        <v>FLEX</v>
      </c>
      <c r="AJ136" s="8"/>
    </row>
    <row r="137" spans="1:36" x14ac:dyDescent="0.25">
      <c r="A137" t="s">
        <v>154</v>
      </c>
      <c r="B137" s="1" t="s">
        <v>535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32.217311109999997</v>
      </c>
      <c r="N137" s="1">
        <v>0</v>
      </c>
      <c r="O137" s="1">
        <v>1.6831501900000001</v>
      </c>
      <c r="P137" s="1">
        <v>0</v>
      </c>
      <c r="Q137" s="1">
        <v>0</v>
      </c>
      <c r="R137" s="1">
        <v>324.39804789999999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416</v>
      </c>
      <c r="AB137" s="1">
        <v>0</v>
      </c>
      <c r="AC137" s="1">
        <v>0</v>
      </c>
      <c r="AD137">
        <v>15000</v>
      </c>
      <c r="AE137" t="s">
        <v>637</v>
      </c>
      <c r="AF137" s="8" cm="1">
        <f t="array" aca="1" ref="AF137" ca="1">fScore_Total("ESPN",aCols)</f>
        <v>58.647361485000005</v>
      </c>
      <c r="AG137" s="8" cm="1">
        <f t="array" aca="1" ref="AG137" ca="1">-fScore_Total("diff",aCols)</f>
        <v>0</v>
      </c>
      <c r="AH137" s="8">
        <f t="shared" ca="1" si="6"/>
        <v>58.647361485000005</v>
      </c>
      <c r="AI137" s="8" t="str">
        <f t="shared" si="5"/>
        <v>FLEX</v>
      </c>
      <c r="AJ137" s="8"/>
    </row>
    <row r="138" spans="1:36" x14ac:dyDescent="0.25">
      <c r="A138" t="s">
        <v>345</v>
      </c>
      <c r="B138" s="1" t="s">
        <v>532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3.6059747720000002</v>
      </c>
      <c r="N138" s="1">
        <v>0</v>
      </c>
      <c r="O138" s="1">
        <v>0.16803414999999999</v>
      </c>
      <c r="P138" s="1">
        <v>0</v>
      </c>
      <c r="Q138" s="1">
        <v>0</v>
      </c>
      <c r="R138" s="1">
        <v>25.909061399999999</v>
      </c>
      <c r="S138" s="1">
        <v>0</v>
      </c>
      <c r="T138" s="1">
        <v>0</v>
      </c>
      <c r="U138" s="1">
        <v>0</v>
      </c>
      <c r="V138" s="1">
        <v>0.48278763699999999</v>
      </c>
      <c r="W138" s="1">
        <v>0</v>
      </c>
      <c r="X138" s="1">
        <v>0</v>
      </c>
      <c r="Y138" s="1">
        <v>70.198910359999999</v>
      </c>
      <c r="Z138" s="1">
        <v>0</v>
      </c>
      <c r="AA138" s="1">
        <v>1068</v>
      </c>
      <c r="AB138" s="1">
        <v>0</v>
      </c>
      <c r="AC138" s="1">
        <v>0</v>
      </c>
      <c r="AD138">
        <v>20000</v>
      </c>
      <c r="AE138" t="s">
        <v>637</v>
      </c>
      <c r="AF138" s="8" cm="1">
        <f t="array" aca="1" ref="AF138" ca="1">fScore_Total("ESPN",aCols)</f>
        <v>15.318715284000001</v>
      </c>
      <c r="AG138" s="8" cm="1">
        <f t="array" aca="1" ref="AG138" ca="1">-fScore_Total("diff",aCols)</f>
        <v>0</v>
      </c>
      <c r="AH138" s="8">
        <f t="shared" ca="1" si="6"/>
        <v>15.318715284000001</v>
      </c>
      <c r="AI138" s="8" t="str">
        <f t="shared" si="5"/>
        <v>FLEX</v>
      </c>
      <c r="AJ138" s="8"/>
    </row>
    <row r="139" spans="1:36" x14ac:dyDescent="0.25">
      <c r="A139" t="s">
        <v>383</v>
      </c>
      <c r="B139" s="1" t="s">
        <v>535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3.5872662040000001</v>
      </c>
      <c r="N139" s="1">
        <v>0</v>
      </c>
      <c r="O139" s="1">
        <v>0.20038645099999999</v>
      </c>
      <c r="P139" s="1">
        <v>0</v>
      </c>
      <c r="Q139" s="1">
        <v>0</v>
      </c>
      <c r="R139" s="1">
        <v>36.267151820000002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1121</v>
      </c>
      <c r="AB139" s="1">
        <v>0</v>
      </c>
      <c r="AC139" s="1">
        <v>0</v>
      </c>
      <c r="AD139">
        <v>20000</v>
      </c>
      <c r="AE139" t="s">
        <v>637</v>
      </c>
      <c r="AF139" s="8" cm="1">
        <f t="array" aca="1" ref="AF139" ca="1">fScore_Total("ESPN",aCols)</f>
        <v>6.6226669900000008</v>
      </c>
      <c r="AG139" s="8" cm="1">
        <f t="array" aca="1" ref="AG139" ca="1">-fScore_Total("diff",aCols)</f>
        <v>0</v>
      </c>
      <c r="AH139" s="8">
        <f t="shared" ca="1" si="6"/>
        <v>6.6226669900000008</v>
      </c>
      <c r="AI139" s="8" t="str">
        <f t="shared" si="5"/>
        <v>FLEX</v>
      </c>
      <c r="AJ139" s="8"/>
    </row>
    <row r="140" spans="1:36" x14ac:dyDescent="0.25">
      <c r="A140" t="s">
        <v>463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>
        <v>20000</v>
      </c>
      <c r="AE140" t="s">
        <v>637</v>
      </c>
      <c r="AF140" s="8" cm="1">
        <f t="array" aca="1" ref="AF140" ca="1">fScore_Total("ESPN",aCols)</f>
        <v>0</v>
      </c>
      <c r="AG140" s="8" cm="1">
        <f t="array" aca="1" ref="AG140" ca="1">-fScore_Total("diff",aCols)</f>
        <v>0</v>
      </c>
      <c r="AH140" s="8">
        <f t="shared" ca="1" si="6"/>
        <v>0</v>
      </c>
      <c r="AI140" s="8" t="str">
        <f t="shared" si="5"/>
        <v>FLEX</v>
      </c>
      <c r="AJ140" s="8"/>
    </row>
    <row r="141" spans="1:36" x14ac:dyDescent="0.25">
      <c r="A141" t="s">
        <v>464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>
        <v>20000</v>
      </c>
      <c r="AE141" t="s">
        <v>637</v>
      </c>
      <c r="AF141" s="8" cm="1">
        <f t="array" aca="1" ref="AF141" ca="1">fScore_Total("ESPN",aCols)</f>
        <v>0</v>
      </c>
      <c r="AG141" s="8" cm="1">
        <f t="array" aca="1" ref="AG141" ca="1">-fScore_Total("diff",aCols)</f>
        <v>0</v>
      </c>
      <c r="AH141" s="8">
        <f t="shared" ca="1" si="6"/>
        <v>0</v>
      </c>
      <c r="AI141" s="8" t="str">
        <f t="shared" si="5"/>
        <v>FLEX</v>
      </c>
      <c r="AJ141" s="8"/>
    </row>
    <row r="142" spans="1:36" x14ac:dyDescent="0.25">
      <c r="A142" t="s">
        <v>220</v>
      </c>
      <c r="B142" s="1" t="s">
        <v>535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35.92818801</v>
      </c>
      <c r="N142" s="1">
        <v>0</v>
      </c>
      <c r="O142" s="1">
        <v>2.027574574</v>
      </c>
      <c r="P142" s="1">
        <v>0</v>
      </c>
      <c r="Q142" s="1">
        <v>0</v>
      </c>
      <c r="R142" s="1">
        <v>349.9881934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413</v>
      </c>
      <c r="AB142" s="1">
        <v>0</v>
      </c>
      <c r="AC142" s="1">
        <v>0</v>
      </c>
      <c r="AD142">
        <v>20000</v>
      </c>
      <c r="AE142" t="s">
        <v>637</v>
      </c>
      <c r="AF142" s="8" cm="1">
        <f t="array" aca="1" ref="AF142" ca="1">fScore_Total("ESPN",aCols)</f>
        <v>65.128360788999998</v>
      </c>
      <c r="AG142" s="8" cm="1">
        <f t="array" aca="1" ref="AG142" ca="1">-fScore_Total("diff",aCols)</f>
        <v>0</v>
      </c>
      <c r="AH142" s="8">
        <f t="shared" ca="1" si="6"/>
        <v>65.128360788999998</v>
      </c>
      <c r="AI142" s="8" t="str">
        <f t="shared" si="5"/>
        <v>FLEX</v>
      </c>
      <c r="AJ142" s="8"/>
    </row>
    <row r="143" spans="1:36" x14ac:dyDescent="0.25">
      <c r="A143" t="s">
        <v>465</v>
      </c>
      <c r="B143" s="1">
        <v>0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>
        <v>25000</v>
      </c>
      <c r="AE143" t="s">
        <v>637</v>
      </c>
      <c r="AF143" s="8" cm="1">
        <f t="array" aca="1" ref="AF143" ca="1">fScore_Total("ESPN",aCols)</f>
        <v>0</v>
      </c>
      <c r="AG143" s="8" cm="1">
        <f t="array" aca="1" ref="AG143" ca="1">-fScore_Total("diff",aCols)</f>
        <v>0</v>
      </c>
      <c r="AH143" s="8">
        <f t="shared" ca="1" si="6"/>
        <v>0</v>
      </c>
      <c r="AI143" s="8" t="str">
        <f t="shared" si="5"/>
        <v>FLEX</v>
      </c>
      <c r="AJ143" s="8"/>
    </row>
    <row r="144" spans="1:36" x14ac:dyDescent="0.25">
      <c r="A144" t="s">
        <v>344</v>
      </c>
      <c r="B144" s="1">
        <v>0</v>
      </c>
      <c r="C144" s="1">
        <v>0</v>
      </c>
      <c r="D144" s="1">
        <v>0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>
        <v>25000</v>
      </c>
      <c r="AE144" t="s">
        <v>637</v>
      </c>
      <c r="AF144" s="8" cm="1">
        <f t="array" aca="1" ref="AF144" ca="1">fScore_Total("ESPN",aCols)</f>
        <v>0</v>
      </c>
      <c r="AG144" s="8" cm="1">
        <f t="array" aca="1" ref="AG144" ca="1">-fScore_Total("diff",aCols)</f>
        <v>0</v>
      </c>
      <c r="AH144" s="8">
        <f t="shared" ca="1" si="6"/>
        <v>0</v>
      </c>
      <c r="AI144" s="8" t="str">
        <f t="shared" si="5"/>
        <v>FLEX</v>
      </c>
      <c r="AJ144" s="8"/>
    </row>
    <row r="145" spans="1:36" x14ac:dyDescent="0.25">
      <c r="A145" t="s">
        <v>466</v>
      </c>
      <c r="B145" s="1" t="s">
        <v>532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0.29039248099999998</v>
      </c>
      <c r="W145" s="1">
        <v>0</v>
      </c>
      <c r="X145" s="1">
        <v>0</v>
      </c>
      <c r="Y145" s="1">
        <v>32.167393599999997</v>
      </c>
      <c r="Z145" s="1">
        <v>0</v>
      </c>
      <c r="AA145" s="1">
        <v>1140</v>
      </c>
      <c r="AB145" s="1">
        <v>0</v>
      </c>
      <c r="AC145" s="1">
        <v>0</v>
      </c>
      <c r="AD145">
        <v>25000</v>
      </c>
      <c r="AE145" t="s">
        <v>637</v>
      </c>
      <c r="AF145" s="8" cm="1">
        <f t="array" aca="1" ref="AF145" ca="1">fScore_Total("ESPN",aCols)</f>
        <v>4.9590942459999994</v>
      </c>
      <c r="AG145" s="8" cm="1">
        <f t="array" aca="1" ref="AG145" ca="1">-fScore_Total("diff",aCols)</f>
        <v>0</v>
      </c>
      <c r="AH145" s="8">
        <f t="shared" ca="1" si="6"/>
        <v>4.9590942459999994</v>
      </c>
      <c r="AI145" s="8" t="str">
        <f t="shared" si="5"/>
        <v>FLEX</v>
      </c>
      <c r="AJ145" s="8"/>
    </row>
    <row r="146" spans="1:36" x14ac:dyDescent="0.25">
      <c r="A146" t="s">
        <v>145</v>
      </c>
      <c r="B146" s="1" t="s">
        <v>532</v>
      </c>
      <c r="C146" s="1">
        <v>0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12.966582819999999</v>
      </c>
      <c r="N146" s="1">
        <v>0</v>
      </c>
      <c r="O146" s="1">
        <v>0.54319423899999997</v>
      </c>
      <c r="P146" s="1">
        <v>0</v>
      </c>
      <c r="Q146" s="1">
        <v>0</v>
      </c>
      <c r="R146" s="1">
        <v>94.036189980000003</v>
      </c>
      <c r="S146" s="1">
        <v>0</v>
      </c>
      <c r="T146" s="1">
        <v>0</v>
      </c>
      <c r="U146" s="1">
        <v>0</v>
      </c>
      <c r="V146" s="1">
        <v>2.4745566729999999</v>
      </c>
      <c r="W146" s="1">
        <v>0</v>
      </c>
      <c r="X146" s="1">
        <v>0</v>
      </c>
      <c r="Y146" s="1">
        <v>351.01139879999999</v>
      </c>
      <c r="Z146" s="1">
        <v>0</v>
      </c>
      <c r="AA146" s="1">
        <v>203</v>
      </c>
      <c r="AB146" s="1">
        <v>1</v>
      </c>
      <c r="AC146" s="1">
        <v>0</v>
      </c>
      <c r="AD146">
        <v>25000</v>
      </c>
      <c r="AE146" t="s">
        <v>637</v>
      </c>
      <c r="AF146" s="8" cm="1">
        <f t="array" aca="1" ref="AF146" ca="1">fScore_Total("ESPN",aCols)</f>
        <v>69.094555759999992</v>
      </c>
      <c r="AG146" s="8" cm="1">
        <f t="array" aca="1" ref="AG146" ca="1">-fScore_Total("diff",aCols)</f>
        <v>0</v>
      </c>
      <c r="AH146" s="8">
        <f t="shared" ca="1" si="6"/>
        <v>69.094555759999992</v>
      </c>
      <c r="AI146" s="8" t="str">
        <f t="shared" si="5"/>
        <v>FLEX</v>
      </c>
      <c r="AJ146" s="8"/>
    </row>
    <row r="147" spans="1:36" x14ac:dyDescent="0.25">
      <c r="A147" t="s">
        <v>195</v>
      </c>
      <c r="B147" s="1" t="s">
        <v>532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8.9105280219999994</v>
      </c>
      <c r="N147" s="1">
        <v>0</v>
      </c>
      <c r="O147" s="1">
        <v>0.382857685</v>
      </c>
      <c r="P147" s="1">
        <v>0</v>
      </c>
      <c r="Q147" s="1">
        <v>0</v>
      </c>
      <c r="R147" s="1">
        <v>63.106771430000002</v>
      </c>
      <c r="S147" s="1">
        <v>0</v>
      </c>
      <c r="T147" s="1">
        <v>0</v>
      </c>
      <c r="U147" s="1">
        <v>0</v>
      </c>
      <c r="V147" s="1">
        <v>1.789062948</v>
      </c>
      <c r="W147" s="1">
        <v>0</v>
      </c>
      <c r="X147" s="1">
        <v>0</v>
      </c>
      <c r="Y147" s="1">
        <v>276.19039559999999</v>
      </c>
      <c r="Z147" s="1">
        <v>0</v>
      </c>
      <c r="AA147" s="1">
        <v>352</v>
      </c>
      <c r="AB147" s="1">
        <v>0</v>
      </c>
      <c r="AC147" s="1">
        <v>0</v>
      </c>
      <c r="AD147">
        <v>25000</v>
      </c>
      <c r="AE147" t="s">
        <v>637</v>
      </c>
      <c r="AF147" s="8" cm="1">
        <f t="array" aca="1" ref="AF147" ca="1">fScore_Total("ESPN",aCols)</f>
        <v>51.416504512000003</v>
      </c>
      <c r="AG147" s="8" cm="1">
        <f t="array" aca="1" ref="AG147" ca="1">-fScore_Total("diff",aCols)</f>
        <v>0</v>
      </c>
      <c r="AH147" s="8">
        <f t="shared" ca="1" si="6"/>
        <v>51.416504512000003</v>
      </c>
      <c r="AI147" s="8" t="str">
        <f t="shared" si="5"/>
        <v>FLEX</v>
      </c>
      <c r="AJ147" s="8"/>
    </row>
    <row r="148" spans="1:36" x14ac:dyDescent="0.25">
      <c r="A148" t="s">
        <v>246</v>
      </c>
      <c r="B148" s="1" t="s">
        <v>532</v>
      </c>
      <c r="C148" s="1">
        <v>0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8.4683550160000003</v>
      </c>
      <c r="N148" s="1">
        <v>0</v>
      </c>
      <c r="O148" s="1">
        <v>0.26856574</v>
      </c>
      <c r="P148" s="1">
        <v>0</v>
      </c>
      <c r="Q148" s="1">
        <v>0</v>
      </c>
      <c r="R148" s="1">
        <v>59.677648050000002</v>
      </c>
      <c r="S148" s="1">
        <v>0</v>
      </c>
      <c r="T148" s="1">
        <v>0</v>
      </c>
      <c r="U148" s="1">
        <v>0</v>
      </c>
      <c r="V148" s="1">
        <v>0.33581804500000001</v>
      </c>
      <c r="W148" s="1">
        <v>0</v>
      </c>
      <c r="X148" s="1">
        <v>0</v>
      </c>
      <c r="Y148" s="1">
        <v>62.28965942</v>
      </c>
      <c r="Z148" s="1">
        <v>0</v>
      </c>
      <c r="AA148" s="1">
        <v>457</v>
      </c>
      <c r="AB148" s="1">
        <v>0</v>
      </c>
      <c r="AC148" s="1">
        <v>0</v>
      </c>
      <c r="AD148">
        <v>25000</v>
      </c>
      <c r="AE148" t="s">
        <v>637</v>
      </c>
      <c r="AF148" s="8" cm="1">
        <f t="array" aca="1" ref="AF148" ca="1">fScore_Total("ESPN",aCols)</f>
        <v>20.057210965000003</v>
      </c>
      <c r="AG148" s="8" cm="1">
        <f t="array" aca="1" ref="AG148" ca="1">-fScore_Total("diff",aCols)</f>
        <v>0</v>
      </c>
      <c r="AH148" s="8">
        <f t="shared" ca="1" si="6"/>
        <v>20.057210965000003</v>
      </c>
      <c r="AI148" s="8" t="str">
        <f t="shared" si="5"/>
        <v>FLEX</v>
      </c>
      <c r="AJ148" s="8"/>
    </row>
    <row r="149" spans="1:36" x14ac:dyDescent="0.25">
      <c r="A149" t="s">
        <v>467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>
        <v>25000</v>
      </c>
      <c r="AE149" t="s">
        <v>637</v>
      </c>
      <c r="AF149" s="8" cm="1">
        <f t="array" aca="1" ref="AF149" ca="1">fScore_Total("ESPN",aCols)</f>
        <v>0</v>
      </c>
      <c r="AG149" s="8" cm="1">
        <f t="array" aca="1" ref="AG149" ca="1">-fScore_Total("diff",aCols)</f>
        <v>0</v>
      </c>
      <c r="AH149" s="8">
        <f t="shared" ca="1" si="6"/>
        <v>0</v>
      </c>
      <c r="AI149" s="8" t="str">
        <f t="shared" si="5"/>
        <v>FLEX</v>
      </c>
      <c r="AJ149" s="8"/>
    </row>
    <row r="150" spans="1:36" x14ac:dyDescent="0.25">
      <c r="A150" t="s">
        <v>468</v>
      </c>
      <c r="B150" s="1">
        <v>0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>
        <v>25000</v>
      </c>
      <c r="AE150" t="s">
        <v>637</v>
      </c>
      <c r="AF150" s="8" cm="1">
        <f t="array" aca="1" ref="AF150" ca="1">fScore_Total("ESPN",aCols)</f>
        <v>0</v>
      </c>
      <c r="AG150" s="8" cm="1">
        <f t="array" aca="1" ref="AG150" ca="1">-fScore_Total("diff",aCols)</f>
        <v>0</v>
      </c>
      <c r="AH150" s="8">
        <f t="shared" ca="1" si="6"/>
        <v>0</v>
      </c>
      <c r="AI150" s="8" t="str">
        <f t="shared" si="5"/>
        <v>FLEX</v>
      </c>
      <c r="AJ150" s="8"/>
    </row>
    <row r="151" spans="1:36" x14ac:dyDescent="0.25">
      <c r="A151" t="s">
        <v>188</v>
      </c>
      <c r="B151" s="1" t="s">
        <v>533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30.84743095</v>
      </c>
      <c r="N151" s="1">
        <v>0</v>
      </c>
      <c r="O151" s="1">
        <v>1.475550803</v>
      </c>
      <c r="P151" s="1">
        <v>0</v>
      </c>
      <c r="Q151" s="1">
        <v>0</v>
      </c>
      <c r="R151" s="1">
        <v>358.61559920000002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373</v>
      </c>
      <c r="AB151" s="1">
        <v>0</v>
      </c>
      <c r="AC151" s="1">
        <v>0</v>
      </c>
      <c r="AD151">
        <v>25000</v>
      </c>
      <c r="AE151" t="s">
        <v>637</v>
      </c>
      <c r="AF151" s="8" cm="1">
        <f t="array" aca="1" ref="AF151" ca="1">fScore_Total("ESPN",aCols)</f>
        <v>60.138580213000004</v>
      </c>
      <c r="AG151" s="8" cm="1">
        <f t="array" aca="1" ref="AG151" ca="1">-fScore_Total("diff",aCols)</f>
        <v>0</v>
      </c>
      <c r="AH151" s="8">
        <f t="shared" ca="1" si="6"/>
        <v>60.138580213000004</v>
      </c>
      <c r="AI151" s="8" t="str">
        <f t="shared" si="5"/>
        <v>FLEX</v>
      </c>
      <c r="AJ151" s="8"/>
    </row>
    <row r="152" spans="1:36" x14ac:dyDescent="0.25">
      <c r="A152" t="s">
        <v>366</v>
      </c>
      <c r="B152" s="1" t="s">
        <v>535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3.8122440119999998</v>
      </c>
      <c r="N152" s="1">
        <v>0</v>
      </c>
      <c r="O152" s="1">
        <v>0.29041360999999999</v>
      </c>
      <c r="P152" s="1">
        <v>0</v>
      </c>
      <c r="Q152" s="1">
        <v>0</v>
      </c>
      <c r="R152" s="1">
        <v>39.238063760000003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1100</v>
      </c>
      <c r="AB152" s="1">
        <v>0</v>
      </c>
      <c r="AC152" s="1">
        <v>0</v>
      </c>
      <c r="AD152">
        <v>25000</v>
      </c>
      <c r="AE152" t="s">
        <v>637</v>
      </c>
      <c r="AF152" s="8" cm="1">
        <f t="array" aca="1" ref="AF152" ca="1">fScore_Total("ESPN",aCols)</f>
        <v>7.5724100419999996</v>
      </c>
      <c r="AG152" s="8" cm="1">
        <f t="array" aca="1" ref="AG152" ca="1">-fScore_Total("diff",aCols)</f>
        <v>0</v>
      </c>
      <c r="AH152" s="8">
        <f t="shared" ca="1" si="6"/>
        <v>7.5724100419999996</v>
      </c>
      <c r="AI152" s="8" t="str">
        <f t="shared" si="5"/>
        <v>FLEX</v>
      </c>
      <c r="AJ152" s="8"/>
    </row>
    <row r="153" spans="1:36" x14ac:dyDescent="0.25">
      <c r="A153" t="s">
        <v>469</v>
      </c>
      <c r="B153" s="1">
        <v>0</v>
      </c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>
        <v>25000</v>
      </c>
      <c r="AE153" t="s">
        <v>637</v>
      </c>
      <c r="AF153" s="8" cm="1">
        <f t="array" aca="1" ref="AF153" ca="1">fScore_Total("ESPN",aCols)</f>
        <v>0</v>
      </c>
      <c r="AG153" s="8" cm="1">
        <f t="array" aca="1" ref="AG153" ca="1">-fScore_Total("diff",aCols)</f>
        <v>0</v>
      </c>
      <c r="AH153" s="8">
        <f t="shared" ca="1" si="6"/>
        <v>0</v>
      </c>
      <c r="AI153" s="8" t="str">
        <f t="shared" si="5"/>
        <v>FLEX</v>
      </c>
      <c r="AJ153" s="8"/>
    </row>
    <row r="154" spans="1:36" x14ac:dyDescent="0.25">
      <c r="A154" t="s">
        <v>153</v>
      </c>
      <c r="B154" s="1" t="s">
        <v>532</v>
      </c>
      <c r="C154" s="1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8.0392219839999992</v>
      </c>
      <c r="N154" s="1">
        <v>0</v>
      </c>
      <c r="O154" s="1">
        <v>0.31204059699999998</v>
      </c>
      <c r="P154" s="1">
        <v>0</v>
      </c>
      <c r="Q154" s="1">
        <v>0</v>
      </c>
      <c r="R154" s="1">
        <v>55.454737559999998</v>
      </c>
      <c r="S154" s="1">
        <v>0</v>
      </c>
      <c r="T154" s="1">
        <v>0</v>
      </c>
      <c r="U154" s="1">
        <v>0</v>
      </c>
      <c r="V154" s="1">
        <v>0.75585682200000004</v>
      </c>
      <c r="W154" s="1">
        <v>0</v>
      </c>
      <c r="X154" s="1">
        <v>0</v>
      </c>
      <c r="Y154" s="1">
        <v>175.68663280000001</v>
      </c>
      <c r="Z154" s="1">
        <v>0</v>
      </c>
      <c r="AA154" s="1">
        <v>404</v>
      </c>
      <c r="AB154" s="1">
        <v>0</v>
      </c>
      <c r="AC154" s="1">
        <v>0</v>
      </c>
      <c r="AD154">
        <v>25000</v>
      </c>
      <c r="AE154" t="s">
        <v>637</v>
      </c>
      <c r="AF154" s="8" cm="1">
        <f t="array" aca="1" ref="AF154" ca="1">fScore_Total("ESPN",aCols)</f>
        <v>33.541132542</v>
      </c>
      <c r="AG154" s="8" cm="1">
        <f t="array" aca="1" ref="AG154" ca="1">-fScore_Total("diff",aCols)</f>
        <v>0</v>
      </c>
      <c r="AH154" s="8">
        <f t="shared" ca="1" si="6"/>
        <v>33.541132542</v>
      </c>
      <c r="AI154" s="8" t="str">
        <f t="shared" si="5"/>
        <v>FLEX</v>
      </c>
      <c r="AJ154" s="8"/>
    </row>
    <row r="155" spans="1:36" x14ac:dyDescent="0.25">
      <c r="A155" t="s">
        <v>470</v>
      </c>
      <c r="B155" s="1">
        <v>0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>
        <v>25000</v>
      </c>
      <c r="AE155" t="s">
        <v>637</v>
      </c>
      <c r="AF155" s="8" cm="1">
        <f t="array" aca="1" ref="AF155" ca="1">fScore_Total("ESPN",aCols)</f>
        <v>0</v>
      </c>
      <c r="AG155" s="8" cm="1">
        <f t="array" aca="1" ref="AG155" ca="1">-fScore_Total("diff",aCols)</f>
        <v>0</v>
      </c>
      <c r="AH155" s="8">
        <f t="shared" ca="1" si="6"/>
        <v>0</v>
      </c>
      <c r="AI155" s="8" t="str">
        <f t="shared" si="5"/>
        <v>FLEX</v>
      </c>
      <c r="AJ155" s="8"/>
    </row>
    <row r="156" spans="1:36" x14ac:dyDescent="0.25">
      <c r="A156" t="s">
        <v>332</v>
      </c>
      <c r="B156" s="1" t="s">
        <v>532</v>
      </c>
      <c r="C156" s="1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  <c r="M156" s="1">
        <v>2.155197314</v>
      </c>
      <c r="N156" s="1">
        <v>0</v>
      </c>
      <c r="O156" s="1">
        <v>0.10311005099999999</v>
      </c>
      <c r="P156" s="1">
        <v>0</v>
      </c>
      <c r="Q156" s="1">
        <v>0</v>
      </c>
      <c r="R156" s="1">
        <v>15.300900690000001</v>
      </c>
      <c r="S156" s="1">
        <v>0</v>
      </c>
      <c r="T156" s="1">
        <v>0</v>
      </c>
      <c r="U156" s="1">
        <v>0</v>
      </c>
      <c r="V156" s="1">
        <v>0.35160918400000002</v>
      </c>
      <c r="W156" s="1">
        <v>0</v>
      </c>
      <c r="X156" s="1">
        <v>0</v>
      </c>
      <c r="Y156" s="1">
        <v>45.190868850000001</v>
      </c>
      <c r="Z156" s="1">
        <v>0</v>
      </c>
      <c r="AA156" s="1">
        <v>1091</v>
      </c>
      <c r="AB156" s="1">
        <v>0</v>
      </c>
      <c r="AC156" s="1">
        <v>0</v>
      </c>
      <c r="AD156">
        <v>25000</v>
      </c>
      <c r="AE156" t="s">
        <v>637</v>
      </c>
      <c r="AF156" s="8" cm="1">
        <f t="array" aca="1" ref="AF156" ca="1">fScore_Total("ESPN",aCols)</f>
        <v>9.8550910209999998</v>
      </c>
      <c r="AG156" s="8" cm="1">
        <f t="array" aca="1" ref="AG156" ca="1">-fScore_Total("diff",aCols)</f>
        <v>0</v>
      </c>
      <c r="AH156" s="8">
        <f t="shared" ca="1" si="6"/>
        <v>9.8550910209999998</v>
      </c>
      <c r="AI156" s="8" t="str">
        <f t="shared" si="5"/>
        <v>FLEX</v>
      </c>
      <c r="AJ156" s="8"/>
    </row>
    <row r="157" spans="1:36" x14ac:dyDescent="0.25">
      <c r="A157" t="s">
        <v>471</v>
      </c>
      <c r="B157" s="1">
        <v>0</v>
      </c>
      <c r="C157" s="1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>
        <v>25000</v>
      </c>
      <c r="AE157" t="s">
        <v>637</v>
      </c>
      <c r="AF157" s="8" cm="1">
        <f t="array" aca="1" ref="AF157" ca="1">fScore_Total("ESPN",aCols)</f>
        <v>0</v>
      </c>
      <c r="AG157" s="8" cm="1">
        <f t="array" aca="1" ref="AG157" ca="1">-fScore_Total("diff",aCols)</f>
        <v>0</v>
      </c>
      <c r="AH157" s="8">
        <f t="shared" ca="1" si="6"/>
        <v>0</v>
      </c>
      <c r="AI157" s="8" t="str">
        <f t="shared" si="5"/>
        <v>FLEX</v>
      </c>
      <c r="AJ157" s="8"/>
    </row>
    <row r="158" spans="1:36" x14ac:dyDescent="0.25">
      <c r="A158" t="s">
        <v>365</v>
      </c>
      <c r="B158" s="1" t="s">
        <v>535</v>
      </c>
      <c r="C158" s="1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  <c r="M158" s="1">
        <v>3.8471100649999999</v>
      </c>
      <c r="N158" s="1">
        <v>0</v>
      </c>
      <c r="O158" s="1">
        <v>0.31220465400000003</v>
      </c>
      <c r="P158" s="1">
        <v>0</v>
      </c>
      <c r="Q158" s="1">
        <v>0</v>
      </c>
      <c r="R158" s="1">
        <v>38.528404799999997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1097</v>
      </c>
      <c r="AB158" s="1">
        <v>0</v>
      </c>
      <c r="AC158" s="1">
        <v>0</v>
      </c>
      <c r="AD158">
        <v>25000</v>
      </c>
      <c r="AE158" t="s">
        <v>637</v>
      </c>
      <c r="AF158" s="8" cm="1">
        <f t="array" aca="1" ref="AF158" ca="1">fScore_Total("ESPN",aCols)</f>
        <v>7.6496234364999998</v>
      </c>
      <c r="AG158" s="8" cm="1">
        <f t="array" aca="1" ref="AG158" ca="1">-fScore_Total("diff",aCols)</f>
        <v>0</v>
      </c>
      <c r="AH158" s="8">
        <f t="shared" ca="1" si="6"/>
        <v>7.6496234364999998</v>
      </c>
      <c r="AI158" s="8" t="str">
        <f t="shared" si="5"/>
        <v>FLEX</v>
      </c>
      <c r="AJ158" s="8"/>
    </row>
    <row r="159" spans="1:36" x14ac:dyDescent="0.25">
      <c r="A159" t="s">
        <v>472</v>
      </c>
      <c r="B159" s="1">
        <v>0</v>
      </c>
      <c r="C159" s="1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>
        <v>25000</v>
      </c>
      <c r="AE159" t="s">
        <v>637</v>
      </c>
      <c r="AF159" s="8" cm="1">
        <f t="array" aca="1" ref="AF159" ca="1">fScore_Total("ESPN",aCols)</f>
        <v>0</v>
      </c>
      <c r="AG159" s="8" cm="1">
        <f t="array" aca="1" ref="AG159" ca="1">-fScore_Total("diff",aCols)</f>
        <v>0</v>
      </c>
      <c r="AH159" s="8">
        <f t="shared" ca="1" si="6"/>
        <v>0</v>
      </c>
      <c r="AI159" s="8" t="str">
        <f t="shared" si="5"/>
        <v>FLEX</v>
      </c>
      <c r="AJ159" s="8"/>
    </row>
    <row r="160" spans="1:36" x14ac:dyDescent="0.25">
      <c r="A160" t="s">
        <v>325</v>
      </c>
      <c r="B160" s="1" t="s">
        <v>533</v>
      </c>
      <c r="C160" s="1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  <c r="M160" s="1">
        <v>9.6788192419999994</v>
      </c>
      <c r="N160" s="1">
        <v>0</v>
      </c>
      <c r="O160" s="1">
        <v>0.70648419900000003</v>
      </c>
      <c r="P160" s="1">
        <v>0</v>
      </c>
      <c r="Q160" s="1">
        <v>0</v>
      </c>
      <c r="R160" s="1">
        <v>113.0424356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1052</v>
      </c>
      <c r="AB160" s="1">
        <v>0</v>
      </c>
      <c r="AC160" s="1">
        <v>0</v>
      </c>
      <c r="AD160">
        <v>25000</v>
      </c>
      <c r="AE160" t="s">
        <v>637</v>
      </c>
      <c r="AF160" s="8" cm="1">
        <f t="array" aca="1" ref="AF160" ca="1">fScore_Total("ESPN",aCols)</f>
        <v>20.382558375000002</v>
      </c>
      <c r="AG160" s="8" cm="1">
        <f t="array" aca="1" ref="AG160" ca="1">-fScore_Total("diff",aCols)</f>
        <v>0</v>
      </c>
      <c r="AH160" s="8">
        <f t="shared" ca="1" si="6"/>
        <v>20.382558375000002</v>
      </c>
      <c r="AI160" s="8" t="str">
        <f t="shared" si="5"/>
        <v>FLEX</v>
      </c>
      <c r="AJ160" s="8"/>
    </row>
    <row r="161" spans="1:36" x14ac:dyDescent="0.25">
      <c r="A161" t="s">
        <v>339</v>
      </c>
      <c r="B161" s="1" t="s">
        <v>533</v>
      </c>
      <c r="C161" s="1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3.4242473530000002</v>
      </c>
      <c r="N161" s="1">
        <v>0</v>
      </c>
      <c r="O161" s="1">
        <v>0.24618939200000001</v>
      </c>
      <c r="P161" s="1">
        <v>0</v>
      </c>
      <c r="Q161" s="1">
        <v>0</v>
      </c>
      <c r="R161" s="1">
        <v>37.797746910000001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1107</v>
      </c>
      <c r="AB161" s="1">
        <v>0</v>
      </c>
      <c r="AC161" s="1">
        <v>0</v>
      </c>
      <c r="AD161">
        <v>25000</v>
      </c>
      <c r="AE161" t="s">
        <v>637</v>
      </c>
      <c r="AF161" s="8" cm="1">
        <f t="array" aca="1" ref="AF161" ca="1">fScore_Total("ESPN",aCols)</f>
        <v>6.9690347194999998</v>
      </c>
      <c r="AG161" s="8" cm="1">
        <f t="array" aca="1" ref="AG161" ca="1">-fScore_Total("diff",aCols)</f>
        <v>0</v>
      </c>
      <c r="AH161" s="8">
        <f t="shared" ca="1" si="6"/>
        <v>6.9690347194999998</v>
      </c>
      <c r="AI161" s="8" t="str">
        <f t="shared" si="5"/>
        <v>FLEX</v>
      </c>
      <c r="AJ161" s="8"/>
    </row>
    <row r="162" spans="1:36" x14ac:dyDescent="0.25">
      <c r="A162" t="s">
        <v>473</v>
      </c>
      <c r="B162" s="1">
        <v>0</v>
      </c>
      <c r="C162" s="1">
        <v>0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0</v>
      </c>
      <c r="AD162">
        <v>30000</v>
      </c>
      <c r="AE162" t="s">
        <v>637</v>
      </c>
      <c r="AF162" s="8" cm="1">
        <f t="array" aca="1" ref="AF162" ca="1">fScore_Total("ESPN",aCols)</f>
        <v>0</v>
      </c>
      <c r="AG162" s="8" cm="1">
        <f t="array" aca="1" ref="AG162" ca="1">-fScore_Total("diff",aCols)</f>
        <v>0</v>
      </c>
      <c r="AH162" s="8">
        <f t="shared" ca="1" si="6"/>
        <v>0</v>
      </c>
      <c r="AI162" s="8" t="str">
        <f t="shared" si="5"/>
        <v>FLEX</v>
      </c>
      <c r="AJ162" s="8"/>
    </row>
    <row r="163" spans="1:36" x14ac:dyDescent="0.25">
      <c r="A163" t="s">
        <v>474</v>
      </c>
      <c r="B163" s="1">
        <v>0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>
        <v>30000</v>
      </c>
      <c r="AE163" t="s">
        <v>637</v>
      </c>
      <c r="AF163" s="8" cm="1">
        <f t="array" aca="1" ref="AF163" ca="1">fScore_Total("ESPN",aCols)</f>
        <v>0</v>
      </c>
      <c r="AG163" s="8" cm="1">
        <f t="array" aca="1" ref="AG163" ca="1">-fScore_Total("diff",aCols)</f>
        <v>0</v>
      </c>
      <c r="AH163" s="8">
        <f t="shared" ca="1" si="6"/>
        <v>0</v>
      </c>
      <c r="AI163" s="8" t="str">
        <f t="shared" si="5"/>
        <v>FLEX</v>
      </c>
      <c r="AJ163" s="8"/>
    </row>
    <row r="164" spans="1:36" x14ac:dyDescent="0.25">
      <c r="A164" t="s">
        <v>256</v>
      </c>
      <c r="B164" s="1" t="s">
        <v>535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19.479108660000001</v>
      </c>
      <c r="N164" s="1">
        <v>0</v>
      </c>
      <c r="O164" s="1">
        <v>1.1895665470000001</v>
      </c>
      <c r="P164" s="1">
        <v>0</v>
      </c>
      <c r="Q164" s="1">
        <v>0</v>
      </c>
      <c r="R164" s="1">
        <v>198.0046079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471</v>
      </c>
      <c r="AB164" s="1">
        <v>0</v>
      </c>
      <c r="AC164" s="1">
        <v>0</v>
      </c>
      <c r="AD164">
        <v>30000</v>
      </c>
      <c r="AE164" t="s">
        <v>637</v>
      </c>
      <c r="AF164" s="8" cm="1">
        <f t="array" aca="1" ref="AF164" ca="1">fScore_Total("ESPN",aCols)</f>
        <v>36.677414402000004</v>
      </c>
      <c r="AG164" s="8" cm="1">
        <f t="array" aca="1" ref="AG164" ca="1">-fScore_Total("diff",aCols)</f>
        <v>0</v>
      </c>
      <c r="AH164" s="8">
        <f t="shared" ca="1" si="6"/>
        <v>36.677414402000004</v>
      </c>
      <c r="AI164" s="8" t="str">
        <f t="shared" si="5"/>
        <v>FLEX</v>
      </c>
      <c r="AJ164" s="8"/>
    </row>
    <row r="165" spans="1:36" x14ac:dyDescent="0.25">
      <c r="A165" t="s">
        <v>233</v>
      </c>
      <c r="B165" s="1" t="s">
        <v>532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  <c r="M165" s="1">
        <v>4.3284063210000001</v>
      </c>
      <c r="N165" s="1">
        <v>0</v>
      </c>
      <c r="O165" s="1">
        <v>0.19681315699999999</v>
      </c>
      <c r="P165" s="1">
        <v>0</v>
      </c>
      <c r="Q165" s="1">
        <v>0</v>
      </c>
      <c r="R165" s="1">
        <v>30.16401918</v>
      </c>
      <c r="S165" s="1">
        <v>0</v>
      </c>
      <c r="T165" s="1">
        <v>0</v>
      </c>
      <c r="U165" s="1">
        <v>0</v>
      </c>
      <c r="V165" s="1">
        <v>0.93239846900000001</v>
      </c>
      <c r="W165" s="1">
        <v>0</v>
      </c>
      <c r="X165" s="1">
        <v>0</v>
      </c>
      <c r="Y165" s="1">
        <v>118.40586810000001</v>
      </c>
      <c r="Z165" s="1">
        <v>0</v>
      </c>
      <c r="AA165" s="1">
        <v>437</v>
      </c>
      <c r="AB165" s="1">
        <v>0</v>
      </c>
      <c r="AC165" s="1">
        <v>0</v>
      </c>
      <c r="AD165">
        <v>30000</v>
      </c>
      <c r="AE165" t="s">
        <v>637</v>
      </c>
      <c r="AF165" s="8" cm="1">
        <f t="array" aca="1" ref="AF165" ca="1">fScore_Total("ESPN",aCols)</f>
        <v>23.796461644500003</v>
      </c>
      <c r="AG165" s="8" cm="1">
        <f t="array" aca="1" ref="AG165" ca="1">-fScore_Total("diff",aCols)</f>
        <v>0</v>
      </c>
      <c r="AH165" s="8">
        <f t="shared" ca="1" si="6"/>
        <v>23.796461644500003</v>
      </c>
      <c r="AI165" s="8" t="str">
        <f t="shared" si="5"/>
        <v>FLEX</v>
      </c>
      <c r="AJ165" s="8"/>
    </row>
    <row r="166" spans="1:36" x14ac:dyDescent="0.25">
      <c r="A166" t="s">
        <v>330</v>
      </c>
      <c r="B166" s="1" t="s">
        <v>535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  <c r="M166" s="1">
        <v>9.7240066469999995</v>
      </c>
      <c r="N166" s="1">
        <v>0</v>
      </c>
      <c r="O166" s="1">
        <v>0.67857958500000004</v>
      </c>
      <c r="P166" s="1">
        <v>0</v>
      </c>
      <c r="Q166" s="1">
        <v>0</v>
      </c>
      <c r="R166" s="1">
        <v>96.832346139999999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1055</v>
      </c>
      <c r="AB166" s="1">
        <v>0</v>
      </c>
      <c r="AC166" s="1">
        <v>0</v>
      </c>
      <c r="AD166">
        <v>30000</v>
      </c>
      <c r="AE166" t="s">
        <v>637</v>
      </c>
      <c r="AF166" s="8" cm="1">
        <f t="array" aca="1" ref="AF166" ca="1">fScore_Total("ESPN",aCols)</f>
        <v>18.616715447499999</v>
      </c>
      <c r="AG166" s="8" cm="1">
        <f t="array" aca="1" ref="AG166" ca="1">-fScore_Total("diff",aCols)</f>
        <v>0</v>
      </c>
      <c r="AH166" s="8">
        <f t="shared" ca="1" si="6"/>
        <v>18.616715447499999</v>
      </c>
      <c r="AI166" s="8" t="str">
        <f t="shared" si="5"/>
        <v>FLEX</v>
      </c>
      <c r="AJ166" s="8"/>
    </row>
    <row r="167" spans="1:36" x14ac:dyDescent="0.25">
      <c r="A167" t="s">
        <v>362</v>
      </c>
      <c r="B167" s="1" t="s">
        <v>535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8.0755037250000008</v>
      </c>
      <c r="N167" s="1">
        <v>0</v>
      </c>
      <c r="O167" s="1">
        <v>0.77548048999999997</v>
      </c>
      <c r="P167" s="1">
        <v>0</v>
      </c>
      <c r="Q167" s="1">
        <v>0</v>
      </c>
      <c r="R167" s="1">
        <v>81.646897179999996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1057</v>
      </c>
      <c r="AB167" s="1">
        <v>0</v>
      </c>
      <c r="AC167" s="1">
        <v>0</v>
      </c>
      <c r="AD167">
        <v>30000</v>
      </c>
      <c r="AE167" t="s">
        <v>637</v>
      </c>
      <c r="AF167" s="8" cm="1">
        <f t="array" aca="1" ref="AF167" ca="1">fScore_Total("ESPN",aCols)</f>
        <v>16.855324520499998</v>
      </c>
      <c r="AG167" s="8" cm="1">
        <f t="array" aca="1" ref="AG167" ca="1">-fScore_Total("diff",aCols)</f>
        <v>0</v>
      </c>
      <c r="AH167" s="8">
        <f t="shared" ca="1" si="6"/>
        <v>16.855324520499998</v>
      </c>
      <c r="AI167" s="8" t="str">
        <f t="shared" si="5"/>
        <v>FLEX</v>
      </c>
      <c r="AJ167" s="8"/>
    </row>
    <row r="168" spans="1:36" x14ac:dyDescent="0.25">
      <c r="A168" t="s">
        <v>384</v>
      </c>
      <c r="B168" s="1" t="s">
        <v>533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  <c r="M168" s="1">
        <v>3.2758905610000002</v>
      </c>
      <c r="N168" s="1">
        <v>0</v>
      </c>
      <c r="O168" s="1">
        <v>0.219983601</v>
      </c>
      <c r="P168" s="1">
        <v>0</v>
      </c>
      <c r="Q168" s="1">
        <v>0</v>
      </c>
      <c r="R168" s="1">
        <v>38.351835600000001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1120</v>
      </c>
      <c r="AB168" s="1">
        <v>0</v>
      </c>
      <c r="AC168" s="1">
        <v>0</v>
      </c>
      <c r="AD168">
        <v>30000</v>
      </c>
      <c r="AE168" t="s">
        <v>637</v>
      </c>
      <c r="AF168" s="8" cm="1">
        <f t="array" aca="1" ref="AF168" ca="1">fScore_Total("ESPN",aCols)</f>
        <v>6.7930304465000004</v>
      </c>
      <c r="AG168" s="8" cm="1">
        <f t="array" aca="1" ref="AG168" ca="1">-fScore_Total("diff",aCols)</f>
        <v>0</v>
      </c>
      <c r="AH168" s="8">
        <f t="shared" ca="1" si="6"/>
        <v>6.7930304465000004</v>
      </c>
      <c r="AI168" s="8" t="str">
        <f t="shared" si="5"/>
        <v>FLEX</v>
      </c>
      <c r="AJ168" s="8"/>
    </row>
    <row r="169" spans="1:36" x14ac:dyDescent="0.25">
      <c r="A169" t="s">
        <v>475</v>
      </c>
      <c r="B169" s="1">
        <v>0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>
        <v>30000</v>
      </c>
      <c r="AE169" t="s">
        <v>637</v>
      </c>
      <c r="AF169" s="8" cm="1">
        <f t="array" aca="1" ref="AF169" ca="1">fScore_Total("ESPN",aCols)</f>
        <v>0</v>
      </c>
      <c r="AG169" s="8" cm="1">
        <f t="array" aca="1" ref="AG169" ca="1">-fScore_Total("diff",aCols)</f>
        <v>0</v>
      </c>
      <c r="AH169" s="8">
        <f t="shared" ca="1" si="6"/>
        <v>0</v>
      </c>
      <c r="AI169" s="8" t="str">
        <f t="shared" si="5"/>
        <v>FLEX</v>
      </c>
      <c r="AJ169" s="8"/>
    </row>
    <row r="170" spans="1:36" x14ac:dyDescent="0.25">
      <c r="A170" t="s">
        <v>476</v>
      </c>
      <c r="B170" s="1">
        <v>0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>
        <v>30000</v>
      </c>
      <c r="AE170" t="s">
        <v>637</v>
      </c>
      <c r="AF170" s="8" cm="1">
        <f t="array" aca="1" ref="AF170" ca="1">fScore_Total("ESPN",aCols)</f>
        <v>0</v>
      </c>
      <c r="AG170" s="8" cm="1">
        <f t="array" aca="1" ref="AG170" ca="1">-fScore_Total("diff",aCols)</f>
        <v>0</v>
      </c>
      <c r="AH170" s="8">
        <f t="shared" ca="1" si="6"/>
        <v>0</v>
      </c>
      <c r="AI170" s="8" t="str">
        <f t="shared" si="5"/>
        <v>FLEX</v>
      </c>
      <c r="AJ170" s="8"/>
    </row>
    <row r="171" spans="1:36" x14ac:dyDescent="0.25">
      <c r="A171" t="s">
        <v>446</v>
      </c>
      <c r="B171" s="1" t="s">
        <v>535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8.5854565960000002</v>
      </c>
      <c r="N171" s="1">
        <v>0</v>
      </c>
      <c r="O171" s="1">
        <v>0.59918256599999997</v>
      </c>
      <c r="P171" s="1">
        <v>0</v>
      </c>
      <c r="Q171" s="1">
        <v>0</v>
      </c>
      <c r="R171" s="1">
        <v>83.960941860000005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1058</v>
      </c>
      <c r="AB171" s="1">
        <v>0</v>
      </c>
      <c r="AC171" s="1">
        <v>0</v>
      </c>
      <c r="AD171">
        <v>30000</v>
      </c>
      <c r="AE171" t="s">
        <v>637</v>
      </c>
      <c r="AF171" s="8" cm="1">
        <f t="array" aca="1" ref="AF171" ca="1">fScore_Total("ESPN",aCols)</f>
        <v>16.283917880000001</v>
      </c>
      <c r="AG171" s="8" cm="1">
        <f t="array" aca="1" ref="AG171" ca="1">-fScore_Total("diff",aCols)</f>
        <v>0</v>
      </c>
      <c r="AH171" s="8">
        <f t="shared" ca="1" si="6"/>
        <v>16.283917880000001</v>
      </c>
      <c r="AI171" s="8" t="str">
        <f t="shared" si="5"/>
        <v>FLEX</v>
      </c>
      <c r="AJ171" s="8"/>
    </row>
    <row r="172" spans="1:36" x14ac:dyDescent="0.25">
      <c r="A172" t="s">
        <v>312</v>
      </c>
      <c r="B172" s="1" t="s">
        <v>533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12.22613546</v>
      </c>
      <c r="N172" s="1">
        <v>0</v>
      </c>
      <c r="O172" s="1">
        <v>0.89732455</v>
      </c>
      <c r="P172" s="1">
        <v>0</v>
      </c>
      <c r="Q172" s="1">
        <v>0</v>
      </c>
      <c r="R172" s="1">
        <v>148.02027029999999</v>
      </c>
      <c r="S172" s="1">
        <v>0</v>
      </c>
      <c r="T172" s="1">
        <v>0</v>
      </c>
      <c r="U172" s="1">
        <v>0</v>
      </c>
      <c r="V172" s="1">
        <v>0.103893346</v>
      </c>
      <c r="W172" s="1">
        <v>0</v>
      </c>
      <c r="X172" s="1">
        <v>0</v>
      </c>
      <c r="Y172" s="1">
        <v>12.598419010000001</v>
      </c>
      <c r="Z172" s="1">
        <v>0</v>
      </c>
      <c r="AA172" s="1">
        <v>1010</v>
      </c>
      <c r="AB172" s="1">
        <v>0</v>
      </c>
      <c r="AC172" s="1">
        <v>0</v>
      </c>
      <c r="AD172">
        <v>30000</v>
      </c>
      <c r="AE172" t="s">
        <v>637</v>
      </c>
      <c r="AF172" s="8" cm="1">
        <f t="array" aca="1" ref="AF172" ca="1">fScore_Total("ESPN",aCols)</f>
        <v>28.182244037</v>
      </c>
      <c r="AG172" s="8" cm="1">
        <f t="array" aca="1" ref="AG172" ca="1">-fScore_Total("diff",aCols)</f>
        <v>0</v>
      </c>
      <c r="AH172" s="8">
        <f t="shared" ca="1" si="6"/>
        <v>28.182244037</v>
      </c>
      <c r="AI172" s="8" t="str">
        <f t="shared" si="5"/>
        <v>FLEX</v>
      </c>
      <c r="AJ172" s="8"/>
    </row>
    <row r="173" spans="1:36" x14ac:dyDescent="0.25">
      <c r="A173" t="s">
        <v>477</v>
      </c>
      <c r="B173" s="1">
        <v>0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>
        <v>30000</v>
      </c>
      <c r="AE173" t="s">
        <v>637</v>
      </c>
      <c r="AF173" s="8" cm="1">
        <f t="array" aca="1" ref="AF173" ca="1">fScore_Total("ESPN",aCols)</f>
        <v>0</v>
      </c>
      <c r="AG173" s="8" cm="1">
        <f t="array" aca="1" ref="AG173" ca="1">-fScore_Total("diff",aCols)</f>
        <v>0</v>
      </c>
      <c r="AH173" s="8">
        <f t="shared" ca="1" si="6"/>
        <v>0</v>
      </c>
      <c r="AI173" s="8" t="str">
        <f t="shared" si="5"/>
        <v>FLEX</v>
      </c>
      <c r="AJ173" s="8"/>
    </row>
    <row r="174" spans="1:36" x14ac:dyDescent="0.25">
      <c r="A174" t="s">
        <v>453</v>
      </c>
      <c r="B174" s="1" t="s">
        <v>532</v>
      </c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  <c r="M174" s="1">
        <v>21.860901200000001</v>
      </c>
      <c r="N174" s="1">
        <v>0</v>
      </c>
      <c r="O174" s="1">
        <v>0.78060432599999996</v>
      </c>
      <c r="P174" s="1">
        <v>0</v>
      </c>
      <c r="Q174" s="1">
        <v>0</v>
      </c>
      <c r="R174" s="1">
        <v>150.0939004</v>
      </c>
      <c r="S174" s="1">
        <v>0</v>
      </c>
      <c r="T174" s="1">
        <v>0</v>
      </c>
      <c r="U174" s="1">
        <v>0</v>
      </c>
      <c r="V174" s="1">
        <v>1.81334317</v>
      </c>
      <c r="W174" s="1">
        <v>0</v>
      </c>
      <c r="X174" s="1">
        <v>0</v>
      </c>
      <c r="Y174" s="1">
        <v>306.04552810000001</v>
      </c>
      <c r="Z174" s="1">
        <v>0</v>
      </c>
      <c r="AA174" s="1">
        <v>202</v>
      </c>
      <c r="AB174" s="1">
        <v>1</v>
      </c>
      <c r="AC174" s="1">
        <v>0</v>
      </c>
      <c r="AD174">
        <v>30000</v>
      </c>
      <c r="AE174" t="s">
        <v>637</v>
      </c>
      <c r="AF174" s="8" cm="1">
        <f t="array" aca="1" ref="AF174" ca="1">fScore_Total("ESPN",aCols)</f>
        <v>72.108078426000006</v>
      </c>
      <c r="AG174" s="8" cm="1">
        <f t="array" aca="1" ref="AG174" ca="1">-fScore_Total("diff",aCols)</f>
        <v>0</v>
      </c>
      <c r="AH174" s="8">
        <f t="shared" ca="1" si="6"/>
        <v>72.108078426000006</v>
      </c>
      <c r="AI174" s="8" t="str">
        <f t="shared" si="5"/>
        <v>FLEX</v>
      </c>
      <c r="AJ174" s="8"/>
    </row>
    <row r="175" spans="1:36" x14ac:dyDescent="0.25">
      <c r="A175" t="s">
        <v>341</v>
      </c>
      <c r="B175" s="1" t="s">
        <v>535</v>
      </c>
      <c r="C175" s="1">
        <v>0</v>
      </c>
      <c r="D175" s="1">
        <v>0</v>
      </c>
      <c r="E175" s="1">
        <v>0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  <c r="M175" s="1">
        <v>7.5929750279999997</v>
      </c>
      <c r="N175" s="1">
        <v>0</v>
      </c>
      <c r="O175" s="1">
        <v>0.40742957400000002</v>
      </c>
      <c r="P175" s="1">
        <v>0</v>
      </c>
      <c r="Q175" s="1">
        <v>0</v>
      </c>
      <c r="R175" s="1">
        <v>74.197264500000003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1065</v>
      </c>
      <c r="AB175" s="1">
        <v>0</v>
      </c>
      <c r="AC175" s="1">
        <v>0</v>
      </c>
      <c r="AD175">
        <v>30000</v>
      </c>
      <c r="AE175" t="s">
        <v>637</v>
      </c>
      <c r="AF175" s="8" cm="1">
        <f t="array" aca="1" ref="AF175" ca="1">fScore_Total("ESPN",aCols)</f>
        <v>13.660791408000001</v>
      </c>
      <c r="AG175" s="8" cm="1">
        <f t="array" aca="1" ref="AG175" ca="1">-fScore_Total("diff",aCols)</f>
        <v>0</v>
      </c>
      <c r="AH175" s="8">
        <f t="shared" ca="1" si="6"/>
        <v>13.660791408000001</v>
      </c>
      <c r="AI175" s="8" t="str">
        <f t="shared" si="5"/>
        <v>FLEX</v>
      </c>
      <c r="AJ175" s="8"/>
    </row>
    <row r="176" spans="1:36" x14ac:dyDescent="0.25">
      <c r="A176" t="s">
        <v>478</v>
      </c>
      <c r="B176" s="1" t="s">
        <v>535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  <c r="M176" s="1">
        <v>2.0227128589999999</v>
      </c>
      <c r="N176" s="1">
        <v>0</v>
      </c>
      <c r="O176" s="1">
        <v>0.14020363899999999</v>
      </c>
      <c r="P176" s="1">
        <v>0</v>
      </c>
      <c r="Q176" s="1">
        <v>0</v>
      </c>
      <c r="R176" s="1">
        <v>19.670010850000001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1142</v>
      </c>
      <c r="AB176" s="1">
        <v>0</v>
      </c>
      <c r="AC176" s="1">
        <v>0</v>
      </c>
      <c r="AD176">
        <v>30000</v>
      </c>
      <c r="AE176" t="s">
        <v>637</v>
      </c>
      <c r="AF176" s="8" cm="1">
        <f t="array" aca="1" ref="AF176" ca="1">fScore_Total("ESPN",aCols)</f>
        <v>3.8195793485</v>
      </c>
      <c r="AG176" s="8" cm="1">
        <f t="array" aca="1" ref="AG176" ca="1">-fScore_Total("diff",aCols)</f>
        <v>0</v>
      </c>
      <c r="AH176" s="8">
        <f t="shared" ca="1" si="6"/>
        <v>3.8195793485</v>
      </c>
      <c r="AI176" s="8" t="str">
        <f t="shared" si="5"/>
        <v>FLEX</v>
      </c>
      <c r="AJ176" s="8"/>
    </row>
    <row r="177" spans="1:36" x14ac:dyDescent="0.25">
      <c r="A177" t="s">
        <v>479</v>
      </c>
      <c r="B177" s="1">
        <v>0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>
        <v>40000</v>
      </c>
      <c r="AE177" t="s">
        <v>637</v>
      </c>
      <c r="AF177" s="8" cm="1">
        <f t="array" aca="1" ref="AF177" ca="1">fScore_Total("ESPN",aCols)</f>
        <v>0</v>
      </c>
      <c r="AG177" s="8" cm="1">
        <f t="array" aca="1" ref="AG177" ca="1">-fScore_Total("diff",aCols)</f>
        <v>0</v>
      </c>
      <c r="AH177" s="8">
        <f t="shared" ca="1" si="6"/>
        <v>0</v>
      </c>
      <c r="AI177" s="8" t="str">
        <f t="shared" si="5"/>
        <v>FLEX</v>
      </c>
      <c r="AJ177" s="8"/>
    </row>
    <row r="178" spans="1:36" x14ac:dyDescent="0.25">
      <c r="A178" t="s">
        <v>480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>
        <v>50000</v>
      </c>
      <c r="AE178" t="s">
        <v>637</v>
      </c>
      <c r="AF178" s="8" cm="1">
        <f t="array" aca="1" ref="AF178" ca="1">fScore_Total("ESPN",aCols)</f>
        <v>0</v>
      </c>
      <c r="AG178" s="8" cm="1">
        <f t="array" aca="1" ref="AG178" ca="1">-fScore_Total("diff",aCols)</f>
        <v>0</v>
      </c>
      <c r="AH178" s="8">
        <f t="shared" ca="1" si="6"/>
        <v>0</v>
      </c>
      <c r="AI178" s="8" t="str">
        <f t="shared" si="5"/>
        <v>FLEX</v>
      </c>
      <c r="AJ178" s="8"/>
    </row>
    <row r="179" spans="1:36" x14ac:dyDescent="0.25">
      <c r="A179" t="s">
        <v>481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>
        <v>50000</v>
      </c>
      <c r="AE179" t="s">
        <v>637</v>
      </c>
      <c r="AF179" s="8" cm="1">
        <f t="array" aca="1" ref="AF179" ca="1">fScore_Total("ESPN",aCols)</f>
        <v>0</v>
      </c>
      <c r="AG179" s="8" cm="1">
        <f t="array" aca="1" ref="AG179" ca="1">-fScore_Total("diff",aCols)</f>
        <v>0</v>
      </c>
      <c r="AH179" s="8">
        <f t="shared" ca="1" si="6"/>
        <v>0</v>
      </c>
      <c r="AI179" s="8" t="str">
        <f t="shared" si="5"/>
        <v>FLEX</v>
      </c>
      <c r="AJ179" s="8"/>
    </row>
    <row r="180" spans="1:36" x14ac:dyDescent="0.25">
      <c r="A180" t="s">
        <v>482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>
        <v>50000</v>
      </c>
      <c r="AE180" t="s">
        <v>637</v>
      </c>
      <c r="AF180" s="8" cm="1">
        <f t="array" aca="1" ref="AF180" ca="1">fScore_Total("ESPN",aCols)</f>
        <v>0</v>
      </c>
      <c r="AG180" s="8" cm="1">
        <f t="array" aca="1" ref="AG180" ca="1">-fScore_Total("diff",aCols)</f>
        <v>0</v>
      </c>
      <c r="AH180" s="8">
        <f t="shared" ca="1" si="6"/>
        <v>0</v>
      </c>
      <c r="AI180" s="8" t="str">
        <f t="shared" si="5"/>
        <v>FLEX</v>
      </c>
      <c r="AJ180" s="8"/>
    </row>
    <row r="181" spans="1:36" x14ac:dyDescent="0.25">
      <c r="A181" t="s">
        <v>483</v>
      </c>
      <c r="B181" s="1">
        <v>0</v>
      </c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>
        <v>50000</v>
      </c>
      <c r="AE181" t="s">
        <v>637</v>
      </c>
      <c r="AF181" s="8" cm="1">
        <f t="array" aca="1" ref="AF181" ca="1">fScore_Total("ESPN",aCols)</f>
        <v>0</v>
      </c>
      <c r="AG181" s="8" cm="1">
        <f t="array" aca="1" ref="AG181" ca="1">-fScore_Total("diff",aCols)</f>
        <v>0</v>
      </c>
      <c r="AH181" s="8">
        <f t="shared" ca="1" si="6"/>
        <v>0</v>
      </c>
      <c r="AI181" s="8" t="str">
        <f t="shared" si="5"/>
        <v>FLEX</v>
      </c>
      <c r="AJ181" s="8"/>
    </row>
    <row r="182" spans="1:36" x14ac:dyDescent="0.25">
      <c r="A182" t="s">
        <v>484</v>
      </c>
      <c r="B182" s="1">
        <v>0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>
        <v>50000</v>
      </c>
      <c r="AE182" t="s">
        <v>637</v>
      </c>
      <c r="AF182" s="8" cm="1">
        <f t="array" aca="1" ref="AF182" ca="1">fScore_Total("ESPN",aCols)</f>
        <v>0</v>
      </c>
      <c r="AG182" s="8" cm="1">
        <f t="array" aca="1" ref="AG182" ca="1">-fScore_Total("diff",aCols)</f>
        <v>0</v>
      </c>
      <c r="AH182" s="8">
        <f t="shared" ca="1" si="6"/>
        <v>0</v>
      </c>
      <c r="AI182" s="8" t="str">
        <f t="shared" si="5"/>
        <v>FLEX</v>
      </c>
      <c r="AJ182" s="8"/>
    </row>
    <row r="183" spans="1:36" x14ac:dyDescent="0.25">
      <c r="A183" t="s">
        <v>485</v>
      </c>
      <c r="B183" s="1">
        <v>0</v>
      </c>
      <c r="C183" s="1">
        <v>0</v>
      </c>
      <c r="D183" s="1">
        <v>0</v>
      </c>
      <c r="E183" s="1">
        <v>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>
        <v>50000</v>
      </c>
      <c r="AE183" t="s">
        <v>637</v>
      </c>
      <c r="AF183" s="8" cm="1">
        <f t="array" aca="1" ref="AF183" ca="1">fScore_Total("ESPN",aCols)</f>
        <v>0</v>
      </c>
      <c r="AG183" s="8" cm="1">
        <f t="array" aca="1" ref="AG183" ca="1">-fScore_Total("diff",aCols)</f>
        <v>0</v>
      </c>
      <c r="AH183" s="8">
        <f t="shared" ca="1" si="6"/>
        <v>0</v>
      </c>
      <c r="AI183" s="8" t="str">
        <f t="shared" si="5"/>
        <v>FLEX</v>
      </c>
      <c r="AJ183" s="8"/>
    </row>
    <row r="184" spans="1:36" x14ac:dyDescent="0.25">
      <c r="A184" t="s">
        <v>486</v>
      </c>
      <c r="B184" s="1">
        <v>0</v>
      </c>
      <c r="C184" s="1">
        <v>0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>
        <v>50000</v>
      </c>
      <c r="AE184" t="s">
        <v>637</v>
      </c>
      <c r="AF184" s="8" cm="1">
        <f t="array" aca="1" ref="AF184" ca="1">fScore_Total("ESPN",aCols)</f>
        <v>0</v>
      </c>
      <c r="AG184" s="8" cm="1">
        <f t="array" aca="1" ref="AG184" ca="1">-fScore_Total("diff",aCols)</f>
        <v>0</v>
      </c>
      <c r="AH184" s="8">
        <f t="shared" ca="1" si="6"/>
        <v>0</v>
      </c>
      <c r="AI184" s="8" t="str">
        <f t="shared" si="5"/>
        <v>FLEX</v>
      </c>
      <c r="AJ184" s="8"/>
    </row>
    <row r="185" spans="1:36" x14ac:dyDescent="0.25">
      <c r="A185" t="s">
        <v>487</v>
      </c>
      <c r="B185" s="1">
        <v>0</v>
      </c>
      <c r="C185" s="1">
        <v>0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>
        <v>50000</v>
      </c>
      <c r="AE185" t="s">
        <v>637</v>
      </c>
      <c r="AF185" s="8" cm="1">
        <f t="array" aca="1" ref="AF185" ca="1">fScore_Total("ESPN",aCols)</f>
        <v>0</v>
      </c>
      <c r="AG185" s="8" cm="1">
        <f t="array" aca="1" ref="AG185" ca="1">-fScore_Total("diff",aCols)</f>
        <v>0</v>
      </c>
      <c r="AH185" s="8">
        <f t="shared" ca="1" si="6"/>
        <v>0</v>
      </c>
      <c r="AI185" s="8" t="str">
        <f t="shared" si="5"/>
        <v>FLEX</v>
      </c>
      <c r="AJ185" s="8"/>
    </row>
    <row r="186" spans="1:36" x14ac:dyDescent="0.25">
      <c r="A186" t="s">
        <v>488</v>
      </c>
      <c r="B186" s="1">
        <v>0</v>
      </c>
      <c r="C186" s="1">
        <v>0</v>
      </c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>
        <v>50000</v>
      </c>
      <c r="AE186" t="s">
        <v>637</v>
      </c>
      <c r="AF186" s="8" cm="1">
        <f t="array" aca="1" ref="AF186" ca="1">fScore_Total("ESPN",aCols)</f>
        <v>0</v>
      </c>
      <c r="AG186" s="8" cm="1">
        <f t="array" aca="1" ref="AG186" ca="1">-fScore_Total("diff",aCols)</f>
        <v>0</v>
      </c>
      <c r="AH186" s="8">
        <f t="shared" ca="1" si="6"/>
        <v>0</v>
      </c>
      <c r="AI186" s="8" t="str">
        <f t="shared" si="5"/>
        <v>FLEX</v>
      </c>
      <c r="AJ186" s="8"/>
    </row>
    <row r="187" spans="1:36" x14ac:dyDescent="0.25">
      <c r="A187" t="s">
        <v>410</v>
      </c>
      <c r="B187" s="1" t="s">
        <v>532</v>
      </c>
      <c r="C187" s="1">
        <v>0</v>
      </c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  <c r="M187" s="1">
        <v>50.563625049999999</v>
      </c>
      <c r="N187" s="1">
        <v>0</v>
      </c>
      <c r="O187" s="1">
        <v>2.4728966479999999</v>
      </c>
      <c r="P187" s="1">
        <v>0</v>
      </c>
      <c r="Q187" s="1">
        <v>0</v>
      </c>
      <c r="R187" s="1">
        <v>374.53922669999997</v>
      </c>
      <c r="S187" s="1">
        <v>0</v>
      </c>
      <c r="T187" s="1">
        <v>0</v>
      </c>
      <c r="U187" s="1">
        <v>0</v>
      </c>
      <c r="V187" s="1">
        <v>8.2807341769999994</v>
      </c>
      <c r="W187" s="1">
        <v>0</v>
      </c>
      <c r="X187" s="1">
        <v>0</v>
      </c>
      <c r="Y187" s="1">
        <v>871.53184069999998</v>
      </c>
      <c r="Z187" s="1">
        <v>0</v>
      </c>
      <c r="AA187" s="1">
        <v>14</v>
      </c>
      <c r="AB187" s="1">
        <v>43</v>
      </c>
      <c r="AC187" s="1">
        <v>2800</v>
      </c>
      <c r="AD187">
        <v>0</v>
      </c>
      <c r="AE187" t="s">
        <v>637</v>
      </c>
      <c r="AF187" s="8" cm="1">
        <f t="array" aca="1" ref="AF187" ca="1">fScore_Total("ESPN",aCols)</f>
        <v>214.41070421500001</v>
      </c>
      <c r="AG187" s="8" cm="1">
        <f t="array" aca="1" ref="AG187" ca="1">-fScore_Total("diff",aCols)</f>
        <v>0</v>
      </c>
      <c r="AH187" s="8">
        <f t="shared" ca="1" si="6"/>
        <v>214.41070421500001</v>
      </c>
      <c r="AI187" s="8" t="str">
        <f t="shared" si="5"/>
        <v>FLEX</v>
      </c>
      <c r="AJ187" s="8"/>
    </row>
    <row r="188" spans="1:36" x14ac:dyDescent="0.25">
      <c r="A188" t="s">
        <v>411</v>
      </c>
      <c r="B188" s="1" t="s">
        <v>532</v>
      </c>
      <c r="C188" s="1">
        <v>0</v>
      </c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  <c r="M188" s="1">
        <v>34.564378320000003</v>
      </c>
      <c r="N188" s="1">
        <v>0</v>
      </c>
      <c r="O188" s="1">
        <v>1.849704617</v>
      </c>
      <c r="P188" s="1">
        <v>0</v>
      </c>
      <c r="Q188" s="1">
        <v>0</v>
      </c>
      <c r="R188" s="1">
        <v>284.58537660000002</v>
      </c>
      <c r="S188" s="1">
        <v>0</v>
      </c>
      <c r="T188" s="1">
        <v>0</v>
      </c>
      <c r="U188" s="1">
        <v>0</v>
      </c>
      <c r="V188" s="1">
        <v>9.5995676630000002</v>
      </c>
      <c r="W188" s="1">
        <v>0</v>
      </c>
      <c r="X188" s="1">
        <v>0</v>
      </c>
      <c r="Y188" s="1">
        <v>1013.32769</v>
      </c>
      <c r="Z188" s="1">
        <v>0</v>
      </c>
      <c r="AA188" s="1">
        <v>15</v>
      </c>
      <c r="AB188" s="1">
        <v>42</v>
      </c>
      <c r="AC188" s="1">
        <v>3000</v>
      </c>
      <c r="AD188">
        <v>0</v>
      </c>
      <c r="AE188" t="s">
        <v>637</v>
      </c>
      <c r="AF188" s="8" cm="1">
        <f t="array" aca="1" ref="AF188" ca="1">fScore_Total("ESPN",aCols)</f>
        <v>215.76912950000002</v>
      </c>
      <c r="AG188" s="8" cm="1">
        <f t="array" aca="1" ref="AG188" ca="1">-fScore_Total("diff",aCols)</f>
        <v>0</v>
      </c>
      <c r="AH188" s="8">
        <f t="shared" ca="1" si="6"/>
        <v>215.76912950000002</v>
      </c>
      <c r="AI188" s="8" t="str">
        <f t="shared" si="5"/>
        <v>FLEX</v>
      </c>
      <c r="AJ188" s="8"/>
    </row>
    <row r="189" spans="1:36" x14ac:dyDescent="0.25">
      <c r="A189" t="s">
        <v>493</v>
      </c>
      <c r="B189" s="1" t="s">
        <v>532</v>
      </c>
      <c r="C189" s="1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  <c r="M189" s="1">
        <v>30.60568542</v>
      </c>
      <c r="N189" s="1">
        <v>0</v>
      </c>
      <c r="O189" s="1">
        <v>0.81348567400000005</v>
      </c>
      <c r="P189" s="1">
        <v>0</v>
      </c>
      <c r="Q189" s="1">
        <v>0</v>
      </c>
      <c r="R189" s="1">
        <v>229.26298790000001</v>
      </c>
      <c r="S189" s="1">
        <v>0</v>
      </c>
      <c r="T189" s="1">
        <v>0</v>
      </c>
      <c r="U189" s="1">
        <v>0</v>
      </c>
      <c r="V189" s="1">
        <v>8.6222896379999998</v>
      </c>
      <c r="W189" s="1">
        <v>0</v>
      </c>
      <c r="X189" s="1">
        <v>0</v>
      </c>
      <c r="Y189" s="1">
        <v>1026.900439</v>
      </c>
      <c r="Z189" s="1">
        <v>0</v>
      </c>
      <c r="AA189" s="1">
        <v>42</v>
      </c>
      <c r="AB189" s="1">
        <v>20</v>
      </c>
      <c r="AC189" s="1">
        <v>7500</v>
      </c>
      <c r="AD189">
        <v>0</v>
      </c>
      <c r="AE189" t="s">
        <v>637</v>
      </c>
      <c r="AF189" s="8" cm="1">
        <f t="array" aca="1" ref="AF189" ca="1">fScore_Total("ESPN",aCols)</f>
        <v>197.53383727200003</v>
      </c>
      <c r="AG189" s="8" cm="1">
        <f t="array" aca="1" ref="AG189" ca="1">-fScore_Total("diff",aCols)</f>
        <v>0</v>
      </c>
      <c r="AH189" s="8">
        <f t="shared" ca="1" si="6"/>
        <v>197.53383727200003</v>
      </c>
      <c r="AI189" s="8" t="str">
        <f t="shared" si="5"/>
        <v>FLEX</v>
      </c>
      <c r="AJ189" s="8"/>
    </row>
    <row r="190" spans="1:36" x14ac:dyDescent="0.25">
      <c r="A190" t="s">
        <v>151</v>
      </c>
      <c r="B190" s="1" t="s">
        <v>534</v>
      </c>
      <c r="C190" s="1">
        <v>0</v>
      </c>
      <c r="D190" s="1">
        <v>9.7123555269999997</v>
      </c>
      <c r="E190" s="1">
        <v>0</v>
      </c>
      <c r="F190" s="1">
        <v>0</v>
      </c>
      <c r="G190" s="1">
        <v>22.965140389999998</v>
      </c>
      <c r="H190" s="1">
        <v>0</v>
      </c>
      <c r="I190" s="1">
        <v>0</v>
      </c>
      <c r="J190" s="1">
        <v>3561.7291839999998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2.438692063</v>
      </c>
      <c r="W190" s="1">
        <v>0</v>
      </c>
      <c r="X190" s="1">
        <v>0</v>
      </c>
      <c r="Y190" s="1">
        <v>256.48208729999999</v>
      </c>
      <c r="Z190" s="1">
        <v>0</v>
      </c>
      <c r="AA190" s="1">
        <v>146</v>
      </c>
      <c r="AB190" s="1">
        <v>2</v>
      </c>
      <c r="AC190" s="1">
        <v>10000</v>
      </c>
      <c r="AD190">
        <v>0</v>
      </c>
      <c r="AE190" t="s">
        <v>637</v>
      </c>
      <c r="AF190" s="8" cm="1">
        <f t="array" aca="1" ref="AF190" ca="1">fScore_Total("ESPN",aCols)</f>
        <v>255.18537897399997</v>
      </c>
      <c r="AG190" s="8" cm="1">
        <f t="array" aca="1" ref="AG190" ca="1">-fScore_Total("diff",aCols)</f>
        <v>0</v>
      </c>
      <c r="AH190" s="8">
        <f t="shared" ca="1" si="6"/>
        <v>255.18537897399997</v>
      </c>
      <c r="AI190" s="8" t="str">
        <f t="shared" si="5"/>
        <v>QB</v>
      </c>
      <c r="AJ190" s="8"/>
    </row>
    <row r="191" spans="1:36" x14ac:dyDescent="0.25">
      <c r="A191" t="s">
        <v>424</v>
      </c>
      <c r="B191" s="1" t="s">
        <v>533</v>
      </c>
      <c r="C191" s="1">
        <v>0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  <c r="M191" s="1">
        <v>75.128436199999996</v>
      </c>
      <c r="N191" s="1">
        <v>0</v>
      </c>
      <c r="O191" s="1">
        <v>7.6232690009999997</v>
      </c>
      <c r="P191" s="1">
        <v>0</v>
      </c>
      <c r="Q191" s="1">
        <v>0</v>
      </c>
      <c r="R191" s="1">
        <v>876.95294460000002</v>
      </c>
      <c r="S191" s="1">
        <v>0</v>
      </c>
      <c r="T191" s="1">
        <v>0</v>
      </c>
      <c r="U191" s="1">
        <v>0</v>
      </c>
      <c r="V191" s="1">
        <v>9.3215586000000003E-2</v>
      </c>
      <c r="W191" s="1">
        <v>0</v>
      </c>
      <c r="X191" s="1">
        <v>0</v>
      </c>
      <c r="Y191" s="1">
        <v>11.2197821</v>
      </c>
      <c r="Z191" s="1">
        <v>0</v>
      </c>
      <c r="AA191" s="1">
        <v>50</v>
      </c>
      <c r="AB191" s="1">
        <v>14</v>
      </c>
      <c r="AC191" s="1">
        <v>10000</v>
      </c>
      <c r="AD191">
        <v>0</v>
      </c>
      <c r="AE191" t="s">
        <v>637</v>
      </c>
      <c r="AF191" s="8" cm="1">
        <f t="array" aca="1" ref="AF191" ca="1">fScore_Total("ESPN",aCols)</f>
        <v>172.68039829200001</v>
      </c>
      <c r="AG191" s="8" cm="1">
        <f t="array" aca="1" ref="AG191" ca="1">-fScore_Total("diff",aCols)</f>
        <v>0</v>
      </c>
      <c r="AH191" s="8">
        <f t="shared" ca="1" si="6"/>
        <v>172.68039829200001</v>
      </c>
      <c r="AI191" s="8" t="str">
        <f t="shared" si="5"/>
        <v>FLEX</v>
      </c>
      <c r="AJ191" s="8"/>
    </row>
    <row r="192" spans="1:36" x14ac:dyDescent="0.25">
      <c r="A192" t="s">
        <v>430</v>
      </c>
      <c r="B192" s="1" t="s">
        <v>532</v>
      </c>
      <c r="C192" s="1">
        <v>0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  <c r="M192" s="1">
        <v>49.365005799999999</v>
      </c>
      <c r="N192" s="1">
        <v>0</v>
      </c>
      <c r="O192" s="1">
        <v>2.0062724869999999</v>
      </c>
      <c r="P192" s="1">
        <v>0</v>
      </c>
      <c r="Q192" s="1">
        <v>0</v>
      </c>
      <c r="R192" s="1">
        <v>433.0927982</v>
      </c>
      <c r="S192" s="1">
        <v>0</v>
      </c>
      <c r="T192" s="1">
        <v>0</v>
      </c>
      <c r="U192" s="1">
        <v>0</v>
      </c>
      <c r="V192" s="1">
        <v>3.6817452959999999</v>
      </c>
      <c r="W192" s="1">
        <v>0</v>
      </c>
      <c r="X192" s="1">
        <v>0</v>
      </c>
      <c r="Y192" s="1">
        <v>480.4948483</v>
      </c>
      <c r="Z192" s="1">
        <v>0</v>
      </c>
      <c r="AA192" s="1">
        <v>102</v>
      </c>
      <c r="AB192" s="1">
        <v>3</v>
      </c>
      <c r="AC192" s="1">
        <v>10000</v>
      </c>
      <c r="AD192">
        <v>0</v>
      </c>
      <c r="AE192" t="s">
        <v>637</v>
      </c>
      <c r="AF192" s="8" cm="1">
        <f t="array" aca="1" ref="AF192" ca="1">fScore_Total("ESPN",aCols)</f>
        <v>150.169374248</v>
      </c>
      <c r="AG192" s="8" cm="1">
        <f t="array" aca="1" ref="AG192" ca="1">-fScore_Total("diff",aCols)</f>
        <v>0</v>
      </c>
      <c r="AH192" s="8">
        <f t="shared" ca="1" si="6"/>
        <v>150.169374248</v>
      </c>
      <c r="AI192" s="8" t="str">
        <f t="shared" si="5"/>
        <v>FLEX</v>
      </c>
      <c r="AJ192" s="8"/>
    </row>
    <row r="193" spans="1:36" x14ac:dyDescent="0.25">
      <c r="A193" t="s">
        <v>425</v>
      </c>
      <c r="B193" s="1" t="s">
        <v>532</v>
      </c>
      <c r="C193" s="1">
        <v>0</v>
      </c>
      <c r="D193" s="1">
        <v>0</v>
      </c>
      <c r="E193" s="1">
        <v>0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49.831258910000003</v>
      </c>
      <c r="N193" s="1">
        <v>0</v>
      </c>
      <c r="O193" s="1">
        <v>1.795733016</v>
      </c>
      <c r="P193" s="1">
        <v>0</v>
      </c>
      <c r="Q193" s="1">
        <v>0</v>
      </c>
      <c r="R193" s="1">
        <v>402.59024090000003</v>
      </c>
      <c r="S193" s="1">
        <v>0</v>
      </c>
      <c r="T193" s="1">
        <v>0</v>
      </c>
      <c r="U193" s="1">
        <v>0</v>
      </c>
      <c r="V193" s="1">
        <v>3.2962292710000001</v>
      </c>
      <c r="W193" s="1">
        <v>0</v>
      </c>
      <c r="X193" s="1">
        <v>0</v>
      </c>
      <c r="Y193" s="1">
        <v>544.04835490000005</v>
      </c>
      <c r="Z193" s="1">
        <v>0</v>
      </c>
      <c r="AA193" s="1">
        <v>100</v>
      </c>
      <c r="AB193" s="1">
        <v>3</v>
      </c>
      <c r="AC193" s="1">
        <v>10000</v>
      </c>
      <c r="AD193">
        <v>0</v>
      </c>
      <c r="AE193" t="s">
        <v>637</v>
      </c>
      <c r="AF193" s="8" cm="1">
        <f t="array" aca="1" ref="AF193" ca="1">fScore_Total("ESPN",aCols)</f>
        <v>150.13126275700003</v>
      </c>
      <c r="AG193" s="8" cm="1">
        <f t="array" aca="1" ref="AG193" ca="1">-fScore_Total("diff",aCols)</f>
        <v>0</v>
      </c>
      <c r="AH193" s="8">
        <f t="shared" ca="1" si="6"/>
        <v>150.13126275700003</v>
      </c>
      <c r="AI193" s="8" t="str">
        <f t="shared" si="5"/>
        <v>FLEX</v>
      </c>
      <c r="AJ193" s="8"/>
    </row>
    <row r="194" spans="1:36" x14ac:dyDescent="0.25">
      <c r="A194" t="s">
        <v>443</v>
      </c>
      <c r="B194" s="1" t="s">
        <v>532</v>
      </c>
      <c r="C194" s="1">
        <v>0</v>
      </c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  <c r="M194" s="1">
        <v>34.922652370000002</v>
      </c>
      <c r="N194" s="1">
        <v>0</v>
      </c>
      <c r="O194" s="1">
        <v>1.0953090620000001</v>
      </c>
      <c r="P194" s="1">
        <v>0</v>
      </c>
      <c r="Q194" s="1">
        <v>0</v>
      </c>
      <c r="R194" s="1">
        <v>272.61650950000001</v>
      </c>
      <c r="S194" s="1">
        <v>0</v>
      </c>
      <c r="T194" s="1">
        <v>0</v>
      </c>
      <c r="U194" s="1">
        <v>0</v>
      </c>
      <c r="V194" s="1">
        <v>4.6106573060000002</v>
      </c>
      <c r="W194" s="1">
        <v>0</v>
      </c>
      <c r="X194" s="1">
        <v>0</v>
      </c>
      <c r="Y194" s="1">
        <v>841.55001890000005</v>
      </c>
      <c r="Z194" s="1">
        <v>0</v>
      </c>
      <c r="AA194" s="1">
        <v>89</v>
      </c>
      <c r="AB194" s="1">
        <v>5</v>
      </c>
      <c r="AC194" s="1">
        <v>12000</v>
      </c>
      <c r="AD194">
        <v>0</v>
      </c>
      <c r="AE194" t="s">
        <v>637</v>
      </c>
      <c r="AF194" s="8" cm="1">
        <f t="array" aca="1" ref="AF194" ca="1">fScore_Total("ESPN",aCols)</f>
        <v>163.11377723300001</v>
      </c>
      <c r="AG194" s="8" cm="1">
        <f t="array" aca="1" ref="AG194" ca="1">-fScore_Total("diff",aCols)</f>
        <v>0</v>
      </c>
      <c r="AH194" s="8">
        <f t="shared" ca="1" si="6"/>
        <v>163.11377723300001</v>
      </c>
      <c r="AI194" s="8" t="str">
        <f t="shared" si="5"/>
        <v>FLEX</v>
      </c>
      <c r="AJ194" s="8"/>
    </row>
    <row r="195" spans="1:36" x14ac:dyDescent="0.25">
      <c r="A195" t="s">
        <v>419</v>
      </c>
      <c r="B195" s="1" t="s">
        <v>532</v>
      </c>
      <c r="C195" s="1">
        <v>0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  <c r="M195" s="1">
        <v>21.716341</v>
      </c>
      <c r="N195" s="1">
        <v>0</v>
      </c>
      <c r="O195" s="1">
        <v>0.70510499199999999</v>
      </c>
      <c r="P195" s="1">
        <v>0</v>
      </c>
      <c r="Q195" s="1">
        <v>0</v>
      </c>
      <c r="R195" s="1">
        <v>162.33809400000001</v>
      </c>
      <c r="S195" s="1">
        <v>0</v>
      </c>
      <c r="T195" s="1">
        <v>0</v>
      </c>
      <c r="U195" s="1">
        <v>0</v>
      </c>
      <c r="V195" s="1">
        <v>9.3596973430000006</v>
      </c>
      <c r="W195" s="1">
        <v>0</v>
      </c>
      <c r="X195" s="1">
        <v>0</v>
      </c>
      <c r="Y195" s="1">
        <v>795.14006040000004</v>
      </c>
      <c r="Z195" s="1">
        <v>0</v>
      </c>
      <c r="AA195" s="1">
        <v>92</v>
      </c>
      <c r="AB195" s="1">
        <v>4</v>
      </c>
      <c r="AC195" s="1">
        <v>12000</v>
      </c>
      <c r="AD195">
        <v>0</v>
      </c>
      <c r="AE195" t="s">
        <v>637</v>
      </c>
      <c r="AF195" s="8" cm="1">
        <f t="array" aca="1" ref="AF195" ca="1">fScore_Total("ESPN",aCols)</f>
        <v>166.99479995000002</v>
      </c>
      <c r="AG195" s="8" cm="1">
        <f t="array" aca="1" ref="AG195" ca="1">-fScore_Total("diff",aCols)</f>
        <v>0</v>
      </c>
      <c r="AH195" s="8">
        <f t="shared" ca="1" si="6"/>
        <v>166.99479995000002</v>
      </c>
      <c r="AI195" s="8" t="str">
        <f t="shared" ref="AI195:AI258" si="7">IF(B195="QB","QB","FLEX")</f>
        <v>FLEX</v>
      </c>
      <c r="AJ195" s="8"/>
    </row>
    <row r="196" spans="1:36" x14ac:dyDescent="0.25">
      <c r="A196" t="s">
        <v>146</v>
      </c>
      <c r="B196" s="1" t="s">
        <v>532</v>
      </c>
      <c r="C196" s="1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  <c r="M196" s="1">
        <v>10.291793350000001</v>
      </c>
      <c r="N196" s="1">
        <v>0</v>
      </c>
      <c r="O196" s="1">
        <v>0.513370561</v>
      </c>
      <c r="P196" s="1">
        <v>0</v>
      </c>
      <c r="Q196" s="1">
        <v>0</v>
      </c>
      <c r="R196" s="1">
        <v>78.233353109999996</v>
      </c>
      <c r="S196" s="1">
        <v>0</v>
      </c>
      <c r="T196" s="1">
        <v>0</v>
      </c>
      <c r="U196" s="1">
        <v>0</v>
      </c>
      <c r="V196" s="1">
        <v>1.396937769</v>
      </c>
      <c r="W196" s="1">
        <v>0</v>
      </c>
      <c r="X196" s="1">
        <v>0</v>
      </c>
      <c r="Y196" s="1">
        <v>182.9274379</v>
      </c>
      <c r="Z196" s="1">
        <v>0</v>
      </c>
      <c r="AA196" s="1">
        <v>309</v>
      </c>
      <c r="AB196" s="1">
        <v>0</v>
      </c>
      <c r="AC196" s="1">
        <v>12000</v>
      </c>
      <c r="AD196">
        <v>0</v>
      </c>
      <c r="AE196" t="s">
        <v>637</v>
      </c>
      <c r="AF196" s="8" cm="1">
        <f t="array" aca="1" ref="AF196" ca="1">fScore_Total("ESPN",aCols)</f>
        <v>42.723825755999997</v>
      </c>
      <c r="AG196" s="8" cm="1">
        <f t="array" aca="1" ref="AG196" ca="1">-fScore_Total("diff",aCols)</f>
        <v>0</v>
      </c>
      <c r="AH196" s="8">
        <f t="shared" ca="1" si="6"/>
        <v>42.723825755999997</v>
      </c>
      <c r="AI196" s="8" t="str">
        <f t="shared" si="7"/>
        <v>FLEX</v>
      </c>
      <c r="AJ196" s="8"/>
    </row>
    <row r="197" spans="1:36" x14ac:dyDescent="0.25">
      <c r="A197" t="s">
        <v>119</v>
      </c>
      <c r="B197" s="1" t="s">
        <v>532</v>
      </c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1">
        <v>0</v>
      </c>
      <c r="I197" s="1">
        <v>0</v>
      </c>
      <c r="J197" s="1">
        <v>0</v>
      </c>
      <c r="K197" s="1">
        <v>0</v>
      </c>
      <c r="L197" s="1">
        <v>0</v>
      </c>
      <c r="M197" s="1">
        <v>17.00471288</v>
      </c>
      <c r="N197" s="1">
        <v>0</v>
      </c>
      <c r="O197" s="1">
        <v>0.51094088999999998</v>
      </c>
      <c r="P197" s="1">
        <v>0</v>
      </c>
      <c r="Q197" s="1">
        <v>0</v>
      </c>
      <c r="R197" s="1">
        <v>134.47753</v>
      </c>
      <c r="S197" s="1">
        <v>0</v>
      </c>
      <c r="T197" s="1">
        <v>0</v>
      </c>
      <c r="U197" s="1">
        <v>0</v>
      </c>
      <c r="V197" s="1">
        <v>5.7953816170000003</v>
      </c>
      <c r="W197" s="1">
        <v>0</v>
      </c>
      <c r="X197" s="1">
        <v>0</v>
      </c>
      <c r="Y197" s="1">
        <v>759.33973630000003</v>
      </c>
      <c r="Z197" s="1">
        <v>0</v>
      </c>
      <c r="AA197" s="1">
        <v>138</v>
      </c>
      <c r="AB197" s="1">
        <v>2</v>
      </c>
      <c r="AC197" s="1">
        <v>15000</v>
      </c>
      <c r="AD197">
        <v>0</v>
      </c>
      <c r="AE197" t="s">
        <v>637</v>
      </c>
      <c r="AF197" s="8" cm="1">
        <f t="array" aca="1" ref="AF197" ca="1">fScore_Total("ESPN",aCols)</f>
        <v>135.722018112</v>
      </c>
      <c r="AG197" s="8" cm="1">
        <f t="array" aca="1" ref="AG197" ca="1">-fScore_Total("diff",aCols)</f>
        <v>0</v>
      </c>
      <c r="AH197" s="8">
        <f t="shared" ca="1" si="6"/>
        <v>135.722018112</v>
      </c>
      <c r="AI197" s="8" t="str">
        <f t="shared" si="7"/>
        <v>FLEX</v>
      </c>
      <c r="AJ197" s="8"/>
    </row>
    <row r="198" spans="1:36" x14ac:dyDescent="0.25">
      <c r="A198" t="s">
        <v>235</v>
      </c>
      <c r="B198" s="1" t="s">
        <v>534</v>
      </c>
      <c r="C198" s="1">
        <v>0</v>
      </c>
      <c r="D198" s="1">
        <v>3.460064177</v>
      </c>
      <c r="E198" s="1">
        <v>0</v>
      </c>
      <c r="F198" s="1">
        <v>0</v>
      </c>
      <c r="G198" s="1">
        <v>4.5432916250000002</v>
      </c>
      <c r="H198" s="1">
        <v>0</v>
      </c>
      <c r="I198" s="1">
        <v>0</v>
      </c>
      <c r="J198" s="1">
        <v>851.03435239999999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1.208556368</v>
      </c>
      <c r="W198" s="1">
        <v>0</v>
      </c>
      <c r="X198" s="1">
        <v>0</v>
      </c>
      <c r="Y198" s="1">
        <v>216.8349044</v>
      </c>
      <c r="Z198" s="1">
        <v>0</v>
      </c>
      <c r="AA198" s="1">
        <v>431</v>
      </c>
      <c r="AB198" s="1">
        <v>0</v>
      </c>
      <c r="AC198" s="1">
        <v>15000</v>
      </c>
      <c r="AD198">
        <v>0</v>
      </c>
      <c r="AE198" t="s">
        <v>637</v>
      </c>
      <c r="AF198" s="8" cm="1">
        <f t="array" aca="1" ref="AF198" ca="1">fScore_Total("ESPN",aCols)</f>
        <v>74.22924089</v>
      </c>
      <c r="AG198" s="8" cm="1">
        <f t="array" aca="1" ref="AG198" ca="1">-fScore_Total("diff",aCols)</f>
        <v>0</v>
      </c>
      <c r="AH198" s="8">
        <f t="shared" ref="AH198:AH261" ca="1" si="8">+AF198+AG198</f>
        <v>74.22924089</v>
      </c>
      <c r="AI198" s="8" t="str">
        <f t="shared" si="7"/>
        <v>QB</v>
      </c>
      <c r="AJ198" s="8"/>
    </row>
    <row r="199" spans="1:36" x14ac:dyDescent="0.25">
      <c r="A199" t="s">
        <v>177</v>
      </c>
      <c r="B199" s="1" t="s">
        <v>534</v>
      </c>
      <c r="C199" s="1">
        <v>0</v>
      </c>
      <c r="D199" s="1">
        <v>10.12048555</v>
      </c>
      <c r="E199" s="1">
        <v>0</v>
      </c>
      <c r="F199" s="1">
        <v>0</v>
      </c>
      <c r="G199" s="1">
        <v>19.945276329999999</v>
      </c>
      <c r="H199" s="1">
        <v>0</v>
      </c>
      <c r="I199" s="1">
        <v>0</v>
      </c>
      <c r="J199" s="1">
        <v>3503.6205199999999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1.4407766360000001</v>
      </c>
      <c r="W199" s="1">
        <v>0</v>
      </c>
      <c r="X199" s="1">
        <v>0</v>
      </c>
      <c r="Y199" s="1">
        <v>226.47609700000001</v>
      </c>
      <c r="Z199" s="1">
        <v>0</v>
      </c>
      <c r="AA199" s="1">
        <v>316</v>
      </c>
      <c r="AB199" s="1">
        <v>0</v>
      </c>
      <c r="AC199" s="1">
        <v>15000</v>
      </c>
      <c r="AD199">
        <v>0</v>
      </c>
      <c r="AE199" t="s">
        <v>637</v>
      </c>
      <c r="AF199" s="8" cm="1">
        <f t="array" aca="1" ref="AF199" ca="1">fScore_Total("ESPN",aCols)</f>
        <v>230.97722453599999</v>
      </c>
      <c r="AG199" s="8" cm="1">
        <f t="array" aca="1" ref="AG199" ca="1">-fScore_Total("diff",aCols)</f>
        <v>0</v>
      </c>
      <c r="AH199" s="8">
        <f t="shared" ca="1" si="8"/>
        <v>230.97722453599999</v>
      </c>
      <c r="AI199" s="8" t="str">
        <f t="shared" si="7"/>
        <v>QB</v>
      </c>
      <c r="AJ199" s="8"/>
    </row>
    <row r="200" spans="1:36" x14ac:dyDescent="0.25">
      <c r="A200" t="s">
        <v>144</v>
      </c>
      <c r="B200" s="1" t="s">
        <v>533</v>
      </c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  <c r="M200" s="1">
        <v>48.730633740000002</v>
      </c>
      <c r="N200" s="1">
        <v>0</v>
      </c>
      <c r="O200" s="1">
        <v>2.3573582449999999</v>
      </c>
      <c r="P200" s="1">
        <v>0</v>
      </c>
      <c r="Q200" s="1">
        <v>0</v>
      </c>
      <c r="R200" s="1">
        <v>545.86567290000005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263</v>
      </c>
      <c r="AB200" s="1">
        <v>0</v>
      </c>
      <c r="AC200" s="1">
        <v>15000</v>
      </c>
      <c r="AD200">
        <v>0</v>
      </c>
      <c r="AE200" t="s">
        <v>637</v>
      </c>
      <c r="AF200" s="8" cm="1">
        <f t="array" aca="1" ref="AF200" ca="1">fScore_Total("ESPN",aCols)</f>
        <v>93.096033630000008</v>
      </c>
      <c r="AG200" s="8" cm="1">
        <f t="array" aca="1" ref="AG200" ca="1">-fScore_Total("diff",aCols)</f>
        <v>0</v>
      </c>
      <c r="AH200" s="8">
        <f t="shared" ca="1" si="8"/>
        <v>93.096033630000008</v>
      </c>
      <c r="AI200" s="8" t="str">
        <f t="shared" si="7"/>
        <v>FLEX</v>
      </c>
      <c r="AJ200" s="8"/>
    </row>
    <row r="201" spans="1:36" x14ac:dyDescent="0.25">
      <c r="A201" t="s">
        <v>434</v>
      </c>
      <c r="B201" s="1" t="s">
        <v>535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58.33435617</v>
      </c>
      <c r="N201" s="1">
        <v>0</v>
      </c>
      <c r="O201" s="1">
        <v>2.594103526</v>
      </c>
      <c r="P201" s="1">
        <v>0</v>
      </c>
      <c r="Q201" s="1">
        <v>0</v>
      </c>
      <c r="R201" s="1">
        <v>565.63361640000005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136</v>
      </c>
      <c r="AB201" s="1">
        <v>2</v>
      </c>
      <c r="AC201" s="1">
        <v>15000</v>
      </c>
      <c r="AD201">
        <v>0</v>
      </c>
      <c r="AE201" t="s">
        <v>637</v>
      </c>
      <c r="AF201" s="8" cm="1">
        <f t="array" aca="1" ref="AF201" ca="1">fScore_Total("ESPN",aCols)</f>
        <v>101.29516088100002</v>
      </c>
      <c r="AG201" s="8" cm="1">
        <f t="array" aca="1" ref="AG201" ca="1">-fScore_Total("diff",aCols)</f>
        <v>0</v>
      </c>
      <c r="AH201" s="8">
        <f t="shared" ca="1" si="8"/>
        <v>101.29516088100002</v>
      </c>
      <c r="AI201" s="8" t="str">
        <f t="shared" si="7"/>
        <v>FLEX</v>
      </c>
      <c r="AJ201" s="8"/>
    </row>
    <row r="202" spans="1:36" x14ac:dyDescent="0.25">
      <c r="A202" t="s">
        <v>422</v>
      </c>
      <c r="B202" s="1" t="s">
        <v>532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  <c r="M202" s="1">
        <v>54.253275340000002</v>
      </c>
      <c r="N202" s="1">
        <v>0</v>
      </c>
      <c r="O202" s="1">
        <v>1.3719381239999999</v>
      </c>
      <c r="P202" s="1">
        <v>0</v>
      </c>
      <c r="Q202" s="1">
        <v>0</v>
      </c>
      <c r="R202" s="1">
        <v>370.36074839999998</v>
      </c>
      <c r="S202" s="1">
        <v>0</v>
      </c>
      <c r="T202" s="1">
        <v>0</v>
      </c>
      <c r="U202" s="1">
        <v>0</v>
      </c>
      <c r="V202" s="1">
        <v>3.204946681</v>
      </c>
      <c r="W202" s="1">
        <v>0</v>
      </c>
      <c r="X202" s="1">
        <v>0</v>
      </c>
      <c r="Y202" s="1">
        <v>618.74599350000005</v>
      </c>
      <c r="Z202" s="1">
        <v>0</v>
      </c>
      <c r="AA202" s="1">
        <v>91</v>
      </c>
      <c r="AB202" s="1">
        <v>4</v>
      </c>
      <c r="AC202" s="1">
        <v>15000</v>
      </c>
      <c r="AD202">
        <v>0</v>
      </c>
      <c r="AE202" t="s">
        <v>637</v>
      </c>
      <c r="AF202" s="8" cm="1">
        <f t="array" aca="1" ref="AF202" ca="1">fScore_Total("ESPN",aCols)</f>
        <v>153.49862069</v>
      </c>
      <c r="AG202" s="8" cm="1">
        <f t="array" aca="1" ref="AG202" ca="1">-fScore_Total("diff",aCols)</f>
        <v>0</v>
      </c>
      <c r="AH202" s="8">
        <f t="shared" ca="1" si="8"/>
        <v>153.49862069</v>
      </c>
      <c r="AI202" s="8" t="str">
        <f t="shared" si="7"/>
        <v>FLEX</v>
      </c>
      <c r="AJ202" s="8"/>
    </row>
    <row r="203" spans="1:36" x14ac:dyDescent="0.25">
      <c r="A203" t="s">
        <v>416</v>
      </c>
      <c r="B203" s="1" t="s">
        <v>532</v>
      </c>
      <c r="C203" s="1">
        <v>0</v>
      </c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  <c r="M203" s="1">
        <v>46.003200530000001</v>
      </c>
      <c r="N203" s="1">
        <v>0</v>
      </c>
      <c r="O203" s="1">
        <v>1.005441319</v>
      </c>
      <c r="P203" s="1">
        <v>0</v>
      </c>
      <c r="Q203" s="1">
        <v>0</v>
      </c>
      <c r="R203" s="1">
        <v>335.69721980000003</v>
      </c>
      <c r="S203" s="1">
        <v>0</v>
      </c>
      <c r="T203" s="1">
        <v>0</v>
      </c>
      <c r="U203" s="1">
        <v>0</v>
      </c>
      <c r="V203" s="1">
        <v>4.724317128</v>
      </c>
      <c r="W203" s="1">
        <v>0</v>
      </c>
      <c r="X203" s="1">
        <v>0</v>
      </c>
      <c r="Y203" s="1">
        <v>792.14454820000003</v>
      </c>
      <c r="Z203" s="1">
        <v>0</v>
      </c>
      <c r="AA203" s="1">
        <v>71</v>
      </c>
      <c r="AB203" s="1">
        <v>8</v>
      </c>
      <c r="AC203" s="1">
        <v>15000</v>
      </c>
      <c r="AD203">
        <v>0</v>
      </c>
      <c r="AE203" t="s">
        <v>637</v>
      </c>
      <c r="AF203" s="8" cm="1">
        <f t="array" aca="1" ref="AF203" ca="1">fScore_Total("ESPN",aCols)</f>
        <v>170.16432774700002</v>
      </c>
      <c r="AG203" s="8" cm="1">
        <f t="array" aca="1" ref="AG203" ca="1">-fScore_Total("diff",aCols)</f>
        <v>0</v>
      </c>
      <c r="AH203" s="8">
        <f t="shared" ca="1" si="8"/>
        <v>170.16432774700002</v>
      </c>
      <c r="AI203" s="8" t="str">
        <f t="shared" si="7"/>
        <v>FLEX</v>
      </c>
      <c r="AJ203" s="8"/>
    </row>
    <row r="204" spans="1:36" x14ac:dyDescent="0.25">
      <c r="A204" t="s">
        <v>420</v>
      </c>
      <c r="B204" s="1" t="s">
        <v>532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  <c r="M204" s="1">
        <v>33.211255440000002</v>
      </c>
      <c r="N204" s="1">
        <v>0</v>
      </c>
      <c r="O204" s="1">
        <v>1.0951549840000001</v>
      </c>
      <c r="P204" s="1">
        <v>0</v>
      </c>
      <c r="Q204" s="1">
        <v>0</v>
      </c>
      <c r="R204" s="1">
        <v>223.01487789999999</v>
      </c>
      <c r="S204" s="1">
        <v>0</v>
      </c>
      <c r="T204" s="1">
        <v>0</v>
      </c>
      <c r="U204" s="1">
        <v>0</v>
      </c>
      <c r="V204" s="1">
        <v>5.7827833699999998</v>
      </c>
      <c r="W204" s="1">
        <v>0</v>
      </c>
      <c r="X204" s="1">
        <v>0</v>
      </c>
      <c r="Y204" s="1">
        <v>812.87535700000001</v>
      </c>
      <c r="Z204" s="1">
        <v>0</v>
      </c>
      <c r="AA204" s="1">
        <v>73</v>
      </c>
      <c r="AB204" s="1">
        <v>7</v>
      </c>
      <c r="AC204" s="1">
        <v>15000</v>
      </c>
      <c r="AD204">
        <v>0</v>
      </c>
      <c r="AE204" t="s">
        <v>637</v>
      </c>
      <c r="AF204" s="8" cm="1">
        <f t="array" aca="1" ref="AF204" ca="1">fScore_Total("ESPN",aCols)</f>
        <v>161.46228133400001</v>
      </c>
      <c r="AG204" s="8" cm="1">
        <f t="array" aca="1" ref="AG204" ca="1">-fScore_Total("diff",aCols)</f>
        <v>0</v>
      </c>
      <c r="AH204" s="8">
        <f t="shared" ca="1" si="8"/>
        <v>161.46228133400001</v>
      </c>
      <c r="AI204" s="8" t="str">
        <f t="shared" si="7"/>
        <v>FLEX</v>
      </c>
      <c r="AJ204" s="8"/>
    </row>
    <row r="205" spans="1:36" x14ac:dyDescent="0.25">
      <c r="A205" t="s">
        <v>116</v>
      </c>
      <c r="B205" s="1" t="s">
        <v>532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  <c r="M205" s="1">
        <v>16.576670679999999</v>
      </c>
      <c r="N205" s="1">
        <v>0</v>
      </c>
      <c r="O205" s="1">
        <v>0.48849101700000003</v>
      </c>
      <c r="P205" s="1">
        <v>0</v>
      </c>
      <c r="Q205" s="1">
        <v>0</v>
      </c>
      <c r="R205" s="1">
        <v>136.94995059999999</v>
      </c>
      <c r="S205" s="1">
        <v>0</v>
      </c>
      <c r="T205" s="1">
        <v>0</v>
      </c>
      <c r="U205" s="1">
        <v>0</v>
      </c>
      <c r="V205" s="1">
        <v>4.8121108909999997</v>
      </c>
      <c r="W205" s="1">
        <v>0</v>
      </c>
      <c r="X205" s="1">
        <v>0</v>
      </c>
      <c r="Y205" s="1">
        <v>725.09937839999998</v>
      </c>
      <c r="Z205" s="1">
        <v>0</v>
      </c>
      <c r="AA205" s="1">
        <v>143</v>
      </c>
      <c r="AB205" s="1">
        <v>2</v>
      </c>
      <c r="AC205" s="1">
        <v>15000</v>
      </c>
      <c r="AD205">
        <v>0</v>
      </c>
      <c r="AE205" t="s">
        <v>637</v>
      </c>
      <c r="AF205" s="8" cm="1">
        <f t="array" aca="1" ref="AF205" ca="1">fScore_Total("ESPN",aCols)</f>
        <v>126.296879688</v>
      </c>
      <c r="AG205" s="8" cm="1">
        <f t="array" aca="1" ref="AG205" ca="1">-fScore_Total("diff",aCols)</f>
        <v>0</v>
      </c>
      <c r="AH205" s="8">
        <f t="shared" ca="1" si="8"/>
        <v>126.296879688</v>
      </c>
      <c r="AI205" s="8" t="str">
        <f t="shared" si="7"/>
        <v>FLEX</v>
      </c>
      <c r="AJ205" s="8"/>
    </row>
    <row r="206" spans="1:36" x14ac:dyDescent="0.25">
      <c r="A206" t="s">
        <v>423</v>
      </c>
      <c r="B206" s="1" t="s">
        <v>532</v>
      </c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28.025854089999999</v>
      </c>
      <c r="N206" s="1">
        <v>0</v>
      </c>
      <c r="O206" s="1">
        <v>1.2380839299999999</v>
      </c>
      <c r="P206" s="1">
        <v>0</v>
      </c>
      <c r="Q206" s="1">
        <v>0</v>
      </c>
      <c r="R206" s="1">
        <v>168.7914394</v>
      </c>
      <c r="S206" s="1">
        <v>0</v>
      </c>
      <c r="T206" s="1">
        <v>0</v>
      </c>
      <c r="U206" s="1">
        <v>0</v>
      </c>
      <c r="V206" s="1">
        <v>5.8633327880000001</v>
      </c>
      <c r="W206" s="1">
        <v>0</v>
      </c>
      <c r="X206" s="1">
        <v>0</v>
      </c>
      <c r="Y206" s="1">
        <v>894.73664699999995</v>
      </c>
      <c r="Z206" s="1">
        <v>0</v>
      </c>
      <c r="AA206" s="1">
        <v>90</v>
      </c>
      <c r="AB206" s="1">
        <v>4</v>
      </c>
      <c r="AC206" s="1">
        <v>15000</v>
      </c>
      <c r="AD206">
        <v>0</v>
      </c>
      <c r="AE206" t="s">
        <v>637</v>
      </c>
      <c r="AF206" s="8" cm="1">
        <f t="array" aca="1" ref="AF206" ca="1">fScore_Total("ESPN",aCols)</f>
        <v>162.97423599300001</v>
      </c>
      <c r="AG206" s="8" cm="1">
        <f t="array" aca="1" ref="AG206" ca="1">-fScore_Total("diff",aCols)</f>
        <v>0</v>
      </c>
      <c r="AH206" s="8">
        <f t="shared" ca="1" si="8"/>
        <v>162.97423599300001</v>
      </c>
      <c r="AI206" s="8" t="str">
        <f t="shared" si="7"/>
        <v>FLEX</v>
      </c>
      <c r="AJ206" s="8"/>
    </row>
    <row r="207" spans="1:36" x14ac:dyDescent="0.25">
      <c r="A207" t="s">
        <v>433</v>
      </c>
      <c r="B207" s="1" t="s">
        <v>532</v>
      </c>
      <c r="C207" s="1">
        <v>0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  <c r="M207" s="1">
        <v>30.48626148</v>
      </c>
      <c r="N207" s="1">
        <v>0</v>
      </c>
      <c r="O207" s="1">
        <v>1.113728872</v>
      </c>
      <c r="P207" s="1">
        <v>0</v>
      </c>
      <c r="Q207" s="1">
        <v>0</v>
      </c>
      <c r="R207" s="1">
        <v>212.56437399999999</v>
      </c>
      <c r="S207" s="1">
        <v>0</v>
      </c>
      <c r="T207" s="1">
        <v>0</v>
      </c>
      <c r="U207" s="1">
        <v>0</v>
      </c>
      <c r="V207" s="1">
        <v>3.9087798330000001</v>
      </c>
      <c r="W207" s="1">
        <v>0</v>
      </c>
      <c r="X207" s="1">
        <v>0</v>
      </c>
      <c r="Y207" s="1">
        <v>743.43807270000002</v>
      </c>
      <c r="Z207" s="1">
        <v>0</v>
      </c>
      <c r="AA207" s="1">
        <v>137</v>
      </c>
      <c r="AB207" s="1">
        <v>2</v>
      </c>
      <c r="AC207" s="1">
        <v>15000</v>
      </c>
      <c r="AD207">
        <v>0</v>
      </c>
      <c r="AE207" t="s">
        <v>637</v>
      </c>
      <c r="AF207" s="8" cm="1">
        <f t="array" aca="1" ref="AF207" ca="1">fScore_Total("ESPN",aCols)</f>
        <v>140.97842764000001</v>
      </c>
      <c r="AG207" s="8" cm="1">
        <f t="array" aca="1" ref="AG207" ca="1">-fScore_Total("diff",aCols)</f>
        <v>0</v>
      </c>
      <c r="AH207" s="8">
        <f t="shared" ca="1" si="8"/>
        <v>140.97842764000001</v>
      </c>
      <c r="AI207" s="8" t="str">
        <f t="shared" si="7"/>
        <v>FLEX</v>
      </c>
      <c r="AJ207" s="8"/>
    </row>
    <row r="208" spans="1:36" x14ac:dyDescent="0.25">
      <c r="A208" t="s">
        <v>142</v>
      </c>
      <c r="B208" s="1" t="s">
        <v>532</v>
      </c>
      <c r="C208" s="1">
        <v>0</v>
      </c>
      <c r="D208" s="1">
        <v>0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  <c r="M208" s="1">
        <v>29.900498349999999</v>
      </c>
      <c r="N208" s="1">
        <v>0</v>
      </c>
      <c r="O208" s="1">
        <v>0.65461015700000003</v>
      </c>
      <c r="P208" s="1">
        <v>0</v>
      </c>
      <c r="Q208" s="1">
        <v>0</v>
      </c>
      <c r="R208" s="1">
        <v>197.78638770000001</v>
      </c>
      <c r="S208" s="1">
        <v>0</v>
      </c>
      <c r="T208" s="1">
        <v>0</v>
      </c>
      <c r="U208" s="1">
        <v>0</v>
      </c>
      <c r="V208" s="1">
        <v>4.539012413</v>
      </c>
      <c r="W208" s="1">
        <v>0</v>
      </c>
      <c r="X208" s="1">
        <v>0</v>
      </c>
      <c r="Y208" s="1">
        <v>559.34758450000004</v>
      </c>
      <c r="Z208" s="1">
        <v>0</v>
      </c>
      <c r="AA208" s="1">
        <v>141</v>
      </c>
      <c r="AB208" s="1">
        <v>2</v>
      </c>
      <c r="AC208" s="1">
        <v>20000</v>
      </c>
      <c r="AD208">
        <v>0</v>
      </c>
      <c r="AE208" t="s">
        <v>637</v>
      </c>
      <c r="AF208" s="8" cm="1">
        <f t="array" aca="1" ref="AF208" ca="1">fScore_Total("ESPN",aCols)</f>
        <v>121.825381815</v>
      </c>
      <c r="AG208" s="8" cm="1">
        <f t="array" aca="1" ref="AG208" ca="1">-fScore_Total("diff",aCols)</f>
        <v>0</v>
      </c>
      <c r="AH208" s="8">
        <f t="shared" ca="1" si="8"/>
        <v>121.825381815</v>
      </c>
      <c r="AI208" s="8" t="str">
        <f t="shared" si="7"/>
        <v>FLEX</v>
      </c>
      <c r="AJ208" s="8"/>
    </row>
    <row r="209" spans="1:36" x14ac:dyDescent="0.25">
      <c r="A209" t="s">
        <v>138</v>
      </c>
      <c r="B209" s="1" t="s">
        <v>533</v>
      </c>
      <c r="C209" s="1">
        <v>0</v>
      </c>
      <c r="D209" s="1">
        <v>0</v>
      </c>
      <c r="E209" s="1">
        <v>0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52.631200270000001</v>
      </c>
      <c r="N209" s="1">
        <v>0</v>
      </c>
      <c r="O209" s="1">
        <v>6.4487089810000002</v>
      </c>
      <c r="P209" s="1">
        <v>0</v>
      </c>
      <c r="Q209" s="1">
        <v>0</v>
      </c>
      <c r="R209" s="1">
        <v>798.06056660000002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163</v>
      </c>
      <c r="AB209" s="1">
        <v>1</v>
      </c>
      <c r="AC209" s="1">
        <v>20000</v>
      </c>
      <c r="AD209">
        <v>0</v>
      </c>
      <c r="AE209" t="s">
        <v>637</v>
      </c>
      <c r="AF209" s="8" cm="1">
        <f t="array" aca="1" ref="AF209" ca="1">fScore_Total("ESPN",aCols)</f>
        <v>144.81391068100001</v>
      </c>
      <c r="AG209" s="8" cm="1">
        <f t="array" aca="1" ref="AG209" ca="1">-fScore_Total("diff",aCols)</f>
        <v>0</v>
      </c>
      <c r="AH209" s="8">
        <f t="shared" ca="1" si="8"/>
        <v>144.81391068100001</v>
      </c>
      <c r="AI209" s="8" t="str">
        <f t="shared" si="7"/>
        <v>FLEX</v>
      </c>
      <c r="AJ209" s="8"/>
    </row>
    <row r="210" spans="1:36" x14ac:dyDescent="0.25">
      <c r="A210" t="s">
        <v>160</v>
      </c>
      <c r="B210" s="1" t="s">
        <v>535</v>
      </c>
      <c r="C210" s="1">
        <v>0</v>
      </c>
      <c r="D210" s="1">
        <v>0.30531790599999997</v>
      </c>
      <c r="E210" s="1">
        <v>0</v>
      </c>
      <c r="F210" s="1">
        <v>0</v>
      </c>
      <c r="G210" s="1">
        <v>0.43689453</v>
      </c>
      <c r="H210" s="1">
        <v>0</v>
      </c>
      <c r="I210" s="1">
        <v>0</v>
      </c>
      <c r="J210" s="1">
        <v>80.026979510000004</v>
      </c>
      <c r="K210" s="1">
        <v>0</v>
      </c>
      <c r="L210" s="1">
        <v>0</v>
      </c>
      <c r="M210" s="1">
        <v>30.577893710000001</v>
      </c>
      <c r="N210" s="1">
        <v>0</v>
      </c>
      <c r="O210" s="1">
        <v>2.2661033640000001</v>
      </c>
      <c r="P210" s="1">
        <v>0</v>
      </c>
      <c r="Q210" s="1">
        <v>0</v>
      </c>
      <c r="R210" s="1">
        <v>281.80277289999998</v>
      </c>
      <c r="S210" s="1">
        <v>0</v>
      </c>
      <c r="T210" s="1">
        <v>0</v>
      </c>
      <c r="U210" s="1">
        <v>0</v>
      </c>
      <c r="V210" s="1">
        <v>3.2519525389999999</v>
      </c>
      <c r="W210" s="1">
        <v>0</v>
      </c>
      <c r="X210" s="1">
        <v>0</v>
      </c>
      <c r="Y210" s="1">
        <v>300.86809140000003</v>
      </c>
      <c r="Z210" s="1">
        <v>0</v>
      </c>
      <c r="AA210" s="1">
        <v>217</v>
      </c>
      <c r="AB210" s="1">
        <v>0</v>
      </c>
      <c r="AC210" s="1">
        <v>20000</v>
      </c>
      <c r="AD210">
        <v>0</v>
      </c>
      <c r="AE210" t="s">
        <v>637</v>
      </c>
      <c r="AF210" s="8" cm="1">
        <f t="array" aca="1" ref="AF210" ca="1">fScore_Total("ESPN",aCols)</f>
        <v>111.00239019140001</v>
      </c>
      <c r="AG210" s="8" cm="1">
        <f t="array" aca="1" ref="AG210" ca="1">-fScore_Total("diff",aCols)</f>
        <v>0</v>
      </c>
      <c r="AH210" s="8">
        <f t="shared" ca="1" si="8"/>
        <v>111.00239019140001</v>
      </c>
      <c r="AI210" s="8" t="str">
        <f t="shared" si="7"/>
        <v>FLEX</v>
      </c>
      <c r="AJ210" s="8"/>
    </row>
    <row r="211" spans="1:36" x14ac:dyDescent="0.25">
      <c r="A211" t="s">
        <v>240</v>
      </c>
      <c r="B211" s="1" t="s">
        <v>534</v>
      </c>
      <c r="C211" s="1">
        <v>0</v>
      </c>
      <c r="D211" s="1">
        <v>2.7354253370000001</v>
      </c>
      <c r="E211" s="1">
        <v>0</v>
      </c>
      <c r="F211" s="1">
        <v>0</v>
      </c>
      <c r="G211" s="1">
        <v>4.2747364640000001</v>
      </c>
      <c r="H211" s="1">
        <v>0</v>
      </c>
      <c r="I211" s="1">
        <v>0</v>
      </c>
      <c r="J211" s="1">
        <v>707.57499359999997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0.73003209400000002</v>
      </c>
      <c r="W211" s="1">
        <v>0</v>
      </c>
      <c r="X211" s="1">
        <v>0</v>
      </c>
      <c r="Y211" s="1">
        <v>57.019462779999998</v>
      </c>
      <c r="Z211" s="1">
        <v>0</v>
      </c>
      <c r="AA211" s="1">
        <v>452</v>
      </c>
      <c r="AB211" s="1">
        <v>0</v>
      </c>
      <c r="AC211" s="1">
        <v>20000</v>
      </c>
      <c r="AD211">
        <v>0</v>
      </c>
      <c r="AE211" t="s">
        <v>637</v>
      </c>
      <c r="AF211" s="8" cm="1">
        <f t="array" aca="1" ref="AF211" ca="1">fScore_Total("ESPN",aCols)</f>
        <v>50.013233767999999</v>
      </c>
      <c r="AG211" s="8" cm="1">
        <f t="array" aca="1" ref="AG211" ca="1">-fScore_Total("diff",aCols)</f>
        <v>0</v>
      </c>
      <c r="AH211" s="8">
        <f t="shared" ca="1" si="8"/>
        <v>50.013233767999999</v>
      </c>
      <c r="AI211" s="8" t="str">
        <f t="shared" si="7"/>
        <v>QB</v>
      </c>
      <c r="AJ211" s="8"/>
    </row>
    <row r="212" spans="1:36" x14ac:dyDescent="0.25">
      <c r="A212" t="s">
        <v>118</v>
      </c>
      <c r="B212" s="1" t="s">
        <v>532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  <c r="M212" s="1">
        <v>30.056838299999999</v>
      </c>
      <c r="N212" s="1">
        <v>0</v>
      </c>
      <c r="O212" s="1">
        <v>1.003851614</v>
      </c>
      <c r="P212" s="1">
        <v>0</v>
      </c>
      <c r="Q212" s="1">
        <v>0</v>
      </c>
      <c r="R212" s="1">
        <v>214.68289440000001</v>
      </c>
      <c r="S212" s="1">
        <v>0</v>
      </c>
      <c r="T212" s="1">
        <v>0</v>
      </c>
      <c r="U212" s="1">
        <v>0</v>
      </c>
      <c r="V212" s="1">
        <v>3.8416748919999999</v>
      </c>
      <c r="W212" s="1">
        <v>0</v>
      </c>
      <c r="X212" s="1">
        <v>0</v>
      </c>
      <c r="Y212" s="1">
        <v>627.81513380000001</v>
      </c>
      <c r="Z212" s="1">
        <v>0</v>
      </c>
      <c r="AA212" s="1">
        <v>142</v>
      </c>
      <c r="AB212" s="1">
        <v>2</v>
      </c>
      <c r="AC212" s="1">
        <v>20000</v>
      </c>
      <c r="AD212">
        <v>0</v>
      </c>
      <c r="AE212" t="s">
        <v>637</v>
      </c>
      <c r="AF212" s="8" cm="1">
        <f t="array" aca="1" ref="AF212" ca="1">fScore_Total("ESPN",aCols)</f>
        <v>128.351381006</v>
      </c>
      <c r="AG212" s="8" cm="1">
        <f t="array" aca="1" ref="AG212" ca="1">-fScore_Total("diff",aCols)</f>
        <v>0</v>
      </c>
      <c r="AH212" s="8">
        <f t="shared" ca="1" si="8"/>
        <v>128.351381006</v>
      </c>
      <c r="AI212" s="8" t="str">
        <f t="shared" si="7"/>
        <v>FLEX</v>
      </c>
      <c r="AJ212" s="8"/>
    </row>
    <row r="213" spans="1:36" x14ac:dyDescent="0.25">
      <c r="A213" t="s">
        <v>178</v>
      </c>
      <c r="B213" s="1" t="s">
        <v>534</v>
      </c>
      <c r="C213" s="1">
        <v>0</v>
      </c>
      <c r="D213" s="1">
        <v>9.2662502070000006</v>
      </c>
      <c r="E213" s="1">
        <v>0</v>
      </c>
      <c r="F213" s="1">
        <v>0</v>
      </c>
      <c r="G213" s="1">
        <v>14.896755669999999</v>
      </c>
      <c r="H213" s="1">
        <v>0</v>
      </c>
      <c r="I213" s="1">
        <v>0</v>
      </c>
      <c r="J213" s="1">
        <v>2905.8574269999999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2.0205822659999999</v>
      </c>
      <c r="W213" s="1">
        <v>0</v>
      </c>
      <c r="X213" s="1">
        <v>0</v>
      </c>
      <c r="Y213" s="1">
        <v>268.7114977</v>
      </c>
      <c r="Z213" s="1">
        <v>0</v>
      </c>
      <c r="AA213" s="1">
        <v>381</v>
      </c>
      <c r="AB213" s="1">
        <v>0</v>
      </c>
      <c r="AC213" s="1">
        <v>20000</v>
      </c>
      <c r="AD213">
        <v>0</v>
      </c>
      <c r="AE213" t="s">
        <v>637</v>
      </c>
      <c r="AF213" s="8" cm="1">
        <f t="array" aca="1" ref="AF213" ca="1">fScore_Total("ESPN",aCols)</f>
        <v>196.28346271200002</v>
      </c>
      <c r="AG213" s="8" cm="1">
        <f t="array" aca="1" ref="AG213" ca="1">-fScore_Total("diff",aCols)</f>
        <v>0</v>
      </c>
      <c r="AH213" s="8">
        <f t="shared" ca="1" si="8"/>
        <v>196.28346271200002</v>
      </c>
      <c r="AI213" s="8" t="str">
        <f t="shared" si="7"/>
        <v>QB</v>
      </c>
      <c r="AJ213" s="8"/>
    </row>
    <row r="214" spans="1:36" x14ac:dyDescent="0.25">
      <c r="A214" t="s">
        <v>426</v>
      </c>
      <c r="B214" s="1" t="s">
        <v>532</v>
      </c>
      <c r="C214" s="1">
        <v>0</v>
      </c>
      <c r="D214" s="1">
        <v>0</v>
      </c>
      <c r="E214" s="1">
        <v>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48.85205603</v>
      </c>
      <c r="N214" s="1">
        <v>0</v>
      </c>
      <c r="O214" s="1">
        <v>1.3012976190000001</v>
      </c>
      <c r="P214" s="1">
        <v>0</v>
      </c>
      <c r="Q214" s="1">
        <v>0</v>
      </c>
      <c r="R214" s="1">
        <v>298.20273179999998</v>
      </c>
      <c r="S214" s="1">
        <v>0</v>
      </c>
      <c r="T214" s="1">
        <v>0</v>
      </c>
      <c r="U214" s="1">
        <v>0</v>
      </c>
      <c r="V214" s="1">
        <v>4.4220101940000003</v>
      </c>
      <c r="W214" s="1">
        <v>0</v>
      </c>
      <c r="X214" s="1">
        <v>0</v>
      </c>
      <c r="Y214" s="1">
        <v>730.57588740000006</v>
      </c>
      <c r="Z214" s="1">
        <v>0</v>
      </c>
      <c r="AA214" s="1">
        <v>88</v>
      </c>
      <c r="AB214" s="1">
        <v>5</v>
      </c>
      <c r="AC214" s="1">
        <v>20000</v>
      </c>
      <c r="AD214">
        <v>0</v>
      </c>
      <c r="AE214" t="s">
        <v>637</v>
      </c>
      <c r="AF214" s="8" cm="1">
        <f t="array" aca="1" ref="AF214" ca="1">fScore_Total("ESPN",aCols)</f>
        <v>161.64373681300003</v>
      </c>
      <c r="AG214" s="8" cm="1">
        <f t="array" aca="1" ref="AG214" ca="1">-fScore_Total("diff",aCols)</f>
        <v>0</v>
      </c>
      <c r="AH214" s="8">
        <f t="shared" ca="1" si="8"/>
        <v>161.64373681300003</v>
      </c>
      <c r="AI214" s="8" t="str">
        <f t="shared" si="7"/>
        <v>FLEX</v>
      </c>
      <c r="AJ214" s="8"/>
    </row>
    <row r="215" spans="1:36" x14ac:dyDescent="0.25">
      <c r="A215" t="s">
        <v>427</v>
      </c>
      <c r="B215" s="1" t="s">
        <v>533</v>
      </c>
      <c r="C215" s="1">
        <v>0</v>
      </c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  <c r="M215" s="1">
        <v>65.723936710000004</v>
      </c>
      <c r="N215" s="1">
        <v>0</v>
      </c>
      <c r="O215" s="1">
        <v>4.5036341569999996</v>
      </c>
      <c r="P215" s="1">
        <v>0</v>
      </c>
      <c r="Q215" s="1">
        <v>0</v>
      </c>
      <c r="R215" s="1">
        <v>857.62627889999999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116</v>
      </c>
      <c r="AB215" s="1">
        <v>2</v>
      </c>
      <c r="AC215" s="1">
        <v>20000</v>
      </c>
      <c r="AD215">
        <v>0</v>
      </c>
      <c r="AE215" t="s">
        <v>637</v>
      </c>
      <c r="AF215" s="8" cm="1">
        <f t="array" aca="1" ref="AF215" ca="1">fScore_Total("ESPN",aCols)</f>
        <v>145.64640118700001</v>
      </c>
      <c r="AG215" s="8" cm="1">
        <f t="array" aca="1" ref="AG215" ca="1">-fScore_Total("diff",aCols)</f>
        <v>0</v>
      </c>
      <c r="AH215" s="8">
        <f t="shared" ca="1" si="8"/>
        <v>145.64640118700001</v>
      </c>
      <c r="AI215" s="8" t="str">
        <f t="shared" si="7"/>
        <v>FLEX</v>
      </c>
      <c r="AJ215" s="8"/>
    </row>
    <row r="216" spans="1:36" x14ac:dyDescent="0.25">
      <c r="A216" t="s">
        <v>127</v>
      </c>
      <c r="B216" s="1" t="s">
        <v>533</v>
      </c>
      <c r="C216" s="1">
        <v>0</v>
      </c>
      <c r="D216" s="1">
        <v>9.9941449000000002E-2</v>
      </c>
      <c r="E216" s="1">
        <v>0</v>
      </c>
      <c r="F216" s="1">
        <v>0</v>
      </c>
      <c r="G216" s="1">
        <v>8.6104330000000007E-2</v>
      </c>
      <c r="H216" s="1">
        <v>0</v>
      </c>
      <c r="I216" s="1">
        <v>0</v>
      </c>
      <c r="J216" s="1">
        <v>18.558215619999999</v>
      </c>
      <c r="K216" s="1">
        <v>0</v>
      </c>
      <c r="L216" s="1">
        <v>0</v>
      </c>
      <c r="M216" s="1">
        <v>72.829995719999999</v>
      </c>
      <c r="N216" s="1">
        <v>0</v>
      </c>
      <c r="O216" s="1">
        <v>3.369065934</v>
      </c>
      <c r="P216" s="1">
        <v>0</v>
      </c>
      <c r="Q216" s="1">
        <v>0</v>
      </c>
      <c r="R216" s="1">
        <v>777.15401340000005</v>
      </c>
      <c r="S216" s="1">
        <v>0</v>
      </c>
      <c r="T216" s="1">
        <v>0</v>
      </c>
      <c r="U216" s="1">
        <v>0</v>
      </c>
      <c r="V216" s="1">
        <v>0.29534876799999998</v>
      </c>
      <c r="W216" s="1">
        <v>0</v>
      </c>
      <c r="X216" s="1">
        <v>0</v>
      </c>
      <c r="Y216" s="1">
        <v>25.475209509999999</v>
      </c>
      <c r="Z216" s="1">
        <v>0</v>
      </c>
      <c r="AA216" s="1">
        <v>115</v>
      </c>
      <c r="AB216" s="1">
        <v>2</v>
      </c>
      <c r="AC216" s="1">
        <v>20000</v>
      </c>
      <c r="AD216">
        <v>0</v>
      </c>
      <c r="AE216" t="s">
        <v>637</v>
      </c>
      <c r="AF216" s="8" cm="1">
        <f t="array" aca="1" ref="AF216" ca="1">fScore_Total("ESPN",aCols)</f>
        <v>139.55127140980002</v>
      </c>
      <c r="AG216" s="8" cm="1">
        <f t="array" aca="1" ref="AG216" ca="1">-fScore_Total("diff",aCols)</f>
        <v>0</v>
      </c>
      <c r="AH216" s="8">
        <f t="shared" ca="1" si="8"/>
        <v>139.55127140980002</v>
      </c>
      <c r="AI216" s="8" t="str">
        <f t="shared" si="7"/>
        <v>FLEX</v>
      </c>
      <c r="AJ216" s="8"/>
    </row>
    <row r="217" spans="1:36" x14ac:dyDescent="0.25">
      <c r="A217" t="s">
        <v>128</v>
      </c>
      <c r="B217" s="1" t="s">
        <v>532</v>
      </c>
      <c r="C217" s="1">
        <v>0</v>
      </c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  <c r="M217" s="1">
        <v>22.223513619999999</v>
      </c>
      <c r="N217" s="1">
        <v>0</v>
      </c>
      <c r="O217" s="1">
        <v>0.65236639100000005</v>
      </c>
      <c r="P217" s="1">
        <v>0</v>
      </c>
      <c r="Q217" s="1">
        <v>0</v>
      </c>
      <c r="R217" s="1">
        <v>156.6830885</v>
      </c>
      <c r="S217" s="1">
        <v>0</v>
      </c>
      <c r="T217" s="1">
        <v>0</v>
      </c>
      <c r="U217" s="1">
        <v>0</v>
      </c>
      <c r="V217" s="1">
        <v>4.1287056309999999</v>
      </c>
      <c r="W217" s="1">
        <v>0</v>
      </c>
      <c r="X217" s="1">
        <v>0</v>
      </c>
      <c r="Y217" s="1">
        <v>684.87013190000005</v>
      </c>
      <c r="Z217" s="1">
        <v>0</v>
      </c>
      <c r="AA217" s="1">
        <v>153</v>
      </c>
      <c r="AB217" s="1">
        <v>1</v>
      </c>
      <c r="AC217" s="1">
        <v>20000</v>
      </c>
      <c r="AD217">
        <v>0</v>
      </c>
      <c r="AE217" t="s">
        <v>637</v>
      </c>
      <c r="AF217" s="8" cm="1">
        <f t="array" aca="1" ref="AF217" ca="1">fScore_Total("ESPN",aCols)</f>
        <v>123.95351098200001</v>
      </c>
      <c r="AG217" s="8" cm="1">
        <f t="array" aca="1" ref="AG217" ca="1">-fScore_Total("diff",aCols)</f>
        <v>0</v>
      </c>
      <c r="AH217" s="8">
        <f t="shared" ca="1" si="8"/>
        <v>123.95351098200001</v>
      </c>
      <c r="AI217" s="8" t="str">
        <f t="shared" si="7"/>
        <v>FLEX</v>
      </c>
      <c r="AJ217" s="8"/>
    </row>
    <row r="218" spans="1:36" x14ac:dyDescent="0.25">
      <c r="A218" t="s">
        <v>489</v>
      </c>
      <c r="B218" s="1">
        <v>0</v>
      </c>
      <c r="C218" s="1">
        <v>0</v>
      </c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20000</v>
      </c>
      <c r="AD218">
        <v>0</v>
      </c>
      <c r="AE218" t="s">
        <v>637</v>
      </c>
      <c r="AF218" s="8" cm="1">
        <f t="array" aca="1" ref="AF218" ca="1">fScore_Total("ESPN",aCols)</f>
        <v>0</v>
      </c>
      <c r="AG218" s="8" cm="1">
        <f t="array" aca="1" ref="AG218" ca="1">-fScore_Total("diff",aCols)</f>
        <v>0</v>
      </c>
      <c r="AH218" s="8">
        <f t="shared" ca="1" si="8"/>
        <v>0</v>
      </c>
      <c r="AI218" s="8" t="str">
        <f t="shared" si="7"/>
        <v>FLEX</v>
      </c>
      <c r="AJ218" s="8"/>
    </row>
    <row r="219" spans="1:36" x14ac:dyDescent="0.25">
      <c r="A219" t="s">
        <v>417</v>
      </c>
      <c r="B219" s="1" t="s">
        <v>535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82.714891809999997</v>
      </c>
      <c r="N219" s="1">
        <v>0</v>
      </c>
      <c r="O219" s="1">
        <v>3.507111369</v>
      </c>
      <c r="P219" s="1">
        <v>0</v>
      </c>
      <c r="Q219" s="1">
        <v>0</v>
      </c>
      <c r="R219" s="1">
        <v>791.30613359999995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60</v>
      </c>
      <c r="AB219" s="1">
        <v>10</v>
      </c>
      <c r="AC219" s="1">
        <v>25000</v>
      </c>
      <c r="AD219">
        <v>0</v>
      </c>
      <c r="AE219" t="s">
        <v>637</v>
      </c>
      <c r="AF219" s="8" cm="1">
        <f t="array" aca="1" ref="AF219" ca="1">fScore_Total("ESPN",aCols)</f>
        <v>141.53072747900001</v>
      </c>
      <c r="AG219" s="8" cm="1">
        <f t="array" aca="1" ref="AG219" ca="1">-fScore_Total("diff",aCols)</f>
        <v>0</v>
      </c>
      <c r="AH219" s="8">
        <f t="shared" ca="1" si="8"/>
        <v>141.53072747900001</v>
      </c>
      <c r="AI219" s="8" t="str">
        <f t="shared" si="7"/>
        <v>FLEX</v>
      </c>
      <c r="AJ219" s="8"/>
    </row>
    <row r="220" spans="1:36" x14ac:dyDescent="0.25">
      <c r="A220" t="s">
        <v>149</v>
      </c>
      <c r="B220" s="1" t="s">
        <v>535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49.67327916</v>
      </c>
      <c r="N220" s="1">
        <v>0</v>
      </c>
      <c r="O220" s="1">
        <v>3.3075254119999999</v>
      </c>
      <c r="P220" s="1">
        <v>0</v>
      </c>
      <c r="Q220" s="1">
        <v>0</v>
      </c>
      <c r="R220" s="1">
        <v>442.33684599999998</v>
      </c>
      <c r="S220" s="1">
        <v>0</v>
      </c>
      <c r="T220" s="1">
        <v>0</v>
      </c>
      <c r="U220" s="1">
        <v>0</v>
      </c>
      <c r="V220" s="1">
        <v>3.2144565999999999E-2</v>
      </c>
      <c r="W220" s="1">
        <v>0</v>
      </c>
      <c r="X220" s="1">
        <v>0</v>
      </c>
      <c r="Y220" s="1">
        <v>0.72951348199999999</v>
      </c>
      <c r="Z220" s="1">
        <v>0</v>
      </c>
      <c r="AA220" s="1">
        <v>222</v>
      </c>
      <c r="AB220" s="1">
        <v>0</v>
      </c>
      <c r="AC220" s="1">
        <v>25000</v>
      </c>
      <c r="AD220">
        <v>0</v>
      </c>
      <c r="AE220" t="s">
        <v>637</v>
      </c>
      <c r="AF220" s="8" cm="1">
        <f t="array" aca="1" ref="AF220" ca="1">fScore_Total("ESPN",aCols)</f>
        <v>89.181295396199985</v>
      </c>
      <c r="AG220" s="8" cm="1">
        <f t="array" aca="1" ref="AG220" ca="1">-fScore_Total("diff",aCols)</f>
        <v>0</v>
      </c>
      <c r="AH220" s="8">
        <f t="shared" ca="1" si="8"/>
        <v>89.181295396199985</v>
      </c>
      <c r="AI220" s="8" t="str">
        <f t="shared" si="7"/>
        <v>FLEX</v>
      </c>
      <c r="AJ220" s="8"/>
    </row>
    <row r="221" spans="1:36" x14ac:dyDescent="0.25">
      <c r="A221" t="s">
        <v>428</v>
      </c>
      <c r="B221" s="1" t="s">
        <v>533</v>
      </c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43.739649839999998</v>
      </c>
      <c r="N221" s="1">
        <v>0</v>
      </c>
      <c r="O221" s="1">
        <v>5.2424850090000001</v>
      </c>
      <c r="P221" s="1">
        <v>0</v>
      </c>
      <c r="Q221" s="1">
        <v>0</v>
      </c>
      <c r="R221" s="1">
        <v>639.77668300000005</v>
      </c>
      <c r="S221" s="1">
        <v>0</v>
      </c>
      <c r="T221" s="1">
        <v>0</v>
      </c>
      <c r="U221" s="1">
        <v>0</v>
      </c>
      <c r="V221" s="1">
        <v>6.6062222000000004E-2</v>
      </c>
      <c r="W221" s="1">
        <v>0</v>
      </c>
      <c r="X221" s="1">
        <v>0</v>
      </c>
      <c r="Y221" s="1">
        <v>10.106777210000001</v>
      </c>
      <c r="Z221" s="1">
        <v>0</v>
      </c>
      <c r="AA221" s="1">
        <v>129</v>
      </c>
      <c r="AB221" s="1">
        <v>2</v>
      </c>
      <c r="AC221" s="1">
        <v>25000</v>
      </c>
      <c r="AD221">
        <v>0</v>
      </c>
      <c r="AE221" t="s">
        <v>637</v>
      </c>
      <c r="AF221" s="8" cm="1">
        <f t="array" aca="1" ref="AF221" ca="1">fScore_Total("ESPN",aCols)</f>
        <v>118.70945432699999</v>
      </c>
      <c r="AG221" s="8" cm="1">
        <f t="array" aca="1" ref="AG221" ca="1">-fScore_Total("diff",aCols)</f>
        <v>0</v>
      </c>
      <c r="AH221" s="8">
        <f t="shared" ca="1" si="8"/>
        <v>118.70945432699999</v>
      </c>
      <c r="AI221" s="8" t="str">
        <f t="shared" si="7"/>
        <v>FLEX</v>
      </c>
      <c r="AJ221" s="8"/>
    </row>
    <row r="222" spans="1:36" x14ac:dyDescent="0.25">
      <c r="A222" t="s">
        <v>421</v>
      </c>
      <c r="B222" s="1" t="s">
        <v>535</v>
      </c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87.000232760000003</v>
      </c>
      <c r="N222" s="1">
        <v>0</v>
      </c>
      <c r="O222" s="1">
        <v>3.0881844310000002</v>
      </c>
      <c r="P222" s="1">
        <v>0</v>
      </c>
      <c r="Q222" s="1">
        <v>0</v>
      </c>
      <c r="R222" s="1">
        <v>787.50944289999995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61</v>
      </c>
      <c r="AB222" s="1">
        <v>10</v>
      </c>
      <c r="AC222" s="1">
        <v>25000</v>
      </c>
      <c r="AD222">
        <v>0</v>
      </c>
      <c r="AE222" t="s">
        <v>637</v>
      </c>
      <c r="AF222" s="8" cm="1">
        <f t="array" aca="1" ref="AF222" ca="1">fScore_Total("ESPN",aCols)</f>
        <v>140.78016725600003</v>
      </c>
      <c r="AG222" s="8" cm="1">
        <f t="array" aca="1" ref="AG222" ca="1">-fScore_Total("diff",aCols)</f>
        <v>0</v>
      </c>
      <c r="AH222" s="8">
        <f t="shared" ca="1" si="8"/>
        <v>140.78016725600003</v>
      </c>
      <c r="AI222" s="8" t="str">
        <f t="shared" si="7"/>
        <v>FLEX</v>
      </c>
      <c r="AJ222" s="8"/>
    </row>
    <row r="223" spans="1:36" x14ac:dyDescent="0.25">
      <c r="A223" t="s">
        <v>307</v>
      </c>
      <c r="B223" s="1" t="s">
        <v>534</v>
      </c>
      <c r="C223" s="1">
        <v>0</v>
      </c>
      <c r="D223" s="1">
        <v>1.7806998780000001</v>
      </c>
      <c r="E223" s="1">
        <v>0</v>
      </c>
      <c r="F223" s="1">
        <v>0</v>
      </c>
      <c r="G223" s="1">
        <v>2.9480546849999998</v>
      </c>
      <c r="H223" s="1">
        <v>0</v>
      </c>
      <c r="I223" s="1">
        <v>0</v>
      </c>
      <c r="J223" s="1">
        <v>508.04134049999999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0.12070196399999999</v>
      </c>
      <c r="W223" s="1">
        <v>0</v>
      </c>
      <c r="X223" s="1">
        <v>0</v>
      </c>
      <c r="Y223" s="1">
        <v>21.636816840000002</v>
      </c>
      <c r="Z223" s="1">
        <v>0</v>
      </c>
      <c r="AA223" s="1">
        <v>1029</v>
      </c>
      <c r="AB223" s="1">
        <v>0</v>
      </c>
      <c r="AC223" s="1">
        <v>25000</v>
      </c>
      <c r="AD223">
        <v>0</v>
      </c>
      <c r="AE223" t="s">
        <v>637</v>
      </c>
      <c r="AF223" s="8" cm="1">
        <f t="array" aca="1" ref="AF223" ca="1">fScore_Total("ESPN",aCols)</f>
        <v>31.440366072</v>
      </c>
      <c r="AG223" s="8" cm="1">
        <f t="array" aca="1" ref="AG223" ca="1">-fScore_Total("diff",aCols)</f>
        <v>0</v>
      </c>
      <c r="AH223" s="8">
        <f t="shared" ca="1" si="8"/>
        <v>31.440366072</v>
      </c>
      <c r="AI223" s="8" t="str">
        <f t="shared" si="7"/>
        <v>QB</v>
      </c>
      <c r="AJ223" s="8"/>
    </row>
    <row r="224" spans="1:36" x14ac:dyDescent="0.25">
      <c r="A224" t="s">
        <v>265</v>
      </c>
      <c r="B224" s="1" t="s">
        <v>534</v>
      </c>
      <c r="C224" s="1">
        <v>0</v>
      </c>
      <c r="D224" s="1">
        <v>1.8369737230000001</v>
      </c>
      <c r="E224" s="1">
        <v>0</v>
      </c>
      <c r="F224" s="1">
        <v>0</v>
      </c>
      <c r="G224" s="1">
        <v>3.452287546</v>
      </c>
      <c r="H224" s="1">
        <v>0</v>
      </c>
      <c r="I224" s="1">
        <v>0</v>
      </c>
      <c r="J224" s="1">
        <v>540.44055909999997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0.15708129500000001</v>
      </c>
      <c r="W224" s="1">
        <v>0</v>
      </c>
      <c r="X224" s="1">
        <v>0</v>
      </c>
      <c r="Y224" s="1">
        <v>7.1571992040000003</v>
      </c>
      <c r="Z224" s="1">
        <v>0</v>
      </c>
      <c r="AA224" s="1">
        <v>483</v>
      </c>
      <c r="AB224" s="1">
        <v>0</v>
      </c>
      <c r="AC224" s="1">
        <v>25000</v>
      </c>
      <c r="AD224">
        <v>0</v>
      </c>
      <c r="AE224" t="s">
        <v>637</v>
      </c>
      <c r="AF224" s="8" cm="1">
        <f t="array" aca="1" ref="AF224" ca="1">fScore_Total("ESPN",aCols)</f>
        <v>33.4110327924</v>
      </c>
      <c r="AG224" s="8" cm="1">
        <f t="array" aca="1" ref="AG224" ca="1">-fScore_Total("diff",aCols)</f>
        <v>0</v>
      </c>
      <c r="AH224" s="8">
        <f t="shared" ca="1" si="8"/>
        <v>33.4110327924</v>
      </c>
      <c r="AI224" s="8" t="str">
        <f t="shared" si="7"/>
        <v>QB</v>
      </c>
      <c r="AJ224" s="8"/>
    </row>
    <row r="225" spans="1:36" x14ac:dyDescent="0.25">
      <c r="A225" t="s">
        <v>117</v>
      </c>
      <c r="B225" s="1" t="s">
        <v>532</v>
      </c>
      <c r="C225" s="1">
        <v>0</v>
      </c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  <c r="M225" s="1">
        <v>35.50228079</v>
      </c>
      <c r="N225" s="1">
        <v>0</v>
      </c>
      <c r="O225" s="1">
        <v>0.97918907899999996</v>
      </c>
      <c r="P225" s="1">
        <v>0</v>
      </c>
      <c r="Q225" s="1">
        <v>0</v>
      </c>
      <c r="R225" s="1">
        <v>245.29080970000001</v>
      </c>
      <c r="S225" s="1">
        <v>0</v>
      </c>
      <c r="T225" s="1">
        <v>0</v>
      </c>
      <c r="U225" s="1">
        <v>0</v>
      </c>
      <c r="V225" s="1">
        <v>3.5135667819999998</v>
      </c>
      <c r="W225" s="1">
        <v>0</v>
      </c>
      <c r="X225" s="1">
        <v>0</v>
      </c>
      <c r="Y225" s="1">
        <v>531.49474720000001</v>
      </c>
      <c r="Z225" s="1">
        <v>0</v>
      </c>
      <c r="AA225" s="1">
        <v>151</v>
      </c>
      <c r="AB225" s="1">
        <v>1</v>
      </c>
      <c r="AC225" s="1">
        <v>25000</v>
      </c>
      <c r="AD225">
        <v>0</v>
      </c>
      <c r="AE225" t="s">
        <v>637</v>
      </c>
      <c r="AF225" s="8" cm="1">
        <f t="array" aca="1" ref="AF225" ca="1">fScore_Total("ESPN",aCols)</f>
        <v>122.386231251</v>
      </c>
      <c r="AG225" s="8" cm="1">
        <f t="array" aca="1" ref="AG225" ca="1">-fScore_Total("diff",aCols)</f>
        <v>0</v>
      </c>
      <c r="AH225" s="8">
        <f t="shared" ca="1" si="8"/>
        <v>122.386231251</v>
      </c>
      <c r="AI225" s="8" t="str">
        <f t="shared" si="7"/>
        <v>FLEX</v>
      </c>
      <c r="AJ225" s="8"/>
    </row>
    <row r="226" spans="1:36" x14ac:dyDescent="0.25">
      <c r="A226" t="s">
        <v>167</v>
      </c>
      <c r="B226" s="1" t="s">
        <v>533</v>
      </c>
      <c r="C226" s="1">
        <v>0</v>
      </c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  <c r="M226" s="1">
        <v>58.066012149999999</v>
      </c>
      <c r="N226" s="1">
        <v>0</v>
      </c>
      <c r="O226" s="1">
        <v>2.4956608409999999</v>
      </c>
      <c r="P226" s="1">
        <v>0</v>
      </c>
      <c r="Q226" s="1">
        <v>0</v>
      </c>
      <c r="R226" s="1">
        <v>578.95084429999997</v>
      </c>
      <c r="S226" s="1">
        <v>0</v>
      </c>
      <c r="T226" s="1">
        <v>0</v>
      </c>
      <c r="U226" s="1">
        <v>0</v>
      </c>
      <c r="V226" s="1">
        <v>6.9436340999999999E-2</v>
      </c>
      <c r="W226" s="1">
        <v>0</v>
      </c>
      <c r="X226" s="1">
        <v>0</v>
      </c>
      <c r="Y226" s="1">
        <v>11.579349779999999</v>
      </c>
      <c r="Z226" s="1">
        <v>0</v>
      </c>
      <c r="AA226" s="1">
        <v>288</v>
      </c>
      <c r="AB226" s="1">
        <v>0</v>
      </c>
      <c r="AC226" s="1">
        <v>25000</v>
      </c>
      <c r="AD226">
        <v>0</v>
      </c>
      <c r="AE226" t="s">
        <v>637</v>
      </c>
      <c r="AF226" s="8" cm="1">
        <f t="array" aca="1" ref="AF226" ca="1">fScore_Total("ESPN",aCols)</f>
        <v>103.47660857499999</v>
      </c>
      <c r="AG226" s="8" cm="1">
        <f t="array" aca="1" ref="AG226" ca="1">-fScore_Total("diff",aCols)</f>
        <v>0</v>
      </c>
      <c r="AH226" s="8">
        <f t="shared" ca="1" si="8"/>
        <v>103.47660857499999</v>
      </c>
      <c r="AI226" s="8" t="str">
        <f t="shared" si="7"/>
        <v>FLEX</v>
      </c>
      <c r="AJ226" s="8"/>
    </row>
    <row r="227" spans="1:36" x14ac:dyDescent="0.25">
      <c r="A227" t="s">
        <v>121</v>
      </c>
      <c r="B227" s="1" t="s">
        <v>533</v>
      </c>
      <c r="C227" s="1">
        <v>0</v>
      </c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  <c r="M227" s="1">
        <v>54.837478930000003</v>
      </c>
      <c r="N227" s="1">
        <v>0</v>
      </c>
      <c r="O227" s="1">
        <v>3.8825715390000002</v>
      </c>
      <c r="P227" s="1">
        <v>0</v>
      </c>
      <c r="Q227" s="1">
        <v>0</v>
      </c>
      <c r="R227" s="1">
        <v>750.43068010000002</v>
      </c>
      <c r="S227" s="1">
        <v>0</v>
      </c>
      <c r="T227" s="1">
        <v>0</v>
      </c>
      <c r="U227" s="1">
        <v>0</v>
      </c>
      <c r="V227" s="1">
        <v>0.14973336400000001</v>
      </c>
      <c r="W227" s="1">
        <v>0</v>
      </c>
      <c r="X227" s="1">
        <v>0</v>
      </c>
      <c r="Y227" s="1">
        <v>27.09695541</v>
      </c>
      <c r="Z227" s="1">
        <v>0</v>
      </c>
      <c r="AA227" s="1">
        <v>176</v>
      </c>
      <c r="AB227" s="1">
        <v>1</v>
      </c>
      <c r="AC227" s="1">
        <v>25000</v>
      </c>
      <c r="AD227">
        <v>0</v>
      </c>
      <c r="AE227" t="s">
        <v>637</v>
      </c>
      <c r="AF227" s="8" cm="1">
        <f t="array" aca="1" ref="AF227" ca="1">fScore_Total("ESPN",aCols)</f>
        <v>129.36533243399998</v>
      </c>
      <c r="AG227" s="8" cm="1">
        <f t="array" aca="1" ref="AG227" ca="1">-fScore_Total("diff",aCols)</f>
        <v>0</v>
      </c>
      <c r="AH227" s="8">
        <f t="shared" ca="1" si="8"/>
        <v>129.36533243399998</v>
      </c>
      <c r="AI227" s="8" t="str">
        <f t="shared" si="7"/>
        <v>FLEX</v>
      </c>
      <c r="AJ227" s="8"/>
    </row>
    <row r="228" spans="1:36" x14ac:dyDescent="0.25">
      <c r="A228" t="s">
        <v>157</v>
      </c>
      <c r="B228" s="1" t="s">
        <v>532</v>
      </c>
      <c r="C228" s="1">
        <v>0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  <c r="M228" s="1">
        <v>16.125646870000001</v>
      </c>
      <c r="N228" s="1">
        <v>0</v>
      </c>
      <c r="O228" s="1">
        <v>0.25533400099999998</v>
      </c>
      <c r="P228" s="1">
        <v>0</v>
      </c>
      <c r="Q228" s="1">
        <v>0</v>
      </c>
      <c r="R228" s="1">
        <v>119.51091700000001</v>
      </c>
      <c r="S228" s="1">
        <v>0</v>
      </c>
      <c r="T228" s="1">
        <v>0</v>
      </c>
      <c r="U228" s="1">
        <v>0</v>
      </c>
      <c r="V228" s="1">
        <v>2.7144061509999999</v>
      </c>
      <c r="W228" s="1">
        <v>0</v>
      </c>
      <c r="X228" s="1">
        <v>0</v>
      </c>
      <c r="Y228" s="1">
        <v>413.81579440000002</v>
      </c>
      <c r="Z228" s="1">
        <v>0</v>
      </c>
      <c r="AA228" s="1">
        <v>205</v>
      </c>
      <c r="AB228" s="1">
        <v>1</v>
      </c>
      <c r="AC228" s="1">
        <v>25000</v>
      </c>
      <c r="AD228">
        <v>0</v>
      </c>
      <c r="AE228" t="s">
        <v>637</v>
      </c>
      <c r="AF228" s="8" cm="1">
        <f t="array" aca="1" ref="AF228" ca="1">fScore_Total("ESPN",aCols)</f>
        <v>79.213935487000001</v>
      </c>
      <c r="AG228" s="8" cm="1">
        <f t="array" aca="1" ref="AG228" ca="1">-fScore_Total("diff",aCols)</f>
        <v>0</v>
      </c>
      <c r="AH228" s="8">
        <f t="shared" ca="1" si="8"/>
        <v>79.213935487000001</v>
      </c>
      <c r="AI228" s="8" t="str">
        <f t="shared" si="7"/>
        <v>FLEX</v>
      </c>
      <c r="AJ228" s="8"/>
    </row>
    <row r="229" spans="1:36" x14ac:dyDescent="0.25">
      <c r="A229" t="s">
        <v>136</v>
      </c>
      <c r="B229" s="1" t="s">
        <v>533</v>
      </c>
      <c r="C229" s="1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49.069691710000001</v>
      </c>
      <c r="N229" s="1">
        <v>0</v>
      </c>
      <c r="O229" s="1">
        <v>4.7289009809999998</v>
      </c>
      <c r="P229" s="1">
        <v>0</v>
      </c>
      <c r="Q229" s="1">
        <v>0</v>
      </c>
      <c r="R229" s="1">
        <v>594.36897250000004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194</v>
      </c>
      <c r="AB229" s="1">
        <v>1</v>
      </c>
      <c r="AC229" s="1">
        <v>25000</v>
      </c>
      <c r="AD229">
        <v>0</v>
      </c>
      <c r="AE229" t="s">
        <v>637</v>
      </c>
      <c r="AF229" s="8" cm="1">
        <f t="array" aca="1" ref="AF229" ca="1">fScore_Total("ESPN",aCols)</f>
        <v>112.345148991</v>
      </c>
      <c r="AG229" s="8" cm="1">
        <f t="array" aca="1" ref="AG229" ca="1">-fScore_Total("diff",aCols)</f>
        <v>0</v>
      </c>
      <c r="AH229" s="8">
        <f t="shared" ca="1" si="8"/>
        <v>112.345148991</v>
      </c>
      <c r="AI229" s="8" t="str">
        <f t="shared" si="7"/>
        <v>FLEX</v>
      </c>
      <c r="AJ229" s="8"/>
    </row>
    <row r="230" spans="1:36" x14ac:dyDescent="0.25">
      <c r="A230" t="s">
        <v>272</v>
      </c>
      <c r="B230" s="1" t="s">
        <v>533</v>
      </c>
      <c r="C230" s="1">
        <v>0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  <c r="M230" s="1">
        <v>20.94031283</v>
      </c>
      <c r="N230" s="1">
        <v>0</v>
      </c>
      <c r="O230" s="1">
        <v>1.5437586130000001</v>
      </c>
      <c r="P230" s="1">
        <v>0</v>
      </c>
      <c r="Q230" s="1">
        <v>0</v>
      </c>
      <c r="R230" s="1">
        <v>266.34596599999998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986</v>
      </c>
      <c r="AB230" s="1">
        <v>0</v>
      </c>
      <c r="AC230" s="1">
        <v>25000</v>
      </c>
      <c r="AD230">
        <v>0</v>
      </c>
      <c r="AE230" t="s">
        <v>637</v>
      </c>
      <c r="AF230" s="8" cm="1">
        <f t="array" aca="1" ref="AF230" ca="1">fScore_Total("ESPN",aCols)</f>
        <v>46.367304692999994</v>
      </c>
      <c r="AG230" s="8" cm="1">
        <f t="array" aca="1" ref="AG230" ca="1">-fScore_Total("diff",aCols)</f>
        <v>0</v>
      </c>
      <c r="AH230" s="8">
        <f t="shared" ca="1" si="8"/>
        <v>46.367304692999994</v>
      </c>
      <c r="AI230" s="8" t="str">
        <f t="shared" si="7"/>
        <v>FLEX</v>
      </c>
      <c r="AJ230" s="8"/>
    </row>
    <row r="231" spans="1:36" x14ac:dyDescent="0.25">
      <c r="A231" t="s">
        <v>114</v>
      </c>
      <c r="B231" s="1" t="s">
        <v>533</v>
      </c>
      <c r="C231" s="1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53.9697095</v>
      </c>
      <c r="N231" s="1">
        <v>0</v>
      </c>
      <c r="O231" s="1">
        <v>4.2041883599999998</v>
      </c>
      <c r="P231" s="1">
        <v>0</v>
      </c>
      <c r="Q231" s="1">
        <v>0</v>
      </c>
      <c r="R231" s="1">
        <v>777.41512290000003</v>
      </c>
      <c r="S231" s="1">
        <v>0</v>
      </c>
      <c r="T231" s="1">
        <v>0</v>
      </c>
      <c r="U231" s="1">
        <v>0</v>
      </c>
      <c r="V231" s="1">
        <v>0.36327989300000002</v>
      </c>
      <c r="W231" s="1">
        <v>0</v>
      </c>
      <c r="X231" s="1">
        <v>0</v>
      </c>
      <c r="Y231" s="1">
        <v>33.687174570000003</v>
      </c>
      <c r="Z231" s="1">
        <v>0</v>
      </c>
      <c r="AA231" s="1">
        <v>157</v>
      </c>
      <c r="AB231" s="1">
        <v>1</v>
      </c>
      <c r="AC231" s="1">
        <v>25000</v>
      </c>
      <c r="AD231">
        <v>0</v>
      </c>
      <c r="AE231" t="s">
        <v>637</v>
      </c>
      <c r="AF231" s="8" cm="1">
        <f t="array" aca="1" ref="AF231" ca="1">fScore_Total("ESPN",aCols)</f>
        <v>135.499894015</v>
      </c>
      <c r="AG231" s="8" cm="1">
        <f t="array" aca="1" ref="AG231" ca="1">-fScore_Total("diff",aCols)</f>
        <v>0</v>
      </c>
      <c r="AH231" s="8">
        <f t="shared" ca="1" si="8"/>
        <v>135.499894015</v>
      </c>
      <c r="AI231" s="8" t="str">
        <f t="shared" si="7"/>
        <v>FLEX</v>
      </c>
      <c r="AJ231" s="8"/>
    </row>
    <row r="232" spans="1:36" x14ac:dyDescent="0.25">
      <c r="A232" t="s">
        <v>139</v>
      </c>
      <c r="B232" s="1" t="s">
        <v>533</v>
      </c>
      <c r="C232" s="1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47.23704446</v>
      </c>
      <c r="N232" s="1">
        <v>0</v>
      </c>
      <c r="O232" s="1">
        <v>3.8378880500000001</v>
      </c>
      <c r="P232" s="1">
        <v>0</v>
      </c>
      <c r="Q232" s="1">
        <v>0</v>
      </c>
      <c r="R232" s="1">
        <v>572.42020339999999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195</v>
      </c>
      <c r="AB232" s="1">
        <v>1</v>
      </c>
      <c r="AC232" s="1">
        <v>25000</v>
      </c>
      <c r="AD232">
        <v>0</v>
      </c>
      <c r="AE232" t="s">
        <v>637</v>
      </c>
      <c r="AF232" s="8" cm="1">
        <f t="array" aca="1" ref="AF232" ca="1">fScore_Total("ESPN",aCols)</f>
        <v>103.88787087</v>
      </c>
      <c r="AG232" s="8" cm="1">
        <f t="array" aca="1" ref="AG232" ca="1">-fScore_Total("diff",aCols)</f>
        <v>0</v>
      </c>
      <c r="AH232" s="8">
        <f t="shared" ca="1" si="8"/>
        <v>103.88787087</v>
      </c>
      <c r="AI232" s="8" t="str">
        <f t="shared" si="7"/>
        <v>FLEX</v>
      </c>
      <c r="AJ232" s="8"/>
    </row>
    <row r="233" spans="1:36" x14ac:dyDescent="0.25">
      <c r="A233" t="s">
        <v>137</v>
      </c>
      <c r="B233" s="1" t="s">
        <v>533</v>
      </c>
      <c r="C233" s="1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  <c r="M233" s="1">
        <v>57.295743229999999</v>
      </c>
      <c r="N233" s="1">
        <v>0</v>
      </c>
      <c r="O233" s="1">
        <v>4.6901616390000003</v>
      </c>
      <c r="P233" s="1">
        <v>0</v>
      </c>
      <c r="Q233" s="1">
        <v>0</v>
      </c>
      <c r="R233" s="1">
        <v>667.89893380000001</v>
      </c>
      <c r="S233" s="1">
        <v>0</v>
      </c>
      <c r="T233" s="1">
        <v>0</v>
      </c>
      <c r="U233" s="1">
        <v>0</v>
      </c>
      <c r="V233" s="1">
        <v>0.179795025</v>
      </c>
      <c r="W233" s="1">
        <v>0</v>
      </c>
      <c r="X233" s="1">
        <v>0</v>
      </c>
      <c r="Y233" s="1">
        <v>26.377629070000001</v>
      </c>
      <c r="Z233" s="1">
        <v>0</v>
      </c>
      <c r="AA233" s="1">
        <v>196</v>
      </c>
      <c r="AB233" s="1">
        <v>1</v>
      </c>
      <c r="AC233" s="1">
        <v>25000</v>
      </c>
      <c r="AD233">
        <v>0</v>
      </c>
      <c r="AE233" t="s">
        <v>637</v>
      </c>
      <c r="AF233" s="8" cm="1">
        <f t="array" aca="1" ref="AF233" ca="1">fScore_Total("ESPN",aCols)</f>
        <v>127.295267886</v>
      </c>
      <c r="AG233" s="8" cm="1">
        <f t="array" aca="1" ref="AG233" ca="1">-fScore_Total("diff",aCols)</f>
        <v>0</v>
      </c>
      <c r="AH233" s="8">
        <f t="shared" ca="1" si="8"/>
        <v>127.295267886</v>
      </c>
      <c r="AI233" s="8" t="str">
        <f t="shared" si="7"/>
        <v>FLEX</v>
      </c>
      <c r="AJ233" s="8"/>
    </row>
    <row r="234" spans="1:36" x14ac:dyDescent="0.25">
      <c r="A234" t="s">
        <v>438</v>
      </c>
      <c r="B234" s="1" t="s">
        <v>533</v>
      </c>
      <c r="C234" s="1">
        <v>0</v>
      </c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  <c r="M234" s="1">
        <v>22.853326920000001</v>
      </c>
      <c r="N234" s="1">
        <v>0</v>
      </c>
      <c r="O234" s="1">
        <v>2.466196858</v>
      </c>
      <c r="P234" s="1">
        <v>0</v>
      </c>
      <c r="Q234" s="1">
        <v>0</v>
      </c>
      <c r="R234" s="1">
        <v>333.35564950000003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327</v>
      </c>
      <c r="AB234" s="1">
        <v>0</v>
      </c>
      <c r="AC234" s="1">
        <v>25000</v>
      </c>
      <c r="AD234">
        <v>0</v>
      </c>
      <c r="AE234" t="s">
        <v>637</v>
      </c>
      <c r="AF234" s="8" cm="1">
        <f t="array" aca="1" ref="AF234" ca="1">fScore_Total("ESPN",aCols)</f>
        <v>59.559409558000006</v>
      </c>
      <c r="AG234" s="8" cm="1">
        <f t="array" aca="1" ref="AG234" ca="1">-fScore_Total("diff",aCols)</f>
        <v>0</v>
      </c>
      <c r="AH234" s="8">
        <f t="shared" ca="1" si="8"/>
        <v>59.559409558000006</v>
      </c>
      <c r="AI234" s="8" t="str">
        <f t="shared" si="7"/>
        <v>FLEX</v>
      </c>
      <c r="AJ234" s="8"/>
    </row>
    <row r="235" spans="1:36" x14ac:dyDescent="0.25">
      <c r="A235" t="s">
        <v>266</v>
      </c>
      <c r="B235" s="1" t="s">
        <v>534</v>
      </c>
      <c r="C235" s="1">
        <v>0</v>
      </c>
      <c r="D235" s="1">
        <v>1.4784481300000001</v>
      </c>
      <c r="E235" s="1">
        <v>0</v>
      </c>
      <c r="F235" s="1">
        <v>0</v>
      </c>
      <c r="G235" s="1">
        <v>2.9201329089999999</v>
      </c>
      <c r="H235" s="1">
        <v>0</v>
      </c>
      <c r="I235" s="1">
        <v>0</v>
      </c>
      <c r="J235" s="1">
        <v>463.01447480000002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0.464527835</v>
      </c>
      <c r="W235" s="1">
        <v>0</v>
      </c>
      <c r="X235" s="1">
        <v>0</v>
      </c>
      <c r="Y235" s="1">
        <v>24.585202899999999</v>
      </c>
      <c r="Z235" s="1">
        <v>0</v>
      </c>
      <c r="AA235" s="1">
        <v>484</v>
      </c>
      <c r="AB235" s="1">
        <v>0</v>
      </c>
      <c r="AC235" s="1">
        <v>25000</v>
      </c>
      <c r="AD235">
        <v>0</v>
      </c>
      <c r="AE235" t="s">
        <v>637</v>
      </c>
      <c r="AF235" s="8" cm="1">
        <f t="array" aca="1" ref="AF235" ca="1">fScore_Total("ESPN",aCols)</f>
        <v>32.489901668000002</v>
      </c>
      <c r="AG235" s="8" cm="1">
        <f t="array" aca="1" ref="AG235" ca="1">-fScore_Total("diff",aCols)</f>
        <v>0</v>
      </c>
      <c r="AH235" s="8">
        <f t="shared" ca="1" si="8"/>
        <v>32.489901668000002</v>
      </c>
      <c r="AI235" s="8" t="str">
        <f t="shared" si="7"/>
        <v>QB</v>
      </c>
      <c r="AJ235" s="8"/>
    </row>
    <row r="236" spans="1:36" x14ac:dyDescent="0.25">
      <c r="A236" t="s">
        <v>490</v>
      </c>
      <c r="B236" s="1">
        <v>0</v>
      </c>
      <c r="C236" s="1">
        <v>0</v>
      </c>
      <c r="D236" s="1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30000</v>
      </c>
      <c r="AD236">
        <v>0</v>
      </c>
      <c r="AE236" t="s">
        <v>637</v>
      </c>
      <c r="AF236" s="8" cm="1">
        <f t="array" aca="1" ref="AF236" ca="1">fScore_Total("ESPN",aCols)</f>
        <v>0</v>
      </c>
      <c r="AG236" s="8" cm="1">
        <f t="array" aca="1" ref="AG236" ca="1">-fScore_Total("diff",aCols)</f>
        <v>0</v>
      </c>
      <c r="AH236" s="8">
        <f t="shared" ca="1" si="8"/>
        <v>0</v>
      </c>
      <c r="AI236" s="8" t="str">
        <f t="shared" si="7"/>
        <v>FLEX</v>
      </c>
      <c r="AJ236" s="8"/>
    </row>
    <row r="237" spans="1:36" x14ac:dyDescent="0.25">
      <c r="A237" t="s">
        <v>207</v>
      </c>
      <c r="B237" s="1">
        <v>0</v>
      </c>
      <c r="C237" s="1">
        <v>0</v>
      </c>
      <c r="D237" s="1">
        <v>0</v>
      </c>
      <c r="E237" s="1">
        <v>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30000</v>
      </c>
      <c r="AD237">
        <v>0</v>
      </c>
      <c r="AE237" t="s">
        <v>637</v>
      </c>
      <c r="AF237" s="8" cm="1">
        <f t="array" aca="1" ref="AF237" ca="1">fScore_Total("ESPN",aCols)</f>
        <v>0</v>
      </c>
      <c r="AG237" s="8" cm="1">
        <f t="array" aca="1" ref="AG237" ca="1">-fScore_Total("diff",aCols)</f>
        <v>0</v>
      </c>
      <c r="AH237" s="8">
        <f t="shared" ca="1" si="8"/>
        <v>0</v>
      </c>
      <c r="AI237" s="8" t="str">
        <f t="shared" si="7"/>
        <v>FLEX</v>
      </c>
      <c r="AJ237" s="8"/>
    </row>
    <row r="238" spans="1:36" x14ac:dyDescent="0.25">
      <c r="A238" t="s">
        <v>429</v>
      </c>
      <c r="B238" s="1" t="s">
        <v>533</v>
      </c>
      <c r="C238" s="1">
        <v>0</v>
      </c>
      <c r="D238" s="1">
        <v>0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  <c r="M238" s="1">
        <v>70.465484480000001</v>
      </c>
      <c r="N238" s="1">
        <v>0</v>
      </c>
      <c r="O238" s="1">
        <v>5.1954021340000001</v>
      </c>
      <c r="P238" s="1">
        <v>0</v>
      </c>
      <c r="Q238" s="1">
        <v>0</v>
      </c>
      <c r="R238" s="1">
        <v>878.10198849999995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96</v>
      </c>
      <c r="AB238" s="1">
        <v>4</v>
      </c>
      <c r="AC238" s="1">
        <v>30000</v>
      </c>
      <c r="AD238">
        <v>0</v>
      </c>
      <c r="AE238" t="s">
        <v>637</v>
      </c>
      <c r="AF238" s="8" cm="1">
        <f t="array" aca="1" ref="AF238" ca="1">fScore_Total("ESPN",aCols)</f>
        <v>154.215353894</v>
      </c>
      <c r="AG238" s="8" cm="1">
        <f t="array" aca="1" ref="AG238" ca="1">-fScore_Total("diff",aCols)</f>
        <v>0</v>
      </c>
      <c r="AH238" s="8">
        <f t="shared" ca="1" si="8"/>
        <v>154.215353894</v>
      </c>
      <c r="AI238" s="8" t="str">
        <f t="shared" si="7"/>
        <v>FLEX</v>
      </c>
      <c r="AJ238" s="8"/>
    </row>
    <row r="239" spans="1:36" x14ac:dyDescent="0.25">
      <c r="A239" t="s">
        <v>248</v>
      </c>
      <c r="B239" s="1" t="s">
        <v>535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  <c r="M239" s="1">
        <v>30.79316992</v>
      </c>
      <c r="N239" s="1">
        <v>0</v>
      </c>
      <c r="O239" s="1">
        <v>1.388927206</v>
      </c>
      <c r="P239" s="1">
        <v>0</v>
      </c>
      <c r="Q239" s="1">
        <v>0</v>
      </c>
      <c r="R239" s="1">
        <v>319.8141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461</v>
      </c>
      <c r="AB239" s="1">
        <v>0</v>
      </c>
      <c r="AC239" s="1">
        <v>30000</v>
      </c>
      <c r="AD239">
        <v>0</v>
      </c>
      <c r="AE239" t="s">
        <v>637</v>
      </c>
      <c r="AF239" s="8" cm="1">
        <f t="array" aca="1" ref="AF239" ca="1">fScore_Total("ESPN",aCols)</f>
        <v>55.711558195999999</v>
      </c>
      <c r="AG239" s="8" cm="1">
        <f t="array" aca="1" ref="AG239" ca="1">-fScore_Total("diff",aCols)</f>
        <v>0</v>
      </c>
      <c r="AH239" s="8">
        <f t="shared" ca="1" si="8"/>
        <v>55.711558195999999</v>
      </c>
      <c r="AI239" s="8" t="str">
        <f t="shared" si="7"/>
        <v>FLEX</v>
      </c>
      <c r="AJ239" s="8"/>
    </row>
    <row r="240" spans="1:36" x14ac:dyDescent="0.25">
      <c r="A240" t="s">
        <v>193</v>
      </c>
      <c r="B240" s="1" t="s">
        <v>532</v>
      </c>
      <c r="C240" s="1">
        <v>0</v>
      </c>
      <c r="D240" s="1">
        <v>0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  <c r="M240" s="1">
        <v>12.753224550000001</v>
      </c>
      <c r="N240" s="1">
        <v>0</v>
      </c>
      <c r="O240" s="1">
        <v>0.44892907999999998</v>
      </c>
      <c r="P240" s="1">
        <v>0</v>
      </c>
      <c r="Q240" s="1">
        <v>0</v>
      </c>
      <c r="R240" s="1">
        <v>86.049910740000001</v>
      </c>
      <c r="S240" s="1">
        <v>0</v>
      </c>
      <c r="T240" s="1">
        <v>0</v>
      </c>
      <c r="U240" s="1">
        <v>0</v>
      </c>
      <c r="V240" s="1">
        <v>1.682356204</v>
      </c>
      <c r="W240" s="1">
        <v>0</v>
      </c>
      <c r="X240" s="1">
        <v>0</v>
      </c>
      <c r="Y240" s="1">
        <v>232.9079758</v>
      </c>
      <c r="Z240" s="1">
        <v>0</v>
      </c>
      <c r="AA240" s="1">
        <v>351</v>
      </c>
      <c r="AB240" s="1">
        <v>0</v>
      </c>
      <c r="AC240" s="1">
        <v>30000</v>
      </c>
      <c r="AD240">
        <v>0</v>
      </c>
      <c r="AE240" t="s">
        <v>637</v>
      </c>
      <c r="AF240" s="8" cm="1">
        <f t="array" aca="1" ref="AF240" ca="1">fScore_Total("ESPN",aCols)</f>
        <v>51.060112633000003</v>
      </c>
      <c r="AG240" s="8" cm="1">
        <f t="array" aca="1" ref="AG240" ca="1">-fScore_Total("diff",aCols)</f>
        <v>0</v>
      </c>
      <c r="AH240" s="8">
        <f t="shared" ca="1" si="8"/>
        <v>51.060112633000003</v>
      </c>
      <c r="AI240" s="8" t="str">
        <f t="shared" si="7"/>
        <v>FLEX</v>
      </c>
      <c r="AJ240" s="8"/>
    </row>
    <row r="241" spans="1:36" x14ac:dyDescent="0.25">
      <c r="A241" t="s">
        <v>133</v>
      </c>
      <c r="B241" s="1" t="s">
        <v>535</v>
      </c>
      <c r="C241" s="1">
        <v>0</v>
      </c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  <c r="M241" s="1">
        <v>66.132263390000006</v>
      </c>
      <c r="N241" s="1">
        <v>0</v>
      </c>
      <c r="O241" s="1">
        <v>2.962020812</v>
      </c>
      <c r="P241" s="1">
        <v>0</v>
      </c>
      <c r="Q241" s="1">
        <v>0</v>
      </c>
      <c r="R241" s="1">
        <v>685.42483730000004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133</v>
      </c>
      <c r="AB241" s="1">
        <v>2</v>
      </c>
      <c r="AC241" s="1">
        <v>30000</v>
      </c>
      <c r="AD241">
        <v>0</v>
      </c>
      <c r="AE241" t="s">
        <v>637</v>
      </c>
      <c r="AF241" s="8" cm="1">
        <f t="array" aca="1" ref="AF241" ca="1">fScore_Total("ESPN",aCols)</f>
        <v>119.380740297</v>
      </c>
      <c r="AG241" s="8" cm="1">
        <f t="array" aca="1" ref="AG241" ca="1">-fScore_Total("diff",aCols)</f>
        <v>0</v>
      </c>
      <c r="AH241" s="8">
        <f t="shared" ca="1" si="8"/>
        <v>119.380740297</v>
      </c>
      <c r="AI241" s="8" t="str">
        <f t="shared" si="7"/>
        <v>FLEX</v>
      </c>
      <c r="AJ241" s="8"/>
    </row>
    <row r="242" spans="1:36" x14ac:dyDescent="0.25">
      <c r="A242" t="s">
        <v>187</v>
      </c>
      <c r="B242" s="1" t="s">
        <v>533</v>
      </c>
      <c r="C242" s="1">
        <v>0</v>
      </c>
      <c r="D242" s="1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  <c r="M242" s="1">
        <v>36.635683</v>
      </c>
      <c r="N242" s="1">
        <v>0</v>
      </c>
      <c r="O242" s="1">
        <v>2.9820870030000002</v>
      </c>
      <c r="P242" s="1">
        <v>0</v>
      </c>
      <c r="Q242" s="1">
        <v>0</v>
      </c>
      <c r="R242" s="1">
        <v>464.65340509999999</v>
      </c>
      <c r="S242" s="1">
        <v>0</v>
      </c>
      <c r="T242" s="1">
        <v>0</v>
      </c>
      <c r="U242" s="1">
        <v>0</v>
      </c>
      <c r="V242" s="1">
        <v>6.8227962000000003E-2</v>
      </c>
      <c r="W242" s="1">
        <v>0</v>
      </c>
      <c r="X242" s="1">
        <v>0</v>
      </c>
      <c r="Y242" s="1">
        <v>13.384398940000001</v>
      </c>
      <c r="Z242" s="1">
        <v>0</v>
      </c>
      <c r="AA242" s="1">
        <v>330</v>
      </c>
      <c r="AB242" s="1">
        <v>0</v>
      </c>
      <c r="AC242" s="1">
        <v>30000</v>
      </c>
      <c r="AD242">
        <v>0</v>
      </c>
      <c r="AE242" t="s">
        <v>637</v>
      </c>
      <c r="AF242" s="8" cm="1">
        <f t="array" aca="1" ref="AF242" ca="1">fScore_Total("ESPN",aCols)</f>
        <v>84.423511694000013</v>
      </c>
      <c r="AG242" s="8" cm="1">
        <f t="array" aca="1" ref="AG242" ca="1">-fScore_Total("diff",aCols)</f>
        <v>0</v>
      </c>
      <c r="AH242" s="8">
        <f t="shared" ca="1" si="8"/>
        <v>84.423511694000013</v>
      </c>
      <c r="AI242" s="8" t="str">
        <f t="shared" si="7"/>
        <v>FLEX</v>
      </c>
      <c r="AJ242" s="8"/>
    </row>
    <row r="243" spans="1:36" x14ac:dyDescent="0.25">
      <c r="A243" t="s">
        <v>173</v>
      </c>
      <c r="B243" s="1" t="s">
        <v>532</v>
      </c>
      <c r="C243" s="1">
        <v>0</v>
      </c>
      <c r="D243" s="1">
        <v>0</v>
      </c>
      <c r="E243" s="1">
        <v>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  <c r="M243" s="1">
        <v>25.182354109999999</v>
      </c>
      <c r="N243" s="1">
        <v>0</v>
      </c>
      <c r="O243" s="1">
        <v>0.38063940699999999</v>
      </c>
      <c r="P243" s="1">
        <v>0</v>
      </c>
      <c r="Q243" s="1">
        <v>0</v>
      </c>
      <c r="R243" s="1">
        <v>147.67484479999999</v>
      </c>
      <c r="S243" s="1">
        <v>0</v>
      </c>
      <c r="T243" s="1">
        <v>0</v>
      </c>
      <c r="U243" s="1">
        <v>0</v>
      </c>
      <c r="V243" s="1">
        <v>2.1754234229999998</v>
      </c>
      <c r="W243" s="1">
        <v>0</v>
      </c>
      <c r="X243" s="1">
        <v>0</v>
      </c>
      <c r="Y243" s="1">
        <v>402.99562170000002</v>
      </c>
      <c r="Z243" s="1">
        <v>0</v>
      </c>
      <c r="AA243" s="1">
        <v>307</v>
      </c>
      <c r="AB243" s="1">
        <v>0</v>
      </c>
      <c r="AC243" s="1">
        <v>30000</v>
      </c>
      <c r="AD243">
        <v>0</v>
      </c>
      <c r="AE243" t="s">
        <v>637</v>
      </c>
      <c r="AF243" s="8" cm="1">
        <f t="array" aca="1" ref="AF243" ca="1">fScore_Total("ESPN",aCols)</f>
        <v>82.994600684999995</v>
      </c>
      <c r="AG243" s="8" cm="1">
        <f t="array" aca="1" ref="AG243" ca="1">-fScore_Total("diff",aCols)</f>
        <v>0</v>
      </c>
      <c r="AH243" s="8">
        <f t="shared" ca="1" si="8"/>
        <v>82.994600684999995</v>
      </c>
      <c r="AI243" s="8" t="str">
        <f t="shared" si="7"/>
        <v>FLEX</v>
      </c>
      <c r="AJ243" s="8"/>
    </row>
    <row r="244" spans="1:36" x14ac:dyDescent="0.25">
      <c r="A244" t="s">
        <v>158</v>
      </c>
      <c r="B244" s="1" t="s">
        <v>532</v>
      </c>
      <c r="C244" s="1">
        <v>0</v>
      </c>
      <c r="D244" s="1">
        <v>0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16.172711209999999</v>
      </c>
      <c r="N244" s="1">
        <v>0</v>
      </c>
      <c r="O244" s="1">
        <v>0.66457689200000003</v>
      </c>
      <c r="P244" s="1">
        <v>0</v>
      </c>
      <c r="Q244" s="1">
        <v>0</v>
      </c>
      <c r="R244" s="1">
        <v>115.52922580000001</v>
      </c>
      <c r="S244" s="1">
        <v>0</v>
      </c>
      <c r="T244" s="1">
        <v>0</v>
      </c>
      <c r="U244" s="1">
        <v>0</v>
      </c>
      <c r="V244" s="1">
        <v>2.7763610019999998</v>
      </c>
      <c r="W244" s="1">
        <v>0</v>
      </c>
      <c r="X244" s="1">
        <v>0</v>
      </c>
      <c r="Y244" s="1">
        <v>569.01874569999995</v>
      </c>
      <c r="Z244" s="1">
        <v>0</v>
      </c>
      <c r="AA244" s="1">
        <v>197</v>
      </c>
      <c r="AB244" s="1">
        <v>1</v>
      </c>
      <c r="AC244" s="1">
        <v>30000</v>
      </c>
      <c r="AD244">
        <v>0</v>
      </c>
      <c r="AE244" t="s">
        <v>637</v>
      </c>
      <c r="AF244" s="8" cm="1">
        <f t="array" aca="1" ref="AF244" ca="1">fScore_Total("ESPN",aCols)</f>
        <v>97.186780118999991</v>
      </c>
      <c r="AG244" s="8" cm="1">
        <f t="array" aca="1" ref="AG244" ca="1">-fScore_Total("diff",aCols)</f>
        <v>0</v>
      </c>
      <c r="AH244" s="8">
        <f t="shared" ca="1" si="8"/>
        <v>97.186780118999991</v>
      </c>
      <c r="AI244" s="8" t="str">
        <f t="shared" si="7"/>
        <v>FLEX</v>
      </c>
      <c r="AJ244" s="8"/>
    </row>
    <row r="245" spans="1:36" x14ac:dyDescent="0.25">
      <c r="A245" t="s">
        <v>171</v>
      </c>
      <c r="B245" s="1" t="s">
        <v>533</v>
      </c>
      <c r="C245" s="1">
        <v>0</v>
      </c>
      <c r="D245" s="1">
        <v>0</v>
      </c>
      <c r="E245" s="1">
        <v>0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52.157705499999999</v>
      </c>
      <c r="N245" s="1">
        <v>0</v>
      </c>
      <c r="O245" s="1">
        <v>2.9648013550000001</v>
      </c>
      <c r="P245" s="1">
        <v>0</v>
      </c>
      <c r="Q245" s="1">
        <v>0</v>
      </c>
      <c r="R245" s="1">
        <v>672.16754019999996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211</v>
      </c>
      <c r="AB245" s="1">
        <v>0</v>
      </c>
      <c r="AC245" s="1">
        <v>30000</v>
      </c>
      <c r="AD245">
        <v>0</v>
      </c>
      <c r="AE245" t="s">
        <v>637</v>
      </c>
      <c r="AF245" s="8" cm="1">
        <f t="array" aca="1" ref="AF245" ca="1">fScore_Total("ESPN",aCols)</f>
        <v>111.0844149</v>
      </c>
      <c r="AG245" s="8" cm="1">
        <f t="array" aca="1" ref="AG245" ca="1">-fScore_Total("diff",aCols)</f>
        <v>0</v>
      </c>
      <c r="AH245" s="8">
        <f t="shared" ca="1" si="8"/>
        <v>111.0844149</v>
      </c>
      <c r="AI245" s="8" t="str">
        <f t="shared" si="7"/>
        <v>FLEX</v>
      </c>
      <c r="AJ245" s="8"/>
    </row>
    <row r="246" spans="1:36" x14ac:dyDescent="0.25">
      <c r="A246" t="s">
        <v>190</v>
      </c>
      <c r="B246" s="1" t="s">
        <v>532</v>
      </c>
      <c r="C246" s="1">
        <v>0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  <c r="M246" s="1">
        <v>8.809329172</v>
      </c>
      <c r="N246" s="1">
        <v>0</v>
      </c>
      <c r="O246" s="1">
        <v>0.26195182500000003</v>
      </c>
      <c r="P246" s="1">
        <v>0</v>
      </c>
      <c r="Q246" s="1">
        <v>0</v>
      </c>
      <c r="R246" s="1">
        <v>58.033025950000003</v>
      </c>
      <c r="S246" s="1">
        <v>0</v>
      </c>
      <c r="T246" s="1">
        <v>0</v>
      </c>
      <c r="U246" s="1">
        <v>0</v>
      </c>
      <c r="V246" s="1">
        <v>2.1802028529999999</v>
      </c>
      <c r="W246" s="1">
        <v>0</v>
      </c>
      <c r="X246" s="1">
        <v>0</v>
      </c>
      <c r="Y246" s="1">
        <v>345.7819609</v>
      </c>
      <c r="Z246" s="1">
        <v>0</v>
      </c>
      <c r="AA246" s="1">
        <v>344</v>
      </c>
      <c r="AB246" s="1">
        <v>0</v>
      </c>
      <c r="AC246" s="1">
        <v>30000</v>
      </c>
      <c r="AD246">
        <v>0</v>
      </c>
      <c r="AE246" t="s">
        <v>637</v>
      </c>
      <c r="AF246" s="8" cm="1">
        <f t="array" aca="1" ref="AF246" ca="1">fScore_Total("ESPN",aCols)</f>
        <v>59.439091339000001</v>
      </c>
      <c r="AG246" s="8" cm="1">
        <f t="array" aca="1" ref="AG246" ca="1">-fScore_Total("diff",aCols)</f>
        <v>0</v>
      </c>
      <c r="AH246" s="8">
        <f t="shared" ca="1" si="8"/>
        <v>59.439091339000001</v>
      </c>
      <c r="AI246" s="8" t="str">
        <f t="shared" si="7"/>
        <v>FLEX</v>
      </c>
      <c r="AJ246" s="8"/>
    </row>
    <row r="247" spans="1:36" x14ac:dyDescent="0.25">
      <c r="A247" t="s">
        <v>491</v>
      </c>
      <c r="B247" s="1">
        <v>0</v>
      </c>
      <c r="C247" s="1">
        <v>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30000</v>
      </c>
      <c r="AD247">
        <v>0</v>
      </c>
      <c r="AE247" t="s">
        <v>637</v>
      </c>
      <c r="AF247" s="8" cm="1">
        <f t="array" aca="1" ref="AF247" ca="1">fScore_Total("ESPN",aCols)</f>
        <v>0</v>
      </c>
      <c r="AG247" s="8" cm="1">
        <f t="array" aca="1" ref="AG247" ca="1">-fScore_Total("diff",aCols)</f>
        <v>0</v>
      </c>
      <c r="AH247" s="8">
        <f t="shared" ca="1" si="8"/>
        <v>0</v>
      </c>
      <c r="AI247" s="8" t="str">
        <f t="shared" si="7"/>
        <v>FLEX</v>
      </c>
      <c r="AJ247" s="8"/>
    </row>
    <row r="248" spans="1:36" x14ac:dyDescent="0.25">
      <c r="A248" t="s">
        <v>130</v>
      </c>
      <c r="B248" s="1" t="s">
        <v>532</v>
      </c>
      <c r="C248" s="1">
        <v>0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  <c r="M248" s="1">
        <v>39.381098190000003</v>
      </c>
      <c r="N248" s="1">
        <v>0</v>
      </c>
      <c r="O248" s="1">
        <v>1.1394230809999999</v>
      </c>
      <c r="P248" s="1">
        <v>0</v>
      </c>
      <c r="Q248" s="1">
        <v>0</v>
      </c>
      <c r="R248" s="1">
        <v>283.12206750000001</v>
      </c>
      <c r="S248" s="1">
        <v>0</v>
      </c>
      <c r="T248" s="1">
        <v>0</v>
      </c>
      <c r="U248" s="1">
        <v>0</v>
      </c>
      <c r="V248" s="1">
        <v>2.6427592849999999</v>
      </c>
      <c r="W248" s="1">
        <v>0</v>
      </c>
      <c r="X248" s="1">
        <v>0</v>
      </c>
      <c r="Y248" s="1">
        <v>523.36381219999998</v>
      </c>
      <c r="Z248" s="1">
        <v>0</v>
      </c>
      <c r="AA248" s="1">
        <v>183</v>
      </c>
      <c r="AB248" s="1">
        <v>1</v>
      </c>
      <c r="AC248" s="1">
        <v>40000</v>
      </c>
      <c r="AD248">
        <v>0</v>
      </c>
      <c r="AE248" t="s">
        <v>637</v>
      </c>
      <c r="AF248" s="8" cm="1">
        <f t="array" aca="1" ref="AF248" ca="1">fScore_Total("ESPN",aCols)</f>
        <v>123.03223126099999</v>
      </c>
      <c r="AG248" s="8" cm="1">
        <f t="array" aca="1" ref="AG248" ca="1">-fScore_Total("diff",aCols)</f>
        <v>0</v>
      </c>
      <c r="AH248" s="8">
        <f t="shared" ca="1" si="8"/>
        <v>123.03223126099999</v>
      </c>
      <c r="AI248" s="8" t="str">
        <f t="shared" si="7"/>
        <v>FLEX</v>
      </c>
      <c r="AJ248" s="8"/>
    </row>
    <row r="249" spans="1:36" x14ac:dyDescent="0.25">
      <c r="A249" t="s">
        <v>492</v>
      </c>
      <c r="B249" s="1" t="s">
        <v>533</v>
      </c>
      <c r="C249" s="1">
        <v>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  <c r="M249" s="1">
        <v>7.9877249670000001</v>
      </c>
      <c r="N249" s="1">
        <v>0</v>
      </c>
      <c r="O249" s="1">
        <v>0.643138447</v>
      </c>
      <c r="P249" s="1">
        <v>0</v>
      </c>
      <c r="Q249" s="1">
        <v>0</v>
      </c>
      <c r="R249" s="1">
        <v>74.274545939999996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1061</v>
      </c>
      <c r="AB249" s="1">
        <v>0</v>
      </c>
      <c r="AC249" s="1">
        <v>50000</v>
      </c>
      <c r="AD249">
        <v>0</v>
      </c>
      <c r="AE249" t="s">
        <v>637</v>
      </c>
      <c r="AF249" s="8" cm="1">
        <f t="array" aca="1" ref="AF249" ca="1">fScore_Total("ESPN",aCols)</f>
        <v>15.2801477595</v>
      </c>
      <c r="AG249" s="8" cm="1">
        <f t="array" aca="1" ref="AG249" ca="1">-fScore_Total("diff",aCols)</f>
        <v>0</v>
      </c>
      <c r="AH249" s="8">
        <f t="shared" ca="1" si="8"/>
        <v>15.2801477595</v>
      </c>
      <c r="AI249" s="8" t="str">
        <f t="shared" si="7"/>
        <v>FLEX</v>
      </c>
      <c r="AJ249" s="8"/>
    </row>
    <row r="250" spans="1:36" x14ac:dyDescent="0.25">
      <c r="A250" t="s">
        <v>239</v>
      </c>
      <c r="B250" s="1" t="s">
        <v>535</v>
      </c>
      <c r="C250" s="1">
        <v>0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  <c r="M250" s="1">
        <v>27.064213599999999</v>
      </c>
      <c r="N250" s="1">
        <v>0</v>
      </c>
      <c r="O250" s="1">
        <v>1.3035416559999999</v>
      </c>
      <c r="P250" s="1">
        <v>0</v>
      </c>
      <c r="Q250" s="1">
        <v>0</v>
      </c>
      <c r="R250" s="1">
        <v>281.93883779999999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446</v>
      </c>
      <c r="AB250" s="1">
        <v>0</v>
      </c>
      <c r="AC250" s="1">
        <v>50000</v>
      </c>
      <c r="AD250">
        <v>0</v>
      </c>
      <c r="AE250" t="s">
        <v>637</v>
      </c>
      <c r="AF250" s="8" cm="1">
        <f t="array" aca="1" ref="AF250" ca="1">fScore_Total("ESPN",aCols)</f>
        <v>49.547240516000002</v>
      </c>
      <c r="AG250" s="8" cm="1">
        <f t="array" aca="1" ref="AG250" ca="1">-fScore_Total("diff",aCols)</f>
        <v>0</v>
      </c>
      <c r="AH250" s="8">
        <f t="shared" ca="1" si="8"/>
        <v>49.547240516000002</v>
      </c>
      <c r="AI250" s="8" t="str">
        <f t="shared" si="7"/>
        <v>FLEX</v>
      </c>
      <c r="AJ250" s="8"/>
    </row>
    <row r="251" spans="1:36" x14ac:dyDescent="0.25">
      <c r="A251" t="s">
        <v>120</v>
      </c>
      <c r="B251" s="1" t="s">
        <v>532</v>
      </c>
      <c r="C251" s="1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  <c r="M251" s="1">
        <v>41.422418569999998</v>
      </c>
      <c r="N251" s="1">
        <v>0</v>
      </c>
      <c r="O251" s="1">
        <v>1.512152771</v>
      </c>
      <c r="P251" s="1">
        <v>0</v>
      </c>
      <c r="Q251" s="1">
        <v>0</v>
      </c>
      <c r="R251" s="1">
        <v>307.9105667</v>
      </c>
      <c r="S251" s="1">
        <v>0</v>
      </c>
      <c r="T251" s="1">
        <v>0</v>
      </c>
      <c r="U251" s="1">
        <v>0</v>
      </c>
      <c r="V251" s="1">
        <v>4.6564999990000002</v>
      </c>
      <c r="W251" s="1">
        <v>0</v>
      </c>
      <c r="X251" s="1">
        <v>0</v>
      </c>
      <c r="Y251" s="1">
        <v>577.03080220000004</v>
      </c>
      <c r="Z251" s="1">
        <v>0</v>
      </c>
      <c r="AA251" s="1">
        <v>123</v>
      </c>
      <c r="AB251" s="1">
        <v>2</v>
      </c>
      <c r="AC251" s="1">
        <v>0</v>
      </c>
      <c r="AD251">
        <v>0</v>
      </c>
      <c r="AE251" t="s">
        <v>637</v>
      </c>
      <c r="AF251" s="8" cm="1">
        <f t="array" aca="1" ref="AF251" ca="1">fScore_Total("ESPN",aCols)</f>
        <v>146.21726279500001</v>
      </c>
      <c r="AG251" s="8" cm="1">
        <f t="array" aca="1" ref="AG251" ca="1">-fScore_Total("diff",aCols)</f>
        <v>0</v>
      </c>
      <c r="AH251" s="8">
        <f t="shared" ca="1" si="8"/>
        <v>146.21726279500001</v>
      </c>
      <c r="AI251" s="8" t="str">
        <f t="shared" si="7"/>
        <v>FLEX</v>
      </c>
      <c r="AJ251" s="8"/>
    </row>
    <row r="252" spans="1:36" x14ac:dyDescent="0.25">
      <c r="A252" t="s">
        <v>134</v>
      </c>
      <c r="B252" s="1" t="s">
        <v>532</v>
      </c>
      <c r="C252" s="1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  <c r="M252" s="1">
        <v>27.789719770000001</v>
      </c>
      <c r="N252" s="1">
        <v>0</v>
      </c>
      <c r="O252" s="1">
        <v>1.050489064</v>
      </c>
      <c r="P252" s="1">
        <v>0</v>
      </c>
      <c r="Q252" s="1">
        <v>0</v>
      </c>
      <c r="R252" s="1">
        <v>214.15490560000001</v>
      </c>
      <c r="S252" s="1">
        <v>0</v>
      </c>
      <c r="T252" s="1">
        <v>0</v>
      </c>
      <c r="U252" s="1">
        <v>0</v>
      </c>
      <c r="V252" s="1">
        <v>3.28167798</v>
      </c>
      <c r="W252" s="1">
        <v>0</v>
      </c>
      <c r="X252" s="1">
        <v>0</v>
      </c>
      <c r="Y252" s="1">
        <v>479.06409780000001</v>
      </c>
      <c r="Z252" s="1">
        <v>0</v>
      </c>
      <c r="AA252" s="1">
        <v>188</v>
      </c>
      <c r="AB252" s="1">
        <v>1</v>
      </c>
      <c r="AC252" s="1">
        <v>0</v>
      </c>
      <c r="AD252">
        <v>0</v>
      </c>
      <c r="AE252" t="s">
        <v>637</v>
      </c>
      <c r="AF252" s="8" cm="1">
        <f t="array" aca="1" ref="AF252" ca="1">fScore_Total("ESPN",aCols)</f>
        <v>109.20976248900001</v>
      </c>
      <c r="AG252" s="8" cm="1">
        <f t="array" aca="1" ref="AG252" ca="1">-fScore_Total("diff",aCols)</f>
        <v>0</v>
      </c>
      <c r="AH252" s="8">
        <f t="shared" ca="1" si="8"/>
        <v>109.20976248900001</v>
      </c>
      <c r="AI252" s="8" t="str">
        <f t="shared" si="7"/>
        <v>FLEX</v>
      </c>
      <c r="AJ252" s="8"/>
    </row>
    <row r="253" spans="1:36" x14ac:dyDescent="0.25">
      <c r="A253" t="s">
        <v>156</v>
      </c>
      <c r="B253" s="1" t="s">
        <v>533</v>
      </c>
      <c r="C253" s="1">
        <v>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  <c r="M253" s="1">
        <v>56.398161999999999</v>
      </c>
      <c r="N253" s="1">
        <v>0</v>
      </c>
      <c r="O253" s="1">
        <v>3.3294197900000002</v>
      </c>
      <c r="P253" s="1">
        <v>0</v>
      </c>
      <c r="Q253" s="1">
        <v>0</v>
      </c>
      <c r="R253" s="1">
        <v>662.15663629999995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190</v>
      </c>
      <c r="AB253" s="1">
        <v>1</v>
      </c>
      <c r="AC253" s="1">
        <v>0</v>
      </c>
      <c r="AD253">
        <v>0</v>
      </c>
      <c r="AE253" t="s">
        <v>637</v>
      </c>
      <c r="AF253" s="8" cm="1">
        <f t="array" aca="1" ref="AF253" ca="1">fScore_Total("ESPN",aCols)</f>
        <v>114.39126336999999</v>
      </c>
      <c r="AG253" s="8" cm="1">
        <f t="array" aca="1" ref="AG253" ca="1">-fScore_Total("diff",aCols)</f>
        <v>0</v>
      </c>
      <c r="AH253" s="8">
        <f t="shared" ca="1" si="8"/>
        <v>114.39126336999999</v>
      </c>
      <c r="AI253" s="8" t="str">
        <f t="shared" si="7"/>
        <v>FLEX</v>
      </c>
      <c r="AJ253" s="8"/>
    </row>
    <row r="254" spans="1:36" x14ac:dyDescent="0.25">
      <c r="A254" t="s">
        <v>230</v>
      </c>
      <c r="B254" s="1" t="s">
        <v>532</v>
      </c>
      <c r="C254" s="1">
        <v>0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  <c r="M254" s="1">
        <v>11.357560579999999</v>
      </c>
      <c r="N254" s="1">
        <v>0</v>
      </c>
      <c r="O254" s="1">
        <v>0.39503718599999998</v>
      </c>
      <c r="P254" s="1">
        <v>0</v>
      </c>
      <c r="Q254" s="1">
        <v>0</v>
      </c>
      <c r="R254" s="1">
        <v>82.754620059999993</v>
      </c>
      <c r="S254" s="1">
        <v>0</v>
      </c>
      <c r="T254" s="1">
        <v>0</v>
      </c>
      <c r="U254" s="1">
        <v>0</v>
      </c>
      <c r="V254" s="1">
        <v>3.3578393169999998</v>
      </c>
      <c r="W254" s="1">
        <v>0</v>
      </c>
      <c r="X254" s="1">
        <v>0</v>
      </c>
      <c r="Y254" s="1">
        <v>397.02744760000002</v>
      </c>
      <c r="Z254" s="1">
        <v>0</v>
      </c>
      <c r="AA254" s="1">
        <v>198</v>
      </c>
      <c r="AB254" s="1">
        <v>1</v>
      </c>
      <c r="AC254" s="1">
        <v>0</v>
      </c>
      <c r="AD254">
        <v>0</v>
      </c>
      <c r="AE254" t="s">
        <v>637</v>
      </c>
      <c r="AF254" s="8" cm="1">
        <f t="array" aca="1" ref="AF254" ca="1">fScore_Total("ESPN",aCols)</f>
        <v>76.174246073999996</v>
      </c>
      <c r="AG254" s="8" cm="1">
        <f t="array" aca="1" ref="AG254" ca="1">-fScore_Total("diff",aCols)</f>
        <v>0</v>
      </c>
      <c r="AH254" s="8">
        <f t="shared" ca="1" si="8"/>
        <v>76.174246073999996</v>
      </c>
      <c r="AI254" s="8" t="str">
        <f t="shared" si="7"/>
        <v>FLEX</v>
      </c>
      <c r="AJ254" s="8"/>
    </row>
    <row r="255" spans="1:36" x14ac:dyDescent="0.25">
      <c r="A255" t="s">
        <v>168</v>
      </c>
      <c r="B255" s="1" t="s">
        <v>533</v>
      </c>
      <c r="C255" s="1">
        <v>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  <c r="M255" s="1">
        <v>44.176051399999999</v>
      </c>
      <c r="N255" s="1">
        <v>0</v>
      </c>
      <c r="O255" s="1">
        <v>2.387668723</v>
      </c>
      <c r="P255" s="1">
        <v>0</v>
      </c>
      <c r="Q255" s="1">
        <v>0</v>
      </c>
      <c r="R255" s="1">
        <v>570.67714430000001</v>
      </c>
      <c r="S255" s="1">
        <v>0</v>
      </c>
      <c r="T255" s="1">
        <v>0</v>
      </c>
      <c r="U255" s="1">
        <v>0</v>
      </c>
      <c r="V255" s="1">
        <v>0.47455097699999998</v>
      </c>
      <c r="W255" s="1">
        <v>0</v>
      </c>
      <c r="X255" s="1">
        <v>0</v>
      </c>
      <c r="Y255" s="1">
        <v>77.843278440000006</v>
      </c>
      <c r="Z255" s="1">
        <v>0</v>
      </c>
      <c r="AA255" s="1">
        <v>209</v>
      </c>
      <c r="AB255" s="1">
        <v>1</v>
      </c>
      <c r="AC255" s="1">
        <v>0</v>
      </c>
      <c r="AD255">
        <v>0</v>
      </c>
      <c r="AE255" t="s">
        <v>637</v>
      </c>
      <c r="AF255" s="8" cm="1">
        <f t="array" aca="1" ref="AF255" ca="1">fScore_Total("ESPN",aCols)</f>
        <v>104.113386174</v>
      </c>
      <c r="AG255" s="8" cm="1">
        <f t="array" aca="1" ref="AG255" ca="1">-fScore_Total("diff",aCols)</f>
        <v>0</v>
      </c>
      <c r="AH255" s="8">
        <f t="shared" ca="1" si="8"/>
        <v>104.113386174</v>
      </c>
      <c r="AI255" s="8" t="str">
        <f t="shared" si="7"/>
        <v>FLEX</v>
      </c>
      <c r="AJ255" s="8"/>
    </row>
    <row r="256" spans="1:36" x14ac:dyDescent="0.25">
      <c r="A256" t="s">
        <v>123</v>
      </c>
      <c r="B256" s="1" t="s">
        <v>533</v>
      </c>
      <c r="C256" s="1">
        <v>0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  <c r="M256" s="1">
        <v>63.352359890000002</v>
      </c>
      <c r="N256" s="1">
        <v>0</v>
      </c>
      <c r="O256" s="1">
        <v>4.5143897629999996</v>
      </c>
      <c r="P256" s="1">
        <v>0</v>
      </c>
      <c r="Q256" s="1">
        <v>0</v>
      </c>
      <c r="R256" s="1">
        <v>646.61673470000005</v>
      </c>
      <c r="S256" s="1">
        <v>0</v>
      </c>
      <c r="T256" s="1">
        <v>0</v>
      </c>
      <c r="U256" s="1">
        <v>0</v>
      </c>
      <c r="V256" s="1">
        <v>0.90542452799999995</v>
      </c>
      <c r="W256" s="1">
        <v>0</v>
      </c>
      <c r="X256" s="1">
        <v>0</v>
      </c>
      <c r="Y256" s="1">
        <v>64.30763528</v>
      </c>
      <c r="Z256" s="1">
        <v>0</v>
      </c>
      <c r="AA256" s="1">
        <v>179</v>
      </c>
      <c r="AB256" s="1">
        <v>1</v>
      </c>
      <c r="AC256" s="1">
        <v>0</v>
      </c>
      <c r="AD256">
        <v>0</v>
      </c>
      <c r="AE256" t="s">
        <v>637</v>
      </c>
      <c r="AF256" s="8" cm="1">
        <f t="array" aca="1" ref="AF256" ca="1">fScore_Total("ESPN",aCols)</f>
        <v>135.28750268900001</v>
      </c>
      <c r="AG256" s="8" cm="1">
        <f t="array" aca="1" ref="AG256" ca="1">-fScore_Total("diff",aCols)</f>
        <v>0</v>
      </c>
      <c r="AH256" s="8">
        <f t="shared" ca="1" si="8"/>
        <v>135.28750268900001</v>
      </c>
      <c r="AI256" s="8" t="str">
        <f t="shared" si="7"/>
        <v>FLEX</v>
      </c>
      <c r="AJ256" s="8"/>
    </row>
    <row r="257" spans="1:36" x14ac:dyDescent="0.25">
      <c r="A257" t="s">
        <v>132</v>
      </c>
      <c r="B257" s="1" t="s">
        <v>532</v>
      </c>
      <c r="C257" s="1">
        <v>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  <c r="J257" s="1">
        <v>0</v>
      </c>
      <c r="K257" s="1">
        <v>0</v>
      </c>
      <c r="L257" s="1">
        <v>0</v>
      </c>
      <c r="M257" s="1">
        <v>39.904701930000002</v>
      </c>
      <c r="N257" s="1">
        <v>0</v>
      </c>
      <c r="O257" s="1">
        <v>1.2035849869999999</v>
      </c>
      <c r="P257" s="1">
        <v>0</v>
      </c>
      <c r="Q257" s="1">
        <v>0</v>
      </c>
      <c r="R257" s="1">
        <v>273.26695890000002</v>
      </c>
      <c r="S257" s="1">
        <v>0</v>
      </c>
      <c r="T257" s="1">
        <v>0</v>
      </c>
      <c r="U257" s="1">
        <v>0</v>
      </c>
      <c r="V257" s="1">
        <v>2.607957377</v>
      </c>
      <c r="W257" s="1">
        <v>0</v>
      </c>
      <c r="X257" s="1">
        <v>0</v>
      </c>
      <c r="Y257" s="1">
        <v>472.71854380000002</v>
      </c>
      <c r="Z257" s="1">
        <v>0</v>
      </c>
      <c r="AA257" s="1">
        <v>154</v>
      </c>
      <c r="AB257" s="1">
        <v>1</v>
      </c>
      <c r="AC257" s="1">
        <v>0</v>
      </c>
      <c r="AD257">
        <v>0</v>
      </c>
      <c r="AE257" t="s">
        <v>637</v>
      </c>
      <c r="AF257" s="8" cm="1">
        <f t="array" aca="1" ref="AF257" ca="1">fScore_Total("ESPN",aCols)</f>
        <v>117.42015541900001</v>
      </c>
      <c r="AG257" s="8" cm="1">
        <f t="array" aca="1" ref="AG257" ca="1">-fScore_Total("diff",aCols)</f>
        <v>0</v>
      </c>
      <c r="AH257" s="8">
        <f t="shared" ca="1" si="8"/>
        <v>117.42015541900001</v>
      </c>
      <c r="AI257" s="8" t="str">
        <f t="shared" si="7"/>
        <v>FLEX</v>
      </c>
      <c r="AJ257" s="8"/>
    </row>
    <row r="258" spans="1:36" x14ac:dyDescent="0.25">
      <c r="A258" t="s">
        <v>126</v>
      </c>
      <c r="B258" s="1" t="s">
        <v>533</v>
      </c>
      <c r="C258" s="1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55.686505619999998</v>
      </c>
      <c r="N258" s="1">
        <v>0</v>
      </c>
      <c r="O258" s="1">
        <v>5.6055465680000003</v>
      </c>
      <c r="P258" s="1">
        <v>0</v>
      </c>
      <c r="Q258" s="1">
        <v>0</v>
      </c>
      <c r="R258" s="1">
        <v>809.60145609999995</v>
      </c>
      <c r="S258" s="1">
        <v>0</v>
      </c>
      <c r="T258" s="1">
        <v>0</v>
      </c>
      <c r="U258" s="1">
        <v>0</v>
      </c>
      <c r="V258" s="1">
        <v>0.277878034</v>
      </c>
      <c r="W258" s="1">
        <v>0</v>
      </c>
      <c r="X258" s="1">
        <v>0</v>
      </c>
      <c r="Y258" s="1">
        <v>25.22295471</v>
      </c>
      <c r="Z258" s="1">
        <v>0</v>
      </c>
      <c r="AA258" s="1">
        <v>158</v>
      </c>
      <c r="AB258" s="1">
        <v>1</v>
      </c>
      <c r="AC258" s="1">
        <v>0</v>
      </c>
      <c r="AD258">
        <v>0</v>
      </c>
      <c r="AE258" t="s">
        <v>637</v>
      </c>
      <c r="AF258" s="8" cm="1">
        <f t="array" aca="1" ref="AF258" ca="1">fScore_Total("ESPN",aCols)</f>
        <v>146.62624150300002</v>
      </c>
      <c r="AG258" s="8" cm="1">
        <f t="array" aca="1" ref="AG258" ca="1">-fScore_Total("diff",aCols)</f>
        <v>0</v>
      </c>
      <c r="AH258" s="8">
        <f t="shared" ca="1" si="8"/>
        <v>146.62624150300002</v>
      </c>
      <c r="AI258" s="8" t="str">
        <f t="shared" si="7"/>
        <v>FLEX</v>
      </c>
      <c r="AJ258" s="8"/>
    </row>
    <row r="259" spans="1:36" x14ac:dyDescent="0.25">
      <c r="A259" t="s">
        <v>129</v>
      </c>
      <c r="B259" s="1" t="s">
        <v>533</v>
      </c>
      <c r="C259" s="1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  <c r="M259" s="1">
        <v>59.63196851</v>
      </c>
      <c r="N259" s="1">
        <v>0</v>
      </c>
      <c r="O259" s="1">
        <v>3.2181949909999998</v>
      </c>
      <c r="P259" s="1">
        <v>0</v>
      </c>
      <c r="Q259" s="1">
        <v>0</v>
      </c>
      <c r="R259" s="1">
        <v>779.94133179999994</v>
      </c>
      <c r="S259" s="1">
        <v>0</v>
      </c>
      <c r="T259" s="1">
        <v>0</v>
      </c>
      <c r="U259" s="1">
        <v>0</v>
      </c>
      <c r="V259" s="1">
        <v>0.326192592</v>
      </c>
      <c r="W259" s="1">
        <v>0</v>
      </c>
      <c r="X259" s="1">
        <v>0</v>
      </c>
      <c r="Y259" s="1">
        <v>69.777579500000002</v>
      </c>
      <c r="Z259" s="1">
        <v>0</v>
      </c>
      <c r="AA259" s="1">
        <v>159</v>
      </c>
      <c r="AB259" s="1">
        <v>1</v>
      </c>
      <c r="AC259" s="1">
        <v>0</v>
      </c>
      <c r="AD259">
        <v>0</v>
      </c>
      <c r="AE259" t="s">
        <v>637</v>
      </c>
      <c r="AF259" s="8" cm="1">
        <f t="array" aca="1" ref="AF259" ca="1">fScore_Total("ESPN",aCols)</f>
        <v>136.05420088300002</v>
      </c>
      <c r="AG259" s="8" cm="1">
        <f t="array" aca="1" ref="AG259" ca="1">-fScore_Total("diff",aCols)</f>
        <v>0</v>
      </c>
      <c r="AH259" s="8">
        <f t="shared" ca="1" si="8"/>
        <v>136.05420088300002</v>
      </c>
      <c r="AI259" s="8" t="str">
        <f t="shared" ref="AI259:AI322" si="9">IF(B259="QB","QB","FLEX")</f>
        <v>FLEX</v>
      </c>
      <c r="AJ259" s="8"/>
    </row>
    <row r="260" spans="1:36" x14ac:dyDescent="0.25">
      <c r="A260" t="s">
        <v>124</v>
      </c>
      <c r="B260" s="1" t="s">
        <v>532</v>
      </c>
      <c r="C260" s="1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27.980540449999999</v>
      </c>
      <c r="N260" s="1">
        <v>0</v>
      </c>
      <c r="O260" s="1">
        <v>0.99710482</v>
      </c>
      <c r="P260" s="1">
        <v>0</v>
      </c>
      <c r="Q260" s="1">
        <v>0</v>
      </c>
      <c r="R260" s="1">
        <v>211.96286559999999</v>
      </c>
      <c r="S260" s="1">
        <v>0</v>
      </c>
      <c r="T260" s="1">
        <v>0</v>
      </c>
      <c r="U260" s="1">
        <v>0</v>
      </c>
      <c r="V260" s="1">
        <v>4.8997076030000004</v>
      </c>
      <c r="W260" s="1">
        <v>0</v>
      </c>
      <c r="X260" s="1">
        <v>0</v>
      </c>
      <c r="Y260" s="1">
        <v>567.11973550000005</v>
      </c>
      <c r="Z260" s="1">
        <v>0</v>
      </c>
      <c r="AA260" s="1">
        <v>152</v>
      </c>
      <c r="AB260" s="1">
        <v>1</v>
      </c>
      <c r="AC260" s="1">
        <v>0</v>
      </c>
      <c r="AD260">
        <v>0</v>
      </c>
      <c r="AE260" t="s">
        <v>637</v>
      </c>
      <c r="AF260" s="8" cm="1">
        <f t="array" aca="1" ref="AF260" ca="1">fScore_Total("ESPN",aCols)</f>
        <v>127.27940487300002</v>
      </c>
      <c r="AG260" s="8" cm="1">
        <f t="array" aca="1" ref="AG260" ca="1">-fScore_Total("diff",aCols)</f>
        <v>0</v>
      </c>
      <c r="AH260" s="8">
        <f t="shared" ca="1" si="8"/>
        <v>127.27940487300002</v>
      </c>
      <c r="AI260" s="8" t="str">
        <f t="shared" si="9"/>
        <v>FLEX</v>
      </c>
      <c r="AJ260" s="8"/>
    </row>
    <row r="261" spans="1:36" x14ac:dyDescent="0.25">
      <c r="A261" t="s">
        <v>155</v>
      </c>
      <c r="B261" s="1" t="s">
        <v>535</v>
      </c>
      <c r="C261" s="1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  <c r="M261" s="1">
        <v>52.858953900000003</v>
      </c>
      <c r="N261" s="1">
        <v>0</v>
      </c>
      <c r="O261" s="1">
        <v>3.825343508</v>
      </c>
      <c r="P261" s="1">
        <v>0</v>
      </c>
      <c r="Q261" s="1">
        <v>0</v>
      </c>
      <c r="R261" s="1">
        <v>528.96723950000001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174</v>
      </c>
      <c r="AB261" s="1">
        <v>1</v>
      </c>
      <c r="AC261" s="1">
        <v>0</v>
      </c>
      <c r="AD261">
        <v>0</v>
      </c>
      <c r="AE261" t="s">
        <v>637</v>
      </c>
      <c r="AF261" s="8" cm="1">
        <f t="array" aca="1" ref="AF261" ca="1">fScore_Total("ESPN",aCols)</f>
        <v>102.27826194799999</v>
      </c>
      <c r="AG261" s="8" cm="1">
        <f t="array" aca="1" ref="AG261" ca="1">-fScore_Total("diff",aCols)</f>
        <v>0</v>
      </c>
      <c r="AH261" s="8">
        <f t="shared" ca="1" si="8"/>
        <v>102.27826194799999</v>
      </c>
      <c r="AI261" s="8" t="str">
        <f t="shared" si="9"/>
        <v>FLEX</v>
      </c>
      <c r="AJ261" s="8"/>
    </row>
    <row r="262" spans="1:36" x14ac:dyDescent="0.25">
      <c r="A262" t="s">
        <v>445</v>
      </c>
      <c r="B262" s="1" t="s">
        <v>533</v>
      </c>
      <c r="C262" s="1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  <c r="M262" s="1">
        <v>7.6692997869999999</v>
      </c>
      <c r="N262" s="1">
        <v>0</v>
      </c>
      <c r="O262" s="1">
        <v>0.39366701500000001</v>
      </c>
      <c r="P262" s="1">
        <v>0</v>
      </c>
      <c r="Q262" s="1">
        <v>0</v>
      </c>
      <c r="R262" s="1">
        <v>76.662023039999994</v>
      </c>
      <c r="S262" s="1">
        <v>0</v>
      </c>
      <c r="T262" s="1">
        <v>0</v>
      </c>
      <c r="U262" s="1">
        <v>0</v>
      </c>
      <c r="V262" s="1">
        <v>0.33377845900000003</v>
      </c>
      <c r="W262" s="1">
        <v>0</v>
      </c>
      <c r="X262" s="1">
        <v>0</v>
      </c>
      <c r="Y262" s="1">
        <v>45.374989489999997</v>
      </c>
      <c r="Z262" s="1">
        <v>0</v>
      </c>
      <c r="AA262" s="1">
        <v>1051</v>
      </c>
      <c r="AB262" s="1">
        <v>0</v>
      </c>
      <c r="AC262" s="1">
        <v>0</v>
      </c>
      <c r="AD262">
        <v>0</v>
      </c>
      <c r="AE262" t="s">
        <v>637</v>
      </c>
      <c r="AF262" s="8" cm="1">
        <f t="array" aca="1" ref="AF262" ca="1">fScore_Total("ESPN",aCols)</f>
        <v>20.403023990499999</v>
      </c>
      <c r="AG262" s="8" cm="1">
        <f t="array" aca="1" ref="AG262" ca="1">-fScore_Total("diff",aCols)</f>
        <v>0</v>
      </c>
      <c r="AH262" s="8">
        <f t="shared" ref="AH262:AH325" ca="1" si="10">+AF262+AG262</f>
        <v>20.403023990499999</v>
      </c>
      <c r="AI262" s="8" t="str">
        <f t="shared" si="9"/>
        <v>FLEX</v>
      </c>
      <c r="AJ262" s="8"/>
    </row>
    <row r="263" spans="1:36" x14ac:dyDescent="0.25">
      <c r="A263" t="s">
        <v>331</v>
      </c>
      <c r="B263" s="1" t="s">
        <v>533</v>
      </c>
      <c r="C263" s="1">
        <v>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8.2777108039999998</v>
      </c>
      <c r="N263" s="1">
        <v>0</v>
      </c>
      <c r="O263" s="1">
        <v>0.64971712599999998</v>
      </c>
      <c r="P263" s="1">
        <v>0</v>
      </c>
      <c r="Q263" s="1">
        <v>0</v>
      </c>
      <c r="R263" s="1">
        <v>101.858565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1056</v>
      </c>
      <c r="AB263" s="1">
        <v>0</v>
      </c>
      <c r="AC263" s="1">
        <v>0</v>
      </c>
      <c r="AD263">
        <v>0</v>
      </c>
      <c r="AE263" t="s">
        <v>637</v>
      </c>
      <c r="AF263" s="8" cm="1">
        <f t="array" aca="1" ref="AF263" ca="1">fScore_Total("ESPN",aCols)</f>
        <v>18.223014658</v>
      </c>
      <c r="AG263" s="8" cm="1">
        <f t="array" aca="1" ref="AG263" ca="1">-fScore_Total("diff",aCols)</f>
        <v>0</v>
      </c>
      <c r="AH263" s="8">
        <f t="shared" ca="1" si="10"/>
        <v>18.223014658</v>
      </c>
      <c r="AI263" s="8" t="str">
        <f t="shared" si="9"/>
        <v>FLEX</v>
      </c>
      <c r="AJ263" s="8"/>
    </row>
    <row r="264" spans="1:36" x14ac:dyDescent="0.25">
      <c r="A264" t="s">
        <v>328</v>
      </c>
      <c r="B264" s="1" t="s">
        <v>535</v>
      </c>
      <c r="C264" s="1">
        <v>0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  <c r="J264" s="1">
        <v>0</v>
      </c>
      <c r="K264" s="1">
        <v>0</v>
      </c>
      <c r="L264" s="1">
        <v>0</v>
      </c>
      <c r="M264" s="1">
        <v>10.010460119999999</v>
      </c>
      <c r="N264" s="1">
        <v>0</v>
      </c>
      <c r="O264" s="1">
        <v>0.72544415699999998</v>
      </c>
      <c r="P264" s="1">
        <v>0</v>
      </c>
      <c r="Q264" s="1">
        <v>0</v>
      </c>
      <c r="R264" s="1">
        <v>101.0904761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1054</v>
      </c>
      <c r="AB264" s="1">
        <v>0</v>
      </c>
      <c r="AC264" s="1">
        <v>0</v>
      </c>
      <c r="AD264">
        <v>0</v>
      </c>
      <c r="AE264" t="s">
        <v>637</v>
      </c>
      <c r="AF264" s="8" cm="1">
        <f t="array" aca="1" ref="AF264" ca="1">fScore_Total("ESPN",aCols)</f>
        <v>19.466942612</v>
      </c>
      <c r="AG264" s="8" cm="1">
        <f t="array" aca="1" ref="AG264" ca="1">-fScore_Total("diff",aCols)</f>
        <v>0</v>
      </c>
      <c r="AH264" s="8">
        <f t="shared" ca="1" si="10"/>
        <v>19.466942612</v>
      </c>
      <c r="AI264" s="8" t="str">
        <f t="shared" si="9"/>
        <v>FLEX</v>
      </c>
      <c r="AJ264" s="8"/>
    </row>
    <row r="265" spans="1:36" x14ac:dyDescent="0.25">
      <c r="A265" t="s">
        <v>326</v>
      </c>
      <c r="B265" s="1" t="s">
        <v>532</v>
      </c>
      <c r="C265" s="1">
        <v>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12.97668223</v>
      </c>
      <c r="N265" s="1">
        <v>0</v>
      </c>
      <c r="O265" s="1">
        <v>0.45479973699999998</v>
      </c>
      <c r="P265" s="1">
        <v>0</v>
      </c>
      <c r="Q265" s="1">
        <v>0</v>
      </c>
      <c r="R265" s="1">
        <v>95.134805830000005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1053</v>
      </c>
      <c r="AB265" s="1">
        <v>0</v>
      </c>
      <c r="AC265" s="1">
        <v>0</v>
      </c>
      <c r="AD265">
        <v>0</v>
      </c>
      <c r="AE265" t="s">
        <v>637</v>
      </c>
      <c r="AF265" s="8" cm="1">
        <f t="array" aca="1" ref="AF265" ca="1">fScore_Total("ESPN",aCols)</f>
        <v>18.730620120000001</v>
      </c>
      <c r="AG265" s="8" cm="1">
        <f t="array" aca="1" ref="AG265" ca="1">-fScore_Total("diff",aCols)</f>
        <v>0</v>
      </c>
      <c r="AH265" s="8">
        <f t="shared" ca="1" si="10"/>
        <v>18.730620120000001</v>
      </c>
      <c r="AI265" s="8" t="str">
        <f t="shared" si="9"/>
        <v>FLEX</v>
      </c>
      <c r="AJ265" s="8"/>
    </row>
    <row r="266" spans="1:36" x14ac:dyDescent="0.25">
      <c r="A266" t="s">
        <v>338</v>
      </c>
      <c r="B266" s="1" t="s">
        <v>535</v>
      </c>
      <c r="C266" s="1">
        <v>0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11.05726278</v>
      </c>
      <c r="N266" s="1">
        <v>0</v>
      </c>
      <c r="O266" s="1">
        <v>0.74769259700000001</v>
      </c>
      <c r="P266" s="1">
        <v>0</v>
      </c>
      <c r="Q266" s="1">
        <v>0</v>
      </c>
      <c r="R266" s="1">
        <v>116.8913143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1048</v>
      </c>
      <c r="AB266" s="1">
        <v>0</v>
      </c>
      <c r="AC266" s="1">
        <v>0</v>
      </c>
      <c r="AD266">
        <v>0</v>
      </c>
      <c r="AE266" t="s">
        <v>637</v>
      </c>
      <c r="AF266" s="8" cm="1">
        <f t="array" aca="1" ref="AF266" ca="1">fScore_Total("ESPN",aCols)</f>
        <v>21.703918401999999</v>
      </c>
      <c r="AG266" s="8" cm="1">
        <f t="array" aca="1" ref="AG266" ca="1">-fScore_Total("diff",aCols)</f>
        <v>0</v>
      </c>
      <c r="AH266" s="8">
        <f t="shared" ca="1" si="10"/>
        <v>21.703918401999999</v>
      </c>
      <c r="AI266" s="8" t="str">
        <f t="shared" si="9"/>
        <v>FLEX</v>
      </c>
      <c r="AJ266" s="8"/>
    </row>
    <row r="267" spans="1:36" x14ac:dyDescent="0.25">
      <c r="A267" t="s">
        <v>342</v>
      </c>
      <c r="B267" s="1" t="s">
        <v>535</v>
      </c>
      <c r="C267" s="1">
        <v>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1">
        <v>0</v>
      </c>
      <c r="K267" s="1">
        <v>0</v>
      </c>
      <c r="L267" s="1">
        <v>0</v>
      </c>
      <c r="M267" s="1">
        <v>10.65930227</v>
      </c>
      <c r="N267" s="1">
        <v>0</v>
      </c>
      <c r="O267" s="1">
        <v>0.81047161099999998</v>
      </c>
      <c r="P267" s="1">
        <v>0</v>
      </c>
      <c r="Q267" s="1">
        <v>0</v>
      </c>
      <c r="R267" s="1">
        <v>104.1347044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1050</v>
      </c>
      <c r="AB267" s="1">
        <v>0</v>
      </c>
      <c r="AC267" s="1">
        <v>0</v>
      </c>
      <c r="AD267">
        <v>0</v>
      </c>
      <c r="AE267" t="s">
        <v>637</v>
      </c>
      <c r="AF267" s="8" cm="1">
        <f t="array" aca="1" ref="AF267" ca="1">fScore_Total("ESPN",aCols)</f>
        <v>20.605951241</v>
      </c>
      <c r="AG267" s="8" cm="1">
        <f t="array" aca="1" ref="AG267" ca="1">-fScore_Total("diff",aCols)</f>
        <v>0</v>
      </c>
      <c r="AH267" s="8">
        <f t="shared" ca="1" si="10"/>
        <v>20.605951241</v>
      </c>
      <c r="AI267" s="8" t="str">
        <f t="shared" si="9"/>
        <v>FLEX</v>
      </c>
      <c r="AJ267" s="8"/>
    </row>
    <row r="268" spans="1:36" x14ac:dyDescent="0.25">
      <c r="A268" t="s">
        <v>324</v>
      </c>
      <c r="B268" s="1" t="s">
        <v>533</v>
      </c>
      <c r="C268" s="1">
        <v>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1">
        <v>0</v>
      </c>
      <c r="K268" s="1">
        <v>0</v>
      </c>
      <c r="L268" s="1">
        <v>0</v>
      </c>
      <c r="M268" s="1">
        <v>10.49005874</v>
      </c>
      <c r="N268" s="1">
        <v>0</v>
      </c>
      <c r="O268" s="1">
        <v>0.61691923000000004</v>
      </c>
      <c r="P268" s="1">
        <v>0</v>
      </c>
      <c r="Q268" s="1">
        <v>0</v>
      </c>
      <c r="R268" s="1">
        <v>122.2066423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1049</v>
      </c>
      <c r="AB268" s="1">
        <v>0</v>
      </c>
      <c r="AC268" s="1">
        <v>0</v>
      </c>
      <c r="AD268">
        <v>0</v>
      </c>
      <c r="AE268" t="s">
        <v>637</v>
      </c>
      <c r="AF268" s="8" cm="1">
        <f t="array" aca="1" ref="AF268" ca="1">fScore_Total("ESPN",aCols)</f>
        <v>21.167208980000002</v>
      </c>
      <c r="AG268" s="8" cm="1">
        <f t="array" aca="1" ref="AG268" ca="1">-fScore_Total("diff",aCols)</f>
        <v>0</v>
      </c>
      <c r="AH268" s="8">
        <f t="shared" ca="1" si="10"/>
        <v>21.167208980000002</v>
      </c>
      <c r="AI268" s="8" t="str">
        <f t="shared" si="9"/>
        <v>FLEX</v>
      </c>
      <c r="AJ268" s="8"/>
    </row>
    <row r="269" spans="1:36" x14ac:dyDescent="0.25">
      <c r="A269" t="s">
        <v>552</v>
      </c>
      <c r="B269" s="1" t="s">
        <v>534</v>
      </c>
      <c r="C269" s="1">
        <v>0</v>
      </c>
      <c r="D269" s="1">
        <v>1.754032856</v>
      </c>
      <c r="E269" s="1">
        <v>0</v>
      </c>
      <c r="F269" s="1">
        <v>0</v>
      </c>
      <c r="G269" s="1">
        <v>2.4526078240000002</v>
      </c>
      <c r="H269" s="1">
        <v>0</v>
      </c>
      <c r="I269" s="1">
        <v>0</v>
      </c>
      <c r="J269" s="1">
        <v>471.17319889999999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0.16630605400000001</v>
      </c>
      <c r="W269" s="1">
        <v>0</v>
      </c>
      <c r="X269" s="1">
        <v>0</v>
      </c>
      <c r="Y269" s="1">
        <v>19.17012914</v>
      </c>
      <c r="Z269" s="1">
        <v>0</v>
      </c>
      <c r="AA269" s="1">
        <v>1047</v>
      </c>
      <c r="AB269" s="1">
        <v>0</v>
      </c>
      <c r="AC269" s="1">
        <v>0</v>
      </c>
      <c r="AD269">
        <v>0</v>
      </c>
      <c r="AE269" t="s">
        <v>637</v>
      </c>
      <c r="AF269" s="8" cm="1">
        <f t="array" aca="1" ref="AF269" ca="1">fScore_Total("ESPN",aCols)</f>
        <v>28.064142778000001</v>
      </c>
      <c r="AG269" s="8" cm="1">
        <f t="array" aca="1" ref="AG269" ca="1">-fScore_Total("diff",aCols)</f>
        <v>0</v>
      </c>
      <c r="AH269" s="8">
        <f t="shared" ca="1" si="10"/>
        <v>28.064142778000001</v>
      </c>
      <c r="AI269" s="8" t="str">
        <f t="shared" si="9"/>
        <v>QB</v>
      </c>
      <c r="AJ269" s="8" t="s">
        <v>641</v>
      </c>
    </row>
    <row r="270" spans="1:36" x14ac:dyDescent="0.25">
      <c r="A270" t="s">
        <v>321</v>
      </c>
      <c r="B270" s="1" t="s">
        <v>533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9.9626074429999996</v>
      </c>
      <c r="N270" s="1">
        <v>0</v>
      </c>
      <c r="O270" s="1">
        <v>0.89765922600000003</v>
      </c>
      <c r="P270" s="1">
        <v>0</v>
      </c>
      <c r="Q270" s="1">
        <v>0</v>
      </c>
      <c r="R270" s="1">
        <v>122.2969966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1046</v>
      </c>
      <c r="AB270" s="1">
        <v>0</v>
      </c>
      <c r="AC270" s="1">
        <v>0</v>
      </c>
      <c r="AD270">
        <v>0</v>
      </c>
      <c r="AE270" t="s">
        <v>637</v>
      </c>
      <c r="AF270" s="8" cm="1">
        <f t="array" aca="1" ref="AF270" ca="1">fScore_Total("ESPN",aCols)</f>
        <v>22.596958737500003</v>
      </c>
      <c r="AG270" s="8" cm="1">
        <f t="array" aca="1" ref="AG270" ca="1">-fScore_Total("diff",aCols)</f>
        <v>0</v>
      </c>
      <c r="AH270" s="8">
        <f t="shared" ca="1" si="10"/>
        <v>22.596958737500003</v>
      </c>
      <c r="AI270" s="8" t="str">
        <f t="shared" si="9"/>
        <v>FLEX</v>
      </c>
      <c r="AJ270" s="8"/>
    </row>
    <row r="271" spans="1:36" x14ac:dyDescent="0.25">
      <c r="A271" t="s">
        <v>320</v>
      </c>
      <c r="B271" s="1" t="s">
        <v>535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12.16892874</v>
      </c>
      <c r="N271" s="1">
        <v>0</v>
      </c>
      <c r="O271" s="1">
        <v>0.56539584399999998</v>
      </c>
      <c r="P271" s="1">
        <v>0</v>
      </c>
      <c r="Q271" s="1">
        <v>0</v>
      </c>
      <c r="R271" s="1">
        <v>122.4511708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1045</v>
      </c>
      <c r="AB271" s="1">
        <v>0</v>
      </c>
      <c r="AC271" s="1">
        <v>0</v>
      </c>
      <c r="AD271">
        <v>0</v>
      </c>
      <c r="AE271" t="s">
        <v>637</v>
      </c>
      <c r="AF271" s="8" cm="1">
        <f t="array" aca="1" ref="AF271" ca="1">fScore_Total("ESPN",aCols)</f>
        <v>21.721956513999999</v>
      </c>
      <c r="AG271" s="8" cm="1">
        <f t="array" aca="1" ref="AG271" ca="1">-fScore_Total("diff",aCols)</f>
        <v>0</v>
      </c>
      <c r="AH271" s="8">
        <f t="shared" ca="1" si="10"/>
        <v>21.721956513999999</v>
      </c>
      <c r="AI271" s="8" t="str">
        <f t="shared" si="9"/>
        <v>FLEX</v>
      </c>
      <c r="AJ271" s="8"/>
    </row>
    <row r="272" spans="1:36" x14ac:dyDescent="0.25">
      <c r="A272" t="s">
        <v>337</v>
      </c>
      <c r="B272" s="1" t="s">
        <v>533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8.6712676420000001</v>
      </c>
      <c r="N272" s="1">
        <v>0</v>
      </c>
      <c r="O272" s="1">
        <v>0.82345680499999996</v>
      </c>
      <c r="P272" s="1">
        <v>0</v>
      </c>
      <c r="Q272" s="1">
        <v>0</v>
      </c>
      <c r="R272" s="1">
        <v>141.82971989999999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1044</v>
      </c>
      <c r="AB272" s="1">
        <v>0</v>
      </c>
      <c r="AC272" s="1">
        <v>0</v>
      </c>
      <c r="AD272">
        <v>0</v>
      </c>
      <c r="AE272" t="s">
        <v>637</v>
      </c>
      <c r="AF272" s="8" cm="1">
        <f t="array" aca="1" ref="AF272" ca="1">fScore_Total("ESPN",aCols)</f>
        <v>23.459346640999996</v>
      </c>
      <c r="AG272" s="8" cm="1">
        <f t="array" aca="1" ref="AG272" ca="1">-fScore_Total("diff",aCols)</f>
        <v>0</v>
      </c>
      <c r="AH272" s="8">
        <f t="shared" ca="1" si="10"/>
        <v>23.459346640999996</v>
      </c>
      <c r="AI272" s="8" t="str">
        <f t="shared" si="9"/>
        <v>FLEX</v>
      </c>
      <c r="AJ272" s="8"/>
    </row>
    <row r="273" spans="1:36" x14ac:dyDescent="0.25">
      <c r="A273" t="s">
        <v>319</v>
      </c>
      <c r="B273" s="1" t="s">
        <v>533</v>
      </c>
      <c r="C273" s="1">
        <v>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  <c r="M273" s="1">
        <v>9.8912160700000005</v>
      </c>
      <c r="N273" s="1">
        <v>0</v>
      </c>
      <c r="O273" s="1">
        <v>0.79651844100000002</v>
      </c>
      <c r="P273" s="1">
        <v>0</v>
      </c>
      <c r="Q273" s="1">
        <v>0</v>
      </c>
      <c r="R273" s="1">
        <v>115.0619993</v>
      </c>
      <c r="S273" s="1">
        <v>0</v>
      </c>
      <c r="T273" s="1">
        <v>0</v>
      </c>
      <c r="U273" s="1">
        <v>0</v>
      </c>
      <c r="V273" s="1">
        <v>7.8501324999999997E-2</v>
      </c>
      <c r="W273" s="1">
        <v>0</v>
      </c>
      <c r="X273" s="1">
        <v>0</v>
      </c>
      <c r="Y273" s="1">
        <v>12.67544286</v>
      </c>
      <c r="Z273" s="1">
        <v>0</v>
      </c>
      <c r="AA273" s="1">
        <v>1043</v>
      </c>
      <c r="AB273" s="1">
        <v>0</v>
      </c>
      <c r="AC273" s="1">
        <v>0</v>
      </c>
      <c r="AD273">
        <v>0</v>
      </c>
      <c r="AE273" t="s">
        <v>637</v>
      </c>
      <c r="AF273" s="8" cm="1">
        <f t="array" aca="1" ref="AF273" ca="1">fScore_Total("ESPN",aCols)</f>
        <v>22.969470847</v>
      </c>
      <c r="AG273" s="8" cm="1">
        <f t="array" aca="1" ref="AG273" ca="1">-fScore_Total("diff",aCols)</f>
        <v>0</v>
      </c>
      <c r="AH273" s="8">
        <f t="shared" ca="1" si="10"/>
        <v>22.969470847</v>
      </c>
      <c r="AI273" s="8" t="str">
        <f t="shared" si="9"/>
        <v>FLEX</v>
      </c>
      <c r="AJ273" s="8"/>
    </row>
    <row r="274" spans="1:36" x14ac:dyDescent="0.25">
      <c r="A274" t="s">
        <v>310</v>
      </c>
      <c r="B274" s="1" t="s">
        <v>533</v>
      </c>
      <c r="C274" s="1">
        <v>0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  <c r="M274" s="1">
        <v>7.3887353730000003</v>
      </c>
      <c r="N274" s="1">
        <v>0</v>
      </c>
      <c r="O274" s="1">
        <v>0.65016469899999996</v>
      </c>
      <c r="P274" s="1">
        <v>0</v>
      </c>
      <c r="Q274" s="1">
        <v>0</v>
      </c>
      <c r="R274" s="1">
        <v>84.53005512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1060</v>
      </c>
      <c r="AB274" s="1">
        <v>0</v>
      </c>
      <c r="AC274" s="1">
        <v>0</v>
      </c>
      <c r="AD274">
        <v>0</v>
      </c>
      <c r="AE274" t="s">
        <v>637</v>
      </c>
      <c r="AF274" s="8" cm="1">
        <f t="array" aca="1" ref="AF274" ca="1">fScore_Total("ESPN",aCols)</f>
        <v>16.048361392499999</v>
      </c>
      <c r="AG274" s="8" cm="1">
        <f t="array" aca="1" ref="AG274" ca="1">-fScore_Total("diff",aCols)</f>
        <v>0</v>
      </c>
      <c r="AH274" s="8">
        <f t="shared" ca="1" si="10"/>
        <v>16.048361392499999</v>
      </c>
      <c r="AI274" s="8" t="str">
        <f t="shared" si="9"/>
        <v>FLEX</v>
      </c>
      <c r="AJ274" s="8"/>
    </row>
    <row r="275" spans="1:36" x14ac:dyDescent="0.25">
      <c r="A275" t="s">
        <v>334</v>
      </c>
      <c r="B275" s="1" t="s">
        <v>535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8.0220226110000006</v>
      </c>
      <c r="N275" s="1">
        <v>0</v>
      </c>
      <c r="O275" s="1">
        <v>0.66386637000000004</v>
      </c>
      <c r="P275" s="1">
        <v>0</v>
      </c>
      <c r="Q275" s="1">
        <v>0</v>
      </c>
      <c r="R275" s="1">
        <v>77.991205289999996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1059</v>
      </c>
      <c r="AB275" s="1">
        <v>0</v>
      </c>
      <c r="AC275" s="1">
        <v>0</v>
      </c>
      <c r="AD275">
        <v>0</v>
      </c>
      <c r="AE275" t="s">
        <v>637</v>
      </c>
      <c r="AF275" s="8" cm="1">
        <f t="array" aca="1" ref="AF275" ca="1">fScore_Total("ESPN",aCols)</f>
        <v>15.7933300545</v>
      </c>
      <c r="AG275" s="8" cm="1">
        <f t="array" aca="1" ref="AG275" ca="1">-fScore_Total("diff",aCols)</f>
        <v>0</v>
      </c>
      <c r="AH275" s="8">
        <f t="shared" ca="1" si="10"/>
        <v>15.7933300545</v>
      </c>
      <c r="AI275" s="8" t="str">
        <f t="shared" si="9"/>
        <v>FLEX</v>
      </c>
      <c r="AJ275" s="8"/>
    </row>
    <row r="276" spans="1:36" x14ac:dyDescent="0.25">
      <c r="A276" t="s">
        <v>381</v>
      </c>
      <c r="B276" s="1" t="s">
        <v>535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  <c r="M276" s="1">
        <v>6.7303010600000004</v>
      </c>
      <c r="N276" s="1">
        <v>0</v>
      </c>
      <c r="O276" s="1">
        <v>0.593195947</v>
      </c>
      <c r="P276" s="1">
        <v>0</v>
      </c>
      <c r="Q276" s="1">
        <v>0</v>
      </c>
      <c r="R276" s="1">
        <v>67.352575810000005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1069</v>
      </c>
      <c r="AB276" s="1">
        <v>0</v>
      </c>
      <c r="AC276" s="1">
        <v>0</v>
      </c>
      <c r="AD276">
        <v>0</v>
      </c>
      <c r="AE276" t="s">
        <v>637</v>
      </c>
      <c r="AF276" s="8" cm="1">
        <f t="array" aca="1" ref="AF276" ca="1">fScore_Total("ESPN",aCols)</f>
        <v>13.659583793000001</v>
      </c>
      <c r="AG276" s="8" cm="1">
        <f t="array" aca="1" ref="AG276" ca="1">-fScore_Total("diff",aCols)</f>
        <v>0</v>
      </c>
      <c r="AH276" s="8">
        <f t="shared" ca="1" si="10"/>
        <v>13.659583793000001</v>
      </c>
      <c r="AI276" s="8" t="str">
        <f t="shared" si="9"/>
        <v>FLEX</v>
      </c>
      <c r="AJ276" s="8"/>
    </row>
    <row r="277" spans="1:36" x14ac:dyDescent="0.25">
      <c r="A277" t="s">
        <v>336</v>
      </c>
      <c r="B277" s="1" t="s">
        <v>535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7.4695705300000004</v>
      </c>
      <c r="N277" s="1">
        <v>0</v>
      </c>
      <c r="O277" s="1">
        <v>0.61657373000000004</v>
      </c>
      <c r="P277" s="1">
        <v>0</v>
      </c>
      <c r="Q277" s="1">
        <v>0</v>
      </c>
      <c r="R277" s="1">
        <v>75.907718160000002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1062</v>
      </c>
      <c r="AB277" s="1">
        <v>0</v>
      </c>
      <c r="AC277" s="1">
        <v>0</v>
      </c>
      <c r="AD277">
        <v>0</v>
      </c>
      <c r="AE277" t="s">
        <v>637</v>
      </c>
      <c r="AF277" s="8" cm="1">
        <f t="array" aca="1" ref="AF277" ca="1">fScore_Total("ESPN",aCols)</f>
        <v>15.024999461</v>
      </c>
      <c r="AG277" s="8" cm="1">
        <f t="array" aca="1" ref="AG277" ca="1">-fScore_Total("diff",aCols)</f>
        <v>0</v>
      </c>
      <c r="AH277" s="8">
        <f t="shared" ca="1" si="10"/>
        <v>15.024999461</v>
      </c>
      <c r="AI277" s="8" t="str">
        <f t="shared" si="9"/>
        <v>FLEX</v>
      </c>
      <c r="AJ277" s="8"/>
    </row>
    <row r="278" spans="1:36" x14ac:dyDescent="0.25">
      <c r="A278" t="s">
        <v>380</v>
      </c>
      <c r="B278" s="1" t="s">
        <v>533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  <c r="M278" s="1">
        <v>3.2113382129999999</v>
      </c>
      <c r="N278" s="1">
        <v>0</v>
      </c>
      <c r="O278" s="1">
        <v>0.31548777900000002</v>
      </c>
      <c r="P278" s="1">
        <v>0</v>
      </c>
      <c r="Q278" s="1">
        <v>0</v>
      </c>
      <c r="R278" s="1">
        <v>37.268366120000003</v>
      </c>
      <c r="S278" s="1">
        <v>0</v>
      </c>
      <c r="T278" s="1">
        <v>0</v>
      </c>
      <c r="U278" s="1">
        <v>0</v>
      </c>
      <c r="V278" s="1">
        <v>0.27958245300000001</v>
      </c>
      <c r="W278" s="1">
        <v>0</v>
      </c>
      <c r="X278" s="1">
        <v>0</v>
      </c>
      <c r="Y278" s="1">
        <v>26.291827130000001</v>
      </c>
      <c r="Z278" s="1">
        <v>0</v>
      </c>
      <c r="AA278" s="1">
        <v>1080</v>
      </c>
      <c r="AB278" s="1">
        <v>0</v>
      </c>
      <c r="AC278" s="1">
        <v>0</v>
      </c>
      <c r="AD278">
        <v>0</v>
      </c>
      <c r="AE278" t="s">
        <v>637</v>
      </c>
      <c r="AF278" s="8" cm="1">
        <f t="array" aca="1" ref="AF278" ca="1">fScore_Total("ESPN",aCols)</f>
        <v>11.532109823500001</v>
      </c>
      <c r="AG278" s="8" cm="1">
        <f t="array" aca="1" ref="AG278" ca="1">-fScore_Total("diff",aCols)</f>
        <v>0</v>
      </c>
      <c r="AH278" s="8">
        <f t="shared" ca="1" si="10"/>
        <v>11.532109823500001</v>
      </c>
      <c r="AI278" s="8" t="str">
        <f t="shared" si="9"/>
        <v>FLEX</v>
      </c>
      <c r="AJ278" s="8"/>
    </row>
    <row r="279" spans="1:36" x14ac:dyDescent="0.25">
      <c r="A279" t="s">
        <v>354</v>
      </c>
      <c r="B279" s="1" t="s">
        <v>532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2.5614187240000001</v>
      </c>
      <c r="N279" s="1">
        <v>0</v>
      </c>
      <c r="O279" s="1">
        <v>6.6433729999999996E-2</v>
      </c>
      <c r="P279" s="1">
        <v>0</v>
      </c>
      <c r="Q279" s="1">
        <v>0</v>
      </c>
      <c r="R279" s="1">
        <v>18.05003052</v>
      </c>
      <c r="S279" s="1">
        <v>0</v>
      </c>
      <c r="T279" s="1">
        <v>0</v>
      </c>
      <c r="U279" s="1">
        <v>0</v>
      </c>
      <c r="V279" s="1">
        <v>0.44730069</v>
      </c>
      <c r="W279" s="1">
        <v>0</v>
      </c>
      <c r="X279" s="1">
        <v>0</v>
      </c>
      <c r="Y279" s="1">
        <v>51.919224049999997</v>
      </c>
      <c r="Z279" s="1">
        <v>0</v>
      </c>
      <c r="AA279" s="1">
        <v>1078</v>
      </c>
      <c r="AB279" s="1">
        <v>0</v>
      </c>
      <c r="AC279" s="1">
        <v>0</v>
      </c>
      <c r="AD279">
        <v>0</v>
      </c>
      <c r="AE279" t="s">
        <v>637</v>
      </c>
      <c r="AF279" s="8" cm="1">
        <f t="array" aca="1" ref="AF279" ca="1">fScore_Total("ESPN",aCols)</f>
        <v>11.360041339</v>
      </c>
      <c r="AG279" s="8" cm="1">
        <f t="array" aca="1" ref="AG279" ca="1">-fScore_Total("diff",aCols)</f>
        <v>0</v>
      </c>
      <c r="AH279" s="8">
        <f t="shared" ca="1" si="10"/>
        <v>11.360041339</v>
      </c>
      <c r="AI279" s="8" t="str">
        <f t="shared" si="9"/>
        <v>FLEX</v>
      </c>
      <c r="AJ279" s="8"/>
    </row>
    <row r="280" spans="1:36" x14ac:dyDescent="0.25">
      <c r="A280" t="s">
        <v>588</v>
      </c>
      <c r="B280" s="1" t="s">
        <v>532</v>
      </c>
      <c r="C280" s="1">
        <v>0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3.6321239539999999</v>
      </c>
      <c r="N280" s="1">
        <v>0</v>
      </c>
      <c r="O280" s="1">
        <v>0.18420697699999999</v>
      </c>
      <c r="P280" s="1">
        <v>0</v>
      </c>
      <c r="Q280" s="1">
        <v>0</v>
      </c>
      <c r="R280" s="1">
        <v>29.322530759999999</v>
      </c>
      <c r="S280" s="1">
        <v>0</v>
      </c>
      <c r="T280" s="1">
        <v>0</v>
      </c>
      <c r="U280" s="1">
        <v>0</v>
      </c>
      <c r="V280" s="1">
        <v>0.40565652000000002</v>
      </c>
      <c r="W280" s="1">
        <v>0</v>
      </c>
      <c r="X280" s="1">
        <v>0</v>
      </c>
      <c r="Y280" s="1">
        <v>51.901384229999998</v>
      </c>
      <c r="Z280" s="1">
        <v>0</v>
      </c>
      <c r="AA280" s="1">
        <v>1077</v>
      </c>
      <c r="AB280" s="1">
        <v>0</v>
      </c>
      <c r="AC280" s="1">
        <v>0</v>
      </c>
      <c r="AD280">
        <v>0</v>
      </c>
      <c r="AE280" t="s">
        <v>637</v>
      </c>
      <c r="AF280" s="8" cm="1">
        <f t="array" aca="1" ref="AF280" ca="1">fScore_Total("ESPN",aCols)</f>
        <v>13.477634458000001</v>
      </c>
      <c r="AG280" s="8" cm="1">
        <f t="array" aca="1" ref="AG280" ca="1">-fScore_Total("diff",aCols)</f>
        <v>0</v>
      </c>
      <c r="AH280" s="8">
        <f t="shared" ca="1" si="10"/>
        <v>13.477634458000001</v>
      </c>
      <c r="AI280" s="8" t="str">
        <f t="shared" si="9"/>
        <v>FLEX</v>
      </c>
      <c r="AJ280" s="8"/>
    </row>
    <row r="281" spans="1:36" x14ac:dyDescent="0.25">
      <c r="A281" t="s">
        <v>350</v>
      </c>
      <c r="B281" s="1" t="s">
        <v>533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6.1300963360000003</v>
      </c>
      <c r="N281" s="1">
        <v>0</v>
      </c>
      <c r="O281" s="1">
        <v>0.31411278199999998</v>
      </c>
      <c r="P281" s="1">
        <v>0</v>
      </c>
      <c r="Q281" s="1">
        <v>0</v>
      </c>
      <c r="R281" s="1">
        <v>75.485749330000004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1076</v>
      </c>
      <c r="AB281" s="1">
        <v>0</v>
      </c>
      <c r="AC281" s="1">
        <v>0</v>
      </c>
      <c r="AD281">
        <v>0</v>
      </c>
      <c r="AE281" t="s">
        <v>637</v>
      </c>
      <c r="AF281" s="8" cm="1">
        <f t="array" aca="1" ref="AF281" ca="1">fScore_Total("ESPN",aCols)</f>
        <v>12.498299793000001</v>
      </c>
      <c r="AG281" s="8" cm="1">
        <f t="array" aca="1" ref="AG281" ca="1">-fScore_Total("diff",aCols)</f>
        <v>0</v>
      </c>
      <c r="AH281" s="8">
        <f t="shared" ca="1" si="10"/>
        <v>12.498299793000001</v>
      </c>
      <c r="AI281" s="8" t="str">
        <f t="shared" si="9"/>
        <v>FLEX</v>
      </c>
      <c r="AJ281" s="8"/>
    </row>
    <row r="282" spans="1:36" x14ac:dyDescent="0.25">
      <c r="A282" t="s">
        <v>349</v>
      </c>
      <c r="B282" s="1" t="s">
        <v>533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6.7805229300000001</v>
      </c>
      <c r="N282" s="1">
        <v>0</v>
      </c>
      <c r="O282" s="1">
        <v>0.30905354099999999</v>
      </c>
      <c r="P282" s="1">
        <v>0</v>
      </c>
      <c r="Q282" s="1">
        <v>0</v>
      </c>
      <c r="R282" s="1">
        <v>71.473049669999995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1075</v>
      </c>
      <c r="AB282" s="1">
        <v>0</v>
      </c>
      <c r="AC282" s="1">
        <v>0</v>
      </c>
      <c r="AD282">
        <v>0</v>
      </c>
      <c r="AE282" t="s">
        <v>637</v>
      </c>
      <c r="AF282" s="8" cm="1">
        <f t="array" aca="1" ref="AF282" ca="1">fScore_Total("ESPN",aCols)</f>
        <v>12.391887678</v>
      </c>
      <c r="AG282" s="8" cm="1">
        <f t="array" aca="1" ref="AG282" ca="1">-fScore_Total("diff",aCols)</f>
        <v>0</v>
      </c>
      <c r="AH282" s="8">
        <f t="shared" ca="1" si="10"/>
        <v>12.391887678</v>
      </c>
      <c r="AI282" s="8" t="str">
        <f t="shared" si="9"/>
        <v>FLEX</v>
      </c>
      <c r="AJ282" s="8"/>
    </row>
    <row r="283" spans="1:36" x14ac:dyDescent="0.25">
      <c r="A283" t="s">
        <v>451</v>
      </c>
      <c r="B283" s="1" t="s">
        <v>535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6.2434746790000002</v>
      </c>
      <c r="N283" s="1">
        <v>0</v>
      </c>
      <c r="O283" s="1">
        <v>0.51878548899999999</v>
      </c>
      <c r="P283" s="1">
        <v>0</v>
      </c>
      <c r="Q283" s="1">
        <v>0</v>
      </c>
      <c r="R283" s="1">
        <v>63.944100470000002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1074</v>
      </c>
      <c r="AB283" s="1">
        <v>0</v>
      </c>
      <c r="AC283" s="1">
        <v>0</v>
      </c>
      <c r="AD283">
        <v>0</v>
      </c>
      <c r="AE283" t="s">
        <v>637</v>
      </c>
      <c r="AF283" s="8" cm="1">
        <f t="array" aca="1" ref="AF283" ca="1">fScore_Total("ESPN",aCols)</f>
        <v>12.628860320500001</v>
      </c>
      <c r="AG283" s="8" cm="1">
        <f t="array" aca="1" ref="AG283" ca="1">-fScore_Total("diff",aCols)</f>
        <v>0</v>
      </c>
      <c r="AH283" s="8">
        <f t="shared" ca="1" si="10"/>
        <v>12.628860320500001</v>
      </c>
      <c r="AI283" s="8" t="str">
        <f t="shared" si="9"/>
        <v>FLEX</v>
      </c>
      <c r="AJ283" s="8"/>
    </row>
    <row r="284" spans="1:36" x14ac:dyDescent="0.25">
      <c r="A284" t="s">
        <v>302</v>
      </c>
      <c r="B284" s="1" t="s">
        <v>533</v>
      </c>
      <c r="C284" s="1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7.2301631540000004</v>
      </c>
      <c r="N284" s="1">
        <v>0</v>
      </c>
      <c r="O284" s="1">
        <v>0.22789662499999999</v>
      </c>
      <c r="P284" s="1">
        <v>0</v>
      </c>
      <c r="Q284" s="1">
        <v>0</v>
      </c>
      <c r="R284" s="1">
        <v>66.495300779999994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1073</v>
      </c>
      <c r="AB284" s="1">
        <v>0</v>
      </c>
      <c r="AC284" s="1">
        <v>0</v>
      </c>
      <c r="AD284">
        <v>0</v>
      </c>
      <c r="AE284" t="s">
        <v>637</v>
      </c>
      <c r="AF284" s="8" cm="1">
        <f t="array" aca="1" ref="AF284" ca="1">fScore_Total("ESPN",aCols)</f>
        <v>11.631991405000001</v>
      </c>
      <c r="AG284" s="8" cm="1">
        <f t="array" aca="1" ref="AG284" ca="1">-fScore_Total("diff",aCols)</f>
        <v>0</v>
      </c>
      <c r="AH284" s="8">
        <f t="shared" ca="1" si="10"/>
        <v>11.631991405000001</v>
      </c>
      <c r="AI284" s="8" t="str">
        <f t="shared" si="9"/>
        <v>FLEX</v>
      </c>
      <c r="AJ284" s="8"/>
    </row>
    <row r="285" spans="1:36" x14ac:dyDescent="0.25">
      <c r="A285" t="s">
        <v>589</v>
      </c>
      <c r="B285" s="1" t="s">
        <v>532</v>
      </c>
      <c r="C285" s="1">
        <v>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  <c r="M285" s="1">
        <v>3.9983635139999998</v>
      </c>
      <c r="N285" s="1">
        <v>0</v>
      </c>
      <c r="O285" s="1">
        <v>0.13584649900000001</v>
      </c>
      <c r="P285" s="1">
        <v>0</v>
      </c>
      <c r="Q285" s="1">
        <v>0</v>
      </c>
      <c r="R285" s="1">
        <v>28.269991059999999</v>
      </c>
      <c r="S285" s="1">
        <v>0</v>
      </c>
      <c r="T285" s="1">
        <v>0</v>
      </c>
      <c r="U285" s="1">
        <v>0</v>
      </c>
      <c r="V285" s="1">
        <v>0.41222862700000001</v>
      </c>
      <c r="W285" s="1">
        <v>0</v>
      </c>
      <c r="X285" s="1">
        <v>0</v>
      </c>
      <c r="Y285" s="1">
        <v>60.276120890000001</v>
      </c>
      <c r="Z285" s="1">
        <v>0</v>
      </c>
      <c r="AA285" s="1">
        <v>1072</v>
      </c>
      <c r="AB285" s="1">
        <v>0</v>
      </c>
      <c r="AC285" s="1">
        <v>0</v>
      </c>
      <c r="AD285">
        <v>0</v>
      </c>
      <c r="AE285" t="s">
        <v>637</v>
      </c>
      <c r="AF285" s="8" cm="1">
        <f t="array" aca="1" ref="AF285" ca="1">fScore_Total("ESPN",aCols)</f>
        <v>14.142243708000002</v>
      </c>
      <c r="AG285" s="8" cm="1">
        <f t="array" aca="1" ref="AG285" ca="1">-fScore_Total("diff",aCols)</f>
        <v>0</v>
      </c>
      <c r="AH285" s="8">
        <f t="shared" ca="1" si="10"/>
        <v>14.142243708000002</v>
      </c>
      <c r="AI285" s="8" t="str">
        <f t="shared" si="9"/>
        <v>FLEX</v>
      </c>
      <c r="AJ285" s="8"/>
    </row>
    <row r="286" spans="1:36" x14ac:dyDescent="0.25">
      <c r="A286" t="s">
        <v>590</v>
      </c>
      <c r="B286" s="1" t="s">
        <v>533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  <c r="M286" s="1">
        <v>7.0545032809999997</v>
      </c>
      <c r="N286" s="1">
        <v>0</v>
      </c>
      <c r="O286" s="1">
        <v>0.363359969</v>
      </c>
      <c r="P286" s="1">
        <v>0</v>
      </c>
      <c r="Q286" s="1">
        <v>0</v>
      </c>
      <c r="R286" s="1">
        <v>74.772508999999999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1071</v>
      </c>
      <c r="AB286" s="1">
        <v>0</v>
      </c>
      <c r="AC286" s="1">
        <v>0</v>
      </c>
      <c r="AD286">
        <v>0</v>
      </c>
      <c r="AE286" t="s">
        <v>637</v>
      </c>
      <c r="AF286" s="8" cm="1">
        <f t="array" aca="1" ref="AF286" ca="1">fScore_Total("ESPN",aCols)</f>
        <v>13.1846623545</v>
      </c>
      <c r="AG286" s="8" cm="1">
        <f t="array" aca="1" ref="AG286" ca="1">-fScore_Total("diff",aCols)</f>
        <v>0</v>
      </c>
      <c r="AH286" s="8">
        <f t="shared" ca="1" si="10"/>
        <v>13.1846623545</v>
      </c>
      <c r="AI286" s="8" t="str">
        <f t="shared" si="9"/>
        <v>FLEX</v>
      </c>
      <c r="AJ286" s="8"/>
    </row>
    <row r="287" spans="1:36" x14ac:dyDescent="0.25">
      <c r="A287" t="s">
        <v>394</v>
      </c>
      <c r="B287" s="1" t="s">
        <v>532</v>
      </c>
      <c r="C287" s="1">
        <v>0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  <c r="M287" s="1">
        <v>4.0698677009999997</v>
      </c>
      <c r="N287" s="1">
        <v>0</v>
      </c>
      <c r="O287" s="1">
        <v>0.14336707300000001</v>
      </c>
      <c r="P287" s="1">
        <v>0</v>
      </c>
      <c r="Q287" s="1">
        <v>0</v>
      </c>
      <c r="R287" s="1">
        <v>26.882742950000001</v>
      </c>
      <c r="S287" s="1">
        <v>0</v>
      </c>
      <c r="T287" s="1">
        <v>0</v>
      </c>
      <c r="U287" s="1">
        <v>0</v>
      </c>
      <c r="V287" s="1">
        <v>0.35369550399999999</v>
      </c>
      <c r="W287" s="1">
        <v>0</v>
      </c>
      <c r="X287" s="1">
        <v>0</v>
      </c>
      <c r="Y287" s="1">
        <v>71.172299910000007</v>
      </c>
      <c r="Z287" s="1">
        <v>0</v>
      </c>
      <c r="AA287" s="1">
        <v>1070</v>
      </c>
      <c r="AB287" s="1">
        <v>0</v>
      </c>
      <c r="AC287" s="1">
        <v>0</v>
      </c>
      <c r="AD287">
        <v>0</v>
      </c>
      <c r="AE287" t="s">
        <v>637</v>
      </c>
      <c r="AF287" s="8" cm="1">
        <f t="array" aca="1" ref="AF287" ca="1">fScore_Total("ESPN",aCols)</f>
        <v>14.822813598500002</v>
      </c>
      <c r="AG287" s="8" cm="1">
        <f t="array" aca="1" ref="AG287" ca="1">-fScore_Total("diff",aCols)</f>
        <v>0</v>
      </c>
      <c r="AH287" s="8">
        <f t="shared" ca="1" si="10"/>
        <v>14.822813598500002</v>
      </c>
      <c r="AI287" s="8" t="str">
        <f t="shared" si="9"/>
        <v>FLEX</v>
      </c>
      <c r="AJ287" s="8"/>
    </row>
    <row r="288" spans="1:36" x14ac:dyDescent="0.25">
      <c r="A288" t="s">
        <v>335</v>
      </c>
      <c r="B288" s="1" t="s">
        <v>535</v>
      </c>
      <c r="C288" s="1">
        <v>0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  <c r="M288" s="1">
        <v>12.05233312</v>
      </c>
      <c r="N288" s="1">
        <v>0</v>
      </c>
      <c r="O288" s="1">
        <v>0.77621879299999996</v>
      </c>
      <c r="P288" s="1">
        <v>0</v>
      </c>
      <c r="Q288" s="1">
        <v>0</v>
      </c>
      <c r="R288" s="1">
        <v>114.86009319999999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1041</v>
      </c>
      <c r="AB288" s="1">
        <v>0</v>
      </c>
      <c r="AC288" s="1">
        <v>0</v>
      </c>
      <c r="AD288">
        <v>0</v>
      </c>
      <c r="AE288" t="s">
        <v>637</v>
      </c>
      <c r="AF288" s="8" cm="1">
        <f t="array" aca="1" ref="AF288" ca="1">fScore_Total("ESPN",aCols)</f>
        <v>22.169488638000001</v>
      </c>
      <c r="AG288" s="8" cm="1">
        <f t="array" aca="1" ref="AG288" ca="1">-fScore_Total("diff",aCols)</f>
        <v>0</v>
      </c>
      <c r="AH288" s="8">
        <f t="shared" ca="1" si="10"/>
        <v>22.169488638000001</v>
      </c>
      <c r="AI288" s="8" t="str">
        <f t="shared" si="9"/>
        <v>FLEX</v>
      </c>
      <c r="AJ288" s="8"/>
    </row>
    <row r="289" spans="1:36" x14ac:dyDescent="0.25">
      <c r="A289" t="s">
        <v>343</v>
      </c>
      <c r="B289" s="1" t="s">
        <v>535</v>
      </c>
      <c r="C289" s="1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  <c r="M289" s="1">
        <v>7.4904132700000003</v>
      </c>
      <c r="N289" s="1">
        <v>0</v>
      </c>
      <c r="O289" s="1">
        <v>0.419050863</v>
      </c>
      <c r="P289" s="1">
        <v>0</v>
      </c>
      <c r="Q289" s="1">
        <v>0</v>
      </c>
      <c r="R289" s="1">
        <v>71.131931109999996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1067</v>
      </c>
      <c r="AB289" s="1">
        <v>0</v>
      </c>
      <c r="AC289" s="1">
        <v>0</v>
      </c>
      <c r="AD289">
        <v>0</v>
      </c>
      <c r="AE289" t="s">
        <v>637</v>
      </c>
      <c r="AF289" s="8" cm="1">
        <f t="array" aca="1" ref="AF289" ca="1">fScore_Total("ESPN",aCols)</f>
        <v>13.372704924000001</v>
      </c>
      <c r="AG289" s="8" cm="1">
        <f t="array" aca="1" ref="AG289" ca="1">-fScore_Total("diff",aCols)</f>
        <v>0</v>
      </c>
      <c r="AH289" s="8">
        <f t="shared" ca="1" si="10"/>
        <v>13.372704924000001</v>
      </c>
      <c r="AI289" s="8" t="str">
        <f t="shared" si="9"/>
        <v>FLEX</v>
      </c>
      <c r="AJ289" s="8"/>
    </row>
    <row r="290" spans="1:36" x14ac:dyDescent="0.25">
      <c r="A290" t="s">
        <v>400</v>
      </c>
      <c r="B290" s="1" t="s">
        <v>532</v>
      </c>
      <c r="C290" s="1">
        <v>0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5.9586854950000001</v>
      </c>
      <c r="N290" s="1">
        <v>0</v>
      </c>
      <c r="O290" s="1">
        <v>0.28794263199999998</v>
      </c>
      <c r="P290" s="1">
        <v>0</v>
      </c>
      <c r="Q290" s="1">
        <v>0</v>
      </c>
      <c r="R290" s="1">
        <v>43.799727949999998</v>
      </c>
      <c r="S290" s="1">
        <v>0</v>
      </c>
      <c r="T290" s="1">
        <v>0</v>
      </c>
      <c r="U290" s="1">
        <v>0</v>
      </c>
      <c r="V290" s="1">
        <v>0.22929063999999999</v>
      </c>
      <c r="W290" s="1">
        <v>0</v>
      </c>
      <c r="X290" s="1">
        <v>0</v>
      </c>
      <c r="Y290" s="1">
        <v>39.398895209999999</v>
      </c>
      <c r="Z290" s="1">
        <v>0</v>
      </c>
      <c r="AA290" s="1">
        <v>1066</v>
      </c>
      <c r="AB290" s="1">
        <v>0</v>
      </c>
      <c r="AC290" s="1">
        <v>0</v>
      </c>
      <c r="AD290">
        <v>0</v>
      </c>
      <c r="AE290" t="s">
        <v>637</v>
      </c>
      <c r="AF290" s="8" cm="1">
        <f t="array" aca="1" ref="AF290" ca="1">fScore_Total("ESPN",aCols)</f>
        <v>14.402604695499999</v>
      </c>
      <c r="AG290" s="8" cm="1">
        <f t="array" aca="1" ref="AG290" ca="1">-fScore_Total("diff",aCols)</f>
        <v>0</v>
      </c>
      <c r="AH290" s="8">
        <f t="shared" ca="1" si="10"/>
        <v>14.402604695499999</v>
      </c>
      <c r="AI290" s="8" t="str">
        <f t="shared" si="9"/>
        <v>FLEX</v>
      </c>
      <c r="AJ290" s="8"/>
    </row>
    <row r="291" spans="1:36" x14ac:dyDescent="0.25">
      <c r="A291" t="s">
        <v>367</v>
      </c>
      <c r="B291" s="1" t="s">
        <v>535</v>
      </c>
      <c r="C291" s="1">
        <v>0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  <c r="M291" s="1">
        <v>7.6766508990000002</v>
      </c>
      <c r="N291" s="1">
        <v>0</v>
      </c>
      <c r="O291" s="1">
        <v>0.57655819100000005</v>
      </c>
      <c r="P291" s="1">
        <v>0</v>
      </c>
      <c r="Q291" s="1">
        <v>0</v>
      </c>
      <c r="R291" s="1">
        <v>71.588012739999996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1064</v>
      </c>
      <c r="AB291" s="1">
        <v>0</v>
      </c>
      <c r="AC291" s="1">
        <v>0</v>
      </c>
      <c r="AD291">
        <v>0</v>
      </c>
      <c r="AE291" t="s">
        <v>637</v>
      </c>
      <c r="AF291" s="8" cm="1">
        <f t="array" aca="1" ref="AF291" ca="1">fScore_Total("ESPN",aCols)</f>
        <v>14.4564758695</v>
      </c>
      <c r="AG291" s="8" cm="1">
        <f t="array" aca="1" ref="AG291" ca="1">-fScore_Total("diff",aCols)</f>
        <v>0</v>
      </c>
      <c r="AH291" s="8">
        <f t="shared" ca="1" si="10"/>
        <v>14.4564758695</v>
      </c>
      <c r="AI291" s="8" t="str">
        <f t="shared" si="9"/>
        <v>FLEX</v>
      </c>
      <c r="AJ291" s="8"/>
    </row>
    <row r="292" spans="1:36" x14ac:dyDescent="0.25">
      <c r="A292" t="s">
        <v>376</v>
      </c>
      <c r="B292" s="1" t="s">
        <v>535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  <c r="M292" s="1">
        <v>7.1326359879999996</v>
      </c>
      <c r="N292" s="1">
        <v>0</v>
      </c>
      <c r="O292" s="1">
        <v>0.74113133799999997</v>
      </c>
      <c r="P292" s="1">
        <v>0</v>
      </c>
      <c r="Q292" s="1">
        <v>0</v>
      </c>
      <c r="R292" s="1">
        <v>66.717061740000005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1063</v>
      </c>
      <c r="AB292" s="1">
        <v>0</v>
      </c>
      <c r="AC292" s="1">
        <v>0</v>
      </c>
      <c r="AD292">
        <v>0</v>
      </c>
      <c r="AE292" t="s">
        <v>637</v>
      </c>
      <c r="AF292" s="8" cm="1">
        <f t="array" aca="1" ref="AF292" ca="1">fScore_Total("ESPN",aCols)</f>
        <v>14.684812196000001</v>
      </c>
      <c r="AG292" s="8" cm="1">
        <f t="array" aca="1" ref="AG292" ca="1">-fScore_Total("diff",aCols)</f>
        <v>0</v>
      </c>
      <c r="AH292" s="8">
        <f t="shared" ca="1" si="10"/>
        <v>14.684812196000001</v>
      </c>
      <c r="AI292" s="8" t="str">
        <f t="shared" si="9"/>
        <v>FLEX</v>
      </c>
      <c r="AJ292" s="8"/>
    </row>
    <row r="293" spans="1:36" x14ac:dyDescent="0.25">
      <c r="A293" t="s">
        <v>318</v>
      </c>
      <c r="B293" s="1" t="s">
        <v>533</v>
      </c>
      <c r="C293" s="1">
        <v>0</v>
      </c>
      <c r="D293" s="1">
        <v>0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  <c r="M293" s="1">
        <v>9.7227607630000001</v>
      </c>
      <c r="N293" s="1">
        <v>0</v>
      </c>
      <c r="O293" s="1">
        <v>1.009220709</v>
      </c>
      <c r="P293" s="1">
        <v>0</v>
      </c>
      <c r="Q293" s="1">
        <v>0</v>
      </c>
      <c r="R293" s="1">
        <v>122.8890155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1042</v>
      </c>
      <c r="AB293" s="1">
        <v>0</v>
      </c>
      <c r="AC293" s="1">
        <v>0</v>
      </c>
      <c r="AD293">
        <v>0</v>
      </c>
      <c r="AE293" t="s">
        <v>637</v>
      </c>
      <c r="AF293" s="8" cm="1">
        <f t="array" aca="1" ref="AF293" ca="1">fScore_Total("ESPN",aCols)</f>
        <v>23.205606185500002</v>
      </c>
      <c r="AG293" s="8" cm="1">
        <f t="array" aca="1" ref="AG293" ca="1">-fScore_Total("diff",aCols)</f>
        <v>0</v>
      </c>
      <c r="AH293" s="8">
        <f t="shared" ca="1" si="10"/>
        <v>23.205606185500002</v>
      </c>
      <c r="AI293" s="8" t="str">
        <f t="shared" si="9"/>
        <v>FLEX</v>
      </c>
      <c r="AJ293" s="8"/>
    </row>
    <row r="294" spans="1:36" x14ac:dyDescent="0.25">
      <c r="A294" t="s">
        <v>309</v>
      </c>
      <c r="B294" s="1" t="s">
        <v>535</v>
      </c>
      <c r="C294" s="1">
        <v>0</v>
      </c>
      <c r="D294" s="1">
        <v>0</v>
      </c>
      <c r="E294" s="1">
        <v>0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11.80337602</v>
      </c>
      <c r="N294" s="1">
        <v>0</v>
      </c>
      <c r="O294" s="1">
        <v>0.90227118500000003</v>
      </c>
      <c r="P294" s="1">
        <v>0</v>
      </c>
      <c r="Q294" s="1">
        <v>0</v>
      </c>
      <c r="R294" s="1">
        <v>130.1718358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1031</v>
      </c>
      <c r="AB294" s="1">
        <v>0</v>
      </c>
      <c r="AC294" s="1">
        <v>0</v>
      </c>
      <c r="AD294">
        <v>0</v>
      </c>
      <c r="AE294" t="s">
        <v>637</v>
      </c>
      <c r="AF294" s="8" cm="1">
        <f t="array" aca="1" ref="AF294" ca="1">fScore_Total("ESPN",aCols)</f>
        <v>24.332498700000002</v>
      </c>
      <c r="AG294" s="8" cm="1">
        <f t="array" aca="1" ref="AG294" ca="1">-fScore_Total("diff",aCols)</f>
        <v>0</v>
      </c>
      <c r="AH294" s="8">
        <f t="shared" ca="1" si="10"/>
        <v>24.332498700000002</v>
      </c>
      <c r="AI294" s="8" t="str">
        <f t="shared" si="9"/>
        <v>FLEX</v>
      </c>
      <c r="AJ294" s="8"/>
    </row>
    <row r="295" spans="1:36" x14ac:dyDescent="0.25">
      <c r="A295" t="s">
        <v>317</v>
      </c>
      <c r="B295" s="1" t="s">
        <v>533</v>
      </c>
      <c r="C295" s="1">
        <v>0</v>
      </c>
      <c r="D295" s="1">
        <v>0</v>
      </c>
      <c r="E295" s="1">
        <v>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  <c r="M295" s="1">
        <v>10.657112420000001</v>
      </c>
      <c r="N295" s="1">
        <v>0</v>
      </c>
      <c r="O295" s="1">
        <v>0.76069534400000005</v>
      </c>
      <c r="P295" s="1">
        <v>0</v>
      </c>
      <c r="Q295" s="1">
        <v>0</v>
      </c>
      <c r="R295" s="1">
        <v>131.14975680000001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1040</v>
      </c>
      <c r="AB295" s="1">
        <v>0</v>
      </c>
      <c r="AC295" s="1">
        <v>0</v>
      </c>
      <c r="AD295">
        <v>0</v>
      </c>
      <c r="AE295" t="s">
        <v>637</v>
      </c>
      <c r="AF295" s="8" cm="1">
        <f t="array" aca="1" ref="AF295" ca="1">fScore_Total("ESPN",aCols)</f>
        <v>23.007703954</v>
      </c>
      <c r="AG295" s="8" cm="1">
        <f t="array" aca="1" ref="AG295" ca="1">-fScore_Total("diff",aCols)</f>
        <v>0</v>
      </c>
      <c r="AH295" s="8">
        <f t="shared" ca="1" si="10"/>
        <v>23.007703954</v>
      </c>
      <c r="AI295" s="8" t="str">
        <f t="shared" si="9"/>
        <v>FLEX</v>
      </c>
      <c r="AJ295" s="8"/>
    </row>
    <row r="296" spans="1:36" x14ac:dyDescent="0.25">
      <c r="A296" t="s">
        <v>288</v>
      </c>
      <c r="B296" s="1" t="s">
        <v>535</v>
      </c>
      <c r="C296" s="1">
        <v>0</v>
      </c>
      <c r="D296" s="1">
        <v>0</v>
      </c>
      <c r="E296" s="1">
        <v>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  <c r="M296" s="1">
        <v>10.317674159999999</v>
      </c>
      <c r="N296" s="1">
        <v>0</v>
      </c>
      <c r="O296" s="1">
        <v>0.98022443699999995</v>
      </c>
      <c r="P296" s="1">
        <v>0</v>
      </c>
      <c r="Q296" s="1">
        <v>0</v>
      </c>
      <c r="R296" s="1">
        <v>122.83569730000001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1039</v>
      </c>
      <c r="AB296" s="1">
        <v>0</v>
      </c>
      <c r="AC296" s="1">
        <v>0</v>
      </c>
      <c r="AD296">
        <v>0</v>
      </c>
      <c r="AE296" t="s">
        <v>637</v>
      </c>
      <c r="AF296" s="8" cm="1">
        <f t="array" aca="1" ref="AF296" ca="1">fScore_Total("ESPN",aCols)</f>
        <v>23.323753432000004</v>
      </c>
      <c r="AG296" s="8" cm="1">
        <f t="array" aca="1" ref="AG296" ca="1">-fScore_Total("diff",aCols)</f>
        <v>0</v>
      </c>
      <c r="AH296" s="8">
        <f t="shared" ca="1" si="10"/>
        <v>23.323753432000004</v>
      </c>
      <c r="AI296" s="8" t="str">
        <f t="shared" si="9"/>
        <v>FLEX</v>
      </c>
      <c r="AJ296" s="8"/>
    </row>
    <row r="297" spans="1:36" x14ac:dyDescent="0.25">
      <c r="A297" t="s">
        <v>591</v>
      </c>
      <c r="B297" s="1" t="s">
        <v>534</v>
      </c>
      <c r="C297" s="1">
        <v>0</v>
      </c>
      <c r="D297" s="1">
        <v>1.6291840150000001</v>
      </c>
      <c r="E297" s="1">
        <v>0</v>
      </c>
      <c r="F297" s="1">
        <v>0</v>
      </c>
      <c r="G297" s="1">
        <v>3.090928291</v>
      </c>
      <c r="H297" s="1">
        <v>0</v>
      </c>
      <c r="I297" s="1">
        <v>0</v>
      </c>
      <c r="J297" s="1">
        <v>443.44691699999998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0.29790865599999999</v>
      </c>
      <c r="W297" s="1">
        <v>0</v>
      </c>
      <c r="X297" s="1">
        <v>0</v>
      </c>
      <c r="Y297" s="1">
        <v>52.78957793</v>
      </c>
      <c r="Z297" s="1">
        <v>0</v>
      </c>
      <c r="AA297" s="1">
        <v>1017</v>
      </c>
      <c r="AB297" s="1">
        <v>0</v>
      </c>
      <c r="AC297" s="1">
        <v>0</v>
      </c>
      <c r="AD297">
        <v>0</v>
      </c>
      <c r="AE297" t="s">
        <v>637</v>
      </c>
      <c r="AF297" s="8" cm="1">
        <f t="array" aca="1" ref="AF297" ca="1">fScore_Total("ESPN",aCols)</f>
        <v>33.909631543000003</v>
      </c>
      <c r="AG297" s="8" cm="1">
        <f t="array" aca="1" ref="AG297" ca="1">-fScore_Total("diff",aCols)</f>
        <v>0</v>
      </c>
      <c r="AH297" s="8">
        <f t="shared" ca="1" si="10"/>
        <v>33.909631543000003</v>
      </c>
      <c r="AI297" s="8" t="str">
        <f t="shared" si="9"/>
        <v>QB</v>
      </c>
      <c r="AJ297" s="8" t="s">
        <v>641</v>
      </c>
    </row>
    <row r="298" spans="1:36" x14ac:dyDescent="0.25">
      <c r="A298" t="s">
        <v>407</v>
      </c>
      <c r="B298" s="1" t="s">
        <v>533</v>
      </c>
      <c r="C298" s="1">
        <v>0</v>
      </c>
      <c r="D298" s="1">
        <v>0</v>
      </c>
      <c r="E298" s="1">
        <v>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  <c r="M298" s="1">
        <v>13.579750280000001</v>
      </c>
      <c r="N298" s="1">
        <v>0</v>
      </c>
      <c r="O298" s="1">
        <v>0.75641326900000005</v>
      </c>
      <c r="P298" s="1">
        <v>0</v>
      </c>
      <c r="Q298" s="1">
        <v>0</v>
      </c>
      <c r="R298" s="1">
        <v>155.1501725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1016</v>
      </c>
      <c r="AB298" s="1">
        <v>0</v>
      </c>
      <c r="AC298" s="1">
        <v>0</v>
      </c>
      <c r="AD298">
        <v>0</v>
      </c>
      <c r="AE298" t="s">
        <v>637</v>
      </c>
      <c r="AF298" s="8" cm="1">
        <f t="array" aca="1" ref="AF298" ca="1">fScore_Total("ESPN",aCols)</f>
        <v>26.843372003999999</v>
      </c>
      <c r="AG298" s="8" cm="1">
        <f t="array" aca="1" ref="AG298" ca="1">-fScore_Total("diff",aCols)</f>
        <v>0</v>
      </c>
      <c r="AH298" s="8">
        <f t="shared" ca="1" si="10"/>
        <v>26.843372003999999</v>
      </c>
      <c r="AI298" s="8" t="str">
        <f t="shared" si="9"/>
        <v>FLEX</v>
      </c>
      <c r="AJ298" s="8"/>
    </row>
    <row r="299" spans="1:36" x14ac:dyDescent="0.25">
      <c r="A299" t="s">
        <v>298</v>
      </c>
      <c r="B299" s="1" t="s">
        <v>534</v>
      </c>
      <c r="C299" s="1">
        <v>0</v>
      </c>
      <c r="D299" s="1">
        <v>1.5786911939999999</v>
      </c>
      <c r="E299" s="1">
        <v>0</v>
      </c>
      <c r="F299" s="1">
        <v>0</v>
      </c>
      <c r="G299" s="1">
        <v>3.4297671049999998</v>
      </c>
      <c r="H299" s="1">
        <v>0</v>
      </c>
      <c r="I299" s="1">
        <v>0</v>
      </c>
      <c r="J299" s="1">
        <v>439.52234779999998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0.52160560899999997</v>
      </c>
      <c r="W299" s="1">
        <v>0</v>
      </c>
      <c r="X299" s="1">
        <v>0</v>
      </c>
      <c r="Y299" s="1">
        <v>36.433066650000001</v>
      </c>
      <c r="Z299" s="1">
        <v>0</v>
      </c>
      <c r="AA299" s="1">
        <v>1015</v>
      </c>
      <c r="AB299" s="1">
        <v>0</v>
      </c>
      <c r="AC299" s="1">
        <v>0</v>
      </c>
      <c r="AD299">
        <v>0</v>
      </c>
      <c r="AE299" t="s">
        <v>637</v>
      </c>
      <c r="AF299" s="8" cm="1">
        <f t="array" aca="1" ref="AF299" ca="1">fScore_Total("ESPN",aCols)</f>
        <v>34.915520262999998</v>
      </c>
      <c r="AG299" s="8" cm="1">
        <f t="array" aca="1" ref="AG299" ca="1">-fScore_Total("diff",aCols)</f>
        <v>0</v>
      </c>
      <c r="AH299" s="8">
        <f t="shared" ca="1" si="10"/>
        <v>34.915520262999998</v>
      </c>
      <c r="AI299" s="8" t="str">
        <f t="shared" si="9"/>
        <v>QB</v>
      </c>
      <c r="AJ299" s="8" t="s">
        <v>641</v>
      </c>
    </row>
    <row r="300" spans="1:36" x14ac:dyDescent="0.25">
      <c r="A300" t="s">
        <v>296</v>
      </c>
      <c r="B300" s="1" t="s">
        <v>535</v>
      </c>
      <c r="C300" s="1">
        <v>0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  <c r="M300" s="1">
        <v>14.093154439999999</v>
      </c>
      <c r="N300" s="1">
        <v>0</v>
      </c>
      <c r="O300" s="1">
        <v>0.95809628700000005</v>
      </c>
      <c r="P300" s="1">
        <v>0</v>
      </c>
      <c r="Q300" s="1">
        <v>0</v>
      </c>
      <c r="R300" s="1">
        <v>142.74210769999999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1014</v>
      </c>
      <c r="AB300" s="1">
        <v>0</v>
      </c>
      <c r="AC300" s="1">
        <v>0</v>
      </c>
      <c r="AD300">
        <v>0</v>
      </c>
      <c r="AE300" t="s">
        <v>637</v>
      </c>
      <c r="AF300" s="8" cm="1">
        <f t="array" aca="1" ref="AF300" ca="1">fScore_Total("ESPN",aCols)</f>
        <v>27.069365712</v>
      </c>
      <c r="AG300" s="8" cm="1">
        <f t="array" aca="1" ref="AG300" ca="1">-fScore_Total("diff",aCols)</f>
        <v>0</v>
      </c>
      <c r="AH300" s="8">
        <f t="shared" ca="1" si="10"/>
        <v>27.069365712</v>
      </c>
      <c r="AI300" s="8" t="str">
        <f t="shared" si="9"/>
        <v>FLEX</v>
      </c>
      <c r="AJ300" s="8"/>
    </row>
    <row r="301" spans="1:36" x14ac:dyDescent="0.25">
      <c r="A301" t="s">
        <v>278</v>
      </c>
      <c r="B301" s="1" t="s">
        <v>535</v>
      </c>
      <c r="C301" s="1">
        <v>0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13.48457909</v>
      </c>
      <c r="N301" s="1">
        <v>0</v>
      </c>
      <c r="O301" s="1">
        <v>1.073501909</v>
      </c>
      <c r="P301" s="1">
        <v>0</v>
      </c>
      <c r="Q301" s="1">
        <v>0</v>
      </c>
      <c r="R301" s="1">
        <v>144.14109120000001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1012</v>
      </c>
      <c r="AB301" s="1">
        <v>0</v>
      </c>
      <c r="AC301" s="1">
        <v>0</v>
      </c>
      <c r="AD301">
        <v>0</v>
      </c>
      <c r="AE301" t="s">
        <v>637</v>
      </c>
      <c r="AF301" s="8" cm="1">
        <f t="array" aca="1" ref="AF301" ca="1">fScore_Total("ESPN",aCols)</f>
        <v>27.597410119000003</v>
      </c>
      <c r="AG301" s="8" cm="1">
        <f t="array" aca="1" ref="AG301" ca="1">-fScore_Total("diff",aCols)</f>
        <v>0</v>
      </c>
      <c r="AH301" s="8">
        <f t="shared" ca="1" si="10"/>
        <v>27.597410119000003</v>
      </c>
      <c r="AI301" s="8" t="str">
        <f t="shared" si="9"/>
        <v>FLEX</v>
      </c>
      <c r="AJ301" s="8"/>
    </row>
    <row r="302" spans="1:36" x14ac:dyDescent="0.25">
      <c r="A302" t="s">
        <v>295</v>
      </c>
      <c r="B302" s="1" t="s">
        <v>534</v>
      </c>
      <c r="C302" s="1">
        <v>0</v>
      </c>
      <c r="D302" s="1">
        <v>1.837426665</v>
      </c>
      <c r="E302" s="1">
        <v>0</v>
      </c>
      <c r="F302" s="1">
        <v>0</v>
      </c>
      <c r="G302" s="1">
        <v>3.895508473</v>
      </c>
      <c r="H302" s="1">
        <v>0</v>
      </c>
      <c r="I302" s="1">
        <v>0</v>
      </c>
      <c r="J302" s="1">
        <v>511.51324940000001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0.17517212200000001</v>
      </c>
      <c r="W302" s="1">
        <v>0</v>
      </c>
      <c r="X302" s="1">
        <v>0</v>
      </c>
      <c r="Y302" s="1">
        <v>16.12647316</v>
      </c>
      <c r="Z302" s="1">
        <v>0</v>
      </c>
      <c r="AA302" s="1">
        <v>1011</v>
      </c>
      <c r="AB302" s="1">
        <v>0</v>
      </c>
      <c r="AC302" s="1">
        <v>0</v>
      </c>
      <c r="AD302">
        <v>0</v>
      </c>
      <c r="AE302" t="s">
        <v>637</v>
      </c>
      <c r="AF302" s="8" cm="1">
        <f t="array" aca="1" ref="AF302" ca="1">fScore_Total("ESPN",aCols)</f>
        <v>35.031390586000001</v>
      </c>
      <c r="AG302" s="8" cm="1">
        <f t="array" aca="1" ref="AG302" ca="1">-fScore_Total("diff",aCols)</f>
        <v>0</v>
      </c>
      <c r="AH302" s="8">
        <f t="shared" ca="1" si="10"/>
        <v>35.031390586000001</v>
      </c>
      <c r="AI302" s="8" t="str">
        <f t="shared" si="9"/>
        <v>QB</v>
      </c>
      <c r="AJ302" s="8" t="s">
        <v>641</v>
      </c>
    </row>
    <row r="303" spans="1:36" x14ac:dyDescent="0.25">
      <c r="A303" t="s">
        <v>294</v>
      </c>
      <c r="B303" s="1" t="s">
        <v>535</v>
      </c>
      <c r="C303" s="1">
        <v>0</v>
      </c>
      <c r="D303" s="1">
        <v>0</v>
      </c>
      <c r="E303" s="1">
        <v>0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  <c r="M303" s="1">
        <v>14.62956013</v>
      </c>
      <c r="N303" s="1">
        <v>0</v>
      </c>
      <c r="O303" s="1">
        <v>0.83266391200000001</v>
      </c>
      <c r="P303" s="1">
        <v>0</v>
      </c>
      <c r="Q303" s="1">
        <v>0</v>
      </c>
      <c r="R303" s="1">
        <v>156.43021450000001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1009</v>
      </c>
      <c r="AB303" s="1">
        <v>0</v>
      </c>
      <c r="AC303" s="1">
        <v>0</v>
      </c>
      <c r="AD303">
        <v>0</v>
      </c>
      <c r="AE303" t="s">
        <v>637</v>
      </c>
      <c r="AF303" s="8" cm="1">
        <f t="array" aca="1" ref="AF303" ca="1">fScore_Total("ESPN",aCols)</f>
        <v>27.953784986999999</v>
      </c>
      <c r="AG303" s="8" cm="1">
        <f t="array" aca="1" ref="AG303" ca="1">-fScore_Total("diff",aCols)</f>
        <v>0</v>
      </c>
      <c r="AH303" s="8">
        <f t="shared" ca="1" si="10"/>
        <v>27.953784986999999</v>
      </c>
      <c r="AI303" s="8" t="str">
        <f t="shared" si="9"/>
        <v>FLEX</v>
      </c>
      <c r="AJ303" s="8"/>
    </row>
    <row r="304" spans="1:36" x14ac:dyDescent="0.25">
      <c r="A304" t="s">
        <v>293</v>
      </c>
      <c r="B304" s="1" t="s">
        <v>535</v>
      </c>
      <c r="C304" s="1">
        <v>0</v>
      </c>
      <c r="D304" s="1">
        <v>0</v>
      </c>
      <c r="E304" s="1">
        <v>0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  <c r="M304" s="1">
        <v>15.566453020000001</v>
      </c>
      <c r="N304" s="1">
        <v>0</v>
      </c>
      <c r="O304" s="1">
        <v>0.77637101799999997</v>
      </c>
      <c r="P304" s="1">
        <v>0</v>
      </c>
      <c r="Q304" s="1">
        <v>0</v>
      </c>
      <c r="R304" s="1">
        <v>151.049813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1008</v>
      </c>
      <c r="AB304" s="1">
        <v>0</v>
      </c>
      <c r="AC304" s="1">
        <v>0</v>
      </c>
      <c r="AD304">
        <v>0</v>
      </c>
      <c r="AE304" t="s">
        <v>637</v>
      </c>
      <c r="AF304" s="8" cm="1">
        <f t="array" aca="1" ref="AF304" ca="1">fScore_Total("ESPN",aCols)</f>
        <v>27.546433917999998</v>
      </c>
      <c r="AG304" s="8" cm="1">
        <f t="array" aca="1" ref="AG304" ca="1">-fScore_Total("diff",aCols)</f>
        <v>0</v>
      </c>
      <c r="AH304" s="8">
        <f t="shared" ca="1" si="10"/>
        <v>27.546433917999998</v>
      </c>
      <c r="AI304" s="8" t="str">
        <f t="shared" si="9"/>
        <v>FLEX</v>
      </c>
      <c r="AJ304" s="8"/>
    </row>
    <row r="305" spans="1:36" x14ac:dyDescent="0.25">
      <c r="A305" t="s">
        <v>292</v>
      </c>
      <c r="B305" s="1" t="s">
        <v>533</v>
      </c>
      <c r="C305" s="1">
        <v>0</v>
      </c>
      <c r="D305" s="1">
        <v>0</v>
      </c>
      <c r="E305" s="1">
        <v>0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  <c r="M305" s="1">
        <v>13.00764642</v>
      </c>
      <c r="N305" s="1">
        <v>0</v>
      </c>
      <c r="O305" s="1">
        <v>1.152056086</v>
      </c>
      <c r="P305" s="1">
        <v>0</v>
      </c>
      <c r="Q305" s="1">
        <v>0</v>
      </c>
      <c r="R305" s="1">
        <v>156.25186429999999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1007</v>
      </c>
      <c r="AB305" s="1">
        <v>0</v>
      </c>
      <c r="AC305" s="1">
        <v>0</v>
      </c>
      <c r="AD305">
        <v>0</v>
      </c>
      <c r="AE305" t="s">
        <v>637</v>
      </c>
      <c r="AF305" s="8" cm="1">
        <f t="array" aca="1" ref="AF305" ca="1">fScore_Total("ESPN",aCols)</f>
        <v>29.041346155999999</v>
      </c>
      <c r="AG305" s="8" cm="1">
        <f t="array" aca="1" ref="AG305" ca="1">-fScore_Total("diff",aCols)</f>
        <v>0</v>
      </c>
      <c r="AH305" s="8">
        <f t="shared" ca="1" si="10"/>
        <v>29.041346155999999</v>
      </c>
      <c r="AI305" s="8" t="str">
        <f t="shared" si="9"/>
        <v>FLEX</v>
      </c>
      <c r="AJ305" s="8"/>
    </row>
    <row r="306" spans="1:36" x14ac:dyDescent="0.25">
      <c r="A306" t="s">
        <v>322</v>
      </c>
      <c r="B306" s="1" t="s">
        <v>535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  <c r="M306" s="1">
        <v>14.429073580000001</v>
      </c>
      <c r="N306" s="1">
        <v>0</v>
      </c>
      <c r="O306" s="1">
        <v>1.12517421</v>
      </c>
      <c r="P306" s="1">
        <v>0</v>
      </c>
      <c r="Q306" s="1">
        <v>0</v>
      </c>
      <c r="R306" s="1">
        <v>149.6091064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1006</v>
      </c>
      <c r="AB306" s="1">
        <v>0</v>
      </c>
      <c r="AC306" s="1">
        <v>0</v>
      </c>
      <c r="AD306">
        <v>0</v>
      </c>
      <c r="AE306" t="s">
        <v>637</v>
      </c>
      <c r="AF306" s="8" cm="1">
        <f t="array" aca="1" ref="AF306" ca="1">fScore_Total("ESPN",aCols)</f>
        <v>28.926492690000003</v>
      </c>
      <c r="AG306" s="8" cm="1">
        <f t="array" aca="1" ref="AG306" ca="1">-fScore_Total("diff",aCols)</f>
        <v>0</v>
      </c>
      <c r="AH306" s="8">
        <f t="shared" ca="1" si="10"/>
        <v>28.926492690000003</v>
      </c>
      <c r="AI306" s="8" t="str">
        <f t="shared" si="9"/>
        <v>FLEX</v>
      </c>
      <c r="AJ306" s="8"/>
    </row>
    <row r="307" spans="1:36" x14ac:dyDescent="0.25">
      <c r="A307" t="s">
        <v>347</v>
      </c>
      <c r="B307" s="1" t="s">
        <v>533</v>
      </c>
      <c r="C307" s="1">
        <v>0</v>
      </c>
      <c r="D307" s="1">
        <v>0</v>
      </c>
      <c r="E307" s="1">
        <v>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  <c r="M307" s="1">
        <v>14.263295980000001</v>
      </c>
      <c r="N307" s="1">
        <v>0</v>
      </c>
      <c r="O307" s="1">
        <v>0.91006058099999998</v>
      </c>
      <c r="P307" s="1">
        <v>0</v>
      </c>
      <c r="Q307" s="1">
        <v>0</v>
      </c>
      <c r="R307" s="1">
        <v>141.8790625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1005</v>
      </c>
      <c r="AB307" s="1">
        <v>0</v>
      </c>
      <c r="AC307" s="1">
        <v>0</v>
      </c>
      <c r="AD307">
        <v>0</v>
      </c>
      <c r="AE307" t="s">
        <v>637</v>
      </c>
      <c r="AF307" s="8" cm="1">
        <f t="array" aca="1" ref="AF307" ca="1">fScore_Total("ESPN",aCols)</f>
        <v>26.779917726000001</v>
      </c>
      <c r="AG307" s="8" cm="1">
        <f t="array" aca="1" ref="AG307" ca="1">-fScore_Total("diff",aCols)</f>
        <v>0</v>
      </c>
      <c r="AH307" s="8">
        <f t="shared" ca="1" si="10"/>
        <v>26.779917726000001</v>
      </c>
      <c r="AI307" s="8" t="str">
        <f t="shared" si="9"/>
        <v>FLEX</v>
      </c>
      <c r="AJ307" s="8"/>
    </row>
    <row r="308" spans="1:36" x14ac:dyDescent="0.25">
      <c r="A308" t="s">
        <v>277</v>
      </c>
      <c r="B308" s="1" t="s">
        <v>533</v>
      </c>
      <c r="C308" s="1">
        <v>0</v>
      </c>
      <c r="D308" s="1">
        <v>0</v>
      </c>
      <c r="E308" s="1">
        <v>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  <c r="M308" s="1">
        <v>14.51686333</v>
      </c>
      <c r="N308" s="1">
        <v>0</v>
      </c>
      <c r="O308" s="1">
        <v>1.0437703739999999</v>
      </c>
      <c r="P308" s="1">
        <v>0</v>
      </c>
      <c r="Q308" s="1">
        <v>0</v>
      </c>
      <c r="R308" s="1">
        <v>156.74390260000001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1004</v>
      </c>
      <c r="AB308" s="1">
        <v>0</v>
      </c>
      <c r="AC308" s="1">
        <v>0</v>
      </c>
      <c r="AD308">
        <v>0</v>
      </c>
      <c r="AE308" t="s">
        <v>637</v>
      </c>
      <c r="AF308" s="8" cm="1">
        <f t="array" aca="1" ref="AF308" ca="1">fScore_Total("ESPN",aCols)</f>
        <v>29.195444169000002</v>
      </c>
      <c r="AG308" s="8" cm="1">
        <f t="array" aca="1" ref="AG308" ca="1">-fScore_Total("diff",aCols)</f>
        <v>0</v>
      </c>
      <c r="AH308" s="8">
        <f t="shared" ca="1" si="10"/>
        <v>29.195444169000002</v>
      </c>
      <c r="AI308" s="8" t="str">
        <f t="shared" si="9"/>
        <v>FLEX</v>
      </c>
      <c r="AJ308" s="8"/>
    </row>
    <row r="309" spans="1:36" x14ac:dyDescent="0.25">
      <c r="A309" t="s">
        <v>290</v>
      </c>
      <c r="B309" s="1" t="s">
        <v>535</v>
      </c>
      <c r="C309" s="1">
        <v>0</v>
      </c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  <c r="M309" s="1">
        <v>17.673102910000001</v>
      </c>
      <c r="N309" s="1">
        <v>0</v>
      </c>
      <c r="O309" s="1">
        <v>0.90109326199999995</v>
      </c>
      <c r="P309" s="1">
        <v>0</v>
      </c>
      <c r="Q309" s="1">
        <v>0</v>
      </c>
      <c r="R309" s="1">
        <v>143.48522389999999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1003</v>
      </c>
      <c r="AB309" s="1">
        <v>0</v>
      </c>
      <c r="AC309" s="1">
        <v>0</v>
      </c>
      <c r="AD309">
        <v>0</v>
      </c>
      <c r="AE309" t="s">
        <v>637</v>
      </c>
      <c r="AF309" s="8" cm="1">
        <f t="array" aca="1" ref="AF309" ca="1">fScore_Total("ESPN",aCols)</f>
        <v>28.591633417000001</v>
      </c>
      <c r="AG309" s="8" cm="1">
        <f t="array" aca="1" ref="AG309" ca="1">-fScore_Total("diff",aCols)</f>
        <v>0</v>
      </c>
      <c r="AH309" s="8">
        <f t="shared" ca="1" si="10"/>
        <v>28.591633417000001</v>
      </c>
      <c r="AI309" s="8" t="str">
        <f t="shared" si="9"/>
        <v>FLEX</v>
      </c>
      <c r="AJ309" s="8"/>
    </row>
    <row r="310" spans="1:36" x14ac:dyDescent="0.25">
      <c r="A310" t="s">
        <v>592</v>
      </c>
      <c r="B310" s="1" t="s">
        <v>533</v>
      </c>
      <c r="C310" s="1">
        <v>0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13.59057181</v>
      </c>
      <c r="N310" s="1">
        <v>0</v>
      </c>
      <c r="O310" s="1">
        <v>1.0784660340000001</v>
      </c>
      <c r="P310" s="1">
        <v>0</v>
      </c>
      <c r="Q310" s="1">
        <v>0</v>
      </c>
      <c r="R310" s="1">
        <v>161.78552350000001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1002</v>
      </c>
      <c r="AB310" s="1">
        <v>0</v>
      </c>
      <c r="AC310" s="1">
        <v>0</v>
      </c>
      <c r="AD310">
        <v>0</v>
      </c>
      <c r="AE310" t="s">
        <v>637</v>
      </c>
      <c r="AF310" s="8" cm="1">
        <f t="array" aca="1" ref="AF310" ca="1">fScore_Total("ESPN",aCols)</f>
        <v>29.444634459</v>
      </c>
      <c r="AG310" s="8" cm="1">
        <f t="array" aca="1" ref="AG310" ca="1">-fScore_Total("diff",aCols)</f>
        <v>0</v>
      </c>
      <c r="AH310" s="8">
        <f t="shared" ca="1" si="10"/>
        <v>29.444634459</v>
      </c>
      <c r="AI310" s="8" t="str">
        <f t="shared" si="9"/>
        <v>FLEX</v>
      </c>
      <c r="AJ310" s="8"/>
    </row>
    <row r="311" spans="1:36" x14ac:dyDescent="0.25">
      <c r="A311" t="s">
        <v>286</v>
      </c>
      <c r="B311" s="1" t="s">
        <v>533</v>
      </c>
      <c r="C311" s="1">
        <v>0</v>
      </c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  <c r="M311" s="1">
        <v>14.47256295</v>
      </c>
      <c r="N311" s="1">
        <v>0</v>
      </c>
      <c r="O311" s="1">
        <v>1.1155861629999999</v>
      </c>
      <c r="P311" s="1">
        <v>0</v>
      </c>
      <c r="Q311" s="1">
        <v>0</v>
      </c>
      <c r="R311" s="1">
        <v>175.35704620000001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1001</v>
      </c>
      <c r="AB311" s="1">
        <v>0</v>
      </c>
      <c r="AC311" s="1">
        <v>0</v>
      </c>
      <c r="AD311">
        <v>0</v>
      </c>
      <c r="AE311" t="s">
        <v>637</v>
      </c>
      <c r="AF311" s="8" cm="1">
        <f t="array" aca="1" ref="AF311" ca="1">fScore_Total("ESPN",aCols)</f>
        <v>31.465503073000001</v>
      </c>
      <c r="AG311" s="8" cm="1">
        <f t="array" aca="1" ref="AG311" ca="1">-fScore_Total("diff",aCols)</f>
        <v>0</v>
      </c>
      <c r="AH311" s="8">
        <f t="shared" ca="1" si="10"/>
        <v>31.465503073000001</v>
      </c>
      <c r="AI311" s="8" t="str">
        <f t="shared" si="9"/>
        <v>FLEX</v>
      </c>
      <c r="AJ311" s="8"/>
    </row>
    <row r="312" spans="1:36" x14ac:dyDescent="0.25">
      <c r="A312" t="s">
        <v>389</v>
      </c>
      <c r="B312" s="1" t="s">
        <v>535</v>
      </c>
      <c r="C312" s="1">
        <v>0</v>
      </c>
      <c r="D312" s="1">
        <v>0</v>
      </c>
      <c r="E312" s="1">
        <v>0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  <c r="M312" s="1">
        <v>14.726409950000001</v>
      </c>
      <c r="N312" s="1">
        <v>0</v>
      </c>
      <c r="O312" s="1">
        <v>0.64801658399999995</v>
      </c>
      <c r="P312" s="1">
        <v>0</v>
      </c>
      <c r="Q312" s="1">
        <v>0</v>
      </c>
      <c r="R312" s="1">
        <v>147.85373680000001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1018</v>
      </c>
      <c r="AB312" s="1">
        <v>0</v>
      </c>
      <c r="AC312" s="1">
        <v>0</v>
      </c>
      <c r="AD312">
        <v>0</v>
      </c>
      <c r="AE312" t="s">
        <v>637</v>
      </c>
      <c r="AF312" s="8" cm="1">
        <f t="array" aca="1" ref="AF312" ca="1">fScore_Total("ESPN",aCols)</f>
        <v>26.036678159000001</v>
      </c>
      <c r="AG312" s="8" cm="1">
        <f t="array" aca="1" ref="AG312" ca="1">-fScore_Total("diff",aCols)</f>
        <v>0</v>
      </c>
      <c r="AH312" s="8">
        <f t="shared" ca="1" si="10"/>
        <v>26.036678159000001</v>
      </c>
      <c r="AI312" s="8" t="str">
        <f t="shared" si="9"/>
        <v>FLEX</v>
      </c>
      <c r="AJ312" s="8"/>
    </row>
    <row r="313" spans="1:36" x14ac:dyDescent="0.25">
      <c r="A313" t="s">
        <v>593</v>
      </c>
      <c r="B313" s="1" t="s">
        <v>534</v>
      </c>
      <c r="C313" s="1">
        <v>0</v>
      </c>
      <c r="D313" s="1">
        <v>1.894724053</v>
      </c>
      <c r="E313" s="1">
        <v>0</v>
      </c>
      <c r="F313" s="1">
        <v>0</v>
      </c>
      <c r="G313" s="1">
        <v>3.5503399560000002</v>
      </c>
      <c r="H313" s="1">
        <v>0</v>
      </c>
      <c r="I313" s="1">
        <v>0</v>
      </c>
      <c r="J313" s="1">
        <v>501.62065660000002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0.17004435400000001</v>
      </c>
      <c r="W313" s="1">
        <v>0</v>
      </c>
      <c r="X313" s="1">
        <v>0</v>
      </c>
      <c r="Y313" s="1">
        <v>17.825792570000001</v>
      </c>
      <c r="Z313" s="1">
        <v>0</v>
      </c>
      <c r="AA313" s="1">
        <v>1019</v>
      </c>
      <c r="AB313" s="1">
        <v>0</v>
      </c>
      <c r="AC313" s="1">
        <v>0</v>
      </c>
      <c r="AD313">
        <v>0</v>
      </c>
      <c r="AE313" t="s">
        <v>637</v>
      </c>
      <c r="AF313" s="8" cm="1">
        <f t="array" aca="1" ref="AF313" ca="1">fScore_Total("ESPN",aCols)</f>
        <v>33.279583363</v>
      </c>
      <c r="AG313" s="8" cm="1">
        <f t="array" aca="1" ref="AG313" ca="1">-fScore_Total("diff",aCols)</f>
        <v>0</v>
      </c>
      <c r="AH313" s="8">
        <f t="shared" ca="1" si="10"/>
        <v>33.279583363</v>
      </c>
      <c r="AI313" s="8" t="str">
        <f t="shared" si="9"/>
        <v>QB</v>
      </c>
      <c r="AJ313" s="8" t="s">
        <v>641</v>
      </c>
    </row>
    <row r="314" spans="1:36" x14ac:dyDescent="0.25">
      <c r="A314" t="s">
        <v>594</v>
      </c>
      <c r="B314" s="1" t="s">
        <v>534</v>
      </c>
      <c r="C314" s="1">
        <v>0</v>
      </c>
      <c r="D314" s="1">
        <v>1.673452808</v>
      </c>
      <c r="E314" s="1">
        <v>0</v>
      </c>
      <c r="F314" s="1">
        <v>0</v>
      </c>
      <c r="G314" s="1">
        <v>3.474105776</v>
      </c>
      <c r="H314" s="1">
        <v>0</v>
      </c>
      <c r="I314" s="1">
        <v>0</v>
      </c>
      <c r="J314" s="1">
        <v>455.885649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0.22824655599999999</v>
      </c>
      <c r="W314" s="1">
        <v>0</v>
      </c>
      <c r="X314" s="1">
        <v>0</v>
      </c>
      <c r="Y314" s="1">
        <v>34.419385140000003</v>
      </c>
      <c r="Z314" s="1">
        <v>0</v>
      </c>
      <c r="AA314" s="1">
        <v>1020</v>
      </c>
      <c r="AB314" s="1">
        <v>0</v>
      </c>
      <c r="AC314" s="1">
        <v>0</v>
      </c>
      <c r="AD314">
        <v>0</v>
      </c>
      <c r="AE314" t="s">
        <v>637</v>
      </c>
      <c r="AF314" s="8" cm="1">
        <f t="array" aca="1" ref="AF314" ca="1">fScore_Total("ESPN",aCols)</f>
        <v>33.596361298000005</v>
      </c>
      <c r="AG314" s="8" cm="1">
        <f t="array" aca="1" ref="AG314" ca="1">-fScore_Total("diff",aCols)</f>
        <v>0</v>
      </c>
      <c r="AH314" s="8">
        <f t="shared" ca="1" si="10"/>
        <v>33.596361298000005</v>
      </c>
      <c r="AI314" s="8" t="str">
        <f t="shared" si="9"/>
        <v>QB</v>
      </c>
      <c r="AJ314" s="8" t="s">
        <v>641</v>
      </c>
    </row>
    <row r="315" spans="1:36" x14ac:dyDescent="0.25">
      <c r="A315" t="s">
        <v>435</v>
      </c>
      <c r="B315" s="1" t="s">
        <v>533</v>
      </c>
      <c r="C315" s="1">
        <v>0</v>
      </c>
      <c r="D315" s="1">
        <v>0</v>
      </c>
      <c r="E315" s="1">
        <v>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  <c r="M315" s="1">
        <v>13.26454521</v>
      </c>
      <c r="N315" s="1">
        <v>0</v>
      </c>
      <c r="O315" s="1">
        <v>0.63838431299999998</v>
      </c>
      <c r="P315" s="1">
        <v>0</v>
      </c>
      <c r="Q315" s="1">
        <v>0</v>
      </c>
      <c r="R315" s="1">
        <v>138.32689690000001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1030</v>
      </c>
      <c r="AB315" s="1">
        <v>0</v>
      </c>
      <c r="AC315" s="1">
        <v>0</v>
      </c>
      <c r="AD315">
        <v>0</v>
      </c>
      <c r="AE315" t="s">
        <v>637</v>
      </c>
      <c r="AF315" s="8" cm="1">
        <f t="array" aca="1" ref="AF315" ca="1">fScore_Total("ESPN",aCols)</f>
        <v>24.295268173000004</v>
      </c>
      <c r="AG315" s="8" cm="1">
        <f t="array" aca="1" ref="AG315" ca="1">-fScore_Total("diff",aCols)</f>
        <v>0</v>
      </c>
      <c r="AH315" s="8">
        <f t="shared" ca="1" si="10"/>
        <v>24.295268173000004</v>
      </c>
      <c r="AI315" s="8" t="str">
        <f t="shared" si="9"/>
        <v>FLEX</v>
      </c>
      <c r="AJ315" s="8"/>
    </row>
    <row r="316" spans="1:36" x14ac:dyDescent="0.25">
      <c r="A316" t="s">
        <v>316</v>
      </c>
      <c r="B316" s="1" t="s">
        <v>535</v>
      </c>
      <c r="C316" s="1">
        <v>0</v>
      </c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  <c r="M316" s="1">
        <v>13.25544929</v>
      </c>
      <c r="N316" s="1">
        <v>0</v>
      </c>
      <c r="O316" s="1">
        <v>0.60375216700000001</v>
      </c>
      <c r="P316" s="1">
        <v>0</v>
      </c>
      <c r="Q316" s="1">
        <v>0</v>
      </c>
      <c r="R316" s="1">
        <v>118.0167525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1038</v>
      </c>
      <c r="AB316" s="1">
        <v>0</v>
      </c>
      <c r="AC316" s="1">
        <v>0</v>
      </c>
      <c r="AD316">
        <v>0</v>
      </c>
      <c r="AE316" t="s">
        <v>637</v>
      </c>
      <c r="AF316" s="8" cm="1">
        <f t="array" aca="1" ref="AF316" ca="1">fScore_Total("ESPN",aCols)</f>
        <v>22.051912897000001</v>
      </c>
      <c r="AG316" s="8" cm="1">
        <f t="array" aca="1" ref="AG316" ca="1">-fScore_Total("diff",aCols)</f>
        <v>0</v>
      </c>
      <c r="AH316" s="8">
        <f t="shared" ca="1" si="10"/>
        <v>22.051912897000001</v>
      </c>
      <c r="AI316" s="8" t="str">
        <f t="shared" si="9"/>
        <v>FLEX</v>
      </c>
      <c r="AJ316" s="8"/>
    </row>
    <row r="317" spans="1:36" x14ac:dyDescent="0.25">
      <c r="A317" t="s">
        <v>315</v>
      </c>
      <c r="B317" s="1" t="s">
        <v>534</v>
      </c>
      <c r="C317" s="1">
        <v>0</v>
      </c>
      <c r="D317" s="1">
        <v>1.7802563870000001</v>
      </c>
      <c r="E317" s="1">
        <v>0</v>
      </c>
      <c r="F317" s="1">
        <v>0</v>
      </c>
      <c r="G317" s="1">
        <v>2.619913275</v>
      </c>
      <c r="H317" s="1">
        <v>0</v>
      </c>
      <c r="I317" s="1">
        <v>0</v>
      </c>
      <c r="J317" s="1">
        <v>481.81548670000001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0.17261229</v>
      </c>
      <c r="W317" s="1">
        <v>0</v>
      </c>
      <c r="X317" s="1">
        <v>0</v>
      </c>
      <c r="Y317" s="1">
        <v>19.79962965</v>
      </c>
      <c r="Z317" s="1">
        <v>0</v>
      </c>
      <c r="AA317" s="1">
        <v>1037</v>
      </c>
      <c r="AB317" s="1">
        <v>0</v>
      </c>
      <c r="AC317" s="1">
        <v>0</v>
      </c>
      <c r="AD317">
        <v>0</v>
      </c>
      <c r="AE317" t="s">
        <v>637</v>
      </c>
      <c r="AF317" s="8" cm="1">
        <f t="array" aca="1" ref="AF317" ca="1">fScore_Total("ESPN",aCols)</f>
        <v>29.207396499000001</v>
      </c>
      <c r="AG317" s="8" cm="1">
        <f t="array" aca="1" ref="AG317" ca="1">-fScore_Total("diff",aCols)</f>
        <v>0</v>
      </c>
      <c r="AH317" s="8">
        <f t="shared" ca="1" si="10"/>
        <v>29.207396499000001</v>
      </c>
      <c r="AI317" s="8" t="str">
        <f t="shared" si="9"/>
        <v>QB</v>
      </c>
      <c r="AJ317" s="8" t="s">
        <v>641</v>
      </c>
    </row>
    <row r="318" spans="1:36" x14ac:dyDescent="0.25">
      <c r="A318" t="s">
        <v>314</v>
      </c>
      <c r="B318" s="1" t="s">
        <v>535</v>
      </c>
      <c r="C318" s="1">
        <v>0</v>
      </c>
      <c r="D318" s="1">
        <v>0</v>
      </c>
      <c r="E318" s="1">
        <v>0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  <c r="M318" s="1">
        <v>11.80074671</v>
      </c>
      <c r="N318" s="1">
        <v>0</v>
      </c>
      <c r="O318" s="1">
        <v>0.88096899299999998</v>
      </c>
      <c r="P318" s="1">
        <v>0</v>
      </c>
      <c r="Q318" s="1">
        <v>0</v>
      </c>
      <c r="R318" s="1">
        <v>118.1867139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1036</v>
      </c>
      <c r="AB318" s="1">
        <v>0</v>
      </c>
      <c r="AC318" s="1">
        <v>0</v>
      </c>
      <c r="AD318">
        <v>0</v>
      </c>
      <c r="AE318" t="s">
        <v>637</v>
      </c>
      <c r="AF318" s="8" cm="1">
        <f t="array" aca="1" ref="AF318" ca="1">fScore_Total("ESPN",aCols)</f>
        <v>23.004858703000004</v>
      </c>
      <c r="AG318" s="8" cm="1">
        <f t="array" aca="1" ref="AG318" ca="1">-fScore_Total("diff",aCols)</f>
        <v>0</v>
      </c>
      <c r="AH318" s="8">
        <f t="shared" ca="1" si="10"/>
        <v>23.004858703000004</v>
      </c>
      <c r="AI318" s="8" t="str">
        <f t="shared" si="9"/>
        <v>FLEX</v>
      </c>
      <c r="AJ318" s="8"/>
    </row>
    <row r="319" spans="1:36" x14ac:dyDescent="0.25">
      <c r="A319" t="s">
        <v>313</v>
      </c>
      <c r="B319" s="1" t="s">
        <v>535</v>
      </c>
      <c r="C319" s="1">
        <v>0</v>
      </c>
      <c r="D319" s="1">
        <v>0</v>
      </c>
      <c r="E319" s="1">
        <v>0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13.698871799999999</v>
      </c>
      <c r="N319" s="1">
        <v>0</v>
      </c>
      <c r="O319" s="1">
        <v>0.73395256399999997</v>
      </c>
      <c r="P319" s="1">
        <v>0</v>
      </c>
      <c r="Q319" s="1">
        <v>0</v>
      </c>
      <c r="R319" s="1">
        <v>116.5275414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1035</v>
      </c>
      <c r="AB319" s="1">
        <v>0</v>
      </c>
      <c r="AC319" s="1">
        <v>0</v>
      </c>
      <c r="AD319">
        <v>0</v>
      </c>
      <c r="AE319" t="s">
        <v>637</v>
      </c>
      <c r="AF319" s="8" cm="1">
        <f t="array" aca="1" ref="AF319" ca="1">fScore_Total("ESPN",aCols)</f>
        <v>22.905905424</v>
      </c>
      <c r="AG319" s="8" cm="1">
        <f t="array" aca="1" ref="AG319" ca="1">-fScore_Total("diff",aCols)</f>
        <v>0</v>
      </c>
      <c r="AH319" s="8">
        <f t="shared" ca="1" si="10"/>
        <v>22.905905424</v>
      </c>
      <c r="AI319" s="8" t="str">
        <f t="shared" si="9"/>
        <v>FLEX</v>
      </c>
      <c r="AJ319" s="8"/>
    </row>
    <row r="320" spans="1:36" x14ac:dyDescent="0.25">
      <c r="A320" t="s">
        <v>595</v>
      </c>
      <c r="B320" s="1" t="s">
        <v>534</v>
      </c>
      <c r="C320" s="1">
        <v>0</v>
      </c>
      <c r="D320" s="1">
        <v>1.788561378</v>
      </c>
      <c r="E320" s="1">
        <v>0</v>
      </c>
      <c r="F320" s="1">
        <v>0</v>
      </c>
      <c r="G320" s="1">
        <v>2.2715016270000001</v>
      </c>
      <c r="H320" s="1">
        <v>0</v>
      </c>
      <c r="I320" s="1">
        <v>0</v>
      </c>
      <c r="J320" s="1">
        <v>492.49332249999998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0.36604520299999999</v>
      </c>
      <c r="W320" s="1">
        <v>0</v>
      </c>
      <c r="X320" s="1">
        <v>0</v>
      </c>
      <c r="Y320" s="1">
        <v>29.075469420000001</v>
      </c>
      <c r="Z320" s="1">
        <v>0</v>
      </c>
      <c r="AA320" s="1">
        <v>1034</v>
      </c>
      <c r="AB320" s="1">
        <v>0</v>
      </c>
      <c r="AC320" s="1">
        <v>0</v>
      </c>
      <c r="AD320">
        <v>0</v>
      </c>
      <c r="AE320" t="s">
        <v>637</v>
      </c>
      <c r="AF320" s="8" cm="1">
        <f t="array" aca="1" ref="AF320" ca="1">fScore_Total("ESPN",aCols)</f>
        <v>30.312434812000003</v>
      </c>
      <c r="AG320" s="8" cm="1">
        <f t="array" aca="1" ref="AG320" ca="1">-fScore_Total("diff",aCols)</f>
        <v>0</v>
      </c>
      <c r="AH320" s="8">
        <f t="shared" ca="1" si="10"/>
        <v>30.312434812000003</v>
      </c>
      <c r="AI320" s="8" t="str">
        <f t="shared" si="9"/>
        <v>QB</v>
      </c>
      <c r="AJ320" s="8" t="s">
        <v>641</v>
      </c>
    </row>
    <row r="321" spans="1:36" x14ac:dyDescent="0.25">
      <c r="A321" t="s">
        <v>308</v>
      </c>
      <c r="B321" s="1" t="s">
        <v>534</v>
      </c>
      <c r="C321" s="1">
        <v>0</v>
      </c>
      <c r="D321" s="1">
        <v>1.7077990009999999</v>
      </c>
      <c r="E321" s="1">
        <v>0</v>
      </c>
      <c r="F321" s="1">
        <v>0</v>
      </c>
      <c r="G321" s="1">
        <v>2.8402394809999998</v>
      </c>
      <c r="H321" s="1">
        <v>0</v>
      </c>
      <c r="I321" s="1">
        <v>0</v>
      </c>
      <c r="J321" s="1">
        <v>458.79511239999999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0.328709643</v>
      </c>
      <c r="W321" s="1">
        <v>0</v>
      </c>
      <c r="X321" s="1">
        <v>0</v>
      </c>
      <c r="Y321" s="1">
        <v>25.481690780000001</v>
      </c>
      <c r="Z321" s="1">
        <v>0</v>
      </c>
      <c r="AA321" s="1">
        <v>1032</v>
      </c>
      <c r="AB321" s="1">
        <v>0</v>
      </c>
      <c r="AC321" s="1">
        <v>0</v>
      </c>
      <c r="AD321">
        <v>0</v>
      </c>
      <c r="AE321" t="s">
        <v>637</v>
      </c>
      <c r="AF321" s="8" cm="1">
        <f t="array" aca="1" ref="AF321" ca="1">fScore_Total("ESPN",aCols)</f>
        <v>30.817591354000001</v>
      </c>
      <c r="AG321" s="8" cm="1">
        <f t="array" aca="1" ref="AG321" ca="1">-fScore_Total("diff",aCols)</f>
        <v>0</v>
      </c>
      <c r="AH321" s="8">
        <f t="shared" ca="1" si="10"/>
        <v>30.817591354000001</v>
      </c>
      <c r="AI321" s="8" t="str">
        <f t="shared" si="9"/>
        <v>QB</v>
      </c>
      <c r="AJ321" s="8" t="s">
        <v>641</v>
      </c>
    </row>
    <row r="322" spans="1:36" x14ac:dyDescent="0.25">
      <c r="A322" t="s">
        <v>299</v>
      </c>
      <c r="B322" s="1" t="s">
        <v>534</v>
      </c>
      <c r="C322" s="1">
        <v>0</v>
      </c>
      <c r="D322" s="1">
        <v>1.7101199659999999</v>
      </c>
      <c r="E322" s="1">
        <v>0</v>
      </c>
      <c r="F322" s="1">
        <v>0</v>
      </c>
      <c r="G322" s="1">
        <v>2.859101286</v>
      </c>
      <c r="H322" s="1">
        <v>0</v>
      </c>
      <c r="I322" s="1">
        <v>0</v>
      </c>
      <c r="J322" s="1">
        <v>481.90499899999998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0.44594738099999998</v>
      </c>
      <c r="W322" s="1">
        <v>0</v>
      </c>
      <c r="X322" s="1">
        <v>0</v>
      </c>
      <c r="Y322" s="1">
        <v>32.76196049</v>
      </c>
      <c r="Z322" s="1">
        <v>0</v>
      </c>
      <c r="AA322" s="1">
        <v>1021</v>
      </c>
      <c r="AB322" s="1">
        <v>0</v>
      </c>
      <c r="AC322" s="1">
        <v>0</v>
      </c>
      <c r="AD322">
        <v>0</v>
      </c>
      <c r="AE322" t="s">
        <v>637</v>
      </c>
      <c r="AF322" s="8" cm="1">
        <f t="array" aca="1" ref="AF322" ca="1">fScore_Total("ESPN",aCols)</f>
        <v>33.244245507000002</v>
      </c>
      <c r="AG322" s="8" cm="1">
        <f t="array" aca="1" ref="AG322" ca="1">-fScore_Total("diff",aCols)</f>
        <v>0</v>
      </c>
      <c r="AH322" s="8">
        <f t="shared" ca="1" si="10"/>
        <v>33.244245507000002</v>
      </c>
      <c r="AI322" s="8" t="str">
        <f t="shared" si="9"/>
        <v>QB</v>
      </c>
      <c r="AJ322" s="8" t="s">
        <v>641</v>
      </c>
    </row>
    <row r="323" spans="1:36" x14ac:dyDescent="0.25">
      <c r="A323" t="s">
        <v>327</v>
      </c>
      <c r="B323" s="1" t="s">
        <v>533</v>
      </c>
      <c r="C323" s="1">
        <v>0</v>
      </c>
      <c r="D323" s="1">
        <v>0</v>
      </c>
      <c r="E323" s="1">
        <v>0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12.70222216</v>
      </c>
      <c r="N323" s="1">
        <v>0</v>
      </c>
      <c r="O323" s="1">
        <v>0.64451715099999995</v>
      </c>
      <c r="P323" s="1">
        <v>0</v>
      </c>
      <c r="Q323" s="1">
        <v>0</v>
      </c>
      <c r="R323" s="1">
        <v>145.34283210000001</v>
      </c>
      <c r="S323" s="1">
        <v>0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1028</v>
      </c>
      <c r="AB323" s="1">
        <v>0</v>
      </c>
      <c r="AC323" s="1">
        <v>0</v>
      </c>
      <c r="AD323">
        <v>0</v>
      </c>
      <c r="AE323" t="s">
        <v>637</v>
      </c>
      <c r="AF323" s="8" cm="1">
        <f t="array" aca="1" ref="AF323" ca="1">fScore_Total("ESPN",aCols)</f>
        <v>24.752497196</v>
      </c>
      <c r="AG323" s="8" cm="1">
        <f t="array" aca="1" ref="AG323" ca="1">-fScore_Total("diff",aCols)</f>
        <v>0</v>
      </c>
      <c r="AH323" s="8">
        <f t="shared" ca="1" si="10"/>
        <v>24.752497196</v>
      </c>
      <c r="AI323" s="8" t="str">
        <f t="shared" ref="AI323:AI386" si="11">IF(B323="QB","QB","FLEX")</f>
        <v>FLEX</v>
      </c>
      <c r="AJ323" s="8"/>
    </row>
    <row r="324" spans="1:36" x14ac:dyDescent="0.25">
      <c r="A324" t="s">
        <v>306</v>
      </c>
      <c r="B324" s="1" t="s">
        <v>535</v>
      </c>
      <c r="C324" s="1">
        <v>0</v>
      </c>
      <c r="D324" s="1">
        <v>0</v>
      </c>
      <c r="E324" s="1">
        <v>0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  <c r="M324" s="1">
        <v>13.173355580000001</v>
      </c>
      <c r="N324" s="1">
        <v>0</v>
      </c>
      <c r="O324" s="1">
        <v>0.81993860600000001</v>
      </c>
      <c r="P324" s="1">
        <v>0</v>
      </c>
      <c r="Q324" s="1">
        <v>0</v>
      </c>
      <c r="R324" s="1">
        <v>132.622489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1027</v>
      </c>
      <c r="AB324" s="1">
        <v>0</v>
      </c>
      <c r="AC324" s="1">
        <v>0</v>
      </c>
      <c r="AD324">
        <v>0</v>
      </c>
      <c r="AE324" t="s">
        <v>637</v>
      </c>
      <c r="AF324" s="8" cm="1">
        <f t="array" aca="1" ref="AF324" ca="1">fScore_Total("ESPN",aCols)</f>
        <v>24.768558326000004</v>
      </c>
      <c r="AG324" s="8" cm="1">
        <f t="array" aca="1" ref="AG324" ca="1">-fScore_Total("diff",aCols)</f>
        <v>0</v>
      </c>
      <c r="AH324" s="8">
        <f t="shared" ca="1" si="10"/>
        <v>24.768558326000004</v>
      </c>
      <c r="AI324" s="8" t="str">
        <f t="shared" si="11"/>
        <v>FLEX</v>
      </c>
      <c r="AJ324" s="8"/>
    </row>
    <row r="325" spans="1:36" x14ac:dyDescent="0.25">
      <c r="A325" t="s">
        <v>304</v>
      </c>
      <c r="B325" s="1" t="s">
        <v>534</v>
      </c>
      <c r="C325" s="1">
        <v>0</v>
      </c>
      <c r="D325" s="1">
        <v>1.8048372420000001</v>
      </c>
      <c r="E325" s="1">
        <v>0</v>
      </c>
      <c r="F325" s="1">
        <v>0</v>
      </c>
      <c r="G325" s="1">
        <v>3.1868040209999999</v>
      </c>
      <c r="H325" s="1">
        <v>0</v>
      </c>
      <c r="I325" s="1">
        <v>0</v>
      </c>
      <c r="J325" s="1">
        <v>476.62517630000002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0.22711200400000001</v>
      </c>
      <c r="W325" s="1">
        <v>0</v>
      </c>
      <c r="X325" s="1">
        <v>0</v>
      </c>
      <c r="Y325" s="1">
        <v>27.562718289999999</v>
      </c>
      <c r="Z325" s="1">
        <v>0</v>
      </c>
      <c r="AA325" s="1">
        <v>1026</v>
      </c>
      <c r="AB325" s="1">
        <v>0</v>
      </c>
      <c r="AC325" s="1">
        <v>0</v>
      </c>
      <c r="AD325">
        <v>0</v>
      </c>
      <c r="AE325" t="s">
        <v>637</v>
      </c>
      <c r="AF325" s="8" cm="1">
        <f t="array" aca="1" ref="AF325" ca="1">fScore_Total("ESPN",aCols)</f>
        <v>32.321492505000002</v>
      </c>
      <c r="AG325" s="8" cm="1">
        <f t="array" aca="1" ref="AG325" ca="1">-fScore_Total("diff",aCols)</f>
        <v>0</v>
      </c>
      <c r="AH325" s="8">
        <f t="shared" ca="1" si="10"/>
        <v>32.321492505000002</v>
      </c>
      <c r="AI325" s="8" t="str">
        <f t="shared" si="11"/>
        <v>QB</v>
      </c>
      <c r="AJ325" s="8" t="s">
        <v>641</v>
      </c>
    </row>
    <row r="326" spans="1:36" x14ac:dyDescent="0.25">
      <c r="A326" t="s">
        <v>303</v>
      </c>
      <c r="B326" s="1" t="s">
        <v>533</v>
      </c>
      <c r="C326" s="1">
        <v>0</v>
      </c>
      <c r="D326" s="1">
        <v>0</v>
      </c>
      <c r="E326" s="1">
        <v>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7.1757542750000001</v>
      </c>
      <c r="N326" s="1">
        <v>0</v>
      </c>
      <c r="O326" s="1">
        <v>0.518377796</v>
      </c>
      <c r="P326" s="1">
        <v>0</v>
      </c>
      <c r="Q326" s="1">
        <v>0</v>
      </c>
      <c r="R326" s="1">
        <v>73.351994160000004</v>
      </c>
      <c r="S326" s="1">
        <v>0</v>
      </c>
      <c r="T326" s="1">
        <v>0</v>
      </c>
      <c r="U326" s="1">
        <v>0</v>
      </c>
      <c r="V326" s="1">
        <v>0.33733007799999998</v>
      </c>
      <c r="W326" s="1">
        <v>0</v>
      </c>
      <c r="X326" s="1">
        <v>0</v>
      </c>
      <c r="Y326" s="1">
        <v>85.726185240000007</v>
      </c>
      <c r="Z326" s="1">
        <v>0</v>
      </c>
      <c r="AA326" s="1">
        <v>1025</v>
      </c>
      <c r="AB326" s="1">
        <v>0</v>
      </c>
      <c r="AC326" s="1">
        <v>0</v>
      </c>
      <c r="AD326">
        <v>0</v>
      </c>
      <c r="AE326" t="s">
        <v>637</v>
      </c>
      <c r="AF326" s="8" cm="1">
        <f t="array" aca="1" ref="AF326" ca="1">fScore_Total("ESPN",aCols)</f>
        <v>24.629942321500003</v>
      </c>
      <c r="AG326" s="8" cm="1">
        <f t="array" aca="1" ref="AG326" ca="1">-fScore_Total("diff",aCols)</f>
        <v>0</v>
      </c>
      <c r="AH326" s="8">
        <f t="shared" ref="AH326:AH389" ca="1" si="12">+AF326+AG326</f>
        <v>24.629942321500003</v>
      </c>
      <c r="AI326" s="8" t="str">
        <f t="shared" si="11"/>
        <v>FLEX</v>
      </c>
      <c r="AJ326" s="8"/>
    </row>
    <row r="327" spans="1:36" x14ac:dyDescent="0.25">
      <c r="A327" t="s">
        <v>301</v>
      </c>
      <c r="B327" s="1" t="s">
        <v>534</v>
      </c>
      <c r="C327" s="1">
        <v>0</v>
      </c>
      <c r="D327" s="1">
        <v>1.7340037589999999</v>
      </c>
      <c r="E327" s="1">
        <v>0</v>
      </c>
      <c r="F327" s="1">
        <v>0</v>
      </c>
      <c r="G327" s="1">
        <v>2.7038335080000002</v>
      </c>
      <c r="H327" s="1">
        <v>0</v>
      </c>
      <c r="I327" s="1">
        <v>0</v>
      </c>
      <c r="J327" s="1">
        <v>440.01458170000001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0.52976627799999998</v>
      </c>
      <c r="W327" s="1">
        <v>0</v>
      </c>
      <c r="X327" s="1">
        <v>0</v>
      </c>
      <c r="Y327" s="1">
        <v>48.068387710000003</v>
      </c>
      <c r="Z327" s="1">
        <v>0</v>
      </c>
      <c r="AA327" s="1">
        <v>1024</v>
      </c>
      <c r="AB327" s="1">
        <v>0</v>
      </c>
      <c r="AC327" s="1">
        <v>0</v>
      </c>
      <c r="AD327">
        <v>0</v>
      </c>
      <c r="AE327" t="s">
        <v>637</v>
      </c>
      <c r="AF327" s="8" cm="1">
        <f t="array" aca="1" ref="AF327" ca="1">fScore_Total("ESPN",aCols)</f>
        <v>32.933346221000008</v>
      </c>
      <c r="AG327" s="8" cm="1">
        <f t="array" aca="1" ref="AG327" ca="1">-fScore_Total("diff",aCols)</f>
        <v>0</v>
      </c>
      <c r="AH327" s="8">
        <f t="shared" ca="1" si="12"/>
        <v>32.933346221000008</v>
      </c>
      <c r="AI327" s="8" t="str">
        <f t="shared" si="11"/>
        <v>QB</v>
      </c>
      <c r="AJ327" s="8" t="s">
        <v>641</v>
      </c>
    </row>
    <row r="328" spans="1:36" x14ac:dyDescent="0.25">
      <c r="A328" t="s">
        <v>275</v>
      </c>
      <c r="B328" s="1" t="s">
        <v>533</v>
      </c>
      <c r="C328" s="1">
        <v>0</v>
      </c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11.5934116</v>
      </c>
      <c r="N328" s="1">
        <v>0</v>
      </c>
      <c r="O328" s="1">
        <v>0.61727028100000003</v>
      </c>
      <c r="P328" s="1">
        <v>0</v>
      </c>
      <c r="Q328" s="1">
        <v>0</v>
      </c>
      <c r="R328" s="1">
        <v>116.07114009999999</v>
      </c>
      <c r="S328" s="1">
        <v>0</v>
      </c>
      <c r="T328" s="1">
        <v>0</v>
      </c>
      <c r="U328" s="1">
        <v>0</v>
      </c>
      <c r="V328" s="1">
        <v>0.112343622</v>
      </c>
      <c r="W328" s="1">
        <v>0</v>
      </c>
      <c r="X328" s="1">
        <v>0</v>
      </c>
      <c r="Y328" s="1">
        <v>20.79635944</v>
      </c>
      <c r="Z328" s="1">
        <v>0</v>
      </c>
      <c r="AA328" s="1">
        <v>1023</v>
      </c>
      <c r="AB328" s="1">
        <v>0</v>
      </c>
      <c r="AC328" s="1">
        <v>0</v>
      </c>
      <c r="AD328">
        <v>0</v>
      </c>
      <c r="AE328" t="s">
        <v>637</v>
      </c>
      <c r="AF328" s="8" cm="1">
        <f t="array" aca="1" ref="AF328" ca="1">fScore_Total("ESPN",aCols)</f>
        <v>23.861139171999998</v>
      </c>
      <c r="AG328" s="8" cm="1">
        <f t="array" aca="1" ref="AG328" ca="1">-fScore_Total("diff",aCols)</f>
        <v>0</v>
      </c>
      <c r="AH328" s="8">
        <f t="shared" ca="1" si="12"/>
        <v>23.861139171999998</v>
      </c>
      <c r="AI328" s="8" t="str">
        <f t="shared" si="11"/>
        <v>FLEX</v>
      </c>
      <c r="AJ328" s="8"/>
    </row>
    <row r="329" spans="1:36" x14ac:dyDescent="0.25">
      <c r="A329" t="s">
        <v>300</v>
      </c>
      <c r="B329" s="1" t="s">
        <v>533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11.64412714</v>
      </c>
      <c r="N329" s="1">
        <v>0</v>
      </c>
      <c r="O329" s="1">
        <v>0.69180922899999997</v>
      </c>
      <c r="P329" s="1">
        <v>0</v>
      </c>
      <c r="Q329" s="1">
        <v>0</v>
      </c>
      <c r="R329" s="1">
        <v>111.20814590000001</v>
      </c>
      <c r="S329" s="1">
        <v>0</v>
      </c>
      <c r="T329" s="1">
        <v>0</v>
      </c>
      <c r="U329" s="1">
        <v>0</v>
      </c>
      <c r="V329" s="1">
        <v>7.8802223000000005E-2</v>
      </c>
      <c r="W329" s="1">
        <v>0</v>
      </c>
      <c r="X329" s="1">
        <v>0</v>
      </c>
      <c r="Y329" s="1">
        <v>13.040839679999999</v>
      </c>
      <c r="Z329" s="1">
        <v>0</v>
      </c>
      <c r="AA329" s="1">
        <v>1022</v>
      </c>
      <c r="AB329" s="1">
        <v>0</v>
      </c>
      <c r="AC329" s="1">
        <v>0</v>
      </c>
      <c r="AD329">
        <v>0</v>
      </c>
      <c r="AE329" t="s">
        <v>637</v>
      </c>
      <c r="AF329" s="8" cm="1">
        <f t="array" aca="1" ref="AF329" ca="1">fScore_Total("ESPN",aCols)</f>
        <v>22.870630840000004</v>
      </c>
      <c r="AG329" s="8" cm="1">
        <f t="array" aca="1" ref="AG329" ca="1">-fScore_Total("diff",aCols)</f>
        <v>0</v>
      </c>
      <c r="AH329" s="8">
        <f t="shared" ca="1" si="12"/>
        <v>22.870630840000004</v>
      </c>
      <c r="AI329" s="8" t="str">
        <f t="shared" si="11"/>
        <v>FLEX</v>
      </c>
      <c r="AJ329" s="8"/>
    </row>
    <row r="330" spans="1:36" x14ac:dyDescent="0.25">
      <c r="A330" t="s">
        <v>351</v>
      </c>
      <c r="B330" s="1" t="s">
        <v>533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  <c r="M330" s="1">
        <v>5.630676062</v>
      </c>
      <c r="N330" s="1">
        <v>0</v>
      </c>
      <c r="O330" s="1">
        <v>0.48717537900000002</v>
      </c>
      <c r="P330" s="1">
        <v>0</v>
      </c>
      <c r="Q330" s="1">
        <v>0</v>
      </c>
      <c r="R330" s="1">
        <v>64.526570809999996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1079</v>
      </c>
      <c r="AB330" s="1">
        <v>0</v>
      </c>
      <c r="AC330" s="1">
        <v>0</v>
      </c>
      <c r="AD330">
        <v>0</v>
      </c>
      <c r="AE330" t="s">
        <v>637</v>
      </c>
      <c r="AF330" s="8" cm="1">
        <f t="array" aca="1" ref="AF330" ca="1">fScore_Total("ESPN",aCols)</f>
        <v>12.191047386000001</v>
      </c>
      <c r="AG330" s="8" cm="1">
        <f t="array" aca="1" ref="AG330" ca="1">-fScore_Total("diff",aCols)</f>
        <v>0</v>
      </c>
      <c r="AH330" s="8">
        <f t="shared" ca="1" si="12"/>
        <v>12.191047386000001</v>
      </c>
      <c r="AI330" s="8" t="str">
        <f t="shared" si="11"/>
        <v>FLEX</v>
      </c>
      <c r="AJ330" s="8"/>
    </row>
    <row r="331" spans="1:36" x14ac:dyDescent="0.25">
      <c r="A331" t="s">
        <v>596</v>
      </c>
      <c r="B331" s="1" t="s">
        <v>532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0.11800192399999999</v>
      </c>
      <c r="W331" s="1">
        <v>0</v>
      </c>
      <c r="X331" s="1">
        <v>0</v>
      </c>
      <c r="Y331" s="1">
        <v>15.629477140000001</v>
      </c>
      <c r="Z331" s="1">
        <v>0</v>
      </c>
      <c r="AA331" s="1">
        <v>1160</v>
      </c>
      <c r="AB331" s="1">
        <v>0</v>
      </c>
      <c r="AC331" s="1">
        <v>0</v>
      </c>
      <c r="AD331">
        <v>0</v>
      </c>
      <c r="AE331" t="s">
        <v>637</v>
      </c>
      <c r="AF331" s="8" cm="1">
        <f t="array" aca="1" ref="AF331" ca="1">fScore_Total("ESPN",aCols)</f>
        <v>2.270959258</v>
      </c>
      <c r="AG331" s="8" cm="1">
        <f t="array" aca="1" ref="AG331" ca="1">-fScore_Total("diff",aCols)</f>
        <v>0</v>
      </c>
      <c r="AH331" s="8">
        <f t="shared" ca="1" si="12"/>
        <v>2.270959258</v>
      </c>
      <c r="AI331" s="8" t="str">
        <f t="shared" si="11"/>
        <v>FLEX</v>
      </c>
      <c r="AJ331" s="8"/>
    </row>
    <row r="332" spans="1:36" x14ac:dyDescent="0.25">
      <c r="A332" t="s">
        <v>340</v>
      </c>
      <c r="B332" s="1" t="s">
        <v>533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4.681135737</v>
      </c>
      <c r="N332" s="1">
        <v>0</v>
      </c>
      <c r="O332" s="1">
        <v>0.26248237899999999</v>
      </c>
      <c r="P332" s="1">
        <v>0</v>
      </c>
      <c r="Q332" s="1">
        <v>0</v>
      </c>
      <c r="R332" s="1">
        <v>52.516458999999998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1081</v>
      </c>
      <c r="AB332" s="1">
        <v>0</v>
      </c>
      <c r="AC332" s="1">
        <v>0</v>
      </c>
      <c r="AD332">
        <v>0</v>
      </c>
      <c r="AE332" t="s">
        <v>637</v>
      </c>
      <c r="AF332" s="8" cm="1">
        <f t="array" aca="1" ref="AF332" ca="1">fScore_Total("ESPN",aCols)</f>
        <v>9.1671080425000007</v>
      </c>
      <c r="AG332" s="8" cm="1">
        <f t="array" aca="1" ref="AG332" ca="1">-fScore_Total("diff",aCols)</f>
        <v>0</v>
      </c>
      <c r="AH332" s="8">
        <f t="shared" ca="1" si="12"/>
        <v>9.1671080425000007</v>
      </c>
      <c r="AI332" s="8" t="str">
        <f t="shared" si="11"/>
        <v>FLEX</v>
      </c>
      <c r="AJ332" s="8"/>
    </row>
    <row r="333" spans="1:36" x14ac:dyDescent="0.25">
      <c r="A333" t="s">
        <v>597</v>
      </c>
      <c r="B333" s="1" t="s">
        <v>533</v>
      </c>
      <c r="C333" s="1">
        <v>0</v>
      </c>
      <c r="D333" s="1">
        <v>0</v>
      </c>
      <c r="E333" s="1">
        <v>0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  <c r="M333" s="1">
        <v>2.1070752239999999</v>
      </c>
      <c r="N333" s="1">
        <v>0</v>
      </c>
      <c r="O333" s="1">
        <v>0.15531990800000001</v>
      </c>
      <c r="P333" s="1">
        <v>0</v>
      </c>
      <c r="Q333" s="1">
        <v>0</v>
      </c>
      <c r="R333" s="1">
        <v>25.109887199999999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1139</v>
      </c>
      <c r="AB333" s="1">
        <v>0</v>
      </c>
      <c r="AC333" s="1">
        <v>0</v>
      </c>
      <c r="AD333">
        <v>0</v>
      </c>
      <c r="AE333" t="s">
        <v>637</v>
      </c>
      <c r="AF333" s="8" cm="1">
        <f t="array" aca="1" ref="AF333" ca="1">fScore_Total("ESPN",aCols)</f>
        <v>4.4964457800000002</v>
      </c>
      <c r="AG333" s="8" cm="1">
        <f t="array" aca="1" ref="AG333" ca="1">-fScore_Total("diff",aCols)</f>
        <v>0</v>
      </c>
      <c r="AH333" s="8">
        <f t="shared" ca="1" si="12"/>
        <v>4.4964457800000002</v>
      </c>
      <c r="AI333" s="8" t="str">
        <f t="shared" si="11"/>
        <v>FLEX</v>
      </c>
      <c r="AJ333" s="8"/>
    </row>
    <row r="334" spans="1:36" x14ac:dyDescent="0.25">
      <c r="A334" t="s">
        <v>404</v>
      </c>
      <c r="B334" s="1" t="s">
        <v>533</v>
      </c>
      <c r="C334" s="1">
        <v>0</v>
      </c>
      <c r="D334" s="1">
        <v>0</v>
      </c>
      <c r="E334" s="1">
        <v>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  <c r="M334" s="1">
        <v>1.621179218</v>
      </c>
      <c r="N334" s="1">
        <v>0</v>
      </c>
      <c r="O334" s="1">
        <v>0.12861367000000001</v>
      </c>
      <c r="P334" s="1">
        <v>0</v>
      </c>
      <c r="Q334" s="1">
        <v>0</v>
      </c>
      <c r="R334" s="1">
        <v>17.382663340000001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1138</v>
      </c>
      <c r="AB334" s="1">
        <v>0</v>
      </c>
      <c r="AC334" s="1">
        <v>0</v>
      </c>
      <c r="AD334">
        <v>0</v>
      </c>
      <c r="AE334" t="s">
        <v>637</v>
      </c>
      <c r="AF334" s="8" cm="1">
        <f t="array" aca="1" ref="AF334" ca="1">fScore_Total("ESPN",aCols)</f>
        <v>3.3205379630000005</v>
      </c>
      <c r="AG334" s="8" cm="1">
        <f t="array" aca="1" ref="AG334" ca="1">-fScore_Total("diff",aCols)</f>
        <v>0</v>
      </c>
      <c r="AH334" s="8">
        <f t="shared" ca="1" si="12"/>
        <v>3.3205379630000005</v>
      </c>
      <c r="AI334" s="8" t="str">
        <f t="shared" si="11"/>
        <v>FLEX</v>
      </c>
      <c r="AJ334" s="8"/>
    </row>
    <row r="335" spans="1:36" x14ac:dyDescent="0.25">
      <c r="A335" t="s">
        <v>402</v>
      </c>
      <c r="B335" s="1" t="s">
        <v>533</v>
      </c>
      <c r="C335" s="1">
        <v>0</v>
      </c>
      <c r="D335" s="1">
        <v>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  <c r="M335" s="1">
        <v>1.488789025</v>
      </c>
      <c r="N335" s="1">
        <v>0</v>
      </c>
      <c r="O335" s="1">
        <v>0.15706981</v>
      </c>
      <c r="P335" s="1">
        <v>0</v>
      </c>
      <c r="Q335" s="1">
        <v>0</v>
      </c>
      <c r="R335" s="1">
        <v>18.7592119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1137</v>
      </c>
      <c r="AB335" s="1">
        <v>0</v>
      </c>
      <c r="AC335" s="1">
        <v>0</v>
      </c>
      <c r="AD335">
        <v>0</v>
      </c>
      <c r="AE335" t="s">
        <v>637</v>
      </c>
      <c r="AF335" s="8" cm="1">
        <f t="array" aca="1" ref="AF335" ca="1">fScore_Total("ESPN",aCols)</f>
        <v>3.5627345625000002</v>
      </c>
      <c r="AG335" s="8" cm="1">
        <f t="array" aca="1" ref="AG335" ca="1">-fScore_Total("diff",aCols)</f>
        <v>0</v>
      </c>
      <c r="AH335" s="8">
        <f t="shared" ca="1" si="12"/>
        <v>3.5627345625000002</v>
      </c>
      <c r="AI335" s="8" t="str">
        <f t="shared" si="11"/>
        <v>FLEX</v>
      </c>
      <c r="AJ335" s="8"/>
    </row>
    <row r="336" spans="1:36" x14ac:dyDescent="0.25">
      <c r="A336" t="s">
        <v>393</v>
      </c>
      <c r="B336" s="1" t="s">
        <v>532</v>
      </c>
      <c r="C336" s="1">
        <v>0</v>
      </c>
      <c r="D336" s="1">
        <v>0</v>
      </c>
      <c r="E336" s="1">
        <v>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2.0347898870000001</v>
      </c>
      <c r="N336" s="1">
        <v>0</v>
      </c>
      <c r="O336" s="1">
        <v>6.3107098E-2</v>
      </c>
      <c r="P336" s="1">
        <v>0</v>
      </c>
      <c r="Q336" s="1">
        <v>0</v>
      </c>
      <c r="R336" s="1">
        <v>14.531216089999999</v>
      </c>
      <c r="S336" s="1">
        <v>0</v>
      </c>
      <c r="T336" s="1">
        <v>0</v>
      </c>
      <c r="U336" s="1">
        <v>0</v>
      </c>
      <c r="V336" s="1">
        <v>0.112520868</v>
      </c>
      <c r="W336" s="1">
        <v>0</v>
      </c>
      <c r="X336" s="1">
        <v>0</v>
      </c>
      <c r="Y336" s="1">
        <v>17.30692492</v>
      </c>
      <c r="Z336" s="1">
        <v>0</v>
      </c>
      <c r="AA336" s="1">
        <v>1136</v>
      </c>
      <c r="AB336" s="1">
        <v>0</v>
      </c>
      <c r="AC336" s="1">
        <v>0</v>
      </c>
      <c r="AD336">
        <v>0</v>
      </c>
      <c r="AE336" t="s">
        <v>637</v>
      </c>
      <c r="AF336" s="8" cm="1">
        <f t="array" aca="1" ref="AF336" ca="1">fScore_Total("ESPN",aCols)</f>
        <v>5.2549768405000004</v>
      </c>
      <c r="AG336" s="8" cm="1">
        <f t="array" aca="1" ref="AG336" ca="1">-fScore_Total("diff",aCols)</f>
        <v>0</v>
      </c>
      <c r="AH336" s="8">
        <f t="shared" ca="1" si="12"/>
        <v>5.2549768405000004</v>
      </c>
      <c r="AI336" s="8" t="str">
        <f t="shared" si="11"/>
        <v>FLEX</v>
      </c>
      <c r="AJ336" s="8"/>
    </row>
    <row r="337" spans="1:36" x14ac:dyDescent="0.25">
      <c r="A337" t="s">
        <v>392</v>
      </c>
      <c r="B337" s="1" t="s">
        <v>533</v>
      </c>
      <c r="C337" s="1">
        <v>0</v>
      </c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  <c r="M337" s="1">
        <v>1.67962963</v>
      </c>
      <c r="N337" s="1">
        <v>0</v>
      </c>
      <c r="O337" s="1">
        <v>0.14953256600000001</v>
      </c>
      <c r="P337" s="1">
        <v>0</v>
      </c>
      <c r="Q337" s="1">
        <v>0</v>
      </c>
      <c r="R337" s="1">
        <v>19.78501004</v>
      </c>
      <c r="S337" s="1">
        <v>0</v>
      </c>
      <c r="T337" s="1">
        <v>0</v>
      </c>
      <c r="U337" s="1">
        <v>0</v>
      </c>
      <c r="V337" s="1">
        <v>9.2146207999999993E-2</v>
      </c>
      <c r="W337" s="1">
        <v>0</v>
      </c>
      <c r="X337" s="1">
        <v>0</v>
      </c>
      <c r="Y337" s="1">
        <v>12.75073883</v>
      </c>
      <c r="Z337" s="1">
        <v>0</v>
      </c>
      <c r="AA337" s="1">
        <v>1135</v>
      </c>
      <c r="AB337" s="1">
        <v>0</v>
      </c>
      <c r="AC337" s="1">
        <v>0</v>
      </c>
      <c r="AD337">
        <v>0</v>
      </c>
      <c r="AE337" t="s">
        <v>637</v>
      </c>
      <c r="AF337" s="8" cm="1">
        <f t="array" aca="1" ref="AF337" ca="1">fScore_Total("ESPN",aCols)</f>
        <v>5.5434623460000001</v>
      </c>
      <c r="AG337" s="8" cm="1">
        <f t="array" aca="1" ref="AG337" ca="1">-fScore_Total("diff",aCols)</f>
        <v>0</v>
      </c>
      <c r="AH337" s="8">
        <f t="shared" ca="1" si="12"/>
        <v>5.5434623460000001</v>
      </c>
      <c r="AI337" s="8" t="str">
        <f t="shared" si="11"/>
        <v>FLEX</v>
      </c>
      <c r="AJ337" s="8"/>
    </row>
    <row r="338" spans="1:36" x14ac:dyDescent="0.25">
      <c r="A338" t="s">
        <v>403</v>
      </c>
      <c r="B338" s="1" t="s">
        <v>533</v>
      </c>
      <c r="C338" s="1">
        <v>0</v>
      </c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  <c r="M338" s="1">
        <v>1.772697185</v>
      </c>
      <c r="N338" s="1">
        <v>0</v>
      </c>
      <c r="O338" s="1">
        <v>0.104873513</v>
      </c>
      <c r="P338" s="1">
        <v>0</v>
      </c>
      <c r="Q338" s="1">
        <v>0</v>
      </c>
      <c r="R338" s="1">
        <v>19.82375807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1134</v>
      </c>
      <c r="AB338" s="1">
        <v>0</v>
      </c>
      <c r="AC338" s="1">
        <v>0</v>
      </c>
      <c r="AD338">
        <v>0</v>
      </c>
      <c r="AE338" t="s">
        <v>637</v>
      </c>
      <c r="AF338" s="8" cm="1">
        <f t="array" aca="1" ref="AF338" ca="1">fScore_Total("ESPN",aCols)</f>
        <v>3.4979654775000002</v>
      </c>
      <c r="AG338" s="8" cm="1">
        <f t="array" aca="1" ref="AG338" ca="1">-fScore_Total("diff",aCols)</f>
        <v>0</v>
      </c>
      <c r="AH338" s="8">
        <f t="shared" ca="1" si="12"/>
        <v>3.4979654775000002</v>
      </c>
      <c r="AI338" s="8" t="str">
        <f t="shared" si="11"/>
        <v>FLEX</v>
      </c>
      <c r="AJ338" s="8"/>
    </row>
    <row r="339" spans="1:36" x14ac:dyDescent="0.25">
      <c r="A339" t="s">
        <v>449</v>
      </c>
      <c r="B339" s="1" t="s">
        <v>533</v>
      </c>
      <c r="C339" s="1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1.518799236</v>
      </c>
      <c r="N339" s="1">
        <v>0</v>
      </c>
      <c r="O339" s="1">
        <v>0.110155405</v>
      </c>
      <c r="P339" s="1">
        <v>0</v>
      </c>
      <c r="Q339" s="1">
        <v>0</v>
      </c>
      <c r="R339" s="1">
        <v>18.717529209999999</v>
      </c>
      <c r="S339" s="1">
        <v>0</v>
      </c>
      <c r="T339" s="1">
        <v>0</v>
      </c>
      <c r="U339" s="1">
        <v>0</v>
      </c>
      <c r="V339" s="1">
        <v>8.4964464000000003E-2</v>
      </c>
      <c r="W339" s="1">
        <v>0</v>
      </c>
      <c r="X339" s="1">
        <v>0</v>
      </c>
      <c r="Y339" s="1">
        <v>13.75142146</v>
      </c>
      <c r="Z339" s="1">
        <v>0</v>
      </c>
      <c r="AA339" s="1">
        <v>1133</v>
      </c>
      <c r="AB339" s="1">
        <v>0</v>
      </c>
      <c r="AC339" s="1">
        <v>0</v>
      </c>
      <c r="AD339">
        <v>0</v>
      </c>
      <c r="AE339" t="s">
        <v>637</v>
      </c>
      <c r="AF339" s="8" cm="1">
        <f t="array" aca="1" ref="AF339" ca="1">fScore_Total("ESPN",aCols)</f>
        <v>5.1770138990000003</v>
      </c>
      <c r="AG339" s="8" cm="1">
        <f t="array" aca="1" ref="AG339" ca="1">-fScore_Total("diff",aCols)</f>
        <v>0</v>
      </c>
      <c r="AH339" s="8">
        <f t="shared" ca="1" si="12"/>
        <v>5.1770138990000003</v>
      </c>
      <c r="AI339" s="8" t="str">
        <f t="shared" si="11"/>
        <v>FLEX</v>
      </c>
      <c r="AJ339" s="8"/>
    </row>
    <row r="340" spans="1:36" x14ac:dyDescent="0.25">
      <c r="A340" t="s">
        <v>355</v>
      </c>
      <c r="B340" s="1" t="s">
        <v>532</v>
      </c>
      <c r="C340" s="1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  <c r="M340" s="1">
        <v>2.093787791</v>
      </c>
      <c r="N340" s="1">
        <v>0</v>
      </c>
      <c r="O340" s="1">
        <v>3.6344811999999997E-2</v>
      </c>
      <c r="P340" s="1">
        <v>0</v>
      </c>
      <c r="Q340" s="1">
        <v>0</v>
      </c>
      <c r="R340" s="1">
        <v>12.52755756</v>
      </c>
      <c r="S340" s="1">
        <v>0</v>
      </c>
      <c r="T340" s="1">
        <v>0</v>
      </c>
      <c r="U340" s="1">
        <v>0</v>
      </c>
      <c r="V340" s="1">
        <v>0.11640787499999999</v>
      </c>
      <c r="W340" s="1">
        <v>0</v>
      </c>
      <c r="X340" s="1">
        <v>0</v>
      </c>
      <c r="Y340" s="1">
        <v>16.456478059999998</v>
      </c>
      <c r="Z340" s="1">
        <v>0</v>
      </c>
      <c r="AA340" s="1">
        <v>1132</v>
      </c>
      <c r="AB340" s="1">
        <v>0</v>
      </c>
      <c r="AC340" s="1">
        <v>0</v>
      </c>
      <c r="AD340">
        <v>0</v>
      </c>
      <c r="AE340" t="s">
        <v>637</v>
      </c>
      <c r="AF340" s="8" cm="1">
        <f t="array" aca="1" ref="AF340" ca="1">fScore_Total("ESPN",aCols)</f>
        <v>4.8618135794999997</v>
      </c>
      <c r="AG340" s="8" cm="1">
        <f t="array" aca="1" ref="AG340" ca="1">-fScore_Total("diff",aCols)</f>
        <v>0</v>
      </c>
      <c r="AH340" s="8">
        <f t="shared" ca="1" si="12"/>
        <v>4.8618135794999997</v>
      </c>
      <c r="AI340" s="8" t="str">
        <f t="shared" si="11"/>
        <v>FLEX</v>
      </c>
      <c r="AJ340" s="8"/>
    </row>
    <row r="341" spans="1:36" x14ac:dyDescent="0.25">
      <c r="A341" t="s">
        <v>447</v>
      </c>
      <c r="B341" s="1" t="s">
        <v>533</v>
      </c>
      <c r="C341" s="1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2.7405840179999998</v>
      </c>
      <c r="N341" s="1">
        <v>0</v>
      </c>
      <c r="O341" s="1">
        <v>0.201781509</v>
      </c>
      <c r="P341" s="1">
        <v>0</v>
      </c>
      <c r="Q341" s="1">
        <v>0</v>
      </c>
      <c r="R341" s="1">
        <v>35.439887540000001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1131</v>
      </c>
      <c r="AB341" s="1">
        <v>0</v>
      </c>
      <c r="AC341" s="1">
        <v>0</v>
      </c>
      <c r="AD341">
        <v>0</v>
      </c>
      <c r="AE341" t="s">
        <v>637</v>
      </c>
      <c r="AF341" s="8" cm="1">
        <f t="array" aca="1" ref="AF341" ca="1">fScore_Total("ESPN",aCols)</f>
        <v>6.1249698170000002</v>
      </c>
      <c r="AG341" s="8" cm="1">
        <f t="array" aca="1" ref="AG341" ca="1">-fScore_Total("diff",aCols)</f>
        <v>0</v>
      </c>
      <c r="AH341" s="8">
        <f t="shared" ca="1" si="12"/>
        <v>6.1249698170000002</v>
      </c>
      <c r="AI341" s="8" t="str">
        <f t="shared" si="11"/>
        <v>FLEX</v>
      </c>
      <c r="AJ341" s="8"/>
    </row>
    <row r="342" spans="1:36" x14ac:dyDescent="0.25">
      <c r="A342" t="s">
        <v>406</v>
      </c>
      <c r="B342" s="1" t="s">
        <v>533</v>
      </c>
      <c r="C342" s="1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  <c r="M342" s="1">
        <v>2.7396792429999999</v>
      </c>
      <c r="N342" s="1">
        <v>0</v>
      </c>
      <c r="O342" s="1">
        <v>0.200462957</v>
      </c>
      <c r="P342" s="1">
        <v>0</v>
      </c>
      <c r="Q342" s="1">
        <v>0</v>
      </c>
      <c r="R342" s="1">
        <v>35.228526199999997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1130</v>
      </c>
      <c r="AB342" s="1">
        <v>0</v>
      </c>
      <c r="AC342" s="1">
        <v>0</v>
      </c>
      <c r="AD342">
        <v>0</v>
      </c>
      <c r="AE342" t="s">
        <v>637</v>
      </c>
      <c r="AF342" s="8" cm="1">
        <f t="array" aca="1" ref="AF342" ca="1">fScore_Total("ESPN",aCols)</f>
        <v>6.0954699835000001</v>
      </c>
      <c r="AG342" s="8" cm="1">
        <f t="array" aca="1" ref="AG342" ca="1">-fScore_Total("diff",aCols)</f>
        <v>0</v>
      </c>
      <c r="AH342" s="8">
        <f t="shared" ca="1" si="12"/>
        <v>6.0954699835000001</v>
      </c>
      <c r="AI342" s="8" t="str">
        <f t="shared" si="11"/>
        <v>FLEX</v>
      </c>
      <c r="AJ342" s="8"/>
    </row>
    <row r="343" spans="1:36" x14ac:dyDescent="0.25">
      <c r="A343" t="s">
        <v>598</v>
      </c>
      <c r="B343" s="1" t="s">
        <v>533</v>
      </c>
      <c r="C343" s="1">
        <v>0</v>
      </c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0</v>
      </c>
      <c r="M343" s="1">
        <v>3.0311563549999998</v>
      </c>
      <c r="N343" s="1">
        <v>0</v>
      </c>
      <c r="O343" s="1">
        <v>0.163623088</v>
      </c>
      <c r="P343" s="1">
        <v>0</v>
      </c>
      <c r="Q343" s="1">
        <v>0</v>
      </c>
      <c r="R343" s="1">
        <v>35.451015249999998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1129</v>
      </c>
      <c r="AB343" s="1">
        <v>0</v>
      </c>
      <c r="AC343" s="1">
        <v>0</v>
      </c>
      <c r="AD343">
        <v>0</v>
      </c>
      <c r="AE343" t="s">
        <v>637</v>
      </c>
      <c r="AF343" s="8" cm="1">
        <f t="array" aca="1" ref="AF343" ca="1">fScore_Total("ESPN",aCols)</f>
        <v>6.0424182304999992</v>
      </c>
      <c r="AG343" s="8" cm="1">
        <f t="array" aca="1" ref="AG343" ca="1">-fScore_Total("diff",aCols)</f>
        <v>0</v>
      </c>
      <c r="AH343" s="8">
        <f t="shared" ca="1" si="12"/>
        <v>6.0424182304999992</v>
      </c>
      <c r="AI343" s="8" t="str">
        <f t="shared" si="11"/>
        <v>FLEX</v>
      </c>
      <c r="AJ343" s="8"/>
    </row>
    <row r="344" spans="1:36" x14ac:dyDescent="0.25">
      <c r="A344" t="s">
        <v>599</v>
      </c>
      <c r="B344" s="1" t="s">
        <v>533</v>
      </c>
      <c r="C344" s="1">
        <v>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  <c r="M344" s="1">
        <v>3.4228221209999998</v>
      </c>
      <c r="N344" s="1">
        <v>0</v>
      </c>
      <c r="O344" s="1">
        <v>0.12951115599999999</v>
      </c>
      <c r="P344" s="1">
        <v>0</v>
      </c>
      <c r="Q344" s="1">
        <v>0</v>
      </c>
      <c r="R344" s="1">
        <v>34.218087500000003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1128</v>
      </c>
      <c r="AB344" s="1">
        <v>0</v>
      </c>
      <c r="AC344" s="1">
        <v>0</v>
      </c>
      <c r="AD344">
        <v>0</v>
      </c>
      <c r="AE344" t="s">
        <v>637</v>
      </c>
      <c r="AF344" s="8" cm="1">
        <f t="array" aca="1" ref="AF344" ca="1">fScore_Total("ESPN",aCols)</f>
        <v>5.9102867465000006</v>
      </c>
      <c r="AG344" s="8" cm="1">
        <f t="array" aca="1" ref="AG344" ca="1">-fScore_Total("diff",aCols)</f>
        <v>0</v>
      </c>
      <c r="AH344" s="8">
        <f t="shared" ca="1" si="12"/>
        <v>5.9102867465000006</v>
      </c>
      <c r="AI344" s="8" t="str">
        <f t="shared" si="11"/>
        <v>FLEX</v>
      </c>
      <c r="AJ344" s="8"/>
    </row>
    <row r="345" spans="1:36" x14ac:dyDescent="0.25">
      <c r="A345" t="s">
        <v>391</v>
      </c>
      <c r="B345" s="1" t="s">
        <v>532</v>
      </c>
      <c r="C345" s="1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  <c r="M345" s="1">
        <v>3.7488989269999999</v>
      </c>
      <c r="N345" s="1">
        <v>0</v>
      </c>
      <c r="O345" s="1">
        <v>0.202100791</v>
      </c>
      <c r="P345" s="1">
        <v>0</v>
      </c>
      <c r="Q345" s="1">
        <v>0</v>
      </c>
      <c r="R345" s="1">
        <v>26.314527009999999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1127</v>
      </c>
      <c r="AB345" s="1">
        <v>0</v>
      </c>
      <c r="AC345" s="1">
        <v>0</v>
      </c>
      <c r="AD345">
        <v>0</v>
      </c>
      <c r="AE345" t="s">
        <v>637</v>
      </c>
      <c r="AF345" s="8" cm="1">
        <f t="array" aca="1" ref="AF345" ca="1">fScore_Total("ESPN",aCols)</f>
        <v>5.7185069105000004</v>
      </c>
      <c r="AG345" s="8" cm="1">
        <f t="array" aca="1" ref="AG345" ca="1">-fScore_Total("diff",aCols)</f>
        <v>0</v>
      </c>
      <c r="AH345" s="8">
        <f t="shared" ca="1" si="12"/>
        <v>5.7185069105000004</v>
      </c>
      <c r="AI345" s="8" t="str">
        <f t="shared" si="11"/>
        <v>FLEX</v>
      </c>
      <c r="AJ345" s="8"/>
    </row>
    <row r="346" spans="1:36" x14ac:dyDescent="0.25">
      <c r="A346" t="s">
        <v>388</v>
      </c>
      <c r="B346" s="1" t="s">
        <v>533</v>
      </c>
      <c r="C346" s="1">
        <v>0</v>
      </c>
      <c r="D346" s="1">
        <v>0</v>
      </c>
      <c r="E346" s="1">
        <v>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  <c r="M346" s="1">
        <v>3.285228423</v>
      </c>
      <c r="N346" s="1">
        <v>0</v>
      </c>
      <c r="O346" s="1">
        <v>0.177664988</v>
      </c>
      <c r="P346" s="1">
        <v>0</v>
      </c>
      <c r="Q346" s="1">
        <v>0</v>
      </c>
      <c r="R346" s="1">
        <v>37.879975889999997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1126</v>
      </c>
      <c r="AB346" s="1">
        <v>0</v>
      </c>
      <c r="AC346" s="1">
        <v>0</v>
      </c>
      <c r="AD346">
        <v>0</v>
      </c>
      <c r="AE346" t="s">
        <v>637</v>
      </c>
      <c r="AF346" s="8" cm="1">
        <f t="array" aca="1" ref="AF346" ca="1">fScore_Total("ESPN",aCols)</f>
        <v>6.4966017285</v>
      </c>
      <c r="AG346" s="8" cm="1">
        <f t="array" aca="1" ref="AG346" ca="1">-fScore_Total("diff",aCols)</f>
        <v>0</v>
      </c>
      <c r="AH346" s="8">
        <f t="shared" ca="1" si="12"/>
        <v>6.4966017285</v>
      </c>
      <c r="AI346" s="8" t="str">
        <f t="shared" si="11"/>
        <v>FLEX</v>
      </c>
      <c r="AJ346" s="8"/>
    </row>
    <row r="347" spans="1:36" x14ac:dyDescent="0.25">
      <c r="A347" t="s">
        <v>600</v>
      </c>
      <c r="B347" s="1" t="s">
        <v>533</v>
      </c>
      <c r="C347" s="1">
        <v>0</v>
      </c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0</v>
      </c>
      <c r="M347" s="1">
        <v>3.3689772690000002</v>
      </c>
      <c r="N347" s="1">
        <v>0</v>
      </c>
      <c r="O347" s="1">
        <v>0.16404206099999999</v>
      </c>
      <c r="P347" s="1">
        <v>0</v>
      </c>
      <c r="Q347" s="1">
        <v>0</v>
      </c>
      <c r="R347" s="1">
        <v>37.943217089999997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1125</v>
      </c>
      <c r="AB347" s="1">
        <v>0</v>
      </c>
      <c r="AC347" s="1">
        <v>0</v>
      </c>
      <c r="AD347">
        <v>0</v>
      </c>
      <c r="AE347" t="s">
        <v>637</v>
      </c>
      <c r="AF347" s="8" cm="1">
        <f t="array" aca="1" ref="AF347" ca="1">fScore_Total("ESPN",aCols)</f>
        <v>6.4630627094999999</v>
      </c>
      <c r="AG347" s="8" cm="1">
        <f t="array" aca="1" ref="AG347" ca="1">-fScore_Total("diff",aCols)</f>
        <v>0</v>
      </c>
      <c r="AH347" s="8">
        <f t="shared" ca="1" si="12"/>
        <v>6.4630627094999999</v>
      </c>
      <c r="AI347" s="8" t="str">
        <f t="shared" si="11"/>
        <v>FLEX</v>
      </c>
      <c r="AJ347" s="8"/>
    </row>
    <row r="348" spans="1:36" x14ac:dyDescent="0.25">
      <c r="A348" t="s">
        <v>387</v>
      </c>
      <c r="B348" s="1" t="s">
        <v>535</v>
      </c>
      <c r="C348" s="1">
        <v>0</v>
      </c>
      <c r="D348" s="1">
        <v>0</v>
      </c>
      <c r="E348" s="1">
        <v>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  <c r="M348" s="1">
        <v>3.261489938</v>
      </c>
      <c r="N348" s="1">
        <v>0</v>
      </c>
      <c r="O348" s="1">
        <v>0.28357316300000002</v>
      </c>
      <c r="P348" s="1">
        <v>0</v>
      </c>
      <c r="Q348" s="1">
        <v>0</v>
      </c>
      <c r="R348" s="1">
        <v>32.227215719999997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1124</v>
      </c>
      <c r="AB348" s="1">
        <v>0</v>
      </c>
      <c r="AC348" s="1">
        <v>0</v>
      </c>
      <c r="AD348">
        <v>0</v>
      </c>
      <c r="AE348" t="s">
        <v>637</v>
      </c>
      <c r="AF348" s="8" cm="1">
        <f t="array" aca="1" ref="AF348" ca="1">fScore_Total("ESPN",aCols)</f>
        <v>6.5549055190000001</v>
      </c>
      <c r="AG348" s="8" cm="1">
        <f t="array" aca="1" ref="AG348" ca="1">-fScore_Total("diff",aCols)</f>
        <v>0</v>
      </c>
      <c r="AH348" s="8">
        <f t="shared" ca="1" si="12"/>
        <v>6.5549055190000001</v>
      </c>
      <c r="AI348" s="8" t="str">
        <f t="shared" si="11"/>
        <v>FLEX</v>
      </c>
      <c r="AJ348" s="8"/>
    </row>
    <row r="349" spans="1:36" x14ac:dyDescent="0.25">
      <c r="A349" t="s">
        <v>601</v>
      </c>
      <c r="B349" s="1" t="s">
        <v>535</v>
      </c>
      <c r="C349" s="1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1.9975302930000001</v>
      </c>
      <c r="N349" s="1">
        <v>0</v>
      </c>
      <c r="O349" s="1">
        <v>0.16726739900000001</v>
      </c>
      <c r="P349" s="1">
        <v>0</v>
      </c>
      <c r="Q349" s="1">
        <v>0</v>
      </c>
      <c r="R349" s="1">
        <v>20.431558840000001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1141</v>
      </c>
      <c r="AB349" s="1">
        <v>0</v>
      </c>
      <c r="AC349" s="1">
        <v>0</v>
      </c>
      <c r="AD349">
        <v>0</v>
      </c>
      <c r="AE349" t="s">
        <v>637</v>
      </c>
      <c r="AF349" s="8" cm="1">
        <f t="array" aca="1" ref="AF349" ca="1">fScore_Total("ESPN",aCols)</f>
        <v>4.045525424500001</v>
      </c>
      <c r="AG349" s="8" cm="1">
        <f t="array" aca="1" ref="AG349" ca="1">-fScore_Total("diff",aCols)</f>
        <v>0</v>
      </c>
      <c r="AH349" s="8">
        <f t="shared" ca="1" si="12"/>
        <v>4.045525424500001</v>
      </c>
      <c r="AI349" s="8" t="str">
        <f t="shared" si="11"/>
        <v>FLEX</v>
      </c>
      <c r="AJ349" s="8"/>
    </row>
    <row r="350" spans="1:36" x14ac:dyDescent="0.25">
      <c r="A350" t="s">
        <v>602</v>
      </c>
      <c r="B350" s="1" t="s">
        <v>533</v>
      </c>
      <c r="C350" s="1">
        <v>0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  <c r="M350" s="1">
        <v>1.8775807799999999</v>
      </c>
      <c r="N350" s="1">
        <v>0</v>
      </c>
      <c r="O350" s="1">
        <v>0.12111435500000001</v>
      </c>
      <c r="P350" s="1">
        <v>0</v>
      </c>
      <c r="Q350" s="1">
        <v>0</v>
      </c>
      <c r="R350" s="1">
        <v>22.181003520000001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1143</v>
      </c>
      <c r="AB350" s="1">
        <v>0</v>
      </c>
      <c r="AC350" s="1">
        <v>0</v>
      </c>
      <c r="AD350">
        <v>0</v>
      </c>
      <c r="AE350" t="s">
        <v>637</v>
      </c>
      <c r="AF350" s="8" cm="1">
        <f t="array" aca="1" ref="AF350" ca="1">fScore_Total("ESPN",aCols)</f>
        <v>3.8835768719999999</v>
      </c>
      <c r="AG350" s="8" cm="1">
        <f t="array" aca="1" ref="AG350" ca="1">-fScore_Total("diff",aCols)</f>
        <v>0</v>
      </c>
      <c r="AH350" s="8">
        <f t="shared" ca="1" si="12"/>
        <v>3.8835768719999999</v>
      </c>
      <c r="AI350" s="8" t="str">
        <f t="shared" si="11"/>
        <v>FLEX</v>
      </c>
      <c r="AJ350" s="8"/>
    </row>
    <row r="351" spans="1:36" x14ac:dyDescent="0.25">
      <c r="A351" t="s">
        <v>386</v>
      </c>
      <c r="B351" s="1" t="s">
        <v>533</v>
      </c>
      <c r="C351" s="1">
        <v>0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  <c r="J351" s="1">
        <v>0</v>
      </c>
      <c r="K351" s="1">
        <v>0</v>
      </c>
      <c r="L351" s="1">
        <v>0</v>
      </c>
      <c r="M351" s="1">
        <v>5.6974158560000001</v>
      </c>
      <c r="N351" s="1">
        <v>0</v>
      </c>
      <c r="O351" s="1">
        <v>0.225041035</v>
      </c>
      <c r="P351" s="1">
        <v>0</v>
      </c>
      <c r="Q351" s="1">
        <v>0</v>
      </c>
      <c r="R351" s="1">
        <v>64.248004550000005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1082</v>
      </c>
      <c r="AB351" s="1">
        <v>0</v>
      </c>
      <c r="AC351" s="1">
        <v>0</v>
      </c>
      <c r="AD351">
        <v>0</v>
      </c>
      <c r="AE351" t="s">
        <v>637</v>
      </c>
      <c r="AF351" s="8" cm="1">
        <f t="array" aca="1" ref="AF351" ca="1">fScore_Total("ESPN",aCols)</f>
        <v>10.623754593000001</v>
      </c>
      <c r="AG351" s="8" cm="1">
        <f t="array" aca="1" ref="AG351" ca="1">-fScore_Total("diff",aCols)</f>
        <v>0</v>
      </c>
      <c r="AH351" s="8">
        <f t="shared" ca="1" si="12"/>
        <v>10.623754593000001</v>
      </c>
      <c r="AI351" s="8" t="str">
        <f t="shared" si="11"/>
        <v>FLEX</v>
      </c>
      <c r="AJ351" s="8"/>
    </row>
    <row r="352" spans="1:36" x14ac:dyDescent="0.25">
      <c r="A352" t="s">
        <v>395</v>
      </c>
      <c r="B352" s="1" t="s">
        <v>535</v>
      </c>
      <c r="C352" s="1">
        <v>0</v>
      </c>
      <c r="D352" s="1">
        <v>0</v>
      </c>
      <c r="E352" s="1">
        <v>0</v>
      </c>
      <c r="F352" s="1">
        <v>0</v>
      </c>
      <c r="G352" s="1">
        <v>0</v>
      </c>
      <c r="H352" s="1">
        <v>0</v>
      </c>
      <c r="I352" s="1">
        <v>0</v>
      </c>
      <c r="J352" s="1">
        <v>0</v>
      </c>
      <c r="K352" s="1">
        <v>0</v>
      </c>
      <c r="L352" s="1">
        <v>0</v>
      </c>
      <c r="M352" s="1">
        <v>1.9005316969999999</v>
      </c>
      <c r="N352" s="1">
        <v>0</v>
      </c>
      <c r="O352" s="1">
        <v>0.13703663999999999</v>
      </c>
      <c r="P352" s="1">
        <v>0</v>
      </c>
      <c r="Q352" s="1">
        <v>0</v>
      </c>
      <c r="R352" s="1">
        <v>19.015174810000001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1144</v>
      </c>
      <c r="AB352" s="1">
        <v>0</v>
      </c>
      <c r="AC352" s="1">
        <v>0</v>
      </c>
      <c r="AD352">
        <v>0</v>
      </c>
      <c r="AE352" t="s">
        <v>637</v>
      </c>
      <c r="AF352" s="8" cm="1">
        <f t="array" aca="1" ref="AF352" ca="1">fScore_Total("ESPN",aCols)</f>
        <v>3.6740031694999997</v>
      </c>
      <c r="AG352" s="8" cm="1">
        <f t="array" aca="1" ref="AG352" ca="1">-fScore_Total("diff",aCols)</f>
        <v>0</v>
      </c>
      <c r="AH352" s="8">
        <f t="shared" ca="1" si="12"/>
        <v>3.6740031694999997</v>
      </c>
      <c r="AI352" s="8" t="str">
        <f t="shared" si="11"/>
        <v>FLEX</v>
      </c>
      <c r="AJ352" s="8"/>
    </row>
    <row r="353" spans="1:36" x14ac:dyDescent="0.25">
      <c r="A353" t="s">
        <v>603</v>
      </c>
      <c r="B353" s="1" t="s">
        <v>533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1">
        <v>0</v>
      </c>
      <c r="K353" s="1">
        <v>0</v>
      </c>
      <c r="L353" s="1">
        <v>0</v>
      </c>
      <c r="M353" s="1">
        <v>0.42134581399999999</v>
      </c>
      <c r="N353" s="1">
        <v>0</v>
      </c>
      <c r="O353" s="1">
        <v>2.3233943E-2</v>
      </c>
      <c r="P353" s="1">
        <v>0</v>
      </c>
      <c r="Q353" s="1">
        <v>0</v>
      </c>
      <c r="R353" s="1">
        <v>4.6052588559999998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1161</v>
      </c>
      <c r="AB353" s="1">
        <v>0</v>
      </c>
      <c r="AC353" s="1">
        <v>0</v>
      </c>
      <c r="AD353">
        <v>0</v>
      </c>
      <c r="AE353" t="s">
        <v>637</v>
      </c>
      <c r="AF353" s="8" cm="1">
        <f t="array" aca="1" ref="AF353" ca="1">fScore_Total("ESPN",aCols)</f>
        <v>0.81060245060000002</v>
      </c>
      <c r="AG353" s="8" cm="1">
        <f t="array" aca="1" ref="AG353" ca="1">-fScore_Total("diff",aCols)</f>
        <v>0</v>
      </c>
      <c r="AH353" s="8">
        <f t="shared" ca="1" si="12"/>
        <v>0.81060245060000002</v>
      </c>
      <c r="AI353" s="8" t="str">
        <f t="shared" si="11"/>
        <v>FLEX</v>
      </c>
      <c r="AJ353" s="8"/>
    </row>
    <row r="354" spans="1:36" x14ac:dyDescent="0.25">
      <c r="A354" t="s">
        <v>284</v>
      </c>
      <c r="B354" s="1" t="s">
        <v>535</v>
      </c>
      <c r="C354" s="1">
        <v>0</v>
      </c>
      <c r="D354" s="1">
        <v>0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1">
        <v>0</v>
      </c>
      <c r="K354" s="1">
        <v>0</v>
      </c>
      <c r="L354" s="1">
        <v>0</v>
      </c>
      <c r="M354" s="1">
        <v>16.057192520000001</v>
      </c>
      <c r="N354" s="1">
        <v>0</v>
      </c>
      <c r="O354" s="1">
        <v>1.133800793</v>
      </c>
      <c r="P354" s="1">
        <v>0</v>
      </c>
      <c r="Q354" s="1">
        <v>0</v>
      </c>
      <c r="R354" s="1">
        <v>165.58767460000001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999</v>
      </c>
      <c r="AB354" s="1">
        <v>0</v>
      </c>
      <c r="AC354" s="1">
        <v>0</v>
      </c>
      <c r="AD354">
        <v>0</v>
      </c>
      <c r="AE354" t="s">
        <v>637</v>
      </c>
      <c r="AF354" s="8" cm="1">
        <f t="array" aca="1" ref="AF354" ca="1">fScore_Total("ESPN",aCols)</f>
        <v>31.390168478000003</v>
      </c>
      <c r="AG354" s="8" cm="1">
        <f t="array" aca="1" ref="AG354" ca="1">-fScore_Total("diff",aCols)</f>
        <v>0</v>
      </c>
      <c r="AH354" s="8">
        <f t="shared" ca="1" si="12"/>
        <v>31.390168478000003</v>
      </c>
      <c r="AI354" s="8" t="str">
        <f t="shared" si="11"/>
        <v>FLEX</v>
      </c>
      <c r="AJ354" s="8"/>
    </row>
    <row r="355" spans="1:36" x14ac:dyDescent="0.25">
      <c r="A355" t="s">
        <v>409</v>
      </c>
      <c r="B355" s="1" t="s">
        <v>533</v>
      </c>
      <c r="C355" s="1">
        <v>0</v>
      </c>
      <c r="D355" s="1">
        <v>0</v>
      </c>
      <c r="E355" s="1">
        <v>0</v>
      </c>
      <c r="F355" s="1">
        <v>0</v>
      </c>
      <c r="G355" s="1">
        <v>0</v>
      </c>
      <c r="H355" s="1">
        <v>0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1159</v>
      </c>
      <c r="AB355" s="1">
        <v>0</v>
      </c>
      <c r="AC355" s="1">
        <v>0</v>
      </c>
      <c r="AD355">
        <v>0</v>
      </c>
      <c r="AE355" t="s">
        <v>637</v>
      </c>
      <c r="AF355" s="8" cm="1">
        <f t="array" aca="1" ref="AF355" ca="1">fScore_Total("ESPN",aCols)</f>
        <v>0</v>
      </c>
      <c r="AG355" s="8" cm="1">
        <f t="array" aca="1" ref="AG355" ca="1">-fScore_Total("diff",aCols)</f>
        <v>0</v>
      </c>
      <c r="AH355" s="8">
        <f t="shared" ca="1" si="12"/>
        <v>0</v>
      </c>
      <c r="AI355" s="8" t="str">
        <f t="shared" si="11"/>
        <v>FLEX</v>
      </c>
      <c r="AJ355" s="8"/>
    </row>
    <row r="356" spans="1:36" x14ac:dyDescent="0.25">
      <c r="A356" t="s">
        <v>399</v>
      </c>
      <c r="B356" s="1" t="s">
        <v>535</v>
      </c>
      <c r="C356" s="1">
        <v>0</v>
      </c>
      <c r="D356" s="1">
        <v>0</v>
      </c>
      <c r="E356" s="1">
        <v>0</v>
      </c>
      <c r="F356" s="1">
        <v>0</v>
      </c>
      <c r="G356" s="1">
        <v>0</v>
      </c>
      <c r="H356" s="1">
        <v>0</v>
      </c>
      <c r="I356" s="1">
        <v>0</v>
      </c>
      <c r="J356" s="1">
        <v>0</v>
      </c>
      <c r="K356" s="1">
        <v>0</v>
      </c>
      <c r="L356" s="1">
        <v>0</v>
      </c>
      <c r="M356" s="1">
        <v>1.205423948</v>
      </c>
      <c r="N356" s="1">
        <v>0</v>
      </c>
      <c r="O356" s="1">
        <v>7.8854934000000002E-2</v>
      </c>
      <c r="P356" s="1">
        <v>0</v>
      </c>
      <c r="Q356" s="1">
        <v>0</v>
      </c>
      <c r="R356" s="1">
        <v>12.41403667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1158</v>
      </c>
      <c r="AB356" s="1">
        <v>0</v>
      </c>
      <c r="AC356" s="1">
        <v>0</v>
      </c>
      <c r="AD356">
        <v>0</v>
      </c>
      <c r="AE356" t="s">
        <v>637</v>
      </c>
      <c r="AF356" s="8" cm="1">
        <f t="array" aca="1" ref="AF356" ca="1">fScore_Total("ESPN",aCols)</f>
        <v>2.3172452450000001</v>
      </c>
      <c r="AG356" s="8" cm="1">
        <f t="array" aca="1" ref="AG356" ca="1">-fScore_Total("diff",aCols)</f>
        <v>0</v>
      </c>
      <c r="AH356" s="8">
        <f t="shared" ca="1" si="12"/>
        <v>2.3172452450000001</v>
      </c>
      <c r="AI356" s="8" t="str">
        <f t="shared" si="11"/>
        <v>FLEX</v>
      </c>
      <c r="AJ356" s="8"/>
    </row>
    <row r="357" spans="1:36" x14ac:dyDescent="0.25">
      <c r="A357" t="s">
        <v>553</v>
      </c>
      <c r="B357" s="1" t="s">
        <v>533</v>
      </c>
      <c r="C357" s="1">
        <v>0</v>
      </c>
      <c r="D357" s="1">
        <v>0</v>
      </c>
      <c r="E357" s="1">
        <v>0</v>
      </c>
      <c r="F357" s="1">
        <v>0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L357" s="1">
        <v>0</v>
      </c>
      <c r="M357" s="1">
        <v>1.1437177110000001</v>
      </c>
      <c r="N357" s="1">
        <v>0</v>
      </c>
      <c r="O357" s="1">
        <v>9.6181880999999997E-2</v>
      </c>
      <c r="P357" s="1">
        <v>0</v>
      </c>
      <c r="Q357" s="1">
        <v>0</v>
      </c>
      <c r="R357" s="1">
        <v>13.1579064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1157</v>
      </c>
      <c r="AB357" s="1">
        <v>0</v>
      </c>
      <c r="AC357" s="1">
        <v>0</v>
      </c>
      <c r="AD357">
        <v>0</v>
      </c>
      <c r="AE357" t="s">
        <v>637</v>
      </c>
      <c r="AF357" s="8" cm="1">
        <f t="array" aca="1" ref="AF357" ca="1">fScore_Total("ESPN",aCols)</f>
        <v>2.4647407814999998</v>
      </c>
      <c r="AG357" s="8" cm="1">
        <f t="array" aca="1" ref="AG357" ca="1">-fScore_Total("diff",aCols)</f>
        <v>0</v>
      </c>
      <c r="AH357" s="8">
        <f t="shared" ca="1" si="12"/>
        <v>2.4647407814999998</v>
      </c>
      <c r="AI357" s="8" t="str">
        <f t="shared" si="11"/>
        <v>FLEX</v>
      </c>
      <c r="AJ357" s="8"/>
    </row>
    <row r="358" spans="1:36" x14ac:dyDescent="0.25">
      <c r="A358" t="s">
        <v>398</v>
      </c>
      <c r="B358" s="1" t="s">
        <v>532</v>
      </c>
      <c r="C358" s="1">
        <v>0</v>
      </c>
      <c r="D358" s="1">
        <v>0</v>
      </c>
      <c r="E358" s="1">
        <v>0</v>
      </c>
      <c r="F358" s="1">
        <v>0</v>
      </c>
      <c r="G358" s="1">
        <v>0</v>
      </c>
      <c r="H358" s="1">
        <v>0</v>
      </c>
      <c r="I358" s="1">
        <v>0</v>
      </c>
      <c r="J358" s="1">
        <v>0</v>
      </c>
      <c r="K358" s="1">
        <v>0</v>
      </c>
      <c r="L358" s="1">
        <v>0</v>
      </c>
      <c r="M358" s="1">
        <v>2.0698431930000001</v>
      </c>
      <c r="N358" s="1">
        <v>0</v>
      </c>
      <c r="O358" s="1">
        <v>6.3830368999999998E-2</v>
      </c>
      <c r="P358" s="1">
        <v>0</v>
      </c>
      <c r="Q358" s="1">
        <v>0</v>
      </c>
      <c r="R358" s="1">
        <v>14.02071668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1156</v>
      </c>
      <c r="AB358" s="1">
        <v>0</v>
      </c>
      <c r="AC358" s="1">
        <v>0</v>
      </c>
      <c r="AD358">
        <v>0</v>
      </c>
      <c r="AE358" t="s">
        <v>637</v>
      </c>
      <c r="AF358" s="8" cm="1">
        <f t="array" aca="1" ref="AF358" ca="1">fScore_Total("ESPN",aCols)</f>
        <v>2.8199754785</v>
      </c>
      <c r="AG358" s="8" cm="1">
        <f t="array" aca="1" ref="AG358" ca="1">-fScore_Total("diff",aCols)</f>
        <v>0</v>
      </c>
      <c r="AH358" s="8">
        <f t="shared" ca="1" si="12"/>
        <v>2.8199754785</v>
      </c>
      <c r="AI358" s="8" t="str">
        <f t="shared" si="11"/>
        <v>FLEX</v>
      </c>
      <c r="AJ358" s="8"/>
    </row>
    <row r="359" spans="1:36" x14ac:dyDescent="0.25">
      <c r="A359" t="s">
        <v>390</v>
      </c>
      <c r="B359" s="1" t="s">
        <v>533</v>
      </c>
      <c r="C359" s="1">
        <v>0</v>
      </c>
      <c r="D359" s="1">
        <v>0</v>
      </c>
      <c r="E359" s="1">
        <v>0</v>
      </c>
      <c r="F359" s="1">
        <v>0</v>
      </c>
      <c r="G359" s="1">
        <v>0</v>
      </c>
      <c r="H359" s="1">
        <v>0</v>
      </c>
      <c r="I359" s="1">
        <v>0</v>
      </c>
      <c r="J359" s="1">
        <v>0</v>
      </c>
      <c r="K359" s="1">
        <v>0</v>
      </c>
      <c r="L359" s="1">
        <v>0</v>
      </c>
      <c r="M359" s="1">
        <v>1.5509452239999999</v>
      </c>
      <c r="N359" s="1">
        <v>0</v>
      </c>
      <c r="O359" s="1">
        <v>0.10253330099999999</v>
      </c>
      <c r="P359" s="1">
        <v>0</v>
      </c>
      <c r="Q359" s="1">
        <v>0</v>
      </c>
      <c r="R359" s="1">
        <v>17.385317959999998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1155</v>
      </c>
      <c r="AB359" s="1">
        <v>0</v>
      </c>
      <c r="AC359" s="1">
        <v>0</v>
      </c>
      <c r="AD359">
        <v>0</v>
      </c>
      <c r="AE359" t="s">
        <v>637</v>
      </c>
      <c r="AF359" s="8" cm="1">
        <f t="array" aca="1" ref="AF359" ca="1">fScore_Total("ESPN",aCols)</f>
        <v>3.1292042139999996</v>
      </c>
      <c r="AG359" s="8" cm="1">
        <f t="array" aca="1" ref="AG359" ca="1">-fScore_Total("diff",aCols)</f>
        <v>0</v>
      </c>
      <c r="AH359" s="8">
        <f t="shared" ca="1" si="12"/>
        <v>3.1292042139999996</v>
      </c>
      <c r="AI359" s="8" t="str">
        <f t="shared" si="11"/>
        <v>FLEX</v>
      </c>
      <c r="AJ359" s="8"/>
    </row>
    <row r="360" spans="1:36" x14ac:dyDescent="0.25">
      <c r="A360" t="s">
        <v>604</v>
      </c>
      <c r="B360" s="1" t="s">
        <v>533</v>
      </c>
      <c r="C360" s="1">
        <v>0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  <c r="J360" s="1">
        <v>0</v>
      </c>
      <c r="K360" s="1">
        <v>0</v>
      </c>
      <c r="L360" s="1">
        <v>0</v>
      </c>
      <c r="M360" s="1">
        <v>1.684488634</v>
      </c>
      <c r="N360" s="1">
        <v>0</v>
      </c>
      <c r="O360" s="1">
        <v>8.2021030999999994E-2</v>
      </c>
      <c r="P360" s="1">
        <v>0</v>
      </c>
      <c r="Q360" s="1">
        <v>0</v>
      </c>
      <c r="R360" s="1">
        <v>18.90865037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1154</v>
      </c>
      <c r="AB360" s="1">
        <v>0</v>
      </c>
      <c r="AC360" s="1">
        <v>0</v>
      </c>
      <c r="AD360">
        <v>0</v>
      </c>
      <c r="AE360" t="s">
        <v>637</v>
      </c>
      <c r="AF360" s="8" cm="1">
        <f t="array" aca="1" ref="AF360" ca="1">fScore_Total("ESPN",aCols)</f>
        <v>3.2252355399999999</v>
      </c>
      <c r="AG360" s="8" cm="1">
        <f t="array" aca="1" ref="AG360" ca="1">-fScore_Total("diff",aCols)</f>
        <v>0</v>
      </c>
      <c r="AH360" s="8">
        <f t="shared" ca="1" si="12"/>
        <v>3.2252355399999999</v>
      </c>
      <c r="AI360" s="8" t="str">
        <f t="shared" si="11"/>
        <v>FLEX</v>
      </c>
      <c r="AJ360" s="8"/>
    </row>
    <row r="361" spans="1:36" x14ac:dyDescent="0.25">
      <c r="A361" t="s">
        <v>605</v>
      </c>
      <c r="B361" s="1" t="s">
        <v>535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1.7888496679999999</v>
      </c>
      <c r="N361" s="1">
        <v>0</v>
      </c>
      <c r="O361" s="1">
        <v>9.3275833000000002E-2</v>
      </c>
      <c r="P361" s="1">
        <v>0</v>
      </c>
      <c r="Q361" s="1">
        <v>0</v>
      </c>
      <c r="R361" s="1">
        <v>17.563832699999999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1153</v>
      </c>
      <c r="AB361" s="1">
        <v>0</v>
      </c>
      <c r="AC361" s="1">
        <v>0</v>
      </c>
      <c r="AD361">
        <v>0</v>
      </c>
      <c r="AE361" t="s">
        <v>637</v>
      </c>
      <c r="AF361" s="8" cm="1">
        <f t="array" aca="1" ref="AF361" ca="1">fScore_Total("ESPN",aCols)</f>
        <v>3.2104631020000003</v>
      </c>
      <c r="AG361" s="8" cm="1">
        <f t="array" aca="1" ref="AG361" ca="1">-fScore_Total("diff",aCols)</f>
        <v>0</v>
      </c>
      <c r="AH361" s="8">
        <f t="shared" ca="1" si="12"/>
        <v>3.2104631020000003</v>
      </c>
      <c r="AI361" s="8" t="str">
        <f t="shared" si="11"/>
        <v>FLEX</v>
      </c>
      <c r="AJ361" s="8"/>
    </row>
    <row r="362" spans="1:36" x14ac:dyDescent="0.25">
      <c r="A362" t="s">
        <v>606</v>
      </c>
      <c r="B362" s="1" t="s">
        <v>533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1.493425435</v>
      </c>
      <c r="N362" s="1">
        <v>0</v>
      </c>
      <c r="O362" s="1">
        <v>0.13241963300000001</v>
      </c>
      <c r="P362" s="1">
        <v>0</v>
      </c>
      <c r="Q362" s="1">
        <v>0</v>
      </c>
      <c r="R362" s="1">
        <v>19.474433250000001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1152</v>
      </c>
      <c r="AB362" s="1">
        <v>0</v>
      </c>
      <c r="AC362" s="1">
        <v>0</v>
      </c>
      <c r="AD362">
        <v>0</v>
      </c>
      <c r="AE362" t="s">
        <v>637</v>
      </c>
      <c r="AF362" s="8" cm="1">
        <f t="array" aca="1" ref="AF362" ca="1">fScore_Total("ESPN",aCols)</f>
        <v>3.4886738405000002</v>
      </c>
      <c r="AG362" s="8" cm="1">
        <f t="array" aca="1" ref="AG362" ca="1">-fScore_Total("diff",aCols)</f>
        <v>0</v>
      </c>
      <c r="AH362" s="8">
        <f t="shared" ca="1" si="12"/>
        <v>3.4886738405000002</v>
      </c>
      <c r="AI362" s="8" t="str">
        <f t="shared" si="11"/>
        <v>FLEX</v>
      </c>
      <c r="AJ362" s="8"/>
    </row>
    <row r="363" spans="1:36" x14ac:dyDescent="0.25">
      <c r="A363" t="s">
        <v>607</v>
      </c>
      <c r="B363" s="1" t="s">
        <v>535</v>
      </c>
      <c r="C363" s="1">
        <v>0</v>
      </c>
      <c r="D363" s="1">
        <v>0</v>
      </c>
      <c r="E363" s="1">
        <v>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  <c r="M363" s="1">
        <v>1.6788490519999999</v>
      </c>
      <c r="N363" s="1">
        <v>0</v>
      </c>
      <c r="O363" s="1">
        <v>0.14101232899999999</v>
      </c>
      <c r="P363" s="1">
        <v>0</v>
      </c>
      <c r="Q363" s="1">
        <v>0</v>
      </c>
      <c r="R363" s="1">
        <v>17.485120200000001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1151</v>
      </c>
      <c r="AB363" s="1">
        <v>0</v>
      </c>
      <c r="AC363" s="1">
        <v>0</v>
      </c>
      <c r="AD363">
        <v>0</v>
      </c>
      <c r="AE363" t="s">
        <v>637</v>
      </c>
      <c r="AF363" s="8" cm="1">
        <f t="array" aca="1" ref="AF363" ca="1">fScore_Total("ESPN",aCols)</f>
        <v>3.4340105200000002</v>
      </c>
      <c r="AG363" s="8" cm="1">
        <f t="array" aca="1" ref="AG363" ca="1">-fScore_Total("diff",aCols)</f>
        <v>0</v>
      </c>
      <c r="AH363" s="8">
        <f t="shared" ca="1" si="12"/>
        <v>3.4340105200000002</v>
      </c>
      <c r="AI363" s="8" t="str">
        <f t="shared" si="11"/>
        <v>FLEX</v>
      </c>
      <c r="AJ363" s="8"/>
    </row>
    <row r="364" spans="1:36" x14ac:dyDescent="0.25">
      <c r="A364" t="s">
        <v>374</v>
      </c>
      <c r="B364" s="1" t="s">
        <v>535</v>
      </c>
      <c r="C364" s="1">
        <v>0</v>
      </c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  <c r="M364" s="1">
        <v>1.898258692</v>
      </c>
      <c r="N364" s="1">
        <v>0</v>
      </c>
      <c r="O364" s="1">
        <v>0.112233086</v>
      </c>
      <c r="P364" s="1">
        <v>0</v>
      </c>
      <c r="Q364" s="1">
        <v>0</v>
      </c>
      <c r="R364" s="1">
        <v>18.841983150000001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1150</v>
      </c>
      <c r="AB364" s="1">
        <v>0</v>
      </c>
      <c r="AC364" s="1">
        <v>0</v>
      </c>
      <c r="AD364">
        <v>0</v>
      </c>
      <c r="AE364" t="s">
        <v>637</v>
      </c>
      <c r="AF364" s="8" cm="1">
        <f t="array" aca="1" ref="AF364" ca="1">fScore_Total("ESPN",aCols)</f>
        <v>3.506726177</v>
      </c>
      <c r="AG364" s="8" cm="1">
        <f t="array" aca="1" ref="AG364" ca="1">-fScore_Total("diff",aCols)</f>
        <v>0</v>
      </c>
      <c r="AH364" s="8">
        <f t="shared" ca="1" si="12"/>
        <v>3.506726177</v>
      </c>
      <c r="AI364" s="8" t="str">
        <f t="shared" si="11"/>
        <v>FLEX</v>
      </c>
      <c r="AJ364" s="8"/>
    </row>
    <row r="365" spans="1:36" x14ac:dyDescent="0.25">
      <c r="A365" t="s">
        <v>397</v>
      </c>
      <c r="B365" s="1" t="s">
        <v>535</v>
      </c>
      <c r="C365" s="1">
        <v>0</v>
      </c>
      <c r="D365" s="1">
        <v>0</v>
      </c>
      <c r="E365" s="1">
        <v>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  <c r="M365" s="1">
        <v>1.8548106289999999</v>
      </c>
      <c r="N365" s="1">
        <v>0</v>
      </c>
      <c r="O365" s="1">
        <v>0.12847045800000001</v>
      </c>
      <c r="P365" s="1">
        <v>0</v>
      </c>
      <c r="Q365" s="1">
        <v>0</v>
      </c>
      <c r="R365" s="1">
        <v>18.338759039999999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1149</v>
      </c>
      <c r="AB365" s="1">
        <v>0</v>
      </c>
      <c r="AC365" s="1">
        <v>0</v>
      </c>
      <c r="AD365">
        <v>0</v>
      </c>
      <c r="AE365" t="s">
        <v>637</v>
      </c>
      <c r="AF365" s="8" cm="1">
        <f t="array" aca="1" ref="AF365" ca="1">fScore_Total("ESPN",aCols)</f>
        <v>3.5321039665000002</v>
      </c>
      <c r="AG365" s="8" cm="1">
        <f t="array" aca="1" ref="AG365" ca="1">-fScore_Total("diff",aCols)</f>
        <v>0</v>
      </c>
      <c r="AH365" s="8">
        <f t="shared" ca="1" si="12"/>
        <v>3.5321039665000002</v>
      </c>
      <c r="AI365" s="8" t="str">
        <f t="shared" si="11"/>
        <v>FLEX</v>
      </c>
      <c r="AJ365" s="8"/>
    </row>
    <row r="366" spans="1:36" x14ac:dyDescent="0.25">
      <c r="A366" t="s">
        <v>382</v>
      </c>
      <c r="B366" s="1" t="s">
        <v>533</v>
      </c>
      <c r="C366" s="1">
        <v>0</v>
      </c>
      <c r="D366" s="1">
        <v>0</v>
      </c>
      <c r="E366" s="1">
        <v>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  <c r="M366" s="1">
        <v>1.629713473</v>
      </c>
      <c r="N366" s="1">
        <v>0</v>
      </c>
      <c r="O366" s="1">
        <v>0.141132375</v>
      </c>
      <c r="P366" s="1">
        <v>0</v>
      </c>
      <c r="Q366" s="1">
        <v>0</v>
      </c>
      <c r="R366" s="1">
        <v>20.171324850000001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1148</v>
      </c>
      <c r="AB366" s="1">
        <v>0</v>
      </c>
      <c r="AC366" s="1">
        <v>0</v>
      </c>
      <c r="AD366">
        <v>0</v>
      </c>
      <c r="AE366" t="s">
        <v>637</v>
      </c>
      <c r="AF366" s="8" cm="1">
        <f t="array" aca="1" ref="AF366" ca="1">fScore_Total("ESPN",aCols)</f>
        <v>3.6787834715000005</v>
      </c>
      <c r="AG366" s="8" cm="1">
        <f t="array" aca="1" ref="AG366" ca="1">-fScore_Total("diff",aCols)</f>
        <v>0</v>
      </c>
      <c r="AH366" s="8">
        <f t="shared" ca="1" si="12"/>
        <v>3.6787834715000005</v>
      </c>
      <c r="AI366" s="8" t="str">
        <f t="shared" si="11"/>
        <v>FLEX</v>
      </c>
      <c r="AJ366" s="8"/>
    </row>
    <row r="367" spans="1:36" x14ac:dyDescent="0.25">
      <c r="A367" t="s">
        <v>372</v>
      </c>
      <c r="B367" s="1" t="s">
        <v>535</v>
      </c>
      <c r="C367" s="1">
        <v>0</v>
      </c>
      <c r="D367" s="1">
        <v>0</v>
      </c>
      <c r="E367" s="1">
        <v>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  <c r="M367" s="1">
        <v>1.8462921219999999</v>
      </c>
      <c r="N367" s="1">
        <v>0</v>
      </c>
      <c r="O367" s="1">
        <v>0.13328425299999999</v>
      </c>
      <c r="P367" s="1">
        <v>0</v>
      </c>
      <c r="Q367" s="1">
        <v>0</v>
      </c>
      <c r="R367" s="1">
        <v>18.558322409999999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1147</v>
      </c>
      <c r="AB367" s="1">
        <v>0</v>
      </c>
      <c r="AC367" s="1">
        <v>0</v>
      </c>
      <c r="AD367">
        <v>0</v>
      </c>
      <c r="AE367" t="s">
        <v>637</v>
      </c>
      <c r="AF367" s="8" cm="1">
        <f t="array" aca="1" ref="AF367" ca="1">fScore_Total("ESPN",aCols)</f>
        <v>3.5786838199999997</v>
      </c>
      <c r="AG367" s="8" cm="1">
        <f t="array" aca="1" ref="AG367" ca="1">-fScore_Total("diff",aCols)</f>
        <v>0</v>
      </c>
      <c r="AH367" s="8">
        <f t="shared" ca="1" si="12"/>
        <v>3.5786838199999997</v>
      </c>
      <c r="AI367" s="8" t="str">
        <f t="shared" si="11"/>
        <v>FLEX</v>
      </c>
      <c r="AJ367" s="8"/>
    </row>
    <row r="368" spans="1:36" x14ac:dyDescent="0.25">
      <c r="A368" t="s">
        <v>608</v>
      </c>
      <c r="B368" s="1" t="s">
        <v>535</v>
      </c>
      <c r="C368" s="1">
        <v>0</v>
      </c>
      <c r="D368" s="1">
        <v>0</v>
      </c>
      <c r="E368" s="1">
        <v>0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  <c r="M368" s="1">
        <v>1.851654645</v>
      </c>
      <c r="N368" s="1">
        <v>0</v>
      </c>
      <c r="O368" s="1">
        <v>0.13206251799999999</v>
      </c>
      <c r="P368" s="1">
        <v>0</v>
      </c>
      <c r="Q368" s="1">
        <v>0</v>
      </c>
      <c r="R368" s="1">
        <v>18.815962330000001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1146</v>
      </c>
      <c r="AB368" s="1">
        <v>0</v>
      </c>
      <c r="AC368" s="1">
        <v>0</v>
      </c>
      <c r="AD368">
        <v>0</v>
      </c>
      <c r="AE368" t="s">
        <v>637</v>
      </c>
      <c r="AF368" s="8" cm="1">
        <f t="array" aca="1" ref="AF368" ca="1">fScore_Total("ESPN",aCols)</f>
        <v>3.5997986635000001</v>
      </c>
      <c r="AG368" s="8" cm="1">
        <f t="array" aca="1" ref="AG368" ca="1">-fScore_Total("diff",aCols)</f>
        <v>0</v>
      </c>
      <c r="AH368" s="8">
        <f t="shared" ca="1" si="12"/>
        <v>3.5997986635000001</v>
      </c>
      <c r="AI368" s="8" t="str">
        <f t="shared" si="11"/>
        <v>FLEX</v>
      </c>
      <c r="AJ368" s="8"/>
    </row>
    <row r="369" spans="1:36" x14ac:dyDescent="0.25">
      <c r="A369" t="s">
        <v>609</v>
      </c>
      <c r="B369" s="1" t="s">
        <v>535</v>
      </c>
      <c r="C369" s="1">
        <v>0</v>
      </c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  <c r="M369" s="1">
        <v>1.950911939</v>
      </c>
      <c r="N369" s="1">
        <v>0</v>
      </c>
      <c r="O369" s="1">
        <v>0.115296126</v>
      </c>
      <c r="P369" s="1">
        <v>0</v>
      </c>
      <c r="Q369" s="1">
        <v>0</v>
      </c>
      <c r="R369" s="1">
        <v>19.349078590000001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1145</v>
      </c>
      <c r="AB369" s="1">
        <v>0</v>
      </c>
      <c r="AC369" s="1">
        <v>0</v>
      </c>
      <c r="AD369">
        <v>0</v>
      </c>
      <c r="AE369" t="s">
        <v>637</v>
      </c>
      <c r="AF369" s="8" cm="1">
        <f t="array" aca="1" ref="AF369" ca="1">fScore_Total("ESPN",aCols)</f>
        <v>3.6021405844999999</v>
      </c>
      <c r="AG369" s="8" cm="1">
        <f t="array" aca="1" ref="AG369" ca="1">-fScore_Total("diff",aCols)</f>
        <v>0</v>
      </c>
      <c r="AH369" s="8">
        <f t="shared" ca="1" si="12"/>
        <v>3.6021405844999999</v>
      </c>
      <c r="AI369" s="8" t="str">
        <f t="shared" si="11"/>
        <v>FLEX</v>
      </c>
      <c r="AJ369" s="8"/>
    </row>
    <row r="370" spans="1:36" x14ac:dyDescent="0.25">
      <c r="A370" t="s">
        <v>610</v>
      </c>
      <c r="B370" s="1" t="s">
        <v>533</v>
      </c>
      <c r="C370" s="1">
        <v>0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  <c r="M370" s="1">
        <v>3.2271983479999999</v>
      </c>
      <c r="N370" s="1">
        <v>0</v>
      </c>
      <c r="O370" s="1">
        <v>0.21794039400000001</v>
      </c>
      <c r="P370" s="1">
        <v>0</v>
      </c>
      <c r="Q370" s="1">
        <v>0</v>
      </c>
      <c r="R370" s="1">
        <v>38.290265920000003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0</v>
      </c>
      <c r="AA370" s="1">
        <v>1123</v>
      </c>
      <c r="AB370" s="1">
        <v>0</v>
      </c>
      <c r="AC370" s="1">
        <v>0</v>
      </c>
      <c r="AD370">
        <v>0</v>
      </c>
      <c r="AE370" t="s">
        <v>637</v>
      </c>
      <c r="AF370" s="8" cm="1">
        <f t="array" aca="1" ref="AF370" ca="1">fScore_Total("ESPN",aCols)</f>
        <v>6.7502681300000003</v>
      </c>
      <c r="AG370" s="8" cm="1">
        <f t="array" aca="1" ref="AG370" ca="1">-fScore_Total("diff",aCols)</f>
        <v>0</v>
      </c>
      <c r="AH370" s="8">
        <f t="shared" ca="1" si="12"/>
        <v>6.7502681300000003</v>
      </c>
      <c r="AI370" s="8" t="str">
        <f t="shared" si="11"/>
        <v>FLEX</v>
      </c>
      <c r="AJ370" s="8"/>
    </row>
    <row r="371" spans="1:36" x14ac:dyDescent="0.25">
      <c r="A371" t="s">
        <v>385</v>
      </c>
      <c r="B371" s="1" t="s">
        <v>535</v>
      </c>
      <c r="C371" s="1">
        <v>0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3.6055390639999998</v>
      </c>
      <c r="N371" s="1">
        <v>0</v>
      </c>
      <c r="O371" s="1">
        <v>0.19719260699999999</v>
      </c>
      <c r="P371" s="1">
        <v>0</v>
      </c>
      <c r="Q371" s="1">
        <v>0</v>
      </c>
      <c r="R371" s="1">
        <v>35.611478400000003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1122</v>
      </c>
      <c r="AB371" s="1">
        <v>0</v>
      </c>
      <c r="AC371" s="1">
        <v>0</v>
      </c>
      <c r="AD371">
        <v>0</v>
      </c>
      <c r="AE371" t="s">
        <v>637</v>
      </c>
      <c r="AF371" s="8" cm="1">
        <f t="array" aca="1" ref="AF371" ca="1">fScore_Total("ESPN",aCols)</f>
        <v>6.5470730140000004</v>
      </c>
      <c r="AG371" s="8" cm="1">
        <f t="array" aca="1" ref="AG371" ca="1">-fScore_Total("diff",aCols)</f>
        <v>0</v>
      </c>
      <c r="AH371" s="8">
        <f t="shared" ca="1" si="12"/>
        <v>6.5470730140000004</v>
      </c>
      <c r="AI371" s="8" t="str">
        <f t="shared" si="11"/>
        <v>FLEX</v>
      </c>
      <c r="AJ371" s="8"/>
    </row>
    <row r="372" spans="1:36" x14ac:dyDescent="0.25">
      <c r="A372" t="s">
        <v>611</v>
      </c>
      <c r="B372" s="1" t="s">
        <v>533</v>
      </c>
      <c r="C372" s="1">
        <v>0</v>
      </c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  <c r="M372" s="1">
        <v>3.4797572969999999</v>
      </c>
      <c r="N372" s="1">
        <v>0</v>
      </c>
      <c r="O372" s="1">
        <v>0.26538190099999998</v>
      </c>
      <c r="P372" s="1">
        <v>0</v>
      </c>
      <c r="Q372" s="1">
        <v>0</v>
      </c>
      <c r="R372" s="1">
        <v>41.12143124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0</v>
      </c>
      <c r="AA372" s="1">
        <v>1099</v>
      </c>
      <c r="AB372" s="1">
        <v>0</v>
      </c>
      <c r="AC372" s="1">
        <v>0</v>
      </c>
      <c r="AD372">
        <v>0</v>
      </c>
      <c r="AE372" t="s">
        <v>637</v>
      </c>
      <c r="AF372" s="8" cm="1">
        <f t="array" aca="1" ref="AF372" ca="1">fScore_Total("ESPN",aCols)</f>
        <v>7.4443131784999999</v>
      </c>
      <c r="AG372" s="8" cm="1">
        <f t="array" aca="1" ref="AG372" ca="1">-fScore_Total("diff",aCols)</f>
        <v>0</v>
      </c>
      <c r="AH372" s="8">
        <f t="shared" ca="1" si="12"/>
        <v>7.4443131784999999</v>
      </c>
      <c r="AI372" s="8" t="str">
        <f t="shared" si="11"/>
        <v>FLEX</v>
      </c>
      <c r="AJ372" s="8"/>
    </row>
    <row r="373" spans="1:36" x14ac:dyDescent="0.25">
      <c r="A373" t="s">
        <v>377</v>
      </c>
      <c r="B373" s="1" t="s">
        <v>533</v>
      </c>
      <c r="C373" s="1">
        <v>0</v>
      </c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  <c r="L373" s="1">
        <v>0</v>
      </c>
      <c r="M373" s="1">
        <v>3.614978765</v>
      </c>
      <c r="N373" s="1">
        <v>0</v>
      </c>
      <c r="O373" s="1">
        <v>0.24786772800000001</v>
      </c>
      <c r="P373" s="1">
        <v>0</v>
      </c>
      <c r="Q373" s="1">
        <v>0</v>
      </c>
      <c r="R373" s="1">
        <v>36.76651717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1098</v>
      </c>
      <c r="AB373" s="1">
        <v>0</v>
      </c>
      <c r="AC373" s="1">
        <v>0</v>
      </c>
      <c r="AD373">
        <v>0</v>
      </c>
      <c r="AE373" t="s">
        <v>637</v>
      </c>
      <c r="AF373" s="8" cm="1">
        <f t="array" aca="1" ref="AF373" ca="1">fScore_Total("ESPN",aCols)</f>
        <v>6.9713474675000002</v>
      </c>
      <c r="AG373" s="8" cm="1">
        <f t="array" aca="1" ref="AG373" ca="1">-fScore_Total("diff",aCols)</f>
        <v>0</v>
      </c>
      <c r="AH373" s="8">
        <f t="shared" ca="1" si="12"/>
        <v>6.9713474675000002</v>
      </c>
      <c r="AI373" s="8" t="str">
        <f t="shared" si="11"/>
        <v>FLEX</v>
      </c>
      <c r="AJ373" s="8"/>
    </row>
    <row r="374" spans="1:36" x14ac:dyDescent="0.25">
      <c r="A374" t="s">
        <v>364</v>
      </c>
      <c r="B374" s="1" t="s">
        <v>535</v>
      </c>
      <c r="C374" s="1">
        <v>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3.9794962049999998</v>
      </c>
      <c r="N374" s="1">
        <v>0</v>
      </c>
      <c r="O374" s="1">
        <v>0.32509354800000001</v>
      </c>
      <c r="P374" s="1">
        <v>0</v>
      </c>
      <c r="Q374" s="1">
        <v>0</v>
      </c>
      <c r="R374" s="1">
        <v>40.268735939999999</v>
      </c>
      <c r="S374" s="1">
        <v>0</v>
      </c>
      <c r="T374" s="1">
        <v>0</v>
      </c>
      <c r="U374" s="1">
        <v>0</v>
      </c>
      <c r="V374" s="1">
        <v>0</v>
      </c>
      <c r="W374" s="1">
        <v>0</v>
      </c>
      <c r="X374" s="1">
        <v>0</v>
      </c>
      <c r="Y374" s="1">
        <v>0</v>
      </c>
      <c r="Z374" s="1">
        <v>0</v>
      </c>
      <c r="AA374" s="1">
        <v>1096</v>
      </c>
      <c r="AB374" s="1">
        <v>0</v>
      </c>
      <c r="AC374" s="1">
        <v>0</v>
      </c>
      <c r="AD374">
        <v>0</v>
      </c>
      <c r="AE374" t="s">
        <v>637</v>
      </c>
      <c r="AF374" s="8" cm="1">
        <f t="array" aca="1" ref="AF374" ca="1">fScore_Total("ESPN",aCols)</f>
        <v>7.9671829845000008</v>
      </c>
      <c r="AG374" s="8" cm="1">
        <f t="array" aca="1" ref="AG374" ca="1">-fScore_Total("diff",aCols)</f>
        <v>0</v>
      </c>
      <c r="AH374" s="8">
        <f t="shared" ca="1" si="12"/>
        <v>7.9671829845000008</v>
      </c>
      <c r="AI374" s="8" t="str">
        <f t="shared" si="11"/>
        <v>FLEX</v>
      </c>
      <c r="AJ374" s="8"/>
    </row>
    <row r="375" spans="1:36" x14ac:dyDescent="0.25">
      <c r="A375" t="s">
        <v>436</v>
      </c>
      <c r="B375" s="1" t="s">
        <v>533</v>
      </c>
      <c r="C375" s="1">
        <v>0</v>
      </c>
      <c r="D375" s="1">
        <v>0</v>
      </c>
      <c r="E375" s="1">
        <v>0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3.72038453</v>
      </c>
      <c r="N375" s="1">
        <v>0</v>
      </c>
      <c r="O375" s="1">
        <v>0.32540017999999998</v>
      </c>
      <c r="P375" s="1">
        <v>0</v>
      </c>
      <c r="Q375" s="1">
        <v>0</v>
      </c>
      <c r="R375" s="1">
        <v>43.687166329999997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1095</v>
      </c>
      <c r="AB375" s="1">
        <v>0</v>
      </c>
      <c r="AC375" s="1">
        <v>0</v>
      </c>
      <c r="AD375">
        <v>0</v>
      </c>
      <c r="AE375" t="s">
        <v>637</v>
      </c>
      <c r="AF375" s="8" cm="1">
        <f t="array" aca="1" ref="AF375" ca="1">fScore_Total("ESPN",aCols)</f>
        <v>8.1813099779999998</v>
      </c>
      <c r="AG375" s="8" cm="1">
        <f t="array" aca="1" ref="AG375" ca="1">-fScore_Total("diff",aCols)</f>
        <v>0</v>
      </c>
      <c r="AH375" s="8">
        <f t="shared" ca="1" si="12"/>
        <v>8.1813099779999998</v>
      </c>
      <c r="AI375" s="8" t="str">
        <f t="shared" si="11"/>
        <v>FLEX</v>
      </c>
      <c r="AJ375" s="8"/>
    </row>
    <row r="376" spans="1:36" x14ac:dyDescent="0.25">
      <c r="A376" t="s">
        <v>363</v>
      </c>
      <c r="B376" s="1" t="s">
        <v>533</v>
      </c>
      <c r="C376" s="1">
        <v>0</v>
      </c>
      <c r="D376" s="1">
        <v>0</v>
      </c>
      <c r="E376" s="1">
        <v>0</v>
      </c>
      <c r="F376" s="1">
        <v>0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0</v>
      </c>
      <c r="M376" s="1">
        <v>3.16673494</v>
      </c>
      <c r="N376" s="1">
        <v>0</v>
      </c>
      <c r="O376" s="1">
        <v>0.17475088499999999</v>
      </c>
      <c r="P376" s="1">
        <v>0</v>
      </c>
      <c r="Q376" s="1">
        <v>0</v>
      </c>
      <c r="R376" s="1">
        <v>37.364820559999998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1094</v>
      </c>
      <c r="AB376" s="1">
        <v>0</v>
      </c>
      <c r="AC376" s="1">
        <v>0</v>
      </c>
      <c r="AD376">
        <v>0</v>
      </c>
      <c r="AE376" t="s">
        <v>637</v>
      </c>
      <c r="AF376" s="8" cm="1">
        <f t="array" aca="1" ref="AF376" ca="1">fScore_Total("ESPN",aCols)</f>
        <v>6.368354836</v>
      </c>
      <c r="AG376" s="8" cm="1">
        <f t="array" aca="1" ref="AG376" ca="1">-fScore_Total("diff",aCols)</f>
        <v>0</v>
      </c>
      <c r="AH376" s="8">
        <f t="shared" ca="1" si="12"/>
        <v>6.368354836</v>
      </c>
      <c r="AI376" s="8" t="str">
        <f t="shared" si="11"/>
        <v>FLEX</v>
      </c>
      <c r="AJ376" s="8"/>
    </row>
    <row r="377" spans="1:36" x14ac:dyDescent="0.25">
      <c r="A377" t="s">
        <v>333</v>
      </c>
      <c r="B377" s="1" t="s">
        <v>535</v>
      </c>
      <c r="C377" s="1">
        <v>0</v>
      </c>
      <c r="D377" s="1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  <c r="M377" s="1">
        <v>3.808684274</v>
      </c>
      <c r="N377" s="1">
        <v>0</v>
      </c>
      <c r="O377" s="1">
        <v>0.40711234299999999</v>
      </c>
      <c r="P377" s="1">
        <v>0</v>
      </c>
      <c r="Q377" s="1">
        <v>0</v>
      </c>
      <c r="R377" s="1">
        <v>38.374790130000001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1093</v>
      </c>
      <c r="AB377" s="1">
        <v>0</v>
      </c>
      <c r="AC377" s="1">
        <v>0</v>
      </c>
      <c r="AD377">
        <v>0</v>
      </c>
      <c r="AE377" t="s">
        <v>637</v>
      </c>
      <c r="AF377" s="8" cm="1">
        <f t="array" aca="1" ref="AF377" ca="1">fScore_Total("ESPN",aCols)</f>
        <v>8.1844952080000013</v>
      </c>
      <c r="AG377" s="8" cm="1">
        <f t="array" aca="1" ref="AG377" ca="1">-fScore_Total("diff",aCols)</f>
        <v>0</v>
      </c>
      <c r="AH377" s="8">
        <f t="shared" ca="1" si="12"/>
        <v>8.1844952080000013</v>
      </c>
      <c r="AI377" s="8" t="str">
        <f t="shared" si="11"/>
        <v>FLEX</v>
      </c>
      <c r="AJ377" s="8"/>
    </row>
    <row r="378" spans="1:36" x14ac:dyDescent="0.25">
      <c r="A378" t="s">
        <v>361</v>
      </c>
      <c r="B378" s="1" t="s">
        <v>532</v>
      </c>
      <c r="C378" s="1">
        <v>0</v>
      </c>
      <c r="D378" s="1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  <c r="M378" s="1">
        <v>4.4568243819999998</v>
      </c>
      <c r="N378" s="1">
        <v>0</v>
      </c>
      <c r="O378" s="1">
        <v>0.14479641400000001</v>
      </c>
      <c r="P378" s="1">
        <v>0</v>
      </c>
      <c r="Q378" s="1">
        <v>0</v>
      </c>
      <c r="R378" s="1">
        <v>31.903690910000002</v>
      </c>
      <c r="S378" s="1">
        <v>0</v>
      </c>
      <c r="T378" s="1">
        <v>0</v>
      </c>
      <c r="U378" s="1">
        <v>0</v>
      </c>
      <c r="V378" s="1">
        <v>0.102230132</v>
      </c>
      <c r="W378" s="1">
        <v>0</v>
      </c>
      <c r="X378" s="1">
        <v>0</v>
      </c>
      <c r="Y378" s="1">
        <v>18.34916527</v>
      </c>
      <c r="Z378" s="1">
        <v>0</v>
      </c>
      <c r="AA378" s="1">
        <v>1092</v>
      </c>
      <c r="AB378" s="1">
        <v>0</v>
      </c>
      <c r="AC378" s="1">
        <v>0</v>
      </c>
      <c r="AD378">
        <v>0</v>
      </c>
      <c r="AE378" t="s">
        <v>637</v>
      </c>
      <c r="AF378" s="8" cm="1">
        <f t="array" aca="1" ref="AF378" ca="1">fScore_Total("ESPN",aCols)</f>
        <v>8.735857085000001</v>
      </c>
      <c r="AG378" s="8" cm="1">
        <f t="array" aca="1" ref="AG378" ca="1">-fScore_Total("diff",aCols)</f>
        <v>0</v>
      </c>
      <c r="AH378" s="8">
        <f t="shared" ca="1" si="12"/>
        <v>8.735857085000001</v>
      </c>
      <c r="AI378" s="8" t="str">
        <f t="shared" si="11"/>
        <v>FLEX</v>
      </c>
      <c r="AJ378" s="8"/>
    </row>
    <row r="379" spans="1:36" x14ac:dyDescent="0.25">
      <c r="A379" t="s">
        <v>360</v>
      </c>
      <c r="B379" s="1" t="s">
        <v>533</v>
      </c>
      <c r="C379" s="1">
        <v>0</v>
      </c>
      <c r="D379" s="1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  <c r="M379" s="1">
        <v>3.7584631709999998</v>
      </c>
      <c r="N379" s="1">
        <v>0</v>
      </c>
      <c r="O379" s="1">
        <v>0.269445461</v>
      </c>
      <c r="P379" s="1">
        <v>0</v>
      </c>
      <c r="Q379" s="1">
        <v>0</v>
      </c>
      <c r="R379" s="1">
        <v>41.339149040000002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1090</v>
      </c>
      <c r="AB379" s="1">
        <v>0</v>
      </c>
      <c r="AC379" s="1">
        <v>0</v>
      </c>
      <c r="AD379">
        <v>0</v>
      </c>
      <c r="AE379" t="s">
        <v>637</v>
      </c>
      <c r="AF379" s="8" cm="1">
        <f t="array" aca="1" ref="AF379" ca="1">fScore_Total("ESPN",aCols)</f>
        <v>7.6298192555000002</v>
      </c>
      <c r="AG379" s="8" cm="1">
        <f t="array" aca="1" ref="AG379" ca="1">-fScore_Total("diff",aCols)</f>
        <v>0</v>
      </c>
      <c r="AH379" s="8">
        <f t="shared" ca="1" si="12"/>
        <v>7.6298192555000002</v>
      </c>
      <c r="AI379" s="8" t="str">
        <f t="shared" si="11"/>
        <v>FLEX</v>
      </c>
      <c r="AJ379" s="8"/>
    </row>
    <row r="380" spans="1:36" x14ac:dyDescent="0.25">
      <c r="A380" t="s">
        <v>359</v>
      </c>
      <c r="B380" s="1" t="s">
        <v>532</v>
      </c>
      <c r="C380" s="1">
        <v>0</v>
      </c>
      <c r="D380" s="1">
        <v>0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  <c r="M380" s="1">
        <v>4.6732754820000002</v>
      </c>
      <c r="N380" s="1">
        <v>0</v>
      </c>
      <c r="O380" s="1">
        <v>0.19834185200000001</v>
      </c>
      <c r="P380" s="1">
        <v>0</v>
      </c>
      <c r="Q380" s="1">
        <v>0</v>
      </c>
      <c r="R380" s="1">
        <v>33.326881989999997</v>
      </c>
      <c r="S380" s="1">
        <v>0</v>
      </c>
      <c r="T380" s="1">
        <v>0</v>
      </c>
      <c r="U380" s="1">
        <v>0</v>
      </c>
      <c r="V380" s="1">
        <v>0.13590402400000001</v>
      </c>
      <c r="W380" s="1">
        <v>0</v>
      </c>
      <c r="X380" s="1">
        <v>0</v>
      </c>
      <c r="Y380" s="1">
        <v>17.984952360000001</v>
      </c>
      <c r="Z380" s="1">
        <v>0</v>
      </c>
      <c r="AA380" s="1">
        <v>1089</v>
      </c>
      <c r="AB380" s="1">
        <v>0</v>
      </c>
      <c r="AC380" s="1">
        <v>0</v>
      </c>
      <c r="AD380">
        <v>0</v>
      </c>
      <c r="AE380" t="s">
        <v>637</v>
      </c>
      <c r="AF380" s="8" cm="1">
        <f t="array" aca="1" ref="AF380" ca="1">fScore_Total("ESPN",aCols)</f>
        <v>9.4732964320000015</v>
      </c>
      <c r="AG380" s="8" cm="1">
        <f t="array" aca="1" ref="AG380" ca="1">-fScore_Total("diff",aCols)</f>
        <v>0</v>
      </c>
      <c r="AH380" s="8">
        <f t="shared" ca="1" si="12"/>
        <v>9.4732964320000015</v>
      </c>
      <c r="AI380" s="8" t="str">
        <f t="shared" si="11"/>
        <v>FLEX</v>
      </c>
      <c r="AJ380" s="8"/>
    </row>
    <row r="381" spans="1:36" x14ac:dyDescent="0.25">
      <c r="A381" t="s">
        <v>348</v>
      </c>
      <c r="B381" s="1" t="s">
        <v>533</v>
      </c>
      <c r="C381" s="1">
        <v>0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  <c r="M381" s="1">
        <v>3.1071087909999999</v>
      </c>
      <c r="N381" s="1">
        <v>0</v>
      </c>
      <c r="O381" s="1">
        <v>0.26561190000000001</v>
      </c>
      <c r="P381" s="1">
        <v>0</v>
      </c>
      <c r="Q381" s="1">
        <v>0</v>
      </c>
      <c r="R381" s="1">
        <v>36.464112739999997</v>
      </c>
      <c r="S381" s="1">
        <v>0</v>
      </c>
      <c r="T381" s="1">
        <v>0</v>
      </c>
      <c r="U381" s="1">
        <v>0</v>
      </c>
      <c r="V381" s="1">
        <v>0.16349408200000001</v>
      </c>
      <c r="W381" s="1">
        <v>0</v>
      </c>
      <c r="X381" s="1">
        <v>0</v>
      </c>
      <c r="Y381" s="1">
        <v>25.701696139999999</v>
      </c>
      <c r="Z381" s="1">
        <v>0</v>
      </c>
      <c r="AA381" s="1">
        <v>1088</v>
      </c>
      <c r="AB381" s="1">
        <v>0</v>
      </c>
      <c r="AC381" s="1">
        <v>0</v>
      </c>
      <c r="AD381">
        <v>0</v>
      </c>
      <c r="AE381" t="s">
        <v>637</v>
      </c>
      <c r="AF381" s="8" cm="1">
        <f t="array" aca="1" ref="AF381" ca="1">fScore_Total("ESPN",aCols)</f>
        <v>10.3447711755</v>
      </c>
      <c r="AG381" s="8" cm="1">
        <f t="array" aca="1" ref="AG381" ca="1">-fScore_Total("diff",aCols)</f>
        <v>0</v>
      </c>
      <c r="AH381" s="8">
        <f t="shared" ca="1" si="12"/>
        <v>10.3447711755</v>
      </c>
      <c r="AI381" s="8" t="str">
        <f t="shared" si="11"/>
        <v>FLEX</v>
      </c>
      <c r="AJ381" s="8"/>
    </row>
    <row r="382" spans="1:36" x14ac:dyDescent="0.25">
      <c r="A382" t="s">
        <v>358</v>
      </c>
      <c r="B382" s="1" t="s">
        <v>532</v>
      </c>
      <c r="C382" s="1">
        <v>0</v>
      </c>
      <c r="D382" s="1">
        <v>0</v>
      </c>
      <c r="E382" s="1">
        <v>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  <c r="M382" s="1">
        <v>2.021491272</v>
      </c>
      <c r="N382" s="1">
        <v>0</v>
      </c>
      <c r="O382" s="1">
        <v>8.7160741999999999E-2</v>
      </c>
      <c r="P382" s="1">
        <v>0</v>
      </c>
      <c r="Q382" s="1">
        <v>0</v>
      </c>
      <c r="R382" s="1">
        <v>14.451158400000001</v>
      </c>
      <c r="S382" s="1">
        <v>0</v>
      </c>
      <c r="T382" s="1">
        <v>0</v>
      </c>
      <c r="U382" s="1">
        <v>0</v>
      </c>
      <c r="V382" s="1">
        <v>0.42315484599999997</v>
      </c>
      <c r="W382" s="1">
        <v>0</v>
      </c>
      <c r="X382" s="1">
        <v>0</v>
      </c>
      <c r="Y382" s="1">
        <v>52.91722231</v>
      </c>
      <c r="Z382" s="1">
        <v>0</v>
      </c>
      <c r="AA382" s="1">
        <v>1087</v>
      </c>
      <c r="AB382" s="1">
        <v>0</v>
      </c>
      <c r="AC382" s="1">
        <v>0</v>
      </c>
      <c r="AD382">
        <v>0</v>
      </c>
      <c r="AE382" t="s">
        <v>637</v>
      </c>
      <c r="AF382" s="8" cm="1">
        <f t="array" aca="1" ref="AF382" ca="1">fScore_Total("ESPN",aCols)</f>
        <v>10.809477234999999</v>
      </c>
      <c r="AG382" s="8" cm="1">
        <f t="array" aca="1" ref="AG382" ca="1">-fScore_Total("diff",aCols)</f>
        <v>0</v>
      </c>
      <c r="AH382" s="8">
        <f t="shared" ca="1" si="12"/>
        <v>10.809477234999999</v>
      </c>
      <c r="AI382" s="8" t="str">
        <f t="shared" si="11"/>
        <v>FLEX</v>
      </c>
      <c r="AJ382" s="8"/>
    </row>
    <row r="383" spans="1:36" x14ac:dyDescent="0.25">
      <c r="A383" t="s">
        <v>612</v>
      </c>
      <c r="B383" s="1" t="s">
        <v>532</v>
      </c>
      <c r="C383" s="1">
        <v>0</v>
      </c>
      <c r="D383" s="1">
        <v>0</v>
      </c>
      <c r="E383" s="1">
        <v>0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1">
        <v>0</v>
      </c>
      <c r="L383" s="1">
        <v>0</v>
      </c>
      <c r="M383" s="1">
        <v>1.8407313999999999</v>
      </c>
      <c r="N383" s="1">
        <v>0</v>
      </c>
      <c r="O383" s="1">
        <v>6.2739764000000003E-2</v>
      </c>
      <c r="P383" s="1">
        <v>0</v>
      </c>
      <c r="Q383" s="1">
        <v>0</v>
      </c>
      <c r="R383" s="1">
        <v>12.718391309999999</v>
      </c>
      <c r="S383" s="1">
        <v>0</v>
      </c>
      <c r="T383" s="1">
        <v>0</v>
      </c>
      <c r="U383" s="1">
        <v>0</v>
      </c>
      <c r="V383" s="1">
        <v>0.50152015500000002</v>
      </c>
      <c r="W383" s="1">
        <v>0</v>
      </c>
      <c r="X383" s="1">
        <v>0</v>
      </c>
      <c r="Y383" s="1">
        <v>56.954366180000001</v>
      </c>
      <c r="Z383" s="1">
        <v>0</v>
      </c>
      <c r="AA383" s="1">
        <v>1086</v>
      </c>
      <c r="AB383" s="1">
        <v>0</v>
      </c>
      <c r="AC383" s="1">
        <v>0</v>
      </c>
      <c r="AD383">
        <v>0</v>
      </c>
      <c r="AE383" t="s">
        <v>637</v>
      </c>
      <c r="AF383" s="8" cm="1">
        <f t="array" aca="1" ref="AF383" ca="1">fScore_Total("ESPN",aCols)</f>
        <v>11.273200963000001</v>
      </c>
      <c r="AG383" s="8" cm="1">
        <f t="array" aca="1" ref="AG383" ca="1">-fScore_Total("diff",aCols)</f>
        <v>0</v>
      </c>
      <c r="AH383" s="8">
        <f t="shared" ca="1" si="12"/>
        <v>11.273200963000001</v>
      </c>
      <c r="AI383" s="8" t="str">
        <f t="shared" si="11"/>
        <v>FLEX</v>
      </c>
      <c r="AJ383" s="8"/>
    </row>
    <row r="384" spans="1:36" x14ac:dyDescent="0.25">
      <c r="A384" t="s">
        <v>357</v>
      </c>
      <c r="B384" s="1" t="s">
        <v>533</v>
      </c>
      <c r="C384" s="1">
        <v>0</v>
      </c>
      <c r="D384" s="1">
        <v>0</v>
      </c>
      <c r="E384" s="1">
        <v>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  <c r="M384" s="1">
        <v>5.0578625270000002</v>
      </c>
      <c r="N384" s="1">
        <v>0</v>
      </c>
      <c r="O384" s="1">
        <v>0.24606309200000001</v>
      </c>
      <c r="P384" s="1">
        <v>0</v>
      </c>
      <c r="Q384" s="1">
        <v>0</v>
      </c>
      <c r="R384" s="1">
        <v>57.103700179999997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1085</v>
      </c>
      <c r="AB384" s="1">
        <v>0</v>
      </c>
      <c r="AC384" s="1">
        <v>0</v>
      </c>
      <c r="AD384">
        <v>0</v>
      </c>
      <c r="AE384" t="s">
        <v>637</v>
      </c>
      <c r="AF384" s="8" cm="1">
        <f t="array" aca="1" ref="AF384" ca="1">fScore_Total("ESPN",aCols)</f>
        <v>9.7156798335000012</v>
      </c>
      <c r="AG384" s="8" cm="1">
        <f t="array" aca="1" ref="AG384" ca="1">-fScore_Total("diff",aCols)</f>
        <v>0</v>
      </c>
      <c r="AH384" s="8">
        <f t="shared" ca="1" si="12"/>
        <v>9.7156798335000012</v>
      </c>
      <c r="AI384" s="8" t="str">
        <f t="shared" si="11"/>
        <v>FLEX</v>
      </c>
      <c r="AJ384" s="8"/>
    </row>
    <row r="385" spans="1:36" x14ac:dyDescent="0.25">
      <c r="A385" t="s">
        <v>613</v>
      </c>
      <c r="B385" s="1" t="s">
        <v>533</v>
      </c>
      <c r="C385" s="1">
        <v>0</v>
      </c>
      <c r="D385" s="1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  <c r="M385" s="1">
        <v>4.7793892639999997</v>
      </c>
      <c r="N385" s="1">
        <v>0</v>
      </c>
      <c r="O385" s="1">
        <v>0.40909644699999997</v>
      </c>
      <c r="P385" s="1">
        <v>0</v>
      </c>
      <c r="Q385" s="1">
        <v>0</v>
      </c>
      <c r="R385" s="1">
        <v>53.894576880000002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1084</v>
      </c>
      <c r="AB385" s="1">
        <v>0</v>
      </c>
      <c r="AC385" s="1">
        <v>0</v>
      </c>
      <c r="AD385">
        <v>0</v>
      </c>
      <c r="AE385" t="s">
        <v>637</v>
      </c>
      <c r="AF385" s="8" cm="1">
        <f t="array" aca="1" ref="AF385" ca="1">fScore_Total("ESPN",aCols)</f>
        <v>10.233731001999999</v>
      </c>
      <c r="AG385" s="8" cm="1">
        <f t="array" aca="1" ref="AG385" ca="1">-fScore_Total("diff",aCols)</f>
        <v>0</v>
      </c>
      <c r="AH385" s="8">
        <f t="shared" ca="1" si="12"/>
        <v>10.233731001999999</v>
      </c>
      <c r="AI385" s="8" t="str">
        <f t="shared" si="11"/>
        <v>FLEX</v>
      </c>
      <c r="AJ385" s="8"/>
    </row>
    <row r="386" spans="1:36" x14ac:dyDescent="0.25">
      <c r="A386" t="s">
        <v>356</v>
      </c>
      <c r="B386" s="1" t="s">
        <v>532</v>
      </c>
      <c r="C386" s="1">
        <v>0</v>
      </c>
      <c r="D386" s="1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  <c r="M386" s="1">
        <v>4.3842472609999996</v>
      </c>
      <c r="N386" s="1">
        <v>0</v>
      </c>
      <c r="O386" s="1">
        <v>0.18663142999999999</v>
      </c>
      <c r="P386" s="1">
        <v>0</v>
      </c>
      <c r="Q386" s="1">
        <v>0</v>
      </c>
      <c r="R386" s="1">
        <v>29.387708440000001</v>
      </c>
      <c r="S386" s="1">
        <v>0</v>
      </c>
      <c r="T386" s="1">
        <v>0</v>
      </c>
      <c r="U386" s="1">
        <v>0</v>
      </c>
      <c r="V386" s="1">
        <v>0.15780497600000001</v>
      </c>
      <c r="W386" s="1">
        <v>0</v>
      </c>
      <c r="X386" s="1">
        <v>0</v>
      </c>
      <c r="Y386" s="1">
        <v>17.702779039999999</v>
      </c>
      <c r="Z386" s="1">
        <v>0</v>
      </c>
      <c r="AA386" s="1">
        <v>1083</v>
      </c>
      <c r="AB386" s="1">
        <v>0</v>
      </c>
      <c r="AC386" s="1">
        <v>0</v>
      </c>
      <c r="AD386">
        <v>0</v>
      </c>
      <c r="AE386" t="s">
        <v>637</v>
      </c>
      <c r="AF386" s="8" cm="1">
        <f t="array" aca="1" ref="AF386" ca="1">fScore_Total("ESPN",aCols)</f>
        <v>8.9677908144999989</v>
      </c>
      <c r="AG386" s="8" cm="1">
        <f t="array" aca="1" ref="AG386" ca="1">-fScore_Total("diff",aCols)</f>
        <v>0</v>
      </c>
      <c r="AH386" s="8">
        <f t="shared" ca="1" si="12"/>
        <v>8.9677908144999989</v>
      </c>
      <c r="AI386" s="8" t="str">
        <f t="shared" si="11"/>
        <v>FLEX</v>
      </c>
      <c r="AJ386" s="8"/>
    </row>
    <row r="387" spans="1:36" x14ac:dyDescent="0.25">
      <c r="A387" t="s">
        <v>614</v>
      </c>
      <c r="B387" s="1" t="s">
        <v>535</v>
      </c>
      <c r="C387" s="1">
        <v>0</v>
      </c>
      <c r="D387" s="1">
        <v>0</v>
      </c>
      <c r="E387" s="1">
        <v>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  <c r="M387" s="1">
        <v>3.7889553390000001</v>
      </c>
      <c r="N387" s="1">
        <v>0</v>
      </c>
      <c r="O387" s="1">
        <v>0.31356586800000003</v>
      </c>
      <c r="P387" s="1">
        <v>0</v>
      </c>
      <c r="Q387" s="1">
        <v>0</v>
      </c>
      <c r="R387" s="1">
        <v>37.998304449999999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1101</v>
      </c>
      <c r="AB387" s="1">
        <v>0</v>
      </c>
      <c r="AC387" s="1">
        <v>0</v>
      </c>
      <c r="AD387">
        <v>0</v>
      </c>
      <c r="AE387" t="s">
        <v>637</v>
      </c>
      <c r="AF387" s="8" cm="1">
        <f t="array" aca="1" ref="AF387" ca="1">fScore_Total("ESPN",aCols)</f>
        <v>7.5757033225000008</v>
      </c>
      <c r="AG387" s="8" cm="1">
        <f t="array" aca="1" ref="AG387" ca="1">-fScore_Total("diff",aCols)</f>
        <v>0</v>
      </c>
      <c r="AH387" s="8">
        <f t="shared" ca="1" si="12"/>
        <v>7.5757033225000008</v>
      </c>
      <c r="AI387" s="8" t="str">
        <f t="shared" ref="AI387:AI450" si="13">IF(B387="QB","QB","FLEX")</f>
        <v>FLEX</v>
      </c>
      <c r="AJ387" s="8"/>
    </row>
    <row r="388" spans="1:36" x14ac:dyDescent="0.25">
      <c r="A388" t="s">
        <v>615</v>
      </c>
      <c r="B388" s="1" t="s">
        <v>535</v>
      </c>
      <c r="C388" s="1">
        <v>0</v>
      </c>
      <c r="D388" s="1">
        <v>0</v>
      </c>
      <c r="E388" s="1">
        <v>0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3.9235886130000002</v>
      </c>
      <c r="N388" s="1">
        <v>0</v>
      </c>
      <c r="O388" s="1">
        <v>0.26927395599999998</v>
      </c>
      <c r="P388" s="1">
        <v>0</v>
      </c>
      <c r="Q388" s="1">
        <v>0</v>
      </c>
      <c r="R388" s="1">
        <v>38.344230549999999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1102</v>
      </c>
      <c r="AB388" s="1">
        <v>0</v>
      </c>
      <c r="AC388" s="1">
        <v>0</v>
      </c>
      <c r="AD388">
        <v>0</v>
      </c>
      <c r="AE388" t="s">
        <v>637</v>
      </c>
      <c r="AF388" s="8" cm="1">
        <f t="array" aca="1" ref="AF388" ca="1">fScore_Total("ESPN",aCols)</f>
        <v>7.4118610975000001</v>
      </c>
      <c r="AG388" s="8" cm="1">
        <f t="array" aca="1" ref="AG388" ca="1">-fScore_Total("diff",aCols)</f>
        <v>0</v>
      </c>
      <c r="AH388" s="8">
        <f t="shared" ca="1" si="12"/>
        <v>7.4118610975000001</v>
      </c>
      <c r="AI388" s="8" t="str">
        <f t="shared" si="13"/>
        <v>FLEX</v>
      </c>
      <c r="AJ388" s="8"/>
    </row>
    <row r="389" spans="1:36" x14ac:dyDescent="0.25">
      <c r="A389" t="s">
        <v>616</v>
      </c>
      <c r="B389" s="1" t="s">
        <v>533</v>
      </c>
      <c r="C389" s="1">
        <v>0</v>
      </c>
      <c r="D389" s="1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  <c r="M389" s="1">
        <v>3.4503743619999998</v>
      </c>
      <c r="N389" s="1">
        <v>0</v>
      </c>
      <c r="O389" s="1">
        <v>0.25735967399999998</v>
      </c>
      <c r="P389" s="1">
        <v>0</v>
      </c>
      <c r="Q389" s="1">
        <v>0</v>
      </c>
      <c r="R389" s="1">
        <v>39.47249103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1112</v>
      </c>
      <c r="AB389" s="1">
        <v>0</v>
      </c>
      <c r="AC389" s="1">
        <v>0</v>
      </c>
      <c r="AD389">
        <v>0</v>
      </c>
      <c r="AE389" t="s">
        <v>637</v>
      </c>
      <c r="AF389" s="8" cm="1">
        <f t="array" aca="1" ref="AF389" ca="1">fScore_Total("ESPN",aCols)</f>
        <v>7.2165943280000002</v>
      </c>
      <c r="AG389" s="8" cm="1">
        <f t="array" aca="1" ref="AG389" ca="1">-fScore_Total("diff",aCols)</f>
        <v>0</v>
      </c>
      <c r="AH389" s="8">
        <f t="shared" ca="1" si="12"/>
        <v>7.2165943280000002</v>
      </c>
      <c r="AI389" s="8" t="str">
        <f t="shared" si="13"/>
        <v>FLEX</v>
      </c>
      <c r="AJ389" s="8"/>
    </row>
    <row r="390" spans="1:36" x14ac:dyDescent="0.25">
      <c r="A390" t="s">
        <v>617</v>
      </c>
      <c r="B390" s="1" t="s">
        <v>535</v>
      </c>
      <c r="C390" s="1">
        <v>0</v>
      </c>
      <c r="D390" s="1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  <c r="M390" s="1">
        <v>3.6790579970000001</v>
      </c>
      <c r="N390" s="1">
        <v>0</v>
      </c>
      <c r="O390" s="1">
        <v>0.19742696600000001</v>
      </c>
      <c r="P390" s="1">
        <v>0</v>
      </c>
      <c r="Q390" s="1">
        <v>0</v>
      </c>
      <c r="R390" s="1">
        <v>35.850280320000003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1119</v>
      </c>
      <c r="AB390" s="1">
        <v>0</v>
      </c>
      <c r="AC390" s="1">
        <v>0</v>
      </c>
      <c r="AD390">
        <v>0</v>
      </c>
      <c r="AE390" t="s">
        <v>637</v>
      </c>
      <c r="AF390" s="8" cm="1">
        <f t="array" aca="1" ref="AF390" ca="1">fScore_Total("ESPN",aCols)</f>
        <v>6.6091188265000005</v>
      </c>
      <c r="AG390" s="8" cm="1">
        <f t="array" aca="1" ref="AG390" ca="1">-fScore_Total("diff",aCols)</f>
        <v>0</v>
      </c>
      <c r="AH390" s="8">
        <f t="shared" ref="AH390:AH453" ca="1" si="14">+AF390+AG390</f>
        <v>6.6091188265000005</v>
      </c>
      <c r="AI390" s="8" t="str">
        <f t="shared" si="13"/>
        <v>FLEX</v>
      </c>
      <c r="AJ390" s="8"/>
    </row>
    <row r="391" spans="1:36" x14ac:dyDescent="0.25">
      <c r="A391" t="s">
        <v>618</v>
      </c>
      <c r="B391" s="1" t="s">
        <v>533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  <c r="M391" s="1">
        <v>3.3880264470000001</v>
      </c>
      <c r="N391" s="1">
        <v>0</v>
      </c>
      <c r="O391" s="1">
        <v>0.235518747</v>
      </c>
      <c r="P391" s="1">
        <v>0</v>
      </c>
      <c r="Q391" s="1">
        <v>0</v>
      </c>
      <c r="R391" s="1">
        <v>38.362180709999997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1118</v>
      </c>
      <c r="AB391" s="1">
        <v>0</v>
      </c>
      <c r="AC391" s="1">
        <v>0</v>
      </c>
      <c r="AD391">
        <v>0</v>
      </c>
      <c r="AE391" t="s">
        <v>637</v>
      </c>
      <c r="AF391" s="8" cm="1">
        <f t="array" aca="1" ref="AF391" ca="1">fScore_Total("ESPN",aCols)</f>
        <v>6.9433437764999999</v>
      </c>
      <c r="AG391" s="8" cm="1">
        <f t="array" aca="1" ref="AG391" ca="1">-fScore_Total("diff",aCols)</f>
        <v>0</v>
      </c>
      <c r="AH391" s="8">
        <f t="shared" ca="1" si="14"/>
        <v>6.9433437764999999</v>
      </c>
      <c r="AI391" s="8" t="str">
        <f t="shared" si="13"/>
        <v>FLEX</v>
      </c>
      <c r="AJ391" s="8"/>
    </row>
    <row r="392" spans="1:36" x14ac:dyDescent="0.25">
      <c r="A392" t="s">
        <v>378</v>
      </c>
      <c r="B392" s="1" t="s">
        <v>533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  <c r="M392" s="1">
        <v>2.9988500550000001</v>
      </c>
      <c r="N392" s="1">
        <v>0</v>
      </c>
      <c r="O392" s="1">
        <v>0.20959793900000001</v>
      </c>
      <c r="P392" s="1">
        <v>0</v>
      </c>
      <c r="Q392" s="1">
        <v>0</v>
      </c>
      <c r="R392" s="1">
        <v>36.911207189999999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1117</v>
      </c>
      <c r="AB392" s="1">
        <v>0</v>
      </c>
      <c r="AC392" s="1">
        <v>0</v>
      </c>
      <c r="AD392">
        <v>0</v>
      </c>
      <c r="AE392" t="s">
        <v>637</v>
      </c>
      <c r="AF392" s="8" cm="1">
        <f t="array" aca="1" ref="AF392" ca="1">fScore_Total("ESPN",aCols)</f>
        <v>6.4481333804999998</v>
      </c>
      <c r="AG392" s="8" cm="1">
        <f t="array" aca="1" ref="AG392" ca="1">-fScore_Total("diff",aCols)</f>
        <v>0</v>
      </c>
      <c r="AH392" s="8">
        <f t="shared" ca="1" si="14"/>
        <v>6.4481333804999998</v>
      </c>
      <c r="AI392" s="8" t="str">
        <f t="shared" si="13"/>
        <v>FLEX</v>
      </c>
      <c r="AJ392" s="8"/>
    </row>
    <row r="393" spans="1:36" x14ac:dyDescent="0.25">
      <c r="A393" t="s">
        <v>379</v>
      </c>
      <c r="B393" s="1" t="s">
        <v>535</v>
      </c>
      <c r="C393" s="1">
        <v>0</v>
      </c>
      <c r="D393" s="1">
        <v>0</v>
      </c>
      <c r="E393" s="1">
        <v>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  <c r="M393" s="1">
        <v>3.6699081950000001</v>
      </c>
      <c r="N393" s="1">
        <v>0</v>
      </c>
      <c r="O393" s="1">
        <v>0.22613925500000001</v>
      </c>
      <c r="P393" s="1">
        <v>0</v>
      </c>
      <c r="Q393" s="1">
        <v>0</v>
      </c>
      <c r="R393" s="1">
        <v>36.912449279999997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1116</v>
      </c>
      <c r="AB393" s="1">
        <v>0</v>
      </c>
      <c r="AC393" s="1">
        <v>0</v>
      </c>
      <c r="AD393">
        <v>0</v>
      </c>
      <c r="AE393" t="s">
        <v>637</v>
      </c>
      <c r="AF393" s="8" cm="1">
        <f t="array" aca="1" ref="AF393" ca="1">fScore_Total("ESPN",aCols)</f>
        <v>6.8830345555000001</v>
      </c>
      <c r="AG393" s="8" cm="1">
        <f t="array" aca="1" ref="AG393" ca="1">-fScore_Total("diff",aCols)</f>
        <v>0</v>
      </c>
      <c r="AH393" s="8">
        <f t="shared" ca="1" si="14"/>
        <v>6.8830345555000001</v>
      </c>
      <c r="AI393" s="8" t="str">
        <f t="shared" si="13"/>
        <v>FLEX</v>
      </c>
      <c r="AJ393" s="8"/>
    </row>
    <row r="394" spans="1:36" x14ac:dyDescent="0.25">
      <c r="A394" t="s">
        <v>619</v>
      </c>
      <c r="B394" s="1" t="s">
        <v>532</v>
      </c>
      <c r="C394" s="1">
        <v>0</v>
      </c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4.5252955699999999</v>
      </c>
      <c r="N394" s="1">
        <v>0</v>
      </c>
      <c r="O394" s="1">
        <v>0.19369899400000001</v>
      </c>
      <c r="P394" s="1">
        <v>0</v>
      </c>
      <c r="Q394" s="1">
        <v>0</v>
      </c>
      <c r="R394" s="1">
        <v>31.71610154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1115</v>
      </c>
      <c r="AB394" s="1">
        <v>0</v>
      </c>
      <c r="AC394" s="1">
        <v>0</v>
      </c>
      <c r="AD394">
        <v>0</v>
      </c>
      <c r="AE394" t="s">
        <v>637</v>
      </c>
      <c r="AF394" s="8" cm="1">
        <f t="array" aca="1" ref="AF394" ca="1">fScore_Total("ESPN",aCols)</f>
        <v>6.5964519030000002</v>
      </c>
      <c r="AG394" s="8" cm="1">
        <f t="array" aca="1" ref="AG394" ca="1">-fScore_Total("diff",aCols)</f>
        <v>0</v>
      </c>
      <c r="AH394" s="8">
        <f t="shared" ca="1" si="14"/>
        <v>6.5964519030000002</v>
      </c>
      <c r="AI394" s="8" t="str">
        <f t="shared" si="13"/>
        <v>FLEX</v>
      </c>
      <c r="AJ394" s="8"/>
    </row>
    <row r="395" spans="1:36" x14ac:dyDescent="0.25">
      <c r="A395" t="s">
        <v>375</v>
      </c>
      <c r="B395" s="1" t="s">
        <v>535</v>
      </c>
      <c r="C395" s="1">
        <v>0</v>
      </c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  <c r="M395" s="1">
        <v>3.9407959730000002</v>
      </c>
      <c r="N395" s="1">
        <v>0</v>
      </c>
      <c r="O395" s="1">
        <v>0.212894106</v>
      </c>
      <c r="P395" s="1">
        <v>0</v>
      </c>
      <c r="Q395" s="1">
        <v>0</v>
      </c>
      <c r="R395" s="1">
        <v>36.492666710000002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1114</v>
      </c>
      <c r="AB395" s="1">
        <v>0</v>
      </c>
      <c r="AC395" s="1">
        <v>0</v>
      </c>
      <c r="AD395">
        <v>0</v>
      </c>
      <c r="AE395" t="s">
        <v>637</v>
      </c>
      <c r="AF395" s="8" cm="1">
        <f t="array" aca="1" ref="AF395" ca="1">fScore_Total("ESPN",aCols)</f>
        <v>6.8970292935000002</v>
      </c>
      <c r="AG395" s="8" cm="1">
        <f t="array" aca="1" ref="AG395" ca="1">-fScore_Total("diff",aCols)</f>
        <v>0</v>
      </c>
      <c r="AH395" s="8">
        <f t="shared" ca="1" si="14"/>
        <v>6.8970292935000002</v>
      </c>
      <c r="AI395" s="8" t="str">
        <f t="shared" si="13"/>
        <v>FLEX</v>
      </c>
      <c r="AJ395" s="8"/>
    </row>
    <row r="396" spans="1:36" x14ac:dyDescent="0.25">
      <c r="A396" t="s">
        <v>373</v>
      </c>
      <c r="B396" s="1" t="s">
        <v>533</v>
      </c>
      <c r="C396" s="1">
        <v>0</v>
      </c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  <c r="M396" s="1">
        <v>3.467647785</v>
      </c>
      <c r="N396" s="1">
        <v>0</v>
      </c>
      <c r="O396" s="1">
        <v>0.241638772</v>
      </c>
      <c r="P396" s="1">
        <v>0</v>
      </c>
      <c r="Q396" s="1">
        <v>0</v>
      </c>
      <c r="R396" s="1">
        <v>40.133626939999999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1113</v>
      </c>
      <c r="AB396" s="1">
        <v>0</v>
      </c>
      <c r="AC396" s="1">
        <v>0</v>
      </c>
      <c r="AD396">
        <v>0</v>
      </c>
      <c r="AE396" t="s">
        <v>637</v>
      </c>
      <c r="AF396" s="8" cm="1">
        <f t="array" aca="1" ref="AF396" ca="1">fScore_Total("ESPN",aCols)</f>
        <v>7.1970192185000004</v>
      </c>
      <c r="AG396" s="8" cm="1">
        <f t="array" aca="1" ref="AG396" ca="1">-fScore_Total("diff",aCols)</f>
        <v>0</v>
      </c>
      <c r="AH396" s="8">
        <f t="shared" ca="1" si="14"/>
        <v>7.1970192185000004</v>
      </c>
      <c r="AI396" s="8" t="str">
        <f t="shared" si="13"/>
        <v>FLEX</v>
      </c>
      <c r="AJ396" s="8"/>
    </row>
    <row r="397" spans="1:36" x14ac:dyDescent="0.25">
      <c r="A397" t="s">
        <v>620</v>
      </c>
      <c r="B397" s="1" t="s">
        <v>535</v>
      </c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  <c r="M397" s="1">
        <v>3.7264876619999998</v>
      </c>
      <c r="N397" s="1">
        <v>0</v>
      </c>
      <c r="O397" s="1">
        <v>0.25660798400000001</v>
      </c>
      <c r="P397" s="1">
        <v>0</v>
      </c>
      <c r="Q397" s="1">
        <v>0</v>
      </c>
      <c r="R397" s="1">
        <v>36.775493240000003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1111</v>
      </c>
      <c r="AB397" s="1">
        <v>0</v>
      </c>
      <c r="AC397" s="1">
        <v>0</v>
      </c>
      <c r="AD397">
        <v>0</v>
      </c>
      <c r="AE397" t="s">
        <v>637</v>
      </c>
      <c r="AF397" s="8" cm="1">
        <f t="array" aca="1" ref="AF397" ca="1">fScore_Total("ESPN",aCols)</f>
        <v>7.080441059</v>
      </c>
      <c r="AG397" s="8" cm="1">
        <f t="array" aca="1" ref="AG397" ca="1">-fScore_Total("diff",aCols)</f>
        <v>0</v>
      </c>
      <c r="AH397" s="8">
        <f t="shared" ca="1" si="14"/>
        <v>7.080441059</v>
      </c>
      <c r="AI397" s="8" t="str">
        <f t="shared" si="13"/>
        <v>FLEX</v>
      </c>
      <c r="AJ397" s="8"/>
    </row>
    <row r="398" spans="1:36" x14ac:dyDescent="0.25">
      <c r="A398" t="s">
        <v>368</v>
      </c>
      <c r="B398" s="1" t="s">
        <v>535</v>
      </c>
      <c r="C398" s="1">
        <v>0</v>
      </c>
      <c r="D398" s="1">
        <v>0</v>
      </c>
      <c r="E398" s="1">
        <v>0</v>
      </c>
      <c r="F398" s="1">
        <v>0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  <c r="M398" s="1">
        <v>3.679382602</v>
      </c>
      <c r="N398" s="1">
        <v>0</v>
      </c>
      <c r="O398" s="1">
        <v>0.33240336199999998</v>
      </c>
      <c r="P398" s="1">
        <v>0</v>
      </c>
      <c r="Q398" s="1">
        <v>0</v>
      </c>
      <c r="R398" s="1">
        <v>36.527330679999999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1103</v>
      </c>
      <c r="AB398" s="1">
        <v>0</v>
      </c>
      <c r="AC398" s="1">
        <v>0</v>
      </c>
      <c r="AD398">
        <v>0</v>
      </c>
      <c r="AE398" t="s">
        <v>637</v>
      </c>
      <c r="AF398" s="8" cm="1">
        <f t="array" aca="1" ref="AF398" ca="1">fScore_Total("ESPN",aCols)</f>
        <v>7.486844541</v>
      </c>
      <c r="AG398" s="8" cm="1">
        <f t="array" aca="1" ref="AG398" ca="1">-fScore_Total("diff",aCols)</f>
        <v>0</v>
      </c>
      <c r="AH398" s="8">
        <f t="shared" ca="1" si="14"/>
        <v>7.486844541</v>
      </c>
      <c r="AI398" s="8" t="str">
        <f t="shared" si="13"/>
        <v>FLEX</v>
      </c>
      <c r="AJ398" s="8"/>
    </row>
    <row r="399" spans="1:36" x14ac:dyDescent="0.25">
      <c r="A399" t="s">
        <v>396</v>
      </c>
      <c r="B399" s="1" t="s">
        <v>535</v>
      </c>
      <c r="C399" s="1">
        <v>0</v>
      </c>
      <c r="D399" s="1">
        <v>0</v>
      </c>
      <c r="E399" s="1">
        <v>0</v>
      </c>
      <c r="F399" s="1">
        <v>0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  <c r="M399" s="1">
        <v>3.6697647739999999</v>
      </c>
      <c r="N399" s="1">
        <v>0</v>
      </c>
      <c r="O399" s="1">
        <v>0.307425426</v>
      </c>
      <c r="P399" s="1">
        <v>0</v>
      </c>
      <c r="Q399" s="1">
        <v>0</v>
      </c>
      <c r="R399" s="1">
        <v>35.580833929999997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1110</v>
      </c>
      <c r="AB399" s="1">
        <v>0</v>
      </c>
      <c r="AC399" s="1">
        <v>0</v>
      </c>
      <c r="AD399">
        <v>0</v>
      </c>
      <c r="AE399" t="s">
        <v>637</v>
      </c>
      <c r="AF399" s="8" cm="1">
        <f t="array" aca="1" ref="AF399" ca="1">fScore_Total("ESPN",aCols)</f>
        <v>7.2375183359999999</v>
      </c>
      <c r="AG399" s="8" cm="1">
        <f t="array" aca="1" ref="AG399" ca="1">-fScore_Total("diff",aCols)</f>
        <v>0</v>
      </c>
      <c r="AH399" s="8">
        <f t="shared" ca="1" si="14"/>
        <v>7.2375183359999999</v>
      </c>
      <c r="AI399" s="8" t="str">
        <f t="shared" si="13"/>
        <v>FLEX</v>
      </c>
      <c r="AJ399" s="8"/>
    </row>
    <row r="400" spans="1:36" x14ac:dyDescent="0.25">
      <c r="A400" t="s">
        <v>371</v>
      </c>
      <c r="B400" s="1" t="s">
        <v>533</v>
      </c>
      <c r="C400" s="1">
        <v>0</v>
      </c>
      <c r="D400" s="1">
        <v>0</v>
      </c>
      <c r="E400" s="1">
        <v>0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  <c r="M400" s="1">
        <v>3.3250166160000001</v>
      </c>
      <c r="N400" s="1">
        <v>0</v>
      </c>
      <c r="O400" s="1">
        <v>0.311670108</v>
      </c>
      <c r="P400" s="1">
        <v>0</v>
      </c>
      <c r="Q400" s="1">
        <v>0</v>
      </c>
      <c r="R400" s="1">
        <v>36.013877010000002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1109</v>
      </c>
      <c r="AB400" s="1">
        <v>0</v>
      </c>
      <c r="AC400" s="1">
        <v>0</v>
      </c>
      <c r="AD400">
        <v>0</v>
      </c>
      <c r="AE400" t="s">
        <v>637</v>
      </c>
      <c r="AF400" s="8" cm="1">
        <f t="array" aca="1" ref="AF400" ca="1">fScore_Total("ESPN",aCols)</f>
        <v>7.1339166570000003</v>
      </c>
      <c r="AG400" s="8" cm="1">
        <f t="array" aca="1" ref="AG400" ca="1">-fScore_Total("diff",aCols)</f>
        <v>0</v>
      </c>
      <c r="AH400" s="8">
        <f t="shared" ca="1" si="14"/>
        <v>7.1339166570000003</v>
      </c>
      <c r="AI400" s="8" t="str">
        <f t="shared" si="13"/>
        <v>FLEX</v>
      </c>
      <c r="AJ400" s="8"/>
    </row>
    <row r="401" spans="1:36" x14ac:dyDescent="0.25">
      <c r="A401" t="s">
        <v>370</v>
      </c>
      <c r="B401" s="1" t="s">
        <v>535</v>
      </c>
      <c r="C401" s="1">
        <v>0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3.7070159579999999</v>
      </c>
      <c r="N401" s="1">
        <v>0</v>
      </c>
      <c r="O401" s="1">
        <v>0.33865207000000003</v>
      </c>
      <c r="P401" s="1">
        <v>0</v>
      </c>
      <c r="Q401" s="1">
        <v>0</v>
      </c>
      <c r="R401" s="1">
        <v>34.319557469999999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1108</v>
      </c>
      <c r="AB401" s="1">
        <v>0</v>
      </c>
      <c r="AC401" s="1">
        <v>0</v>
      </c>
      <c r="AD401">
        <v>0</v>
      </c>
      <c r="AE401" t="s">
        <v>637</v>
      </c>
      <c r="AF401" s="8" cm="1">
        <f t="array" aca="1" ref="AF401" ca="1">fScore_Total("ESPN",aCols)</f>
        <v>7.317376146</v>
      </c>
      <c r="AG401" s="8" cm="1">
        <f t="array" aca="1" ref="AG401" ca="1">-fScore_Total("diff",aCols)</f>
        <v>0</v>
      </c>
      <c r="AH401" s="8">
        <f t="shared" ca="1" si="14"/>
        <v>7.317376146</v>
      </c>
      <c r="AI401" s="8" t="str">
        <f t="shared" si="13"/>
        <v>FLEX</v>
      </c>
      <c r="AJ401" s="8"/>
    </row>
    <row r="402" spans="1:36" x14ac:dyDescent="0.25">
      <c r="A402" t="s">
        <v>437</v>
      </c>
      <c r="B402" s="1" t="s">
        <v>532</v>
      </c>
      <c r="C402" s="1">
        <v>0</v>
      </c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  <c r="M402" s="1">
        <v>4.5324977960000004</v>
      </c>
      <c r="N402" s="1">
        <v>0</v>
      </c>
      <c r="O402" s="1">
        <v>0.105151469</v>
      </c>
      <c r="P402" s="1">
        <v>0</v>
      </c>
      <c r="Q402" s="1">
        <v>0</v>
      </c>
      <c r="R402" s="1">
        <v>29.402127950000001</v>
      </c>
      <c r="S402" s="1">
        <v>0</v>
      </c>
      <c r="T402" s="1">
        <v>0</v>
      </c>
      <c r="U402" s="1">
        <v>0</v>
      </c>
      <c r="V402" s="1">
        <v>5.7168426000000001E-2</v>
      </c>
      <c r="W402" s="1">
        <v>0</v>
      </c>
      <c r="X402" s="1">
        <v>0</v>
      </c>
      <c r="Y402" s="1">
        <v>8.0543566050000006</v>
      </c>
      <c r="Z402" s="1">
        <v>0</v>
      </c>
      <c r="AA402" s="1">
        <v>1106</v>
      </c>
      <c r="AB402" s="1">
        <v>0</v>
      </c>
      <c r="AC402" s="1">
        <v>0</v>
      </c>
      <c r="AD402">
        <v>0</v>
      </c>
      <c r="AE402" t="s">
        <v>637</v>
      </c>
      <c r="AF402" s="8" cm="1">
        <f t="array" aca="1" ref="AF402" ca="1">fScore_Total("ESPN",aCols)</f>
        <v>6.985816723500001</v>
      </c>
      <c r="AG402" s="8" cm="1">
        <f t="array" aca="1" ref="AG402" ca="1">-fScore_Total("diff",aCols)</f>
        <v>0</v>
      </c>
      <c r="AH402" s="8">
        <f t="shared" ca="1" si="14"/>
        <v>6.985816723500001</v>
      </c>
      <c r="AI402" s="8" t="str">
        <f t="shared" si="13"/>
        <v>FLEX</v>
      </c>
      <c r="AJ402" s="8"/>
    </row>
    <row r="403" spans="1:36" x14ac:dyDescent="0.25">
      <c r="A403" t="s">
        <v>405</v>
      </c>
      <c r="B403" s="1" t="s">
        <v>533</v>
      </c>
      <c r="C403" s="1">
        <v>0</v>
      </c>
      <c r="D403" s="1">
        <v>0</v>
      </c>
      <c r="E403" s="1">
        <v>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  <c r="M403" s="1">
        <v>3.3558656889999998</v>
      </c>
      <c r="N403" s="1">
        <v>0</v>
      </c>
      <c r="O403" s="1">
        <v>0.14114950400000001</v>
      </c>
      <c r="P403" s="1">
        <v>0</v>
      </c>
      <c r="Q403" s="1">
        <v>0</v>
      </c>
      <c r="R403" s="1">
        <v>36.03459453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1105</v>
      </c>
      <c r="AB403" s="1">
        <v>0</v>
      </c>
      <c r="AC403" s="1">
        <v>0</v>
      </c>
      <c r="AD403">
        <v>0</v>
      </c>
      <c r="AE403" t="s">
        <v>637</v>
      </c>
      <c r="AF403" s="8" cm="1">
        <f t="array" aca="1" ref="AF403" ca="1">fScore_Total("ESPN",aCols)</f>
        <v>6.1282893215000005</v>
      </c>
      <c r="AG403" s="8" cm="1">
        <f t="array" aca="1" ref="AG403" ca="1">-fScore_Total("diff",aCols)</f>
        <v>0</v>
      </c>
      <c r="AH403" s="8">
        <f t="shared" ca="1" si="14"/>
        <v>6.1282893215000005</v>
      </c>
      <c r="AI403" s="8" t="str">
        <f t="shared" si="13"/>
        <v>FLEX</v>
      </c>
      <c r="AJ403" s="8"/>
    </row>
    <row r="404" spans="1:36" x14ac:dyDescent="0.25">
      <c r="A404" t="s">
        <v>621</v>
      </c>
      <c r="B404" s="1" t="s">
        <v>533</v>
      </c>
      <c r="C404" s="1">
        <v>0</v>
      </c>
      <c r="D404" s="1">
        <v>0</v>
      </c>
      <c r="E404" s="1">
        <v>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  <c r="M404" s="1">
        <v>3.4608988300000001</v>
      </c>
      <c r="N404" s="1">
        <v>0</v>
      </c>
      <c r="O404" s="1">
        <v>0.30452121399999998</v>
      </c>
      <c r="P404" s="1">
        <v>0</v>
      </c>
      <c r="Q404" s="1">
        <v>0</v>
      </c>
      <c r="R404" s="1">
        <v>40.050197500000003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1104</v>
      </c>
      <c r="AB404" s="1">
        <v>0</v>
      </c>
      <c r="AC404" s="1">
        <v>0</v>
      </c>
      <c r="AD404">
        <v>0</v>
      </c>
      <c r="AE404" t="s">
        <v>637</v>
      </c>
      <c r="AF404" s="8" cm="1">
        <f t="array" aca="1" ref="AF404" ca="1">fScore_Total("ESPN",aCols)</f>
        <v>7.5625964490000008</v>
      </c>
      <c r="AG404" s="8" cm="1">
        <f t="array" aca="1" ref="AG404" ca="1">-fScore_Total("diff",aCols)</f>
        <v>0</v>
      </c>
      <c r="AH404" s="8">
        <f t="shared" ca="1" si="14"/>
        <v>7.5625964490000008</v>
      </c>
      <c r="AI404" s="8" t="str">
        <f t="shared" si="13"/>
        <v>FLEX</v>
      </c>
      <c r="AJ404" s="8"/>
    </row>
    <row r="405" spans="1:36" x14ac:dyDescent="0.25">
      <c r="A405" t="s">
        <v>285</v>
      </c>
      <c r="B405" s="1" t="s">
        <v>535</v>
      </c>
      <c r="C405" s="1">
        <v>0</v>
      </c>
      <c r="D405" s="1">
        <v>0</v>
      </c>
      <c r="E405" s="1">
        <v>0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  <c r="M405" s="1">
        <v>15.99317482</v>
      </c>
      <c r="N405" s="1">
        <v>0</v>
      </c>
      <c r="O405" s="1">
        <v>1.2507309369999999</v>
      </c>
      <c r="P405" s="1">
        <v>0</v>
      </c>
      <c r="Q405" s="1">
        <v>0</v>
      </c>
      <c r="R405" s="1">
        <v>155.147141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1000</v>
      </c>
      <c r="AB405" s="1">
        <v>0</v>
      </c>
      <c r="AC405" s="1">
        <v>0</v>
      </c>
      <c r="AD405">
        <v>0</v>
      </c>
      <c r="AE405" t="s">
        <v>637</v>
      </c>
      <c r="AF405" s="8" cm="1">
        <f t="array" aca="1" ref="AF405" ca="1">fScore_Total("ESPN",aCols)</f>
        <v>31.015687132</v>
      </c>
      <c r="AG405" s="8" cm="1">
        <f t="array" aca="1" ref="AG405" ca="1">-fScore_Total("diff",aCols)</f>
        <v>0</v>
      </c>
      <c r="AH405" s="8">
        <f t="shared" ca="1" si="14"/>
        <v>31.015687132</v>
      </c>
      <c r="AI405" s="8" t="str">
        <f t="shared" si="13"/>
        <v>FLEX</v>
      </c>
      <c r="AJ405" s="8"/>
    </row>
    <row r="406" spans="1:36" x14ac:dyDescent="0.25">
      <c r="A406" t="s">
        <v>231</v>
      </c>
      <c r="B406" s="1" t="s">
        <v>532</v>
      </c>
      <c r="C406" s="1">
        <v>0</v>
      </c>
      <c r="D406" s="1">
        <v>0</v>
      </c>
      <c r="E406" s="1">
        <v>0</v>
      </c>
      <c r="F406" s="1">
        <v>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  <c r="M406" s="1">
        <v>11.662200070000001</v>
      </c>
      <c r="N406" s="1">
        <v>0</v>
      </c>
      <c r="O406" s="1">
        <v>0.35483532200000001</v>
      </c>
      <c r="P406" s="1">
        <v>0</v>
      </c>
      <c r="Q406" s="1">
        <v>0</v>
      </c>
      <c r="R406" s="1">
        <v>78.742879900000005</v>
      </c>
      <c r="S406" s="1">
        <v>0</v>
      </c>
      <c r="T406" s="1">
        <v>0</v>
      </c>
      <c r="U406" s="1">
        <v>0</v>
      </c>
      <c r="V406" s="1">
        <v>0.70983431100000005</v>
      </c>
      <c r="W406" s="1">
        <v>0</v>
      </c>
      <c r="X406" s="1">
        <v>0</v>
      </c>
      <c r="Y406" s="1">
        <v>124.43918410000001</v>
      </c>
      <c r="Z406" s="1">
        <v>0</v>
      </c>
      <c r="AA406" s="1">
        <v>397</v>
      </c>
      <c r="AB406" s="1">
        <v>0</v>
      </c>
      <c r="AC406" s="1">
        <v>0</v>
      </c>
      <c r="AD406">
        <v>0</v>
      </c>
      <c r="AE406" t="s">
        <v>637</v>
      </c>
      <c r="AF406" s="8" cm="1">
        <f t="array" aca="1" ref="AF406" ca="1">fScore_Total("ESPN",aCols)</f>
        <v>32.537324233000007</v>
      </c>
      <c r="AG406" s="8" cm="1">
        <f t="array" aca="1" ref="AG406" ca="1">-fScore_Total("diff",aCols)</f>
        <v>0</v>
      </c>
      <c r="AH406" s="8">
        <f t="shared" ca="1" si="14"/>
        <v>32.537324233000007</v>
      </c>
      <c r="AI406" s="8" t="str">
        <f t="shared" si="13"/>
        <v>FLEX</v>
      </c>
      <c r="AJ406" s="8"/>
    </row>
    <row r="407" spans="1:36" x14ac:dyDescent="0.25">
      <c r="A407" t="s">
        <v>282</v>
      </c>
      <c r="B407" s="1" t="s">
        <v>535</v>
      </c>
      <c r="C407" s="1">
        <v>0</v>
      </c>
      <c r="D407" s="1">
        <v>0</v>
      </c>
      <c r="E407" s="1">
        <v>0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  <c r="M407" s="1">
        <v>15.923219720000001</v>
      </c>
      <c r="N407" s="1">
        <v>0</v>
      </c>
      <c r="O407" s="1">
        <v>1.281702498</v>
      </c>
      <c r="P407" s="1">
        <v>0</v>
      </c>
      <c r="Q407" s="1">
        <v>0</v>
      </c>
      <c r="R407" s="1">
        <v>182.1259048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998</v>
      </c>
      <c r="AB407" s="1">
        <v>0</v>
      </c>
      <c r="AC407" s="1">
        <v>0</v>
      </c>
      <c r="AD407">
        <v>0</v>
      </c>
      <c r="AE407" t="s">
        <v>637</v>
      </c>
      <c r="AF407" s="8" cm="1">
        <f t="array" aca="1" ref="AF407" ca="1">fScore_Total("ESPN",aCols)</f>
        <v>33.864415328</v>
      </c>
      <c r="AG407" s="8" cm="1">
        <f t="array" aca="1" ref="AG407" ca="1">-fScore_Total("diff",aCols)</f>
        <v>0</v>
      </c>
      <c r="AH407" s="8">
        <f t="shared" ca="1" si="14"/>
        <v>33.864415328</v>
      </c>
      <c r="AI407" s="8" t="str">
        <f t="shared" si="13"/>
        <v>FLEX</v>
      </c>
      <c r="AJ407" s="8"/>
    </row>
    <row r="408" spans="1:36" x14ac:dyDescent="0.25">
      <c r="A408" t="s">
        <v>444</v>
      </c>
      <c r="B408" s="1" t="s">
        <v>533</v>
      </c>
      <c r="C408" s="1">
        <v>0</v>
      </c>
      <c r="D408" s="1">
        <v>0</v>
      </c>
      <c r="E408" s="1">
        <v>0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  <c r="M408" s="1">
        <v>38.419666630000002</v>
      </c>
      <c r="N408" s="1">
        <v>0</v>
      </c>
      <c r="O408" s="1">
        <v>2.1351603909999999</v>
      </c>
      <c r="P408" s="1">
        <v>0</v>
      </c>
      <c r="Q408" s="1">
        <v>0</v>
      </c>
      <c r="R408" s="1">
        <v>495.59932220000002</v>
      </c>
      <c r="S408" s="1">
        <v>0</v>
      </c>
      <c r="T408" s="1">
        <v>0</v>
      </c>
      <c r="U408" s="1">
        <v>0</v>
      </c>
      <c r="V408" s="1">
        <v>0.29842953500000002</v>
      </c>
      <c r="W408" s="1">
        <v>0</v>
      </c>
      <c r="X408" s="1">
        <v>0</v>
      </c>
      <c r="Y408" s="1">
        <v>44.574234439999998</v>
      </c>
      <c r="Z408" s="1">
        <v>0</v>
      </c>
      <c r="AA408" s="1">
        <v>323</v>
      </c>
      <c r="AB408" s="1">
        <v>0</v>
      </c>
      <c r="AC408" s="1">
        <v>0</v>
      </c>
      <c r="AD408">
        <v>0</v>
      </c>
      <c r="AE408" t="s">
        <v>637</v>
      </c>
      <c r="AF408" s="8" cm="1">
        <f t="array" aca="1" ref="AF408" ca="1">fScore_Total("ESPN",aCols)</f>
        <v>87.828728534999996</v>
      </c>
      <c r="AG408" s="8" cm="1">
        <f t="array" aca="1" ref="AG408" ca="1">-fScore_Total("diff",aCols)</f>
        <v>0</v>
      </c>
      <c r="AH408" s="8">
        <f t="shared" ca="1" si="14"/>
        <v>87.828728534999996</v>
      </c>
      <c r="AI408" s="8" t="str">
        <f t="shared" si="13"/>
        <v>FLEX</v>
      </c>
      <c r="AJ408" s="8"/>
    </row>
    <row r="409" spans="1:36" x14ac:dyDescent="0.25">
      <c r="A409" t="s">
        <v>194</v>
      </c>
      <c r="B409" s="1" t="s">
        <v>532</v>
      </c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13.3582131</v>
      </c>
      <c r="N409" s="1">
        <v>0</v>
      </c>
      <c r="O409" s="1">
        <v>0.45615466900000001</v>
      </c>
      <c r="P409" s="1">
        <v>0</v>
      </c>
      <c r="Q409" s="1">
        <v>0</v>
      </c>
      <c r="R409" s="1">
        <v>88.635387320000007</v>
      </c>
      <c r="S409" s="1">
        <v>0</v>
      </c>
      <c r="T409" s="1">
        <v>0</v>
      </c>
      <c r="U409" s="1">
        <v>0</v>
      </c>
      <c r="V409" s="1">
        <v>1.5902046000000001</v>
      </c>
      <c r="W409" s="1">
        <v>0</v>
      </c>
      <c r="X409" s="1">
        <v>0</v>
      </c>
      <c r="Y409" s="1">
        <v>224.3325361</v>
      </c>
      <c r="Z409" s="1">
        <v>0</v>
      </c>
      <c r="AA409" s="1">
        <v>350</v>
      </c>
      <c r="AB409" s="1">
        <v>0</v>
      </c>
      <c r="AC409" s="1">
        <v>0</v>
      </c>
      <c r="AD409">
        <v>0</v>
      </c>
      <c r="AE409" t="s">
        <v>637</v>
      </c>
      <c r="AF409" s="8" cm="1">
        <f t="array" aca="1" ref="AF409" ca="1">fScore_Total("ESPN",aCols)</f>
        <v>50.254054506000003</v>
      </c>
      <c r="AG409" s="8" cm="1">
        <f t="array" aca="1" ref="AG409" ca="1">-fScore_Total("diff",aCols)</f>
        <v>0</v>
      </c>
      <c r="AH409" s="8">
        <f t="shared" ca="1" si="14"/>
        <v>50.254054506000003</v>
      </c>
      <c r="AI409" s="8" t="str">
        <f t="shared" si="13"/>
        <v>FLEX</v>
      </c>
      <c r="AJ409" s="8"/>
    </row>
    <row r="410" spans="1:36" x14ac:dyDescent="0.25">
      <c r="A410" t="s">
        <v>196</v>
      </c>
      <c r="B410" s="1" t="s">
        <v>532</v>
      </c>
      <c r="C410" s="1">
        <v>0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  <c r="M410" s="1">
        <v>11.966777029999999</v>
      </c>
      <c r="N410" s="1">
        <v>0</v>
      </c>
      <c r="O410" s="1">
        <v>0.30134151199999998</v>
      </c>
      <c r="P410" s="1">
        <v>0</v>
      </c>
      <c r="Q410" s="1">
        <v>0</v>
      </c>
      <c r="R410" s="1">
        <v>81.498504909999994</v>
      </c>
      <c r="S410" s="1">
        <v>0</v>
      </c>
      <c r="T410" s="1">
        <v>0</v>
      </c>
      <c r="U410" s="1">
        <v>0</v>
      </c>
      <c r="V410" s="1">
        <v>1.7030687010000001</v>
      </c>
      <c r="W410" s="1">
        <v>0</v>
      </c>
      <c r="X410" s="1">
        <v>0</v>
      </c>
      <c r="Y410" s="1">
        <v>277.87334420000002</v>
      </c>
      <c r="Z410" s="1">
        <v>0</v>
      </c>
      <c r="AA410" s="1">
        <v>346</v>
      </c>
      <c r="AB410" s="1">
        <v>0</v>
      </c>
      <c r="AC410" s="1">
        <v>0</v>
      </c>
      <c r="AD410">
        <v>0</v>
      </c>
      <c r="AE410" t="s">
        <v>637</v>
      </c>
      <c r="AF410" s="8" cm="1">
        <f t="array" aca="1" ref="AF410" ca="1">fScore_Total("ESPN",aCols)</f>
        <v>53.947034704000004</v>
      </c>
      <c r="AG410" s="8" cm="1">
        <f t="array" aca="1" ref="AG410" ca="1">-fScore_Total("diff",aCols)</f>
        <v>0</v>
      </c>
      <c r="AH410" s="8">
        <f t="shared" ca="1" si="14"/>
        <v>53.947034704000004</v>
      </c>
      <c r="AI410" s="8" t="str">
        <f t="shared" si="13"/>
        <v>FLEX</v>
      </c>
      <c r="AJ410" s="8"/>
    </row>
    <row r="411" spans="1:36" x14ac:dyDescent="0.25">
      <c r="A411" t="s">
        <v>245</v>
      </c>
      <c r="B411" s="1" t="s">
        <v>532</v>
      </c>
      <c r="C411" s="1">
        <v>0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  <c r="M411" s="1">
        <v>13.999745669999999</v>
      </c>
      <c r="N411" s="1">
        <v>0</v>
      </c>
      <c r="O411" s="1">
        <v>0.572990691</v>
      </c>
      <c r="P411" s="1">
        <v>0</v>
      </c>
      <c r="Q411" s="1">
        <v>0</v>
      </c>
      <c r="R411" s="1">
        <v>99.164410050000001</v>
      </c>
      <c r="S411" s="1">
        <v>0</v>
      </c>
      <c r="T411" s="1">
        <v>0</v>
      </c>
      <c r="U411" s="1">
        <v>0</v>
      </c>
      <c r="V411" s="1">
        <v>1.6916690510000001</v>
      </c>
      <c r="W411" s="1">
        <v>0</v>
      </c>
      <c r="X411" s="1">
        <v>0</v>
      </c>
      <c r="Y411" s="1">
        <v>244.80435059999999</v>
      </c>
      <c r="Z411" s="1">
        <v>0</v>
      </c>
      <c r="AA411" s="1">
        <v>345</v>
      </c>
      <c r="AB411" s="1">
        <v>0</v>
      </c>
      <c r="AC411" s="1">
        <v>0</v>
      </c>
      <c r="AD411">
        <v>0</v>
      </c>
      <c r="AE411" t="s">
        <v>637</v>
      </c>
      <c r="AF411" s="8" cm="1">
        <f t="array" aca="1" ref="AF411" ca="1">fScore_Total("ESPN",aCols)</f>
        <v>54.984707352000001</v>
      </c>
      <c r="AG411" s="8" cm="1">
        <f t="array" aca="1" ref="AG411" ca="1">-fScore_Total("diff",aCols)</f>
        <v>0</v>
      </c>
      <c r="AH411" s="8">
        <f t="shared" ca="1" si="14"/>
        <v>54.984707352000001</v>
      </c>
      <c r="AI411" s="8" t="str">
        <f t="shared" si="13"/>
        <v>FLEX</v>
      </c>
      <c r="AJ411" s="8"/>
    </row>
    <row r="412" spans="1:36" x14ac:dyDescent="0.25">
      <c r="A412" t="s">
        <v>182</v>
      </c>
      <c r="B412" s="1" t="s">
        <v>532</v>
      </c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  <c r="M412" s="1">
        <v>16.38318327</v>
      </c>
      <c r="N412" s="1">
        <v>0</v>
      </c>
      <c r="O412" s="1">
        <v>0.54969891800000004</v>
      </c>
      <c r="P412" s="1">
        <v>0</v>
      </c>
      <c r="Q412" s="1">
        <v>0</v>
      </c>
      <c r="R412" s="1">
        <v>123.1026143</v>
      </c>
      <c r="S412" s="1">
        <v>0</v>
      </c>
      <c r="T412" s="1">
        <v>0</v>
      </c>
      <c r="U412" s="1">
        <v>0</v>
      </c>
      <c r="V412" s="1">
        <v>1.826673886</v>
      </c>
      <c r="W412" s="1">
        <v>0</v>
      </c>
      <c r="X412" s="1">
        <v>0</v>
      </c>
      <c r="Y412" s="1">
        <v>234.89141190000001</v>
      </c>
      <c r="Z412" s="1">
        <v>0</v>
      </c>
      <c r="AA412" s="1">
        <v>342</v>
      </c>
      <c r="AB412" s="1">
        <v>0</v>
      </c>
      <c r="AC412" s="1">
        <v>0</v>
      </c>
      <c r="AD412">
        <v>0</v>
      </c>
      <c r="AE412" t="s">
        <v>637</v>
      </c>
      <c r="AF412" s="8" cm="1">
        <f t="array" aca="1" ref="AF412" ca="1">fScore_Total("ESPN",aCols)</f>
        <v>58.249231078999998</v>
      </c>
      <c r="AG412" s="8" cm="1">
        <f t="array" aca="1" ref="AG412" ca="1">-fScore_Total("diff",aCols)</f>
        <v>0</v>
      </c>
      <c r="AH412" s="8">
        <f t="shared" ca="1" si="14"/>
        <v>58.249231078999998</v>
      </c>
      <c r="AI412" s="8" t="str">
        <f t="shared" si="13"/>
        <v>FLEX</v>
      </c>
      <c r="AJ412" s="8"/>
    </row>
    <row r="413" spans="1:36" x14ac:dyDescent="0.25">
      <c r="A413" t="s">
        <v>191</v>
      </c>
      <c r="B413" s="1" t="s">
        <v>532</v>
      </c>
      <c r="C413" s="1">
        <v>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  <c r="M413" s="1">
        <v>18.845776610000001</v>
      </c>
      <c r="N413" s="1">
        <v>0</v>
      </c>
      <c r="O413" s="1">
        <v>0.60562450800000001</v>
      </c>
      <c r="P413" s="1">
        <v>0</v>
      </c>
      <c r="Q413" s="1">
        <v>0</v>
      </c>
      <c r="R413" s="1">
        <v>180.80924419999999</v>
      </c>
      <c r="S413" s="1">
        <v>0</v>
      </c>
      <c r="T413" s="1">
        <v>0</v>
      </c>
      <c r="U413" s="1">
        <v>0</v>
      </c>
      <c r="V413" s="1">
        <v>1.6352857730000001</v>
      </c>
      <c r="W413" s="1">
        <v>0</v>
      </c>
      <c r="X413" s="1">
        <v>0</v>
      </c>
      <c r="Y413" s="1">
        <v>225.3122923</v>
      </c>
      <c r="Z413" s="1">
        <v>0</v>
      </c>
      <c r="AA413" s="1">
        <v>341</v>
      </c>
      <c r="AB413" s="1">
        <v>0</v>
      </c>
      <c r="AC413" s="1">
        <v>0</v>
      </c>
      <c r="AD413">
        <v>0</v>
      </c>
      <c r="AE413" t="s">
        <v>637</v>
      </c>
      <c r="AF413" s="8" cm="1">
        <f t="array" aca="1" ref="AF413" ca="1">fScore_Total("ESPN",aCols)</f>
        <v>63.480503641000006</v>
      </c>
      <c r="AG413" s="8" cm="1">
        <f t="array" aca="1" ref="AG413" ca="1">-fScore_Total("diff",aCols)</f>
        <v>0</v>
      </c>
      <c r="AH413" s="8">
        <f t="shared" ca="1" si="14"/>
        <v>63.480503641000006</v>
      </c>
      <c r="AI413" s="8" t="str">
        <f t="shared" si="13"/>
        <v>FLEX</v>
      </c>
      <c r="AJ413" s="8"/>
    </row>
    <row r="414" spans="1:36" x14ac:dyDescent="0.25">
      <c r="A414" t="s">
        <v>199</v>
      </c>
      <c r="B414" s="1" t="s">
        <v>533</v>
      </c>
      <c r="C414" s="1">
        <v>0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34.72197431</v>
      </c>
      <c r="N414" s="1">
        <v>0</v>
      </c>
      <c r="O414" s="1">
        <v>2.5805708410000001</v>
      </c>
      <c r="P414" s="1">
        <v>0</v>
      </c>
      <c r="Q414" s="1">
        <v>0</v>
      </c>
      <c r="R414" s="1">
        <v>440.02868389999998</v>
      </c>
      <c r="S414" s="1">
        <v>0</v>
      </c>
      <c r="T414" s="1">
        <v>0</v>
      </c>
      <c r="U414" s="1">
        <v>0</v>
      </c>
      <c r="V414" s="1">
        <v>0.16502872499999999</v>
      </c>
      <c r="W414" s="1">
        <v>0</v>
      </c>
      <c r="X414" s="1">
        <v>0</v>
      </c>
      <c r="Y414" s="1">
        <v>24.299277620000002</v>
      </c>
      <c r="Z414" s="1">
        <v>0</v>
      </c>
      <c r="AA414" s="1">
        <v>332</v>
      </c>
      <c r="AB414" s="1">
        <v>0</v>
      </c>
      <c r="AC414" s="1">
        <v>0</v>
      </c>
      <c r="AD414">
        <v>0</v>
      </c>
      <c r="AE414" t="s">
        <v>637</v>
      </c>
      <c r="AF414" s="8" cm="1">
        <f t="array" aca="1" ref="AF414" ca="1">fScore_Total("ESPN",aCols)</f>
        <v>80.267380703000001</v>
      </c>
      <c r="AG414" s="8" cm="1">
        <f t="array" aca="1" ref="AG414" ca="1">-fScore_Total("diff",aCols)</f>
        <v>0</v>
      </c>
      <c r="AH414" s="8">
        <f t="shared" ca="1" si="14"/>
        <v>80.267380703000001</v>
      </c>
      <c r="AI414" s="8" t="str">
        <f t="shared" si="13"/>
        <v>FLEX</v>
      </c>
      <c r="AJ414" s="8"/>
    </row>
    <row r="415" spans="1:36" x14ac:dyDescent="0.25">
      <c r="A415" t="s">
        <v>495</v>
      </c>
      <c r="B415" s="1" t="s">
        <v>533</v>
      </c>
      <c r="C415" s="1">
        <v>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  <c r="M415" s="1">
        <v>39.691526400000001</v>
      </c>
      <c r="N415" s="1">
        <v>0</v>
      </c>
      <c r="O415" s="1">
        <v>2.5461920259999999</v>
      </c>
      <c r="P415" s="1">
        <v>0</v>
      </c>
      <c r="Q415" s="1">
        <v>0</v>
      </c>
      <c r="R415" s="1">
        <v>411.53759300000002</v>
      </c>
      <c r="S415" s="1">
        <v>0</v>
      </c>
      <c r="T415" s="1">
        <v>0</v>
      </c>
      <c r="U415" s="1">
        <v>0</v>
      </c>
      <c r="V415" s="1">
        <v>0.24582388999999999</v>
      </c>
      <c r="W415" s="1">
        <v>0</v>
      </c>
      <c r="X415" s="1">
        <v>0</v>
      </c>
      <c r="Y415" s="1">
        <v>32.044932719999998</v>
      </c>
      <c r="Z415" s="1">
        <v>0</v>
      </c>
      <c r="AA415" s="1">
        <v>331</v>
      </c>
      <c r="AB415" s="1">
        <v>0</v>
      </c>
      <c r="AC415" s="1">
        <v>0</v>
      </c>
      <c r="AD415">
        <v>0</v>
      </c>
      <c r="AE415" t="s">
        <v>637</v>
      </c>
      <c r="AF415" s="8" cm="1">
        <f t="array" aca="1" ref="AF415" ca="1">fScore_Total("ESPN",aCols)</f>
        <v>80.956111268000001</v>
      </c>
      <c r="AG415" s="8" cm="1">
        <f t="array" aca="1" ref="AG415" ca="1">-fScore_Total("diff",aCols)</f>
        <v>0</v>
      </c>
      <c r="AH415" s="8">
        <f t="shared" ca="1" si="14"/>
        <v>80.956111268000001</v>
      </c>
      <c r="AI415" s="8" t="str">
        <f t="shared" si="13"/>
        <v>FLEX</v>
      </c>
      <c r="AJ415" s="8"/>
    </row>
    <row r="416" spans="1:36" x14ac:dyDescent="0.25">
      <c r="A416" t="s">
        <v>205</v>
      </c>
      <c r="B416" s="1" t="s">
        <v>533</v>
      </c>
      <c r="C416" s="1">
        <v>0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  <c r="M416" s="1">
        <v>38.620922720000003</v>
      </c>
      <c r="N416" s="1">
        <v>0</v>
      </c>
      <c r="O416" s="1">
        <v>3.3367283319999999</v>
      </c>
      <c r="P416" s="1">
        <v>0</v>
      </c>
      <c r="Q416" s="1">
        <v>0</v>
      </c>
      <c r="R416" s="1">
        <v>442.07645769999999</v>
      </c>
      <c r="S416" s="1">
        <v>0</v>
      </c>
      <c r="T416" s="1">
        <v>0</v>
      </c>
      <c r="U416" s="1">
        <v>0</v>
      </c>
      <c r="V416" s="1">
        <v>0</v>
      </c>
      <c r="W416" s="1">
        <v>0</v>
      </c>
      <c r="X416" s="1">
        <v>0</v>
      </c>
      <c r="Y416" s="1">
        <v>0</v>
      </c>
      <c r="Z416" s="1">
        <v>0</v>
      </c>
      <c r="AA416" s="1">
        <v>329</v>
      </c>
      <c r="AB416" s="1">
        <v>0</v>
      </c>
      <c r="AC416" s="1">
        <v>0</v>
      </c>
      <c r="AD416">
        <v>0</v>
      </c>
      <c r="AE416" t="s">
        <v>637</v>
      </c>
      <c r="AF416" s="8" cm="1">
        <f t="array" aca="1" ref="AF416" ca="1">fScore_Total("ESPN",aCols)</f>
        <v>83.538477122000003</v>
      </c>
      <c r="AG416" s="8" cm="1">
        <f t="array" aca="1" ref="AG416" ca="1">-fScore_Total("diff",aCols)</f>
        <v>0</v>
      </c>
      <c r="AH416" s="8">
        <f t="shared" ca="1" si="14"/>
        <v>83.538477122000003</v>
      </c>
      <c r="AI416" s="8" t="str">
        <f t="shared" si="13"/>
        <v>FLEX</v>
      </c>
      <c r="AJ416" s="8"/>
    </row>
    <row r="417" spans="1:36" x14ac:dyDescent="0.25">
      <c r="A417" t="s">
        <v>185</v>
      </c>
      <c r="B417" s="1" t="s">
        <v>533</v>
      </c>
      <c r="C417" s="1">
        <v>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  <c r="M417" s="1">
        <v>28.378399009999999</v>
      </c>
      <c r="N417" s="1">
        <v>0</v>
      </c>
      <c r="O417" s="1">
        <v>1.931009669</v>
      </c>
      <c r="P417" s="1">
        <v>0</v>
      </c>
      <c r="Q417" s="1">
        <v>0</v>
      </c>
      <c r="R417" s="1">
        <v>328.30216949999999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0</v>
      </c>
      <c r="Z417" s="1">
        <v>0</v>
      </c>
      <c r="AA417" s="1">
        <v>328</v>
      </c>
      <c r="AB417" s="1">
        <v>0</v>
      </c>
      <c r="AC417" s="1">
        <v>0</v>
      </c>
      <c r="AD417">
        <v>0</v>
      </c>
      <c r="AE417" t="s">
        <v>637</v>
      </c>
      <c r="AF417" s="8" cm="1">
        <f t="array" aca="1" ref="AF417" ca="1">fScore_Total("ESPN",aCols)</f>
        <v>58.605474469000001</v>
      </c>
      <c r="AG417" s="8" cm="1">
        <f t="array" aca="1" ref="AG417" ca="1">-fScore_Total("diff",aCols)</f>
        <v>0</v>
      </c>
      <c r="AH417" s="8">
        <f t="shared" ca="1" si="14"/>
        <v>58.605474469000001</v>
      </c>
      <c r="AI417" s="8" t="str">
        <f t="shared" si="13"/>
        <v>FLEX</v>
      </c>
      <c r="AJ417" s="8"/>
    </row>
    <row r="418" spans="1:36" x14ac:dyDescent="0.25">
      <c r="A418" t="s">
        <v>174</v>
      </c>
      <c r="B418" s="1" t="s">
        <v>532</v>
      </c>
      <c r="C418" s="1">
        <v>0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  <c r="M418" s="1">
        <v>12.942818300000001</v>
      </c>
      <c r="N418" s="1">
        <v>0</v>
      </c>
      <c r="O418" s="1">
        <v>0.50575436200000001</v>
      </c>
      <c r="P418" s="1">
        <v>0</v>
      </c>
      <c r="Q418" s="1">
        <v>0</v>
      </c>
      <c r="R418" s="1">
        <v>91.035735770000002</v>
      </c>
      <c r="S418" s="1">
        <v>0</v>
      </c>
      <c r="T418" s="1">
        <v>0</v>
      </c>
      <c r="U418" s="1">
        <v>0</v>
      </c>
      <c r="V418" s="1">
        <v>2.6258252299999998</v>
      </c>
      <c r="W418" s="1">
        <v>0</v>
      </c>
      <c r="X418" s="1">
        <v>0</v>
      </c>
      <c r="Y418" s="1">
        <v>344.70434060000002</v>
      </c>
      <c r="Z418" s="1">
        <v>0</v>
      </c>
      <c r="AA418" s="1">
        <v>326</v>
      </c>
      <c r="AB418" s="1">
        <v>0</v>
      </c>
      <c r="AC418" s="1">
        <v>0</v>
      </c>
      <c r="AD418">
        <v>0</v>
      </c>
      <c r="AE418" t="s">
        <v>637</v>
      </c>
      <c r="AF418" s="8" cm="1">
        <f t="array" aca="1" ref="AF418" ca="1">fScore_Total("ESPN",aCols)</f>
        <v>68.834894339000002</v>
      </c>
      <c r="AG418" s="8" cm="1">
        <f t="array" aca="1" ref="AG418" ca="1">-fScore_Total("diff",aCols)</f>
        <v>0</v>
      </c>
      <c r="AH418" s="8">
        <f t="shared" ca="1" si="14"/>
        <v>68.834894339000002</v>
      </c>
      <c r="AI418" s="8" t="str">
        <f t="shared" si="13"/>
        <v>FLEX</v>
      </c>
      <c r="AJ418" s="8"/>
    </row>
    <row r="419" spans="1:36" x14ac:dyDescent="0.25">
      <c r="A419" t="s">
        <v>622</v>
      </c>
      <c r="B419" s="1" t="s">
        <v>532</v>
      </c>
      <c r="C419" s="1">
        <v>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  <c r="M419" s="1">
        <v>8.1521260580000003</v>
      </c>
      <c r="N419" s="1">
        <v>0</v>
      </c>
      <c r="O419" s="1">
        <v>0.35512937100000003</v>
      </c>
      <c r="P419" s="1">
        <v>0</v>
      </c>
      <c r="Q419" s="1">
        <v>0</v>
      </c>
      <c r="R419" s="1">
        <v>57.609783059999998</v>
      </c>
      <c r="S419" s="1">
        <v>0</v>
      </c>
      <c r="T419" s="1">
        <v>0</v>
      </c>
      <c r="U419" s="1">
        <v>0</v>
      </c>
      <c r="V419" s="1">
        <v>1.5696155759999999</v>
      </c>
      <c r="W419" s="1">
        <v>0</v>
      </c>
      <c r="X419" s="1">
        <v>0</v>
      </c>
      <c r="Y419" s="1">
        <v>264.8978401</v>
      </c>
      <c r="Z419" s="1">
        <v>0</v>
      </c>
      <c r="AA419" s="1">
        <v>353</v>
      </c>
      <c r="AB419" s="1">
        <v>0</v>
      </c>
      <c r="AC419" s="1">
        <v>0</v>
      </c>
      <c r="AD419">
        <v>0</v>
      </c>
      <c r="AE419" t="s">
        <v>637</v>
      </c>
      <c r="AF419" s="8" cm="1">
        <f t="array" aca="1" ref="AF419" ca="1">fScore_Total("ESPN",aCols)</f>
        <v>47.875295027</v>
      </c>
      <c r="AG419" s="8" cm="1">
        <f t="array" aca="1" ref="AG419" ca="1">-fScore_Total("diff",aCols)</f>
        <v>0</v>
      </c>
      <c r="AH419" s="8">
        <f t="shared" ca="1" si="14"/>
        <v>47.875295027</v>
      </c>
      <c r="AI419" s="8" t="str">
        <f t="shared" si="13"/>
        <v>FLEX</v>
      </c>
      <c r="AJ419" s="8"/>
    </row>
    <row r="420" spans="1:36" x14ac:dyDescent="0.25">
      <c r="A420" t="s">
        <v>216</v>
      </c>
      <c r="B420" s="1" t="s">
        <v>532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10.93840288</v>
      </c>
      <c r="N420" s="1">
        <v>0</v>
      </c>
      <c r="O420" s="1">
        <v>0.50873700300000002</v>
      </c>
      <c r="P420" s="1">
        <v>0</v>
      </c>
      <c r="Q420" s="1">
        <v>0</v>
      </c>
      <c r="R420" s="1">
        <v>81.811262389999996</v>
      </c>
      <c r="S420" s="1">
        <v>0</v>
      </c>
      <c r="T420" s="1">
        <v>0</v>
      </c>
      <c r="U420" s="1">
        <v>0</v>
      </c>
      <c r="V420" s="1">
        <v>1.189669136</v>
      </c>
      <c r="W420" s="1">
        <v>0</v>
      </c>
      <c r="X420" s="1">
        <v>0</v>
      </c>
      <c r="Y420" s="1">
        <v>156.44877600000001</v>
      </c>
      <c r="Z420" s="1">
        <v>0</v>
      </c>
      <c r="AA420" s="1">
        <v>354</v>
      </c>
      <c r="AB420" s="1">
        <v>0</v>
      </c>
      <c r="AC420" s="1">
        <v>0</v>
      </c>
      <c r="AD420">
        <v>0</v>
      </c>
      <c r="AE420" t="s">
        <v>637</v>
      </c>
      <c r="AF420" s="8" cm="1">
        <f t="array" aca="1" ref="AF420" ca="1">fScore_Total("ESPN",aCols)</f>
        <v>39.485642113000004</v>
      </c>
      <c r="AG420" s="8" cm="1">
        <f t="array" aca="1" ref="AG420" ca="1">-fScore_Total("diff",aCols)</f>
        <v>0</v>
      </c>
      <c r="AH420" s="8">
        <f t="shared" ca="1" si="14"/>
        <v>39.485642113000004</v>
      </c>
      <c r="AI420" s="8" t="str">
        <f t="shared" si="13"/>
        <v>FLEX</v>
      </c>
      <c r="AJ420" s="8"/>
    </row>
    <row r="421" spans="1:36" x14ac:dyDescent="0.25">
      <c r="A421" t="s">
        <v>209</v>
      </c>
      <c r="B421" s="1" t="s">
        <v>533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28.644844320000001</v>
      </c>
      <c r="N421" s="1">
        <v>0</v>
      </c>
      <c r="O421" s="1">
        <v>2.1962365909999999</v>
      </c>
      <c r="P421" s="1">
        <v>0</v>
      </c>
      <c r="Q421" s="1">
        <v>0</v>
      </c>
      <c r="R421" s="1">
        <v>374.8897111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0</v>
      </c>
      <c r="Z421" s="1">
        <v>0</v>
      </c>
      <c r="AA421" s="1">
        <v>372</v>
      </c>
      <c r="AB421" s="1">
        <v>0</v>
      </c>
      <c r="AC421" s="1">
        <v>0</v>
      </c>
      <c r="AD421">
        <v>0</v>
      </c>
      <c r="AE421" t="s">
        <v>637</v>
      </c>
      <c r="AF421" s="8" cm="1">
        <f t="array" aca="1" ref="AF421" ca="1">fScore_Total("ESPN",aCols)</f>
        <v>64.988812816000006</v>
      </c>
      <c r="AG421" s="8" cm="1">
        <f t="array" aca="1" ref="AG421" ca="1">-fScore_Total("diff",aCols)</f>
        <v>0</v>
      </c>
      <c r="AH421" s="8">
        <f t="shared" ca="1" si="14"/>
        <v>64.988812816000006</v>
      </c>
      <c r="AI421" s="8" t="str">
        <f t="shared" si="13"/>
        <v>FLEX</v>
      </c>
      <c r="AJ421" s="8"/>
    </row>
    <row r="422" spans="1:36" x14ac:dyDescent="0.25">
      <c r="A422" t="s">
        <v>198</v>
      </c>
      <c r="B422" s="1" t="s">
        <v>532</v>
      </c>
      <c r="C422" s="1">
        <v>0</v>
      </c>
      <c r="D422" s="1">
        <v>0</v>
      </c>
      <c r="E422" s="1">
        <v>0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  <c r="M422" s="1">
        <v>9.2281240120000003</v>
      </c>
      <c r="N422" s="1">
        <v>0</v>
      </c>
      <c r="O422" s="1">
        <v>0.25869317800000002</v>
      </c>
      <c r="P422" s="1">
        <v>0</v>
      </c>
      <c r="Q422" s="1">
        <v>0</v>
      </c>
      <c r="R422" s="1">
        <v>59.634402909999999</v>
      </c>
      <c r="S422" s="1">
        <v>0</v>
      </c>
      <c r="T422" s="1">
        <v>0</v>
      </c>
      <c r="U422" s="1">
        <v>0</v>
      </c>
      <c r="V422" s="1">
        <v>1.3840517400000001</v>
      </c>
      <c r="W422" s="1">
        <v>0</v>
      </c>
      <c r="X422" s="1">
        <v>0</v>
      </c>
      <c r="Y422" s="1">
        <v>181.8170198</v>
      </c>
      <c r="Z422" s="1">
        <v>0</v>
      </c>
      <c r="AA422" s="1">
        <v>378</v>
      </c>
      <c r="AB422" s="1">
        <v>0</v>
      </c>
      <c r="AC422" s="1">
        <v>0</v>
      </c>
      <c r="AD422">
        <v>0</v>
      </c>
      <c r="AE422" t="s">
        <v>637</v>
      </c>
      <c r="AF422" s="8" cm="1">
        <f t="array" aca="1" ref="AF422" ca="1">fScore_Total("ESPN",aCols)</f>
        <v>38.615673784999998</v>
      </c>
      <c r="AG422" s="8" cm="1">
        <f t="array" aca="1" ref="AG422" ca="1">-fScore_Total("diff",aCols)</f>
        <v>0</v>
      </c>
      <c r="AH422" s="8">
        <f t="shared" ca="1" si="14"/>
        <v>38.615673784999998</v>
      </c>
      <c r="AI422" s="8" t="str">
        <f t="shared" si="13"/>
        <v>FLEX</v>
      </c>
      <c r="AJ422" s="8"/>
    </row>
    <row r="423" spans="1:36" x14ac:dyDescent="0.25">
      <c r="A423" t="s">
        <v>369</v>
      </c>
      <c r="B423" s="1" t="s">
        <v>532</v>
      </c>
      <c r="C423" s="1">
        <v>0</v>
      </c>
      <c r="D423" s="1">
        <v>0</v>
      </c>
      <c r="E423" s="1">
        <v>0</v>
      </c>
      <c r="F423" s="1">
        <v>0</v>
      </c>
      <c r="G423" s="1">
        <v>0</v>
      </c>
      <c r="H423" s="1">
        <v>0</v>
      </c>
      <c r="I423" s="1">
        <v>0</v>
      </c>
      <c r="J423" s="1">
        <v>0</v>
      </c>
      <c r="K423" s="1">
        <v>0</v>
      </c>
      <c r="L423" s="1">
        <v>0</v>
      </c>
      <c r="M423" s="1">
        <v>8.0397061149999995</v>
      </c>
      <c r="N423" s="1">
        <v>0</v>
      </c>
      <c r="O423" s="1">
        <v>0.29710974099999998</v>
      </c>
      <c r="P423" s="1">
        <v>0</v>
      </c>
      <c r="Q423" s="1">
        <v>0</v>
      </c>
      <c r="R423" s="1">
        <v>56.221532699999997</v>
      </c>
      <c r="S423" s="1">
        <v>0</v>
      </c>
      <c r="T423" s="1">
        <v>0</v>
      </c>
      <c r="U423" s="1">
        <v>0</v>
      </c>
      <c r="V423" s="1">
        <v>1.462037174</v>
      </c>
      <c r="W423" s="1">
        <v>0</v>
      </c>
      <c r="X423" s="1">
        <v>0</v>
      </c>
      <c r="Y423" s="1">
        <v>205.51677290000001</v>
      </c>
      <c r="Z423" s="1">
        <v>0</v>
      </c>
      <c r="AA423" s="1">
        <v>377</v>
      </c>
      <c r="AB423" s="1">
        <v>0</v>
      </c>
      <c r="AC423" s="1">
        <v>0</v>
      </c>
      <c r="AD423">
        <v>0</v>
      </c>
      <c r="AE423" t="s">
        <v>637</v>
      </c>
      <c r="AF423" s="8" cm="1">
        <f t="array" aca="1" ref="AF423" ca="1">fScore_Total("ESPN",aCols)</f>
        <v>40.748565107499999</v>
      </c>
      <c r="AG423" s="8" cm="1">
        <f t="array" aca="1" ref="AG423" ca="1">-fScore_Total("diff",aCols)</f>
        <v>0</v>
      </c>
      <c r="AH423" s="8">
        <f t="shared" ca="1" si="14"/>
        <v>40.748565107499999</v>
      </c>
      <c r="AI423" s="8" t="str">
        <f t="shared" si="13"/>
        <v>FLEX</v>
      </c>
      <c r="AJ423" s="8"/>
    </row>
    <row r="424" spans="1:36" x14ac:dyDescent="0.25">
      <c r="A424" t="s">
        <v>206</v>
      </c>
      <c r="B424" s="1" t="s">
        <v>533</v>
      </c>
      <c r="C424" s="1">
        <v>0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  <c r="J424" s="1">
        <v>0</v>
      </c>
      <c r="K424" s="1">
        <v>0</v>
      </c>
      <c r="L424" s="1">
        <v>0</v>
      </c>
      <c r="M424" s="1">
        <v>27.61791646</v>
      </c>
      <c r="N424" s="1">
        <v>0</v>
      </c>
      <c r="O424" s="1">
        <v>1.9732896209999999</v>
      </c>
      <c r="P424" s="1">
        <v>0</v>
      </c>
      <c r="Q424" s="1">
        <v>0</v>
      </c>
      <c r="R424" s="1">
        <v>402.60419730000001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371</v>
      </c>
      <c r="AB424" s="1">
        <v>0</v>
      </c>
      <c r="AC424" s="1">
        <v>0</v>
      </c>
      <c r="AD424">
        <v>0</v>
      </c>
      <c r="AE424" t="s">
        <v>637</v>
      </c>
      <c r="AF424" s="8" cm="1">
        <f t="array" aca="1" ref="AF424" ca="1">fScore_Total("ESPN",aCols)</f>
        <v>65.909115686000007</v>
      </c>
      <c r="AG424" s="8" cm="1">
        <f t="array" aca="1" ref="AG424" ca="1">-fScore_Total("diff",aCols)</f>
        <v>0</v>
      </c>
      <c r="AH424" s="8">
        <f t="shared" ca="1" si="14"/>
        <v>65.909115686000007</v>
      </c>
      <c r="AI424" s="8" t="str">
        <f t="shared" si="13"/>
        <v>FLEX</v>
      </c>
      <c r="AJ424" s="8"/>
    </row>
    <row r="425" spans="1:36" x14ac:dyDescent="0.25">
      <c r="A425" t="s">
        <v>197</v>
      </c>
      <c r="B425" s="1" t="s">
        <v>532</v>
      </c>
      <c r="C425" s="1">
        <v>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  <c r="L425" s="1">
        <v>0</v>
      </c>
      <c r="M425" s="1">
        <v>8.8519136700000001</v>
      </c>
      <c r="N425" s="1">
        <v>0</v>
      </c>
      <c r="O425" s="1">
        <v>0.226824369</v>
      </c>
      <c r="P425" s="1">
        <v>0</v>
      </c>
      <c r="Q425" s="1">
        <v>0</v>
      </c>
      <c r="R425" s="1">
        <v>62.455426369999998</v>
      </c>
      <c r="S425" s="1">
        <v>0</v>
      </c>
      <c r="T425" s="1">
        <v>0</v>
      </c>
      <c r="U425" s="1">
        <v>0</v>
      </c>
      <c r="V425" s="1">
        <v>1.2929398110000001</v>
      </c>
      <c r="W425" s="1">
        <v>0</v>
      </c>
      <c r="X425" s="1">
        <v>0</v>
      </c>
      <c r="Y425" s="1">
        <v>241.3840471</v>
      </c>
      <c r="Z425" s="1">
        <v>0</v>
      </c>
      <c r="AA425" s="1">
        <v>356</v>
      </c>
      <c r="AB425" s="1">
        <v>0</v>
      </c>
      <c r="AC425" s="1">
        <v>0</v>
      </c>
      <c r="AD425">
        <v>0</v>
      </c>
      <c r="AE425" t="s">
        <v>637</v>
      </c>
      <c r="AF425" s="8" cm="1">
        <f t="array" aca="1" ref="AF425" ca="1">fScore_Total("ESPN",aCols)</f>
        <v>43.928489261999999</v>
      </c>
      <c r="AG425" s="8" cm="1">
        <f t="array" aca="1" ref="AG425" ca="1">-fScore_Total("diff",aCols)</f>
        <v>0</v>
      </c>
      <c r="AH425" s="8">
        <f t="shared" ca="1" si="14"/>
        <v>43.928489261999999</v>
      </c>
      <c r="AI425" s="8" t="str">
        <f t="shared" si="13"/>
        <v>FLEX</v>
      </c>
      <c r="AJ425" s="8"/>
    </row>
    <row r="426" spans="1:36" x14ac:dyDescent="0.25">
      <c r="A426" t="s">
        <v>203</v>
      </c>
      <c r="B426" s="1" t="s">
        <v>535</v>
      </c>
      <c r="C426" s="1">
        <v>0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  <c r="M426" s="1">
        <v>29.08959424</v>
      </c>
      <c r="N426" s="1">
        <v>0</v>
      </c>
      <c r="O426" s="1">
        <v>3.4377677750000002</v>
      </c>
      <c r="P426" s="1">
        <v>0</v>
      </c>
      <c r="Q426" s="1">
        <v>0</v>
      </c>
      <c r="R426" s="1">
        <v>326.08514969999999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0</v>
      </c>
      <c r="AA426" s="1">
        <v>368</v>
      </c>
      <c r="AB426" s="1">
        <v>0</v>
      </c>
      <c r="AC426" s="1">
        <v>0</v>
      </c>
      <c r="AD426">
        <v>0</v>
      </c>
      <c r="AE426" t="s">
        <v>637</v>
      </c>
      <c r="AF426" s="8" cm="1">
        <f t="array" aca="1" ref="AF426" ca="1">fScore_Total("ESPN",aCols)</f>
        <v>67.779918739999999</v>
      </c>
      <c r="AG426" s="8" cm="1">
        <f t="array" aca="1" ref="AG426" ca="1">-fScore_Total("diff",aCols)</f>
        <v>0</v>
      </c>
      <c r="AH426" s="8">
        <f t="shared" ca="1" si="14"/>
        <v>67.779918739999999</v>
      </c>
      <c r="AI426" s="8" t="str">
        <f t="shared" si="13"/>
        <v>FLEX</v>
      </c>
      <c r="AJ426" s="8"/>
    </row>
    <row r="427" spans="1:36" x14ac:dyDescent="0.25">
      <c r="A427" t="s">
        <v>202</v>
      </c>
      <c r="B427" s="1" t="s">
        <v>535</v>
      </c>
      <c r="C427" s="1">
        <v>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  <c r="M427" s="1">
        <v>31.36548363</v>
      </c>
      <c r="N427" s="1">
        <v>0</v>
      </c>
      <c r="O427" s="1">
        <v>2.458903018</v>
      </c>
      <c r="P427" s="1">
        <v>0</v>
      </c>
      <c r="Q427" s="1">
        <v>0</v>
      </c>
      <c r="R427" s="1">
        <v>369.26294089999999</v>
      </c>
      <c r="S427" s="1">
        <v>0</v>
      </c>
      <c r="T427" s="1">
        <v>0</v>
      </c>
      <c r="U427" s="1">
        <v>0</v>
      </c>
      <c r="V427" s="1">
        <v>6.1821480999999998E-2</v>
      </c>
      <c r="W427" s="1">
        <v>0</v>
      </c>
      <c r="X427" s="1">
        <v>0</v>
      </c>
      <c r="Y427" s="1">
        <v>2.101568587</v>
      </c>
      <c r="Z427" s="1">
        <v>0</v>
      </c>
      <c r="AA427" s="1">
        <v>367</v>
      </c>
      <c r="AB427" s="1">
        <v>0</v>
      </c>
      <c r="AC427" s="1">
        <v>0</v>
      </c>
      <c r="AD427">
        <v>0</v>
      </c>
      <c r="AE427" t="s">
        <v>637</v>
      </c>
      <c r="AF427" s="8" cm="1">
        <f t="array" aca="1" ref="AF427" ca="1">fScore_Total("ESPN",aCols)</f>
        <v>67.943539757699995</v>
      </c>
      <c r="AG427" s="8" cm="1">
        <f t="array" aca="1" ref="AG427" ca="1">-fScore_Total("diff",aCols)</f>
        <v>0</v>
      </c>
      <c r="AH427" s="8">
        <f t="shared" ca="1" si="14"/>
        <v>67.943539757699995</v>
      </c>
      <c r="AI427" s="8" t="str">
        <f t="shared" si="13"/>
        <v>FLEX</v>
      </c>
      <c r="AJ427" s="8"/>
    </row>
    <row r="428" spans="1:36" x14ac:dyDescent="0.25">
      <c r="A428" t="s">
        <v>201</v>
      </c>
      <c r="B428" s="1" t="s">
        <v>535</v>
      </c>
      <c r="C428" s="1">
        <v>0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L428" s="1">
        <v>0</v>
      </c>
      <c r="M428" s="1">
        <v>33.79459602</v>
      </c>
      <c r="N428" s="1">
        <v>0</v>
      </c>
      <c r="O428" s="1">
        <v>3.002779581</v>
      </c>
      <c r="P428" s="1">
        <v>0</v>
      </c>
      <c r="Q428" s="1">
        <v>0</v>
      </c>
      <c r="R428" s="1">
        <v>382.07258150000001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366</v>
      </c>
      <c r="AB428" s="1">
        <v>0</v>
      </c>
      <c r="AC428" s="1">
        <v>0</v>
      </c>
      <c r="AD428">
        <v>0</v>
      </c>
      <c r="AE428" t="s">
        <v>637</v>
      </c>
      <c r="AF428" s="8" cm="1">
        <f t="array" aca="1" ref="AF428" ca="1">fScore_Total("ESPN",aCols)</f>
        <v>73.121233646000007</v>
      </c>
      <c r="AG428" s="8" cm="1">
        <f t="array" aca="1" ref="AG428" ca="1">-fScore_Total("diff",aCols)</f>
        <v>0</v>
      </c>
      <c r="AH428" s="8">
        <f t="shared" ca="1" si="14"/>
        <v>73.121233646000007</v>
      </c>
      <c r="AI428" s="8" t="str">
        <f t="shared" si="13"/>
        <v>FLEX</v>
      </c>
      <c r="AJ428" s="8"/>
    </row>
    <row r="429" spans="1:36" x14ac:dyDescent="0.25">
      <c r="A429" t="s">
        <v>204</v>
      </c>
      <c r="B429" s="1" t="s">
        <v>533</v>
      </c>
      <c r="C429" s="1">
        <v>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  <c r="M429" s="1">
        <v>32.454407330000002</v>
      </c>
      <c r="N429" s="1">
        <v>0</v>
      </c>
      <c r="O429" s="1">
        <v>1.780189944</v>
      </c>
      <c r="P429" s="1">
        <v>0</v>
      </c>
      <c r="Q429" s="1">
        <v>0</v>
      </c>
      <c r="R429" s="1">
        <v>359.32729289999997</v>
      </c>
      <c r="S429" s="1">
        <v>0</v>
      </c>
      <c r="T429" s="1">
        <v>0</v>
      </c>
      <c r="U429" s="1">
        <v>0</v>
      </c>
      <c r="V429" s="1">
        <v>0.199839873</v>
      </c>
      <c r="W429" s="1">
        <v>0</v>
      </c>
      <c r="X429" s="1">
        <v>0</v>
      </c>
      <c r="Y429" s="1">
        <v>29.906396610000002</v>
      </c>
      <c r="Z429" s="1">
        <v>0</v>
      </c>
      <c r="AA429" s="1">
        <v>359</v>
      </c>
      <c r="AB429" s="1">
        <v>0</v>
      </c>
      <c r="AC429" s="1">
        <v>0</v>
      </c>
      <c r="AD429">
        <v>0</v>
      </c>
      <c r="AE429" t="s">
        <v>637</v>
      </c>
      <c r="AF429" s="8" cm="1">
        <f t="array" aca="1" ref="AF429" ca="1">fScore_Total("ESPN",aCols)</f>
        <v>67.030751518000002</v>
      </c>
      <c r="AG429" s="8" cm="1">
        <f t="array" aca="1" ref="AG429" ca="1">-fScore_Total("diff",aCols)</f>
        <v>0</v>
      </c>
      <c r="AH429" s="8">
        <f t="shared" ca="1" si="14"/>
        <v>67.030751518000002</v>
      </c>
      <c r="AI429" s="8" t="str">
        <f t="shared" si="13"/>
        <v>FLEX</v>
      </c>
      <c r="AJ429" s="8"/>
    </row>
    <row r="430" spans="1:36" x14ac:dyDescent="0.25">
      <c r="A430" t="s">
        <v>210</v>
      </c>
      <c r="B430" s="1" t="s">
        <v>533</v>
      </c>
      <c r="C430" s="1">
        <v>0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  <c r="M430" s="1">
        <v>32.191592759999999</v>
      </c>
      <c r="N430" s="1">
        <v>0</v>
      </c>
      <c r="O430" s="1">
        <v>1.780295527</v>
      </c>
      <c r="P430" s="1">
        <v>0</v>
      </c>
      <c r="Q430" s="1">
        <v>0</v>
      </c>
      <c r="R430" s="1">
        <v>420.2535762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358</v>
      </c>
      <c r="AB430" s="1">
        <v>0</v>
      </c>
      <c r="AC430" s="1">
        <v>0</v>
      </c>
      <c r="AD430">
        <v>0</v>
      </c>
      <c r="AE430" t="s">
        <v>637</v>
      </c>
      <c r="AF430" s="8" cm="1">
        <f t="array" aca="1" ref="AF430" ca="1">fScore_Total("ESPN",aCols)</f>
        <v>68.802927162000003</v>
      </c>
      <c r="AG430" s="8" cm="1">
        <f t="array" aca="1" ref="AG430" ca="1">-fScore_Total("diff",aCols)</f>
        <v>0</v>
      </c>
      <c r="AH430" s="8">
        <f t="shared" ca="1" si="14"/>
        <v>68.802927162000003</v>
      </c>
      <c r="AI430" s="8" t="str">
        <f t="shared" si="13"/>
        <v>FLEX</v>
      </c>
      <c r="AJ430" s="8"/>
    </row>
    <row r="431" spans="1:36" x14ac:dyDescent="0.25">
      <c r="A431" t="s">
        <v>623</v>
      </c>
      <c r="B431" s="1" t="s">
        <v>532</v>
      </c>
      <c r="C431" s="1">
        <v>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0</v>
      </c>
      <c r="M431" s="1">
        <v>10.51051477</v>
      </c>
      <c r="N431" s="1">
        <v>0</v>
      </c>
      <c r="O431" s="1">
        <v>0.298544592</v>
      </c>
      <c r="P431" s="1">
        <v>0</v>
      </c>
      <c r="Q431" s="1">
        <v>0</v>
      </c>
      <c r="R431" s="1">
        <v>69.277777459999996</v>
      </c>
      <c r="S431" s="1">
        <v>0</v>
      </c>
      <c r="T431" s="1">
        <v>0</v>
      </c>
      <c r="U431" s="1">
        <v>0</v>
      </c>
      <c r="V431" s="1">
        <v>1.1319182940000001</v>
      </c>
      <c r="W431" s="1">
        <v>0</v>
      </c>
      <c r="X431" s="1">
        <v>0</v>
      </c>
      <c r="Y431" s="1">
        <v>191.9465313</v>
      </c>
      <c r="Z431" s="1">
        <v>0</v>
      </c>
      <c r="AA431" s="1">
        <v>357</v>
      </c>
      <c r="AB431" s="1">
        <v>0</v>
      </c>
      <c r="AC431" s="1">
        <v>0</v>
      </c>
      <c r="AD431">
        <v>0</v>
      </c>
      <c r="AE431" t="s">
        <v>637</v>
      </c>
      <c r="AF431" s="8" cm="1">
        <f t="array" aca="1" ref="AF431" ca="1">fScore_Total("ESPN",aCols)</f>
        <v>39.960465577000008</v>
      </c>
      <c r="AG431" s="8" cm="1">
        <f t="array" aca="1" ref="AG431" ca="1">-fScore_Total("diff",aCols)</f>
        <v>0</v>
      </c>
      <c r="AH431" s="8">
        <f t="shared" ca="1" si="14"/>
        <v>39.960465577000008</v>
      </c>
      <c r="AI431" s="8" t="str">
        <f t="shared" si="13"/>
        <v>FLEX</v>
      </c>
      <c r="AJ431" s="8"/>
    </row>
    <row r="432" spans="1:36" x14ac:dyDescent="0.25">
      <c r="A432" t="s">
        <v>179</v>
      </c>
      <c r="B432" s="1" t="s">
        <v>532</v>
      </c>
      <c r="C432" s="1">
        <v>0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0</v>
      </c>
      <c r="M432" s="1">
        <v>19.957304629999999</v>
      </c>
      <c r="N432" s="1">
        <v>0</v>
      </c>
      <c r="O432" s="1">
        <v>0.48100562899999999</v>
      </c>
      <c r="P432" s="1">
        <v>0</v>
      </c>
      <c r="Q432" s="1">
        <v>0</v>
      </c>
      <c r="R432" s="1">
        <v>138.70676370000001</v>
      </c>
      <c r="S432" s="1">
        <v>0</v>
      </c>
      <c r="T432" s="1">
        <v>0</v>
      </c>
      <c r="U432" s="1">
        <v>0</v>
      </c>
      <c r="V432" s="1">
        <v>2.0497931290000002</v>
      </c>
      <c r="W432" s="1">
        <v>0</v>
      </c>
      <c r="X432" s="1">
        <v>0</v>
      </c>
      <c r="Y432" s="1">
        <v>279.18699140000001</v>
      </c>
      <c r="Z432" s="1">
        <v>0</v>
      </c>
      <c r="AA432" s="1">
        <v>322</v>
      </c>
      <c r="AB432" s="1">
        <v>0</v>
      </c>
      <c r="AC432" s="1">
        <v>0</v>
      </c>
      <c r="AD432">
        <v>0</v>
      </c>
      <c r="AE432" t="s">
        <v>637</v>
      </c>
      <c r="AF432" s="8" cm="1">
        <f t="array" aca="1" ref="AF432" ca="1">fScore_Total("ESPN",aCols)</f>
        <v>66.952820373000009</v>
      </c>
      <c r="AG432" s="8" cm="1">
        <f t="array" aca="1" ref="AG432" ca="1">-fScore_Total("diff",aCols)</f>
        <v>0</v>
      </c>
      <c r="AH432" s="8">
        <f t="shared" ca="1" si="14"/>
        <v>66.952820373000009</v>
      </c>
      <c r="AI432" s="8" t="str">
        <f t="shared" si="13"/>
        <v>FLEX</v>
      </c>
      <c r="AJ432" s="8"/>
    </row>
    <row r="433" spans="1:36" x14ac:dyDescent="0.25">
      <c r="A433" t="s">
        <v>140</v>
      </c>
      <c r="B433" s="1" t="s">
        <v>533</v>
      </c>
      <c r="C433" s="1">
        <v>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L433" s="1">
        <v>0</v>
      </c>
      <c r="M433" s="1">
        <v>28.187965859999998</v>
      </c>
      <c r="N433" s="1">
        <v>0</v>
      </c>
      <c r="O433" s="1">
        <v>2.2046798440000002</v>
      </c>
      <c r="P433" s="1">
        <v>0</v>
      </c>
      <c r="Q433" s="1">
        <v>0</v>
      </c>
      <c r="R433" s="1">
        <v>330.3299217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392</v>
      </c>
      <c r="AB433" s="1">
        <v>0</v>
      </c>
      <c r="AC433" s="1">
        <v>0</v>
      </c>
      <c r="AD433">
        <v>0</v>
      </c>
      <c r="AE433" t="s">
        <v>637</v>
      </c>
      <c r="AF433" s="8" cm="1">
        <f t="array" aca="1" ref="AF433" ca="1">fScore_Total("ESPN",aCols)</f>
        <v>60.355054164000002</v>
      </c>
      <c r="AG433" s="8" cm="1">
        <f t="array" aca="1" ref="AG433" ca="1">-fScore_Total("diff",aCols)</f>
        <v>0</v>
      </c>
      <c r="AH433" s="8">
        <f t="shared" ca="1" si="14"/>
        <v>60.355054164000002</v>
      </c>
      <c r="AI433" s="8" t="str">
        <f t="shared" si="13"/>
        <v>FLEX</v>
      </c>
      <c r="AJ433" s="8"/>
    </row>
    <row r="434" spans="1:36" x14ac:dyDescent="0.25">
      <c r="A434" t="s">
        <v>183</v>
      </c>
      <c r="B434" s="1" t="s">
        <v>532</v>
      </c>
      <c r="C434" s="1">
        <v>0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  <c r="L434" s="1">
        <v>0</v>
      </c>
      <c r="M434" s="1">
        <v>15.06941222</v>
      </c>
      <c r="N434" s="1">
        <v>0</v>
      </c>
      <c r="O434" s="1">
        <v>0.50095229900000005</v>
      </c>
      <c r="P434" s="1">
        <v>0</v>
      </c>
      <c r="Q434" s="1">
        <v>0</v>
      </c>
      <c r="R434" s="1">
        <v>108.5233824</v>
      </c>
      <c r="S434" s="1">
        <v>0</v>
      </c>
      <c r="T434" s="1">
        <v>0</v>
      </c>
      <c r="U434" s="1">
        <v>0</v>
      </c>
      <c r="V434" s="1">
        <v>2.6340486109999999</v>
      </c>
      <c r="W434" s="1">
        <v>0</v>
      </c>
      <c r="X434" s="1">
        <v>0</v>
      </c>
      <c r="Y434" s="1">
        <v>327.78586159999998</v>
      </c>
      <c r="Z434" s="1">
        <v>0</v>
      </c>
      <c r="AA434" s="1">
        <v>321</v>
      </c>
      <c r="AB434" s="1">
        <v>0</v>
      </c>
      <c r="AC434" s="1">
        <v>0</v>
      </c>
      <c r="AD434">
        <v>0</v>
      </c>
      <c r="AE434" t="s">
        <v>637</v>
      </c>
      <c r="AF434" s="8" cm="1">
        <f t="array" aca="1" ref="AF434" ca="1">fScore_Total("ESPN",aCols)</f>
        <v>69.975635969999999</v>
      </c>
      <c r="AG434" s="8" cm="1">
        <f t="array" aca="1" ref="AG434" ca="1">-fScore_Total("diff",aCols)</f>
        <v>0</v>
      </c>
      <c r="AH434" s="8">
        <f t="shared" ca="1" si="14"/>
        <v>69.975635969999999</v>
      </c>
      <c r="AI434" s="8" t="str">
        <f t="shared" si="13"/>
        <v>FLEX</v>
      </c>
      <c r="AJ434" s="8"/>
    </row>
    <row r="435" spans="1:36" x14ac:dyDescent="0.25">
      <c r="A435" t="s">
        <v>452</v>
      </c>
      <c r="B435" s="1" t="s">
        <v>533</v>
      </c>
      <c r="C435" s="1">
        <v>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  <c r="J435" s="1">
        <v>0</v>
      </c>
      <c r="K435" s="1">
        <v>0</v>
      </c>
      <c r="L435" s="1">
        <v>0</v>
      </c>
      <c r="M435" s="1">
        <v>41.811260959999998</v>
      </c>
      <c r="N435" s="1">
        <v>0</v>
      </c>
      <c r="O435" s="1">
        <v>5.020031522</v>
      </c>
      <c r="P435" s="1">
        <v>0</v>
      </c>
      <c r="Q435" s="1">
        <v>0</v>
      </c>
      <c r="R435" s="1">
        <v>621.16076599999997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284</v>
      </c>
      <c r="AB435" s="1">
        <v>0</v>
      </c>
      <c r="AC435" s="1">
        <v>0</v>
      </c>
      <c r="AD435">
        <v>0</v>
      </c>
      <c r="AE435" t="s">
        <v>637</v>
      </c>
      <c r="AF435" s="8" cm="1">
        <f t="array" aca="1" ref="AF435" ca="1">fScore_Total("ESPN",aCols)</f>
        <v>113.14189621200001</v>
      </c>
      <c r="AG435" s="8" cm="1">
        <f t="array" aca="1" ref="AG435" ca="1">-fScore_Total("diff",aCols)</f>
        <v>0</v>
      </c>
      <c r="AH435" s="8">
        <f t="shared" ca="1" si="14"/>
        <v>113.14189621200001</v>
      </c>
      <c r="AI435" s="8" t="str">
        <f t="shared" si="13"/>
        <v>FLEX</v>
      </c>
      <c r="AJ435" s="8"/>
    </row>
    <row r="436" spans="1:36" x14ac:dyDescent="0.25">
      <c r="A436" t="s">
        <v>192</v>
      </c>
      <c r="B436" s="1" t="s">
        <v>532</v>
      </c>
      <c r="C436" s="1">
        <v>0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  <c r="J436" s="1">
        <v>0</v>
      </c>
      <c r="K436" s="1">
        <v>0</v>
      </c>
      <c r="L436" s="1">
        <v>0</v>
      </c>
      <c r="M436" s="1">
        <v>12.432812589999999</v>
      </c>
      <c r="N436" s="1">
        <v>0</v>
      </c>
      <c r="O436" s="1">
        <v>0.42965869400000001</v>
      </c>
      <c r="P436" s="1">
        <v>0</v>
      </c>
      <c r="Q436" s="1">
        <v>0</v>
      </c>
      <c r="R436" s="1">
        <v>87.760881229999995</v>
      </c>
      <c r="S436" s="1">
        <v>0</v>
      </c>
      <c r="T436" s="1">
        <v>0</v>
      </c>
      <c r="U436" s="1">
        <v>0</v>
      </c>
      <c r="V436" s="1">
        <v>0.98175669300000001</v>
      </c>
      <c r="W436" s="1">
        <v>0</v>
      </c>
      <c r="X436" s="1">
        <v>0</v>
      </c>
      <c r="Y436" s="1">
        <v>147.5514689</v>
      </c>
      <c r="Z436" s="1">
        <v>0</v>
      </c>
      <c r="AA436" s="1">
        <v>269</v>
      </c>
      <c r="AB436" s="1">
        <v>0</v>
      </c>
      <c r="AC436" s="1">
        <v>0</v>
      </c>
      <c r="AD436">
        <v>0</v>
      </c>
      <c r="AE436" t="s">
        <v>637</v>
      </c>
      <c r="AF436" s="8" cm="1">
        <f t="array" aca="1" ref="AF436" ca="1">fScore_Total("ESPN",aCols)</f>
        <v>38.216133630000002</v>
      </c>
      <c r="AG436" s="8" cm="1">
        <f t="array" aca="1" ref="AG436" ca="1">-fScore_Total("diff",aCols)</f>
        <v>0</v>
      </c>
      <c r="AH436" s="8">
        <f t="shared" ca="1" si="14"/>
        <v>38.216133630000002</v>
      </c>
      <c r="AI436" s="8" t="str">
        <f t="shared" si="13"/>
        <v>FLEX</v>
      </c>
      <c r="AJ436" s="8"/>
    </row>
    <row r="437" spans="1:36" x14ac:dyDescent="0.25">
      <c r="A437" t="s">
        <v>159</v>
      </c>
      <c r="B437" s="1" t="s">
        <v>532</v>
      </c>
      <c r="C437" s="1">
        <v>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  <c r="J437" s="1">
        <v>0</v>
      </c>
      <c r="K437" s="1">
        <v>0</v>
      </c>
      <c r="L437" s="1">
        <v>0</v>
      </c>
      <c r="M437" s="1">
        <v>17.2255684</v>
      </c>
      <c r="N437" s="1">
        <v>0</v>
      </c>
      <c r="O437" s="1">
        <v>1.4695430220000001</v>
      </c>
      <c r="P437" s="1">
        <v>0</v>
      </c>
      <c r="Q437" s="1">
        <v>0</v>
      </c>
      <c r="R437" s="1">
        <v>147.51364319999999</v>
      </c>
      <c r="S437" s="1">
        <v>0</v>
      </c>
      <c r="T437" s="1">
        <v>0</v>
      </c>
      <c r="U437" s="1">
        <v>0</v>
      </c>
      <c r="V437" s="1">
        <v>2.2776768949999999</v>
      </c>
      <c r="W437" s="1">
        <v>0</v>
      </c>
      <c r="X437" s="1">
        <v>0</v>
      </c>
      <c r="Y437" s="1">
        <v>340.70981119999999</v>
      </c>
      <c r="Z437" s="1">
        <v>0</v>
      </c>
      <c r="AA437" s="1">
        <v>265</v>
      </c>
      <c r="AB437" s="1">
        <v>0</v>
      </c>
      <c r="AC437" s="1">
        <v>0</v>
      </c>
      <c r="AD437">
        <v>0</v>
      </c>
      <c r="AE437" t="s">
        <v>637</v>
      </c>
      <c r="AF437" s="8" cm="1">
        <f t="array" aca="1" ref="AF437" ca="1">fScore_Total("ESPN",aCols)</f>
        <v>79.918449142</v>
      </c>
      <c r="AG437" s="8" cm="1">
        <f t="array" aca="1" ref="AG437" ca="1">-fScore_Total("diff",aCols)</f>
        <v>0</v>
      </c>
      <c r="AH437" s="8">
        <f t="shared" ca="1" si="14"/>
        <v>79.918449142</v>
      </c>
      <c r="AI437" s="8" t="str">
        <f t="shared" si="13"/>
        <v>FLEX</v>
      </c>
      <c r="AJ437" s="8"/>
    </row>
    <row r="438" spans="1:36" x14ac:dyDescent="0.25">
      <c r="A438" t="s">
        <v>163</v>
      </c>
      <c r="B438" s="1" t="s">
        <v>535</v>
      </c>
      <c r="C438" s="1">
        <v>0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  <c r="J438" s="1">
        <v>0</v>
      </c>
      <c r="K438" s="1">
        <v>0</v>
      </c>
      <c r="L438" s="1">
        <v>0</v>
      </c>
      <c r="M438" s="1">
        <v>45.34826219</v>
      </c>
      <c r="N438" s="1">
        <v>0</v>
      </c>
      <c r="O438" s="1">
        <v>3.913602515</v>
      </c>
      <c r="P438" s="1">
        <v>0</v>
      </c>
      <c r="Q438" s="1">
        <v>0</v>
      </c>
      <c r="R438" s="1">
        <v>511.78645799999998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260</v>
      </c>
      <c r="AB438" s="1">
        <v>0</v>
      </c>
      <c r="AC438" s="1">
        <v>0</v>
      </c>
      <c r="AD438">
        <v>0</v>
      </c>
      <c r="AE438" t="s">
        <v>637</v>
      </c>
      <c r="AF438" s="8" cm="1">
        <f t="array" aca="1" ref="AF438" ca="1">fScore_Total("ESPN",aCols)</f>
        <v>97.334391984999996</v>
      </c>
      <c r="AG438" s="8" cm="1">
        <f t="array" aca="1" ref="AG438" ca="1">-fScore_Total("diff",aCols)</f>
        <v>0</v>
      </c>
      <c r="AH438" s="8">
        <f t="shared" ca="1" si="14"/>
        <v>97.334391984999996</v>
      </c>
      <c r="AI438" s="8" t="str">
        <f t="shared" si="13"/>
        <v>FLEX</v>
      </c>
      <c r="AJ438" s="8"/>
    </row>
    <row r="439" spans="1:36" x14ac:dyDescent="0.25">
      <c r="A439" t="s">
        <v>162</v>
      </c>
      <c r="B439" s="1" t="s">
        <v>535</v>
      </c>
      <c r="C439" s="1">
        <v>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K439" s="1">
        <v>0</v>
      </c>
      <c r="L439" s="1">
        <v>0</v>
      </c>
      <c r="M439" s="1">
        <v>44.825748879999999</v>
      </c>
      <c r="N439" s="1">
        <v>0</v>
      </c>
      <c r="O439" s="1">
        <v>3.7545394509999999</v>
      </c>
      <c r="P439" s="1">
        <v>0</v>
      </c>
      <c r="Q439" s="1">
        <v>0</v>
      </c>
      <c r="R439" s="1">
        <v>437.91182500000002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221</v>
      </c>
      <c r="AB439" s="1">
        <v>0</v>
      </c>
      <c r="AC439" s="1">
        <v>0</v>
      </c>
      <c r="AD439">
        <v>0</v>
      </c>
      <c r="AE439" t="s">
        <v>637</v>
      </c>
      <c r="AF439" s="8" cm="1">
        <f t="array" aca="1" ref="AF439" ca="1">fScore_Total("ESPN",aCols)</f>
        <v>88.731293646000012</v>
      </c>
      <c r="AG439" s="8" cm="1">
        <f t="array" aca="1" ref="AG439" ca="1">-fScore_Total("diff",aCols)</f>
        <v>0</v>
      </c>
      <c r="AH439" s="8">
        <f t="shared" ca="1" si="14"/>
        <v>88.731293646000012</v>
      </c>
      <c r="AI439" s="8" t="str">
        <f t="shared" si="13"/>
        <v>FLEX</v>
      </c>
      <c r="AJ439" s="8"/>
    </row>
    <row r="440" spans="1:36" x14ac:dyDescent="0.25">
      <c r="A440" t="s">
        <v>161</v>
      </c>
      <c r="B440" s="1" t="s">
        <v>535</v>
      </c>
      <c r="C440" s="1">
        <v>0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49.715437809999997</v>
      </c>
      <c r="N440" s="1">
        <v>0</v>
      </c>
      <c r="O440" s="1">
        <v>2.4968501170000001</v>
      </c>
      <c r="P440" s="1">
        <v>0</v>
      </c>
      <c r="Q440" s="1">
        <v>0</v>
      </c>
      <c r="R440" s="1">
        <v>539.24064090000002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0.62276823599999998</v>
      </c>
      <c r="Z440" s="1">
        <v>0</v>
      </c>
      <c r="AA440" s="1">
        <v>220</v>
      </c>
      <c r="AB440" s="1">
        <v>0</v>
      </c>
      <c r="AC440" s="1">
        <v>0</v>
      </c>
      <c r="AD440">
        <v>0</v>
      </c>
      <c r="AE440" t="s">
        <v>637</v>
      </c>
      <c r="AF440" s="8" cm="1">
        <f t="array" aca="1" ref="AF440" ca="1">fScore_Total("ESPN",aCols)</f>
        <v>93.825160520600008</v>
      </c>
      <c r="AG440" s="8" cm="1">
        <f t="array" aca="1" ref="AG440" ca="1">-fScore_Total("diff",aCols)</f>
        <v>0</v>
      </c>
      <c r="AH440" s="8">
        <f t="shared" ca="1" si="14"/>
        <v>93.825160520600008</v>
      </c>
      <c r="AI440" s="8" t="str">
        <f t="shared" si="13"/>
        <v>FLEX</v>
      </c>
      <c r="AJ440" s="8"/>
    </row>
    <row r="441" spans="1:36" x14ac:dyDescent="0.25">
      <c r="A441" t="s">
        <v>165</v>
      </c>
      <c r="B441" s="1" t="s">
        <v>533</v>
      </c>
      <c r="C441" s="1">
        <v>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0</v>
      </c>
      <c r="M441" s="1">
        <v>57.755182550000001</v>
      </c>
      <c r="N441" s="1">
        <v>0</v>
      </c>
      <c r="O441" s="1">
        <v>4.3607907700000004</v>
      </c>
      <c r="P441" s="1">
        <v>0</v>
      </c>
      <c r="Q441" s="1">
        <v>0</v>
      </c>
      <c r="R441" s="1">
        <v>697.64403930000003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210</v>
      </c>
      <c r="AB441" s="1">
        <v>0</v>
      </c>
      <c r="AC441" s="1">
        <v>0</v>
      </c>
      <c r="AD441">
        <v>0</v>
      </c>
      <c r="AE441" t="s">
        <v>637</v>
      </c>
      <c r="AF441" s="8" cm="1">
        <f t="array" aca="1" ref="AF441" ca="1">fScore_Total("ESPN",aCols)</f>
        <v>124.80673982499999</v>
      </c>
      <c r="AG441" s="8" cm="1">
        <f t="array" aca="1" ref="AG441" ca="1">-fScore_Total("diff",aCols)</f>
        <v>0</v>
      </c>
      <c r="AH441" s="8">
        <f t="shared" ca="1" si="14"/>
        <v>124.80673982499999</v>
      </c>
      <c r="AI441" s="8" t="str">
        <f t="shared" si="13"/>
        <v>FLEX</v>
      </c>
      <c r="AJ441" s="8"/>
    </row>
    <row r="442" spans="1:36" x14ac:dyDescent="0.25">
      <c r="A442" t="s">
        <v>166</v>
      </c>
      <c r="B442" s="1" t="s">
        <v>533</v>
      </c>
      <c r="C442" s="1">
        <v>0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0</v>
      </c>
      <c r="M442" s="1">
        <v>62.504884179999998</v>
      </c>
      <c r="N442" s="1">
        <v>0</v>
      </c>
      <c r="O442" s="1">
        <v>1.2637646950000001</v>
      </c>
      <c r="P442" s="1">
        <v>0</v>
      </c>
      <c r="Q442" s="1">
        <v>0</v>
      </c>
      <c r="R442" s="1">
        <v>571.40581259999999</v>
      </c>
      <c r="S442" s="1">
        <v>0</v>
      </c>
      <c r="T442" s="1">
        <v>0</v>
      </c>
      <c r="U442" s="1">
        <v>0</v>
      </c>
      <c r="V442" s="1">
        <v>0.392051064</v>
      </c>
      <c r="W442" s="1">
        <v>0</v>
      </c>
      <c r="X442" s="1">
        <v>0</v>
      </c>
      <c r="Y442" s="1">
        <v>51.152928410000001</v>
      </c>
      <c r="Z442" s="1">
        <v>0</v>
      </c>
      <c r="AA442" s="1">
        <v>287</v>
      </c>
      <c r="AB442" s="1">
        <v>0</v>
      </c>
      <c r="AC442" s="1">
        <v>0</v>
      </c>
      <c r="AD442">
        <v>0</v>
      </c>
      <c r="AE442" t="s">
        <v>637</v>
      </c>
      <c r="AF442" s="8" cm="1">
        <f t="array" aca="1" ref="AF442" ca="1">fScore_Total("ESPN",aCols)</f>
        <v>103.443210745</v>
      </c>
      <c r="AG442" s="8" cm="1">
        <f t="array" aca="1" ref="AG442" ca="1">-fScore_Total("diff",aCols)</f>
        <v>0</v>
      </c>
      <c r="AH442" s="8">
        <f t="shared" ca="1" si="14"/>
        <v>103.443210745</v>
      </c>
      <c r="AI442" s="8" t="str">
        <f t="shared" si="13"/>
        <v>FLEX</v>
      </c>
      <c r="AJ442" s="8"/>
    </row>
    <row r="443" spans="1:36" x14ac:dyDescent="0.25">
      <c r="A443" t="s">
        <v>141</v>
      </c>
      <c r="B443" s="1" t="s">
        <v>533</v>
      </c>
      <c r="C443" s="1">
        <v>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L443" s="1">
        <v>0</v>
      </c>
      <c r="M443" s="1">
        <v>37.180961519999997</v>
      </c>
      <c r="N443" s="1">
        <v>0</v>
      </c>
      <c r="O443" s="1">
        <v>2.4142477210000002</v>
      </c>
      <c r="P443" s="1">
        <v>0</v>
      </c>
      <c r="Q443" s="1">
        <v>0</v>
      </c>
      <c r="R443" s="1">
        <v>437.92108669999999</v>
      </c>
      <c r="S443" s="1">
        <v>0</v>
      </c>
      <c r="T443" s="1">
        <v>0</v>
      </c>
      <c r="U443" s="1">
        <v>0</v>
      </c>
      <c r="V443" s="1">
        <v>4.3624239000000002E-2</v>
      </c>
      <c r="W443" s="1">
        <v>0</v>
      </c>
      <c r="X443" s="1">
        <v>0</v>
      </c>
      <c r="Y443" s="1">
        <v>10.230762329999999</v>
      </c>
      <c r="Z443" s="1">
        <v>0</v>
      </c>
      <c r="AA443" s="1">
        <v>290</v>
      </c>
      <c r="AB443" s="1">
        <v>0</v>
      </c>
      <c r="AC443" s="1">
        <v>0</v>
      </c>
      <c r="AD443">
        <v>0</v>
      </c>
      <c r="AE443" t="s">
        <v>637</v>
      </c>
      <c r="AF443" s="8" cm="1">
        <f t="array" aca="1" ref="AF443" ca="1">fScore_Total("ESPN",aCols)</f>
        <v>78.152897422999999</v>
      </c>
      <c r="AG443" s="8" cm="1">
        <f t="array" aca="1" ref="AG443" ca="1">-fScore_Total("diff",aCols)</f>
        <v>0</v>
      </c>
      <c r="AH443" s="8">
        <f t="shared" ca="1" si="14"/>
        <v>78.152897422999999</v>
      </c>
      <c r="AI443" s="8" t="str">
        <f t="shared" si="13"/>
        <v>FLEX</v>
      </c>
      <c r="AJ443" s="8"/>
    </row>
    <row r="444" spans="1:36" x14ac:dyDescent="0.25">
      <c r="A444" t="s">
        <v>122</v>
      </c>
      <c r="B444" s="1" t="s">
        <v>532</v>
      </c>
      <c r="C444" s="1">
        <v>0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L444" s="1">
        <v>0</v>
      </c>
      <c r="M444" s="1">
        <v>17.13141517</v>
      </c>
      <c r="N444" s="1">
        <v>0</v>
      </c>
      <c r="O444" s="1">
        <v>0.77426052899999998</v>
      </c>
      <c r="P444" s="1">
        <v>0</v>
      </c>
      <c r="Q444" s="1">
        <v>0</v>
      </c>
      <c r="R444" s="1">
        <v>134.66242600000001</v>
      </c>
      <c r="S444" s="1">
        <v>0</v>
      </c>
      <c r="T444" s="1">
        <v>0</v>
      </c>
      <c r="U444" s="1">
        <v>0</v>
      </c>
      <c r="V444" s="1">
        <v>1.0500381700000001</v>
      </c>
      <c r="W444" s="1">
        <v>0</v>
      </c>
      <c r="X444" s="1">
        <v>0</v>
      </c>
      <c r="Y444" s="1">
        <v>200.16003359999999</v>
      </c>
      <c r="Z444" s="1">
        <v>0</v>
      </c>
      <c r="AA444" s="1">
        <v>320</v>
      </c>
      <c r="AB444" s="1">
        <v>0</v>
      </c>
      <c r="AC444" s="1">
        <v>0</v>
      </c>
      <c r="AD444">
        <v>0</v>
      </c>
      <c r="AE444" t="s">
        <v>637</v>
      </c>
      <c r="AF444" s="8" cm="1">
        <f t="array" aca="1" ref="AF444" ca="1">fScore_Total("ESPN",aCols)</f>
        <v>52.993745739000005</v>
      </c>
      <c r="AG444" s="8" cm="1">
        <f t="array" aca="1" ref="AG444" ca="1">-fScore_Total("diff",aCols)</f>
        <v>0</v>
      </c>
      <c r="AH444" s="8">
        <f t="shared" ca="1" si="14"/>
        <v>52.993745739000005</v>
      </c>
      <c r="AI444" s="8" t="str">
        <f t="shared" si="13"/>
        <v>FLEX</v>
      </c>
      <c r="AJ444" s="8"/>
    </row>
    <row r="445" spans="1:36" x14ac:dyDescent="0.25">
      <c r="A445" t="s">
        <v>176</v>
      </c>
      <c r="B445" s="1" t="s">
        <v>535</v>
      </c>
      <c r="C445" s="1">
        <v>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  <c r="J445" s="1">
        <v>0</v>
      </c>
      <c r="K445" s="1">
        <v>0</v>
      </c>
      <c r="L445" s="1">
        <v>0</v>
      </c>
      <c r="M445" s="1">
        <v>41.483851610000002</v>
      </c>
      <c r="N445" s="1">
        <v>0</v>
      </c>
      <c r="O445" s="1">
        <v>3.175964998</v>
      </c>
      <c r="P445" s="1">
        <v>0</v>
      </c>
      <c r="Q445" s="1">
        <v>0</v>
      </c>
      <c r="R445" s="1">
        <v>394.4902783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313</v>
      </c>
      <c r="AB445" s="1">
        <v>0</v>
      </c>
      <c r="AC445" s="1">
        <v>0</v>
      </c>
      <c r="AD445">
        <v>0</v>
      </c>
      <c r="AE445" t="s">
        <v>637</v>
      </c>
      <c r="AF445" s="8" cm="1">
        <f t="array" aca="1" ref="AF445" ca="1">fScore_Total("ESPN",aCols)</f>
        <v>79.246743623000015</v>
      </c>
      <c r="AG445" s="8" cm="1">
        <f t="array" aca="1" ref="AG445" ca="1">-fScore_Total("diff",aCols)</f>
        <v>0</v>
      </c>
      <c r="AH445" s="8">
        <f t="shared" ca="1" si="14"/>
        <v>79.246743623000015</v>
      </c>
      <c r="AI445" s="8" t="str">
        <f t="shared" si="13"/>
        <v>FLEX</v>
      </c>
      <c r="AJ445" s="8"/>
    </row>
    <row r="446" spans="1:36" x14ac:dyDescent="0.25">
      <c r="A446" t="s">
        <v>175</v>
      </c>
      <c r="B446" s="1" t="s">
        <v>535</v>
      </c>
      <c r="C446" s="1">
        <v>0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  <c r="J446" s="1">
        <v>0</v>
      </c>
      <c r="K446" s="1">
        <v>0</v>
      </c>
      <c r="L446" s="1">
        <v>0</v>
      </c>
      <c r="M446" s="1">
        <v>43.379077180000003</v>
      </c>
      <c r="N446" s="1">
        <v>0</v>
      </c>
      <c r="O446" s="1">
        <v>3.4688065309999998</v>
      </c>
      <c r="P446" s="1">
        <v>0</v>
      </c>
      <c r="Q446" s="1">
        <v>0</v>
      </c>
      <c r="R446" s="1">
        <v>456.59925399999997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312</v>
      </c>
      <c r="AB446" s="1">
        <v>0</v>
      </c>
      <c r="AC446" s="1">
        <v>0</v>
      </c>
      <c r="AD446">
        <v>0</v>
      </c>
      <c r="AE446" t="s">
        <v>637</v>
      </c>
      <c r="AF446" s="8" cm="1">
        <f t="array" aca="1" ref="AF446" ca="1">fScore_Total("ESPN",aCols)</f>
        <v>88.162303175999995</v>
      </c>
      <c r="AG446" s="8" cm="1">
        <f t="array" aca="1" ref="AG446" ca="1">-fScore_Total("diff",aCols)</f>
        <v>0</v>
      </c>
      <c r="AH446" s="8">
        <f t="shared" ca="1" si="14"/>
        <v>88.162303175999995</v>
      </c>
      <c r="AI446" s="8" t="str">
        <f t="shared" si="13"/>
        <v>FLEX</v>
      </c>
      <c r="AJ446" s="8"/>
    </row>
    <row r="447" spans="1:36" x14ac:dyDescent="0.25">
      <c r="A447" t="s">
        <v>152</v>
      </c>
      <c r="B447" s="1" t="s">
        <v>535</v>
      </c>
      <c r="C447" s="1">
        <v>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  <c r="J447" s="1">
        <v>0</v>
      </c>
      <c r="K447" s="1">
        <v>0</v>
      </c>
      <c r="L447" s="1">
        <v>0</v>
      </c>
      <c r="M447" s="1">
        <v>45.694405609999997</v>
      </c>
      <c r="N447" s="1">
        <v>0</v>
      </c>
      <c r="O447" s="1">
        <v>1.9278204640000001</v>
      </c>
      <c r="P447" s="1">
        <v>0</v>
      </c>
      <c r="Q447" s="1">
        <v>0</v>
      </c>
      <c r="R447" s="1">
        <v>452.99402350000003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311</v>
      </c>
      <c r="AB447" s="1">
        <v>0</v>
      </c>
      <c r="AC447" s="1">
        <v>0</v>
      </c>
      <c r="AD447">
        <v>0</v>
      </c>
      <c r="AE447" t="s">
        <v>637</v>
      </c>
      <c r="AF447" s="8" cm="1">
        <f t="array" aca="1" ref="AF447" ca="1">fScore_Total("ESPN",aCols)</f>
        <v>79.713527939000016</v>
      </c>
      <c r="AG447" s="8" cm="1">
        <f t="array" aca="1" ref="AG447" ca="1">-fScore_Total("diff",aCols)</f>
        <v>0</v>
      </c>
      <c r="AH447" s="8">
        <f t="shared" ca="1" si="14"/>
        <v>79.713527939000016</v>
      </c>
      <c r="AI447" s="8" t="str">
        <f t="shared" si="13"/>
        <v>FLEX</v>
      </c>
      <c r="AJ447" s="8"/>
    </row>
    <row r="448" spans="1:36" x14ac:dyDescent="0.25">
      <c r="A448" t="s">
        <v>148</v>
      </c>
      <c r="B448" s="1" t="s">
        <v>532</v>
      </c>
      <c r="C448" s="1">
        <v>0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  <c r="J448" s="1">
        <v>0</v>
      </c>
      <c r="K448" s="1">
        <v>0</v>
      </c>
      <c r="L448" s="1">
        <v>0</v>
      </c>
      <c r="M448" s="1">
        <v>12.757910900000001</v>
      </c>
      <c r="N448" s="1">
        <v>0</v>
      </c>
      <c r="O448" s="1">
        <v>0.50694802699999997</v>
      </c>
      <c r="P448" s="1">
        <v>0</v>
      </c>
      <c r="Q448" s="1">
        <v>0</v>
      </c>
      <c r="R448" s="1">
        <v>86.14099401</v>
      </c>
      <c r="S448" s="1">
        <v>0</v>
      </c>
      <c r="T448" s="1">
        <v>0</v>
      </c>
      <c r="U448" s="1">
        <v>0</v>
      </c>
      <c r="V448" s="1">
        <v>3.2216656769999998</v>
      </c>
      <c r="W448" s="1">
        <v>0</v>
      </c>
      <c r="X448" s="1">
        <v>0</v>
      </c>
      <c r="Y448" s="1">
        <v>498.89563479999998</v>
      </c>
      <c r="Z448" s="1">
        <v>0</v>
      </c>
      <c r="AA448" s="1">
        <v>308</v>
      </c>
      <c r="AB448" s="1">
        <v>0</v>
      </c>
      <c r="AC448" s="1">
        <v>0</v>
      </c>
      <c r="AD448">
        <v>0</v>
      </c>
      <c r="AE448" t="s">
        <v>637</v>
      </c>
      <c r="AF448" s="8" cm="1">
        <f t="array" aca="1" ref="AF448" ca="1">fScore_Total("ESPN",aCols)</f>
        <v>87.254300554999986</v>
      </c>
      <c r="AG448" s="8" cm="1">
        <f t="array" aca="1" ref="AG448" ca="1">-fScore_Total("diff",aCols)</f>
        <v>0</v>
      </c>
      <c r="AH448" s="8">
        <f t="shared" ca="1" si="14"/>
        <v>87.254300554999986</v>
      </c>
      <c r="AI448" s="8" t="str">
        <f t="shared" si="13"/>
        <v>FLEX</v>
      </c>
      <c r="AJ448" s="8"/>
    </row>
    <row r="449" spans="1:36" x14ac:dyDescent="0.25">
      <c r="A449" t="s">
        <v>172</v>
      </c>
      <c r="B449" s="1" t="s">
        <v>533</v>
      </c>
      <c r="C449" s="1">
        <v>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0</v>
      </c>
      <c r="M449" s="1">
        <v>45.716629849999997</v>
      </c>
      <c r="N449" s="1">
        <v>0</v>
      </c>
      <c r="O449" s="1">
        <v>2.6232154689999998</v>
      </c>
      <c r="P449" s="1">
        <v>0</v>
      </c>
      <c r="Q449" s="1">
        <v>0</v>
      </c>
      <c r="R449" s="1">
        <v>603.45197310000003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294</v>
      </c>
      <c r="AB449" s="1">
        <v>0</v>
      </c>
      <c r="AC449" s="1">
        <v>0</v>
      </c>
      <c r="AD449">
        <v>0</v>
      </c>
      <c r="AE449" t="s">
        <v>637</v>
      </c>
      <c r="AF449" s="8" cm="1">
        <f t="array" aca="1" ref="AF449" ca="1">fScore_Total("ESPN",aCols)</f>
        <v>98.942805049</v>
      </c>
      <c r="AG449" s="8" cm="1">
        <f t="array" aca="1" ref="AG449" ca="1">-fScore_Total("diff",aCols)</f>
        <v>0</v>
      </c>
      <c r="AH449" s="8">
        <f t="shared" ca="1" si="14"/>
        <v>98.942805049</v>
      </c>
      <c r="AI449" s="8" t="str">
        <f t="shared" si="13"/>
        <v>FLEX</v>
      </c>
      <c r="AJ449" s="8"/>
    </row>
    <row r="450" spans="1:36" x14ac:dyDescent="0.25">
      <c r="A450" t="s">
        <v>200</v>
      </c>
      <c r="B450" s="1" t="s">
        <v>533</v>
      </c>
      <c r="C450" s="1">
        <v>0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  <c r="M450" s="1">
        <v>41.69227205</v>
      </c>
      <c r="N450" s="1">
        <v>0</v>
      </c>
      <c r="O450" s="1">
        <v>3.6707265530000002</v>
      </c>
      <c r="P450" s="1">
        <v>0</v>
      </c>
      <c r="Q450" s="1">
        <v>0</v>
      </c>
      <c r="R450" s="1">
        <v>505.2841148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306</v>
      </c>
      <c r="AB450" s="1">
        <v>0</v>
      </c>
      <c r="AC450" s="1">
        <v>0</v>
      </c>
      <c r="AD450">
        <v>0</v>
      </c>
      <c r="AE450" t="s">
        <v>637</v>
      </c>
      <c r="AF450" s="8" cm="1">
        <f t="array" aca="1" ref="AF450" ca="1">fScore_Total("ESPN",aCols)</f>
        <v>93.398906823000004</v>
      </c>
      <c r="AG450" s="8" cm="1">
        <f t="array" aca="1" ref="AG450" ca="1">-fScore_Total("diff",aCols)</f>
        <v>0</v>
      </c>
      <c r="AH450" s="8">
        <f t="shared" ca="1" si="14"/>
        <v>93.398906823000004</v>
      </c>
      <c r="AI450" s="8" t="str">
        <f t="shared" si="13"/>
        <v>FLEX</v>
      </c>
      <c r="AJ450" s="8"/>
    </row>
    <row r="451" spans="1:36" x14ac:dyDescent="0.25">
      <c r="A451" t="s">
        <v>181</v>
      </c>
      <c r="B451" s="1" t="s">
        <v>533</v>
      </c>
      <c r="C451" s="1">
        <v>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  <c r="M451" s="1">
        <v>44.334387550000002</v>
      </c>
      <c r="N451" s="1">
        <v>0</v>
      </c>
      <c r="O451" s="1">
        <v>2.163119858</v>
      </c>
      <c r="P451" s="1">
        <v>0</v>
      </c>
      <c r="Q451" s="1">
        <v>0</v>
      </c>
      <c r="R451" s="1">
        <v>607.03268149999997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302</v>
      </c>
      <c r="AB451" s="1">
        <v>0</v>
      </c>
      <c r="AC451" s="1">
        <v>0</v>
      </c>
      <c r="AD451">
        <v>0</v>
      </c>
      <c r="AE451" t="s">
        <v>637</v>
      </c>
      <c r="AF451" s="8" cm="1">
        <f t="array" aca="1" ref="AF451" ca="1">fScore_Total("ESPN",aCols)</f>
        <v>95.849181072999997</v>
      </c>
      <c r="AG451" s="8" cm="1">
        <f t="array" aca="1" ref="AG451" ca="1">-fScore_Total("diff",aCols)</f>
        <v>0</v>
      </c>
      <c r="AH451" s="8">
        <f t="shared" ca="1" si="14"/>
        <v>95.849181072999997</v>
      </c>
      <c r="AI451" s="8" t="str">
        <f t="shared" ref="AI451:AI514" si="15">IF(B451="QB","QB","FLEX")</f>
        <v>FLEX</v>
      </c>
      <c r="AJ451" s="8"/>
    </row>
    <row r="452" spans="1:36" x14ac:dyDescent="0.25">
      <c r="A452" t="s">
        <v>143</v>
      </c>
      <c r="B452" s="1" t="s">
        <v>533</v>
      </c>
      <c r="C452" s="1">
        <v>0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  <c r="M452" s="1">
        <v>43.244866340000002</v>
      </c>
      <c r="N452" s="1">
        <v>0</v>
      </c>
      <c r="O452" s="1">
        <v>3.469395064</v>
      </c>
      <c r="P452" s="1">
        <v>0</v>
      </c>
      <c r="Q452" s="1">
        <v>0</v>
      </c>
      <c r="R452" s="1">
        <v>574.18526450000002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301</v>
      </c>
      <c r="AB452" s="1">
        <v>0</v>
      </c>
      <c r="AC452" s="1">
        <v>0</v>
      </c>
      <c r="AD452">
        <v>0</v>
      </c>
      <c r="AE452" t="s">
        <v>637</v>
      </c>
      <c r="AF452" s="8" cm="1">
        <f t="array" aca="1" ref="AF452" ca="1">fScore_Total("ESPN",aCols)</f>
        <v>99.857330004000005</v>
      </c>
      <c r="AG452" s="8" cm="1">
        <f t="array" aca="1" ref="AG452" ca="1">-fScore_Total("diff",aCols)</f>
        <v>0</v>
      </c>
      <c r="AH452" s="8">
        <f t="shared" ca="1" si="14"/>
        <v>99.857330004000005</v>
      </c>
      <c r="AI452" s="8" t="str">
        <f t="shared" si="15"/>
        <v>FLEX</v>
      </c>
      <c r="AJ452" s="8"/>
    </row>
    <row r="453" spans="1:36" x14ac:dyDescent="0.25">
      <c r="A453" t="s">
        <v>169</v>
      </c>
      <c r="B453" s="1" t="s">
        <v>535</v>
      </c>
      <c r="C453" s="1">
        <v>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  <c r="M453" s="1">
        <v>34.352079979999999</v>
      </c>
      <c r="N453" s="1">
        <v>0</v>
      </c>
      <c r="O453" s="1">
        <v>2.3139276679999998</v>
      </c>
      <c r="P453" s="1">
        <v>0</v>
      </c>
      <c r="Q453" s="1">
        <v>0</v>
      </c>
      <c r="R453" s="1">
        <v>334.71875599999998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298</v>
      </c>
      <c r="AB453" s="1">
        <v>0</v>
      </c>
      <c r="AC453" s="1">
        <v>0</v>
      </c>
      <c r="AD453">
        <v>0</v>
      </c>
      <c r="AE453" t="s">
        <v>637</v>
      </c>
      <c r="AF453" s="8" cm="1">
        <f t="array" aca="1" ref="AF453" ca="1">fScore_Total("ESPN",aCols)</f>
        <v>64.531481597999999</v>
      </c>
      <c r="AG453" s="8" cm="1">
        <f t="array" aca="1" ref="AG453" ca="1">-fScore_Total("diff",aCols)</f>
        <v>0</v>
      </c>
      <c r="AH453" s="8">
        <f t="shared" ca="1" si="14"/>
        <v>64.531481597999999</v>
      </c>
      <c r="AI453" s="8" t="str">
        <f t="shared" si="15"/>
        <v>FLEX</v>
      </c>
      <c r="AJ453" s="8"/>
    </row>
    <row r="454" spans="1:36" x14ac:dyDescent="0.25">
      <c r="A454" t="s">
        <v>170</v>
      </c>
      <c r="B454" s="1" t="s">
        <v>535</v>
      </c>
      <c r="C454" s="1">
        <v>0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  <c r="M454" s="1">
        <v>38.573689510000001</v>
      </c>
      <c r="N454" s="1">
        <v>0</v>
      </c>
      <c r="O454" s="1">
        <v>2.2943712060000001</v>
      </c>
      <c r="P454" s="1">
        <v>0</v>
      </c>
      <c r="Q454" s="1">
        <v>0</v>
      </c>
      <c r="R454" s="1">
        <v>381.28722820000002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297</v>
      </c>
      <c r="AB454" s="1">
        <v>0</v>
      </c>
      <c r="AC454" s="1">
        <v>0</v>
      </c>
      <c r="AD454">
        <v>0</v>
      </c>
      <c r="AE454" t="s">
        <v>637</v>
      </c>
      <c r="AF454" s="8" cm="1">
        <f t="array" aca="1" ref="AF454" ca="1">fScore_Total("ESPN",aCols)</f>
        <v>71.181794811000003</v>
      </c>
      <c r="AG454" s="8" cm="1">
        <f t="array" aca="1" ref="AG454" ca="1">-fScore_Total("diff",aCols)</f>
        <v>0</v>
      </c>
      <c r="AH454" s="8">
        <f t="shared" ref="AH454:AH517" ca="1" si="16">+AF454+AG454</f>
        <v>71.181794811000003</v>
      </c>
      <c r="AI454" s="8" t="str">
        <f t="shared" si="15"/>
        <v>FLEX</v>
      </c>
      <c r="AJ454" s="8"/>
    </row>
    <row r="455" spans="1:36" x14ac:dyDescent="0.25">
      <c r="A455" t="s">
        <v>274</v>
      </c>
      <c r="B455" s="1" t="s">
        <v>533</v>
      </c>
      <c r="C455" s="1">
        <v>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  <c r="J455" s="1">
        <v>0</v>
      </c>
      <c r="K455" s="1">
        <v>0</v>
      </c>
      <c r="L455" s="1">
        <v>0</v>
      </c>
      <c r="M455" s="1">
        <v>29.86601555</v>
      </c>
      <c r="N455" s="1">
        <v>0</v>
      </c>
      <c r="O455" s="1">
        <v>1.2324274829999999</v>
      </c>
      <c r="P455" s="1">
        <v>0</v>
      </c>
      <c r="Q455" s="1">
        <v>0</v>
      </c>
      <c r="R455" s="1">
        <v>333.05528900000002</v>
      </c>
      <c r="S455" s="1">
        <v>0</v>
      </c>
      <c r="T455" s="1">
        <v>0</v>
      </c>
      <c r="U455" s="1">
        <v>0</v>
      </c>
      <c r="V455" s="1">
        <v>0.16577434499999999</v>
      </c>
      <c r="W455" s="1">
        <v>0</v>
      </c>
      <c r="X455" s="1">
        <v>0</v>
      </c>
      <c r="Y455" s="1">
        <v>25.620575500000001</v>
      </c>
      <c r="Z455" s="1">
        <v>0</v>
      </c>
      <c r="AA455" s="1">
        <v>391</v>
      </c>
      <c r="AB455" s="1">
        <v>0</v>
      </c>
      <c r="AC455" s="1">
        <v>0</v>
      </c>
      <c r="AD455">
        <v>0</v>
      </c>
      <c r="AE455" t="s">
        <v>637</v>
      </c>
      <c r="AF455" s="8" cm="1">
        <f t="array" aca="1" ref="AF455" ca="1">fScore_Total("ESPN",aCols)</f>
        <v>59.189805193000005</v>
      </c>
      <c r="AG455" s="8" cm="1">
        <f t="array" aca="1" ref="AG455" ca="1">-fScore_Total("diff",aCols)</f>
        <v>0</v>
      </c>
      <c r="AH455" s="8">
        <f t="shared" ca="1" si="16"/>
        <v>59.189805193000005</v>
      </c>
      <c r="AI455" s="8" t="str">
        <f t="shared" si="15"/>
        <v>FLEX</v>
      </c>
      <c r="AJ455" s="8"/>
    </row>
    <row r="456" spans="1:36" x14ac:dyDescent="0.25">
      <c r="A456" t="s">
        <v>212</v>
      </c>
      <c r="B456" s="1" t="s">
        <v>533</v>
      </c>
      <c r="C456" s="1">
        <v>0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  <c r="J456" s="1">
        <v>0</v>
      </c>
      <c r="K456" s="1">
        <v>0</v>
      </c>
      <c r="L456" s="1">
        <v>0</v>
      </c>
      <c r="M456" s="1">
        <v>25.25128982</v>
      </c>
      <c r="N456" s="1">
        <v>0</v>
      </c>
      <c r="O456" s="1">
        <v>1.732872432</v>
      </c>
      <c r="P456" s="1">
        <v>0</v>
      </c>
      <c r="Q456" s="1">
        <v>0</v>
      </c>
      <c r="R456" s="1">
        <v>324.76775880000002</v>
      </c>
      <c r="S456" s="1">
        <v>0</v>
      </c>
      <c r="T456" s="1">
        <v>0</v>
      </c>
      <c r="U456" s="1">
        <v>0</v>
      </c>
      <c r="V456" s="1">
        <v>0.174787568</v>
      </c>
      <c r="W456" s="1">
        <v>0</v>
      </c>
      <c r="X456" s="1">
        <v>0</v>
      </c>
      <c r="Y456" s="1">
        <v>21.927166530000001</v>
      </c>
      <c r="Z456" s="1">
        <v>0</v>
      </c>
      <c r="AA456" s="1">
        <v>393</v>
      </c>
      <c r="AB456" s="1">
        <v>0</v>
      </c>
      <c r="AC456" s="1">
        <v>0</v>
      </c>
      <c r="AD456">
        <v>0</v>
      </c>
      <c r="AE456" t="s">
        <v>637</v>
      </c>
      <c r="AF456" s="8" cm="1">
        <f t="array" aca="1" ref="AF456" ca="1">fScore_Total("ESPN",aCols)</f>
        <v>58.741097443000008</v>
      </c>
      <c r="AG456" s="8" cm="1">
        <f t="array" aca="1" ref="AG456" ca="1">-fScore_Total("diff",aCols)</f>
        <v>0</v>
      </c>
      <c r="AH456" s="8">
        <f t="shared" ca="1" si="16"/>
        <v>58.741097443000008</v>
      </c>
      <c r="AI456" s="8" t="str">
        <f t="shared" si="15"/>
        <v>FLEX</v>
      </c>
      <c r="AJ456" s="8"/>
    </row>
    <row r="457" spans="1:36" x14ac:dyDescent="0.25">
      <c r="A457" t="s">
        <v>255</v>
      </c>
      <c r="B457" s="1" t="s">
        <v>535</v>
      </c>
      <c r="C457" s="1">
        <v>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  <c r="J457" s="1">
        <v>0</v>
      </c>
      <c r="K457" s="1">
        <v>0</v>
      </c>
      <c r="L457" s="1">
        <v>0</v>
      </c>
      <c r="M457" s="1">
        <v>17.779198319999999</v>
      </c>
      <c r="N457" s="1">
        <v>0</v>
      </c>
      <c r="O457" s="1">
        <v>1.1892031540000001</v>
      </c>
      <c r="P457" s="1">
        <v>0</v>
      </c>
      <c r="Q457" s="1">
        <v>0</v>
      </c>
      <c r="R457" s="1">
        <v>171.23765929999999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997</v>
      </c>
      <c r="AB457" s="1">
        <v>0</v>
      </c>
      <c r="AC457" s="1">
        <v>0</v>
      </c>
      <c r="AD457">
        <v>0</v>
      </c>
      <c r="AE457" t="s">
        <v>637</v>
      </c>
      <c r="AF457" s="8" cm="1">
        <f t="array" aca="1" ref="AF457" ca="1">fScore_Total("ESPN",aCols)</f>
        <v>33.148584014000001</v>
      </c>
      <c r="AG457" s="8" cm="1">
        <f t="array" aca="1" ref="AG457" ca="1">-fScore_Total("diff",aCols)</f>
        <v>0</v>
      </c>
      <c r="AH457" s="8">
        <f t="shared" ca="1" si="16"/>
        <v>33.148584014000001</v>
      </c>
      <c r="AI457" s="8" t="str">
        <f t="shared" si="15"/>
        <v>FLEX</v>
      </c>
      <c r="AJ457" s="8"/>
    </row>
    <row r="458" spans="1:36" x14ac:dyDescent="0.25">
      <c r="A458" t="s">
        <v>247</v>
      </c>
      <c r="B458" s="1" t="s">
        <v>535</v>
      </c>
      <c r="C458" s="1">
        <v>0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L458" s="1">
        <v>0</v>
      </c>
      <c r="M458" s="1">
        <v>23.968235539999998</v>
      </c>
      <c r="N458" s="1">
        <v>0</v>
      </c>
      <c r="O458" s="1">
        <v>1.272539525</v>
      </c>
      <c r="P458" s="1">
        <v>0</v>
      </c>
      <c r="Q458" s="1">
        <v>0</v>
      </c>
      <c r="R458" s="1">
        <v>222.74113700000001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460</v>
      </c>
      <c r="AB458" s="1">
        <v>0</v>
      </c>
      <c r="AC458" s="1">
        <v>0</v>
      </c>
      <c r="AD458">
        <v>0</v>
      </c>
      <c r="AE458" t="s">
        <v>637</v>
      </c>
      <c r="AF458" s="8" cm="1">
        <f t="array" aca="1" ref="AF458" ca="1">fScore_Total("ESPN",aCols)</f>
        <v>41.89346862</v>
      </c>
      <c r="AG458" s="8" cm="1">
        <f t="array" aca="1" ref="AG458" ca="1">-fScore_Total("diff",aCols)</f>
        <v>0</v>
      </c>
      <c r="AH458" s="8">
        <f t="shared" ca="1" si="16"/>
        <v>41.89346862</v>
      </c>
      <c r="AI458" s="8" t="str">
        <f t="shared" si="15"/>
        <v>FLEX</v>
      </c>
      <c r="AJ458" s="8"/>
    </row>
    <row r="459" spans="1:36" x14ac:dyDescent="0.25">
      <c r="A459" t="s">
        <v>261</v>
      </c>
      <c r="B459" s="1" t="s">
        <v>534</v>
      </c>
      <c r="C459" s="1">
        <v>0</v>
      </c>
      <c r="D459" s="1">
        <v>3.0708089260000002</v>
      </c>
      <c r="E459" s="1">
        <v>0</v>
      </c>
      <c r="F459" s="1">
        <v>0</v>
      </c>
      <c r="G459" s="1">
        <v>3.7600371080000001</v>
      </c>
      <c r="H459" s="1">
        <v>0</v>
      </c>
      <c r="I459" s="1">
        <v>0</v>
      </c>
      <c r="J459" s="1">
        <v>708.9163671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0.31943018299999998</v>
      </c>
      <c r="W459" s="1">
        <v>0</v>
      </c>
      <c r="X459" s="1">
        <v>0</v>
      </c>
      <c r="Y459" s="1">
        <v>44.799211399999997</v>
      </c>
      <c r="Z459" s="1">
        <v>0</v>
      </c>
      <c r="AA459" s="1">
        <v>481</v>
      </c>
      <c r="AB459" s="1">
        <v>0</v>
      </c>
      <c r="AC459" s="1">
        <v>0</v>
      </c>
      <c r="AD459">
        <v>0</v>
      </c>
      <c r="AE459" t="s">
        <v>637</v>
      </c>
      <c r="AF459" s="8" cm="1">
        <f t="array" aca="1" ref="AF459" ca="1">fScore_Total("ESPN",aCols)</f>
        <v>43.651687502000009</v>
      </c>
      <c r="AG459" s="8" cm="1">
        <f t="array" aca="1" ref="AG459" ca="1">-fScore_Total("diff",aCols)</f>
        <v>0</v>
      </c>
      <c r="AH459" s="8">
        <f t="shared" ca="1" si="16"/>
        <v>43.651687502000009</v>
      </c>
      <c r="AI459" s="8" t="str">
        <f t="shared" si="15"/>
        <v>QB</v>
      </c>
      <c r="AJ459" s="8" t="s">
        <v>641</v>
      </c>
    </row>
    <row r="460" spans="1:36" x14ac:dyDescent="0.25">
      <c r="A460" t="s">
        <v>264</v>
      </c>
      <c r="B460" s="1" t="s">
        <v>534</v>
      </c>
      <c r="C460" s="1">
        <v>0</v>
      </c>
      <c r="D460" s="1">
        <v>1.7457520289999999</v>
      </c>
      <c r="E460" s="1">
        <v>0</v>
      </c>
      <c r="F460" s="1">
        <v>0</v>
      </c>
      <c r="G460" s="1">
        <v>4.2988217909999999</v>
      </c>
      <c r="H460" s="1">
        <v>0</v>
      </c>
      <c r="I460" s="1">
        <v>0</v>
      </c>
      <c r="J460" s="1">
        <v>482.65658919999998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0.29845778000000001</v>
      </c>
      <c r="W460" s="1">
        <v>0</v>
      </c>
      <c r="X460" s="1">
        <v>0</v>
      </c>
      <c r="Y460" s="1">
        <v>27.111312179999999</v>
      </c>
      <c r="Z460" s="1">
        <v>0</v>
      </c>
      <c r="AA460" s="1">
        <v>480</v>
      </c>
      <c r="AB460" s="1">
        <v>0</v>
      </c>
      <c r="AC460" s="1">
        <v>0</v>
      </c>
      <c r="AD460">
        <v>0</v>
      </c>
      <c r="AE460" t="s">
        <v>637</v>
      </c>
      <c r="AF460" s="8" cm="1">
        <f t="array" aca="1" ref="AF460" ca="1">fScore_Total("ESPN",aCols)</f>
        <v>37.511924571999991</v>
      </c>
      <c r="AG460" s="8" cm="1">
        <f t="array" aca="1" ref="AG460" ca="1">-fScore_Total("diff",aCols)</f>
        <v>0</v>
      </c>
      <c r="AH460" s="8">
        <f t="shared" ca="1" si="16"/>
        <v>37.511924571999991</v>
      </c>
      <c r="AI460" s="8" t="str">
        <f t="shared" si="15"/>
        <v>QB</v>
      </c>
      <c r="AJ460" s="8" t="s">
        <v>641</v>
      </c>
    </row>
    <row r="461" spans="1:36" x14ac:dyDescent="0.25">
      <c r="A461" t="s">
        <v>263</v>
      </c>
      <c r="B461" s="1" t="s">
        <v>534</v>
      </c>
      <c r="C461" s="1">
        <v>0</v>
      </c>
      <c r="D461" s="1">
        <v>1.7782112880000001</v>
      </c>
      <c r="E461" s="1">
        <v>0</v>
      </c>
      <c r="F461" s="1">
        <v>0</v>
      </c>
      <c r="G461" s="1">
        <v>2.6553891109999999</v>
      </c>
      <c r="H461" s="1">
        <v>0</v>
      </c>
      <c r="I461" s="1">
        <v>0</v>
      </c>
      <c r="J461" s="1">
        <v>483.08865350000002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0.186487599</v>
      </c>
      <c r="W461" s="1">
        <v>0</v>
      </c>
      <c r="X461" s="1">
        <v>0</v>
      </c>
      <c r="Y461" s="1">
        <v>22.925820959999999</v>
      </c>
      <c r="Z461" s="1">
        <v>0</v>
      </c>
      <c r="AA461" s="1">
        <v>479</v>
      </c>
      <c r="AB461" s="1">
        <v>0</v>
      </c>
      <c r="AC461" s="1">
        <v>0</v>
      </c>
      <c r="AD461">
        <v>0</v>
      </c>
      <c r="AE461" t="s">
        <v>637</v>
      </c>
      <c r="AF461" s="8" cm="1">
        <f t="array" aca="1" ref="AF461" ca="1">fScore_Total("ESPN",aCols)</f>
        <v>29.800187698000002</v>
      </c>
      <c r="AG461" s="8" cm="1">
        <f t="array" aca="1" ref="AG461" ca="1">-fScore_Total("diff",aCols)</f>
        <v>0</v>
      </c>
      <c r="AH461" s="8">
        <f t="shared" ca="1" si="16"/>
        <v>29.800187698000002</v>
      </c>
      <c r="AI461" s="8" t="str">
        <f t="shared" si="15"/>
        <v>QB</v>
      </c>
      <c r="AJ461" s="8" t="s">
        <v>641</v>
      </c>
    </row>
    <row r="462" spans="1:36" x14ac:dyDescent="0.25">
      <c r="A462" t="s">
        <v>262</v>
      </c>
      <c r="B462" s="1" t="s">
        <v>534</v>
      </c>
      <c r="C462" s="1">
        <v>0</v>
      </c>
      <c r="D462" s="1">
        <v>3.042814023</v>
      </c>
      <c r="E462" s="1">
        <v>0</v>
      </c>
      <c r="F462" s="1">
        <v>0</v>
      </c>
      <c r="G462" s="1">
        <v>3.2814647950000002</v>
      </c>
      <c r="H462" s="1">
        <v>0</v>
      </c>
      <c r="I462" s="1">
        <v>0</v>
      </c>
      <c r="J462" s="1">
        <v>782.89429180000002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0.55058543000000004</v>
      </c>
      <c r="W462" s="1">
        <v>0</v>
      </c>
      <c r="X462" s="1">
        <v>0</v>
      </c>
      <c r="Y462" s="1">
        <v>40.430223519999998</v>
      </c>
      <c r="Z462" s="1">
        <v>0</v>
      </c>
      <c r="AA462" s="1">
        <v>478</v>
      </c>
      <c r="AB462" s="1">
        <v>0</v>
      </c>
      <c r="AC462" s="1">
        <v>0</v>
      </c>
      <c r="AD462">
        <v>0</v>
      </c>
      <c r="AE462" t="s">
        <v>637</v>
      </c>
      <c r="AF462" s="8" cm="1">
        <f t="array" aca="1" ref="AF462" ca="1">fScore_Total("ESPN",aCols)</f>
        <v>45.702537738000004</v>
      </c>
      <c r="AG462" s="8" cm="1">
        <f t="array" aca="1" ref="AG462" ca="1">-fScore_Total("diff",aCols)</f>
        <v>0</v>
      </c>
      <c r="AH462" s="8">
        <f t="shared" ca="1" si="16"/>
        <v>45.702537738000004</v>
      </c>
      <c r="AI462" s="8" t="str">
        <f t="shared" si="15"/>
        <v>QB</v>
      </c>
      <c r="AJ462" s="8" t="s">
        <v>641</v>
      </c>
    </row>
    <row r="463" spans="1:36" x14ac:dyDescent="0.25">
      <c r="A463" t="s">
        <v>260</v>
      </c>
      <c r="B463" s="1" t="s">
        <v>534</v>
      </c>
      <c r="C463" s="1">
        <v>0</v>
      </c>
      <c r="D463" s="1">
        <v>4.5062706639999996</v>
      </c>
      <c r="E463" s="1">
        <v>0</v>
      </c>
      <c r="F463" s="1">
        <v>0</v>
      </c>
      <c r="G463" s="1">
        <v>4.9474390369999997</v>
      </c>
      <c r="H463" s="1">
        <v>0</v>
      </c>
      <c r="I463" s="1">
        <v>0</v>
      </c>
      <c r="J463" s="1">
        <v>1091.810982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0.34383598900000001</v>
      </c>
      <c r="W463" s="1">
        <v>0</v>
      </c>
      <c r="X463" s="1">
        <v>0</v>
      </c>
      <c r="Y463" s="1">
        <v>35.817189890000002</v>
      </c>
      <c r="Z463" s="1">
        <v>0</v>
      </c>
      <c r="AA463" s="1">
        <v>477</v>
      </c>
      <c r="AB463" s="1">
        <v>0</v>
      </c>
      <c r="AC463" s="1">
        <v>0</v>
      </c>
      <c r="AD463">
        <v>0</v>
      </c>
      <c r="AE463" t="s">
        <v>637</v>
      </c>
      <c r="AF463" s="8" cm="1">
        <f t="array" aca="1" ref="AF463" ca="1">fScore_Total("ESPN",aCols)</f>
        <v>60.094389022999998</v>
      </c>
      <c r="AG463" s="8" cm="1">
        <f t="array" aca="1" ref="AG463" ca="1">-fScore_Total("diff",aCols)</f>
        <v>0</v>
      </c>
      <c r="AH463" s="8">
        <f t="shared" ca="1" si="16"/>
        <v>60.094389022999998</v>
      </c>
      <c r="AI463" s="8" t="str">
        <f t="shared" si="15"/>
        <v>QB</v>
      </c>
      <c r="AJ463" s="8" t="s">
        <v>641</v>
      </c>
    </row>
    <row r="464" spans="1:36" x14ac:dyDescent="0.25">
      <c r="A464" t="s">
        <v>257</v>
      </c>
      <c r="B464" s="1" t="s">
        <v>535</v>
      </c>
      <c r="C464" s="1">
        <v>0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  <c r="M464" s="1">
        <v>18.757790719999999</v>
      </c>
      <c r="N464" s="1">
        <v>0</v>
      </c>
      <c r="O464" s="1">
        <v>1.456363651</v>
      </c>
      <c r="P464" s="1">
        <v>0</v>
      </c>
      <c r="Q464" s="1">
        <v>0</v>
      </c>
      <c r="R464" s="1">
        <v>188.04265280000001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474</v>
      </c>
      <c r="AB464" s="1">
        <v>0</v>
      </c>
      <c r="AC464" s="1">
        <v>0</v>
      </c>
      <c r="AD464">
        <v>0</v>
      </c>
      <c r="AE464" t="s">
        <v>637</v>
      </c>
      <c r="AF464" s="8" cm="1">
        <f t="array" aca="1" ref="AF464" ca="1">fScore_Total("ESPN",aCols)</f>
        <v>36.921342546000005</v>
      </c>
      <c r="AG464" s="8" cm="1">
        <f t="array" aca="1" ref="AG464" ca="1">-fScore_Total("diff",aCols)</f>
        <v>0</v>
      </c>
      <c r="AH464" s="8">
        <f t="shared" ca="1" si="16"/>
        <v>36.921342546000005</v>
      </c>
      <c r="AI464" s="8" t="str">
        <f t="shared" si="15"/>
        <v>FLEX</v>
      </c>
      <c r="AJ464" s="8"/>
    </row>
    <row r="465" spans="1:36" x14ac:dyDescent="0.25">
      <c r="A465" t="s">
        <v>258</v>
      </c>
      <c r="B465" s="1" t="s">
        <v>535</v>
      </c>
      <c r="C465" s="1">
        <v>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  <c r="M465" s="1">
        <v>19.146781579999999</v>
      </c>
      <c r="N465" s="1">
        <v>0</v>
      </c>
      <c r="O465" s="1">
        <v>1.4000249650000001</v>
      </c>
      <c r="P465" s="1">
        <v>0</v>
      </c>
      <c r="Q465" s="1">
        <v>0</v>
      </c>
      <c r="R465" s="1">
        <v>192.0747337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473</v>
      </c>
      <c r="AB465" s="1">
        <v>0</v>
      </c>
      <c r="AC465" s="1">
        <v>0</v>
      </c>
      <c r="AD465">
        <v>0</v>
      </c>
      <c r="AE465" t="s">
        <v>637</v>
      </c>
      <c r="AF465" s="8" cm="1">
        <f t="array" aca="1" ref="AF465" ca="1">fScore_Total("ESPN",aCols)</f>
        <v>37.181013950000001</v>
      </c>
      <c r="AG465" s="8" cm="1">
        <f t="array" aca="1" ref="AG465" ca="1">-fScore_Total("diff",aCols)</f>
        <v>0</v>
      </c>
      <c r="AH465" s="8">
        <f t="shared" ca="1" si="16"/>
        <v>37.181013950000001</v>
      </c>
      <c r="AI465" s="8" t="str">
        <f t="shared" si="15"/>
        <v>FLEX</v>
      </c>
      <c r="AJ465" s="8"/>
    </row>
    <row r="466" spans="1:36" x14ac:dyDescent="0.25">
      <c r="A466" t="s">
        <v>291</v>
      </c>
      <c r="B466" s="1" t="s">
        <v>535</v>
      </c>
      <c r="C466" s="1">
        <v>0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  <c r="M466" s="1">
        <v>22.860828770000001</v>
      </c>
      <c r="N466" s="1">
        <v>0</v>
      </c>
      <c r="O466" s="1">
        <v>1.557861776</v>
      </c>
      <c r="P466" s="1">
        <v>0</v>
      </c>
      <c r="Q466" s="1">
        <v>0</v>
      </c>
      <c r="R466" s="1">
        <v>224.28245580000001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472</v>
      </c>
      <c r="AB466" s="1">
        <v>0</v>
      </c>
      <c r="AC466" s="1">
        <v>0</v>
      </c>
      <c r="AD466">
        <v>0</v>
      </c>
      <c r="AE466" t="s">
        <v>637</v>
      </c>
      <c r="AF466" s="8" cm="1">
        <f t="array" aca="1" ref="AF466" ca="1">fScore_Total("ESPN",aCols)</f>
        <v>43.205830621000004</v>
      </c>
      <c r="AG466" s="8" cm="1">
        <f t="array" aca="1" ref="AG466" ca="1">-fScore_Total("diff",aCols)</f>
        <v>0</v>
      </c>
      <c r="AH466" s="8">
        <f t="shared" ca="1" si="16"/>
        <v>43.205830621000004</v>
      </c>
      <c r="AI466" s="8" t="str">
        <f t="shared" si="15"/>
        <v>FLEX</v>
      </c>
      <c r="AJ466" s="8"/>
    </row>
    <row r="467" spans="1:36" x14ac:dyDescent="0.25">
      <c r="A467" t="s">
        <v>254</v>
      </c>
      <c r="B467" s="1" t="s">
        <v>535</v>
      </c>
      <c r="C467" s="1">
        <v>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  <c r="J467" s="1">
        <v>0</v>
      </c>
      <c r="K467" s="1">
        <v>0</v>
      </c>
      <c r="L467" s="1">
        <v>0</v>
      </c>
      <c r="M467" s="1">
        <v>26.426392580000002</v>
      </c>
      <c r="N467" s="1">
        <v>0</v>
      </c>
      <c r="O467" s="1">
        <v>1.0865240890000001</v>
      </c>
      <c r="P467" s="1">
        <v>0</v>
      </c>
      <c r="Q467" s="1">
        <v>0</v>
      </c>
      <c r="R467" s="1">
        <v>246.8223035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470</v>
      </c>
      <c r="AB467" s="1">
        <v>0</v>
      </c>
      <c r="AC467" s="1">
        <v>0</v>
      </c>
      <c r="AD467">
        <v>0</v>
      </c>
      <c r="AE467" t="s">
        <v>637</v>
      </c>
      <c r="AF467" s="8" cm="1">
        <f t="array" aca="1" ref="AF467" ca="1">fScore_Total("ESPN",aCols)</f>
        <v>44.414571174000002</v>
      </c>
      <c r="AG467" s="8" cm="1">
        <f t="array" aca="1" ref="AG467" ca="1">-fScore_Total("diff",aCols)</f>
        <v>0</v>
      </c>
      <c r="AH467" s="8">
        <f t="shared" ca="1" si="16"/>
        <v>44.414571174000002</v>
      </c>
      <c r="AI467" s="8" t="str">
        <f t="shared" si="15"/>
        <v>FLEX</v>
      </c>
      <c r="AJ467" s="8"/>
    </row>
    <row r="468" spans="1:36" x14ac:dyDescent="0.25">
      <c r="A468" t="s">
        <v>236</v>
      </c>
      <c r="B468" s="1" t="s">
        <v>535</v>
      </c>
      <c r="C468" s="1">
        <v>0</v>
      </c>
      <c r="D468" s="1">
        <v>0</v>
      </c>
      <c r="E468" s="1">
        <v>0</v>
      </c>
      <c r="F468" s="1">
        <v>0</v>
      </c>
      <c r="G468" s="1">
        <v>0</v>
      </c>
      <c r="H468" s="1">
        <v>0</v>
      </c>
      <c r="I468" s="1">
        <v>0</v>
      </c>
      <c r="J468" s="1">
        <v>0</v>
      </c>
      <c r="K468" s="1">
        <v>0</v>
      </c>
      <c r="L468" s="1">
        <v>0</v>
      </c>
      <c r="M468" s="1">
        <v>21.913933960000001</v>
      </c>
      <c r="N468" s="1">
        <v>0</v>
      </c>
      <c r="O468" s="1">
        <v>0.86677965300000004</v>
      </c>
      <c r="P468" s="1">
        <v>0</v>
      </c>
      <c r="Q468" s="1">
        <v>0</v>
      </c>
      <c r="R468" s="1">
        <v>178.83001830000001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469</v>
      </c>
      <c r="AB468" s="1">
        <v>0</v>
      </c>
      <c r="AC468" s="1">
        <v>0</v>
      </c>
      <c r="AD468">
        <v>0</v>
      </c>
      <c r="AE468" t="s">
        <v>637</v>
      </c>
      <c r="AF468" s="8" cm="1">
        <f t="array" aca="1" ref="AF468" ca="1">fScore_Total("ESPN",aCols)</f>
        <v>34.040646727999999</v>
      </c>
      <c r="AG468" s="8" cm="1">
        <f t="array" aca="1" ref="AG468" ca="1">-fScore_Total("diff",aCols)</f>
        <v>0</v>
      </c>
      <c r="AH468" s="8">
        <f t="shared" ca="1" si="16"/>
        <v>34.040646727999999</v>
      </c>
      <c r="AI468" s="8" t="str">
        <f t="shared" si="15"/>
        <v>FLEX</v>
      </c>
      <c r="AJ468" s="8"/>
    </row>
    <row r="469" spans="1:36" x14ac:dyDescent="0.25">
      <c r="A469" t="s">
        <v>251</v>
      </c>
      <c r="B469" s="1" t="s">
        <v>535</v>
      </c>
      <c r="C469" s="1">
        <v>0</v>
      </c>
      <c r="D469" s="1">
        <v>0</v>
      </c>
      <c r="E469" s="1">
        <v>0</v>
      </c>
      <c r="F469" s="1">
        <v>0</v>
      </c>
      <c r="G469" s="1">
        <v>0</v>
      </c>
      <c r="H469" s="1">
        <v>0</v>
      </c>
      <c r="I469" s="1">
        <v>0</v>
      </c>
      <c r="J469" s="1">
        <v>0</v>
      </c>
      <c r="K469" s="1">
        <v>0</v>
      </c>
      <c r="L469" s="1">
        <v>0</v>
      </c>
      <c r="M469" s="1">
        <v>24.173844890000002</v>
      </c>
      <c r="N469" s="1">
        <v>0</v>
      </c>
      <c r="O469" s="1">
        <v>1.780925876</v>
      </c>
      <c r="P469" s="1">
        <v>0</v>
      </c>
      <c r="Q469" s="1">
        <v>0</v>
      </c>
      <c r="R469" s="1">
        <v>229.958369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468</v>
      </c>
      <c r="AB469" s="1">
        <v>0</v>
      </c>
      <c r="AC469" s="1">
        <v>0</v>
      </c>
      <c r="AD469">
        <v>0</v>
      </c>
      <c r="AE469" t="s">
        <v>637</v>
      </c>
      <c r="AF469" s="8" cm="1">
        <f t="array" aca="1" ref="AF469" ca="1">fScore_Total("ESPN",aCols)</f>
        <v>45.768314601</v>
      </c>
      <c r="AG469" s="8" cm="1">
        <f t="array" aca="1" ref="AG469" ca="1">-fScore_Total("diff",aCols)</f>
        <v>0</v>
      </c>
      <c r="AH469" s="8">
        <f t="shared" ca="1" si="16"/>
        <v>45.768314601</v>
      </c>
      <c r="AI469" s="8" t="str">
        <f t="shared" si="15"/>
        <v>FLEX</v>
      </c>
      <c r="AJ469" s="8"/>
    </row>
    <row r="470" spans="1:36" x14ac:dyDescent="0.25">
      <c r="A470" t="s">
        <v>250</v>
      </c>
      <c r="B470" s="1" t="s">
        <v>535</v>
      </c>
      <c r="C470" s="1">
        <v>0</v>
      </c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  <c r="J470" s="1">
        <v>0</v>
      </c>
      <c r="K470" s="1">
        <v>0</v>
      </c>
      <c r="L470" s="1">
        <v>0</v>
      </c>
      <c r="M470" s="1">
        <v>30.232727919999999</v>
      </c>
      <c r="N470" s="1">
        <v>0</v>
      </c>
      <c r="O470" s="1">
        <v>1.432453354</v>
      </c>
      <c r="P470" s="1">
        <v>0</v>
      </c>
      <c r="Q470" s="1">
        <v>0</v>
      </c>
      <c r="R470" s="1">
        <v>266.77148640000001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467</v>
      </c>
      <c r="AB470" s="1">
        <v>0</v>
      </c>
      <c r="AC470" s="1">
        <v>0</v>
      </c>
      <c r="AD470">
        <v>0</v>
      </c>
      <c r="AE470" t="s">
        <v>637</v>
      </c>
      <c r="AF470" s="8" cm="1">
        <f t="array" aca="1" ref="AF470" ca="1">fScore_Total("ESPN",aCols)</f>
        <v>50.388232724000005</v>
      </c>
      <c r="AG470" s="8" cm="1">
        <f t="array" aca="1" ref="AG470" ca="1">-fScore_Total("diff",aCols)</f>
        <v>0</v>
      </c>
      <c r="AH470" s="8">
        <f t="shared" ca="1" si="16"/>
        <v>50.388232724000005</v>
      </c>
      <c r="AI470" s="8" t="str">
        <f t="shared" si="15"/>
        <v>FLEX</v>
      </c>
      <c r="AJ470" s="8"/>
    </row>
    <row r="471" spans="1:36" x14ac:dyDescent="0.25">
      <c r="A471" t="s">
        <v>252</v>
      </c>
      <c r="B471" s="1" t="s">
        <v>535</v>
      </c>
      <c r="C471" s="1">
        <v>0</v>
      </c>
      <c r="D471" s="1">
        <v>0</v>
      </c>
      <c r="E471" s="1">
        <v>0</v>
      </c>
      <c r="F471" s="1">
        <v>0</v>
      </c>
      <c r="G471" s="1">
        <v>0</v>
      </c>
      <c r="H471" s="1">
        <v>0</v>
      </c>
      <c r="I471" s="1">
        <v>0</v>
      </c>
      <c r="J471" s="1">
        <v>0</v>
      </c>
      <c r="K471" s="1">
        <v>0</v>
      </c>
      <c r="L471" s="1">
        <v>0</v>
      </c>
      <c r="M471" s="1">
        <v>25.865615290000001</v>
      </c>
      <c r="N471" s="1">
        <v>0</v>
      </c>
      <c r="O471" s="1">
        <v>2.3507269759999998</v>
      </c>
      <c r="P471" s="1">
        <v>0</v>
      </c>
      <c r="Q471" s="1">
        <v>0</v>
      </c>
      <c r="R471" s="1">
        <v>265.26696240000001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466</v>
      </c>
      <c r="AB471" s="1">
        <v>0</v>
      </c>
      <c r="AC471" s="1">
        <v>0</v>
      </c>
      <c r="AD471">
        <v>0</v>
      </c>
      <c r="AE471" t="s">
        <v>637</v>
      </c>
      <c r="AF471" s="8" cm="1">
        <f t="array" aca="1" ref="AF471" ca="1">fScore_Total("ESPN",aCols)</f>
        <v>53.563865741000001</v>
      </c>
      <c r="AG471" s="8" cm="1">
        <f t="array" aca="1" ref="AG471" ca="1">-fScore_Total("diff",aCols)</f>
        <v>0</v>
      </c>
      <c r="AH471" s="8">
        <f t="shared" ca="1" si="16"/>
        <v>53.563865741000001</v>
      </c>
      <c r="AI471" s="8" t="str">
        <f t="shared" si="15"/>
        <v>FLEX</v>
      </c>
      <c r="AJ471" s="8"/>
    </row>
    <row r="472" spans="1:36" x14ac:dyDescent="0.25">
      <c r="A472" t="s">
        <v>249</v>
      </c>
      <c r="B472" s="1" t="s">
        <v>535</v>
      </c>
      <c r="C472" s="1">
        <v>0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  <c r="J472" s="1">
        <v>0</v>
      </c>
      <c r="K472" s="1">
        <v>0</v>
      </c>
      <c r="L472" s="1">
        <v>0</v>
      </c>
      <c r="M472" s="1">
        <v>28.451507169999999</v>
      </c>
      <c r="N472" s="1">
        <v>0</v>
      </c>
      <c r="O472" s="1">
        <v>2.3002960130000001</v>
      </c>
      <c r="P472" s="1">
        <v>0</v>
      </c>
      <c r="Q472" s="1">
        <v>0</v>
      </c>
      <c r="R472" s="1">
        <v>289.03964480000002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465</v>
      </c>
      <c r="AB472" s="1">
        <v>0</v>
      </c>
      <c r="AC472" s="1">
        <v>0</v>
      </c>
      <c r="AD472">
        <v>0</v>
      </c>
      <c r="AE472" t="s">
        <v>637</v>
      </c>
      <c r="AF472" s="8" cm="1">
        <f t="array" aca="1" ref="AF472" ca="1">fScore_Total("ESPN",aCols)</f>
        <v>56.931494143000002</v>
      </c>
      <c r="AG472" s="8" cm="1">
        <f t="array" aca="1" ref="AG472" ca="1">-fScore_Total("diff",aCols)</f>
        <v>0</v>
      </c>
      <c r="AH472" s="8">
        <f t="shared" ca="1" si="16"/>
        <v>56.931494143000002</v>
      </c>
      <c r="AI472" s="8" t="str">
        <f t="shared" si="15"/>
        <v>FLEX</v>
      </c>
      <c r="AJ472" s="8"/>
    </row>
    <row r="473" spans="1:36" x14ac:dyDescent="0.25">
      <c r="A473" t="s">
        <v>267</v>
      </c>
      <c r="B473" s="1" t="s">
        <v>534</v>
      </c>
      <c r="C473" s="1">
        <v>0</v>
      </c>
      <c r="D473" s="1">
        <v>1.89649179</v>
      </c>
      <c r="E473" s="1">
        <v>0</v>
      </c>
      <c r="F473" s="1">
        <v>0</v>
      </c>
      <c r="G473" s="1">
        <v>1.858809843</v>
      </c>
      <c r="H473" s="1">
        <v>0</v>
      </c>
      <c r="I473" s="1">
        <v>0</v>
      </c>
      <c r="J473" s="1">
        <v>486.8876214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0.52825976399999997</v>
      </c>
      <c r="W473" s="1">
        <v>0</v>
      </c>
      <c r="X473" s="1">
        <v>0</v>
      </c>
      <c r="Y473" s="1">
        <v>70.242853170000004</v>
      </c>
      <c r="Z473" s="1">
        <v>0</v>
      </c>
      <c r="AA473" s="1">
        <v>485</v>
      </c>
      <c r="AB473" s="1">
        <v>0</v>
      </c>
      <c r="AC473" s="1">
        <v>0</v>
      </c>
      <c r="AD473">
        <v>0</v>
      </c>
      <c r="AE473" t="s">
        <v>637</v>
      </c>
      <c r="AF473" s="8" cm="1">
        <f t="array" aca="1" ref="AF473" ca="1">fScore_Total("ESPN",aCols)</f>
        <v>33.311604549000002</v>
      </c>
      <c r="AG473" s="8" cm="1">
        <f t="array" aca="1" ref="AG473" ca="1">-fScore_Total("diff",aCols)</f>
        <v>0</v>
      </c>
      <c r="AH473" s="8">
        <f t="shared" ca="1" si="16"/>
        <v>33.311604549000002</v>
      </c>
      <c r="AI473" s="8" t="str">
        <f t="shared" si="15"/>
        <v>QB</v>
      </c>
      <c r="AJ473" s="8" t="s">
        <v>641</v>
      </c>
    </row>
    <row r="474" spans="1:36" x14ac:dyDescent="0.25">
      <c r="A474" t="s">
        <v>268</v>
      </c>
      <c r="B474" s="1" t="s">
        <v>534</v>
      </c>
      <c r="C474" s="1">
        <v>0</v>
      </c>
      <c r="D474" s="1">
        <v>1.8734583149999999</v>
      </c>
      <c r="E474" s="1">
        <v>0</v>
      </c>
      <c r="F474" s="1">
        <v>0</v>
      </c>
      <c r="G474" s="1">
        <v>3.0462216830000002</v>
      </c>
      <c r="H474" s="1">
        <v>0</v>
      </c>
      <c r="I474" s="1">
        <v>0</v>
      </c>
      <c r="J474" s="1">
        <v>470.95052440000001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0.94063226200000005</v>
      </c>
      <c r="W474" s="1">
        <v>0</v>
      </c>
      <c r="X474" s="1">
        <v>0</v>
      </c>
      <c r="Y474" s="1">
        <v>41.078357189999998</v>
      </c>
      <c r="Z474" s="1">
        <v>0</v>
      </c>
      <c r="AA474" s="1">
        <v>486</v>
      </c>
      <c r="AB474" s="1">
        <v>0</v>
      </c>
      <c r="AC474" s="1">
        <v>0</v>
      </c>
      <c r="AD474">
        <v>0</v>
      </c>
      <c r="AE474" t="s">
        <v>637</v>
      </c>
      <c r="AF474" s="8" cm="1">
        <f t="array" aca="1" ref="AF474" ca="1">fScore_Total("ESPN",aCols)</f>
        <v>37.027620368999997</v>
      </c>
      <c r="AG474" s="8" cm="1">
        <f t="array" aca="1" ref="AG474" ca="1">-fScore_Total("diff",aCols)</f>
        <v>0</v>
      </c>
      <c r="AH474" s="8">
        <f t="shared" ca="1" si="16"/>
        <v>37.027620368999997</v>
      </c>
      <c r="AI474" s="8" t="str">
        <f t="shared" si="15"/>
        <v>QB</v>
      </c>
      <c r="AJ474" s="8" t="s">
        <v>641</v>
      </c>
    </row>
    <row r="475" spans="1:36" x14ac:dyDescent="0.25">
      <c r="A475" t="s">
        <v>259</v>
      </c>
      <c r="B475" s="1" t="s">
        <v>534</v>
      </c>
      <c r="C475" s="1">
        <v>0</v>
      </c>
      <c r="D475" s="1">
        <v>1.877629956</v>
      </c>
      <c r="E475" s="1">
        <v>0</v>
      </c>
      <c r="F475" s="1">
        <v>0</v>
      </c>
      <c r="G475" s="1">
        <v>2.4007292329999999</v>
      </c>
      <c r="H475" s="1">
        <v>0</v>
      </c>
      <c r="I475" s="1">
        <v>0</v>
      </c>
      <c r="J475" s="1">
        <v>481.77171019999997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0.203498123</v>
      </c>
      <c r="W475" s="1">
        <v>0</v>
      </c>
      <c r="X475" s="1">
        <v>0</v>
      </c>
      <c r="Y475" s="1">
        <v>24.79281787</v>
      </c>
      <c r="Z475" s="1">
        <v>0</v>
      </c>
      <c r="AA475" s="1">
        <v>487</v>
      </c>
      <c r="AB475" s="1">
        <v>0</v>
      </c>
      <c r="AC475" s="1">
        <v>0</v>
      </c>
      <c r="AD475">
        <v>0</v>
      </c>
      <c r="AE475" t="s">
        <v>637</v>
      </c>
      <c r="AF475" s="8" cm="1">
        <f t="array" aca="1" ref="AF475" ca="1">fScore_Total("ESPN",aCols)</f>
        <v>28.818795952999999</v>
      </c>
      <c r="AG475" s="8" cm="1">
        <f t="array" aca="1" ref="AG475" ca="1">-fScore_Total("diff",aCols)</f>
        <v>0</v>
      </c>
      <c r="AH475" s="8">
        <f t="shared" ca="1" si="16"/>
        <v>28.818795952999999</v>
      </c>
      <c r="AI475" s="8" t="str">
        <f t="shared" si="15"/>
        <v>QB</v>
      </c>
      <c r="AJ475" s="8" t="s">
        <v>641</v>
      </c>
    </row>
    <row r="476" spans="1:36" x14ac:dyDescent="0.25">
      <c r="A476" t="s">
        <v>280</v>
      </c>
      <c r="B476" s="1" t="s">
        <v>533</v>
      </c>
      <c r="C476" s="1">
        <v>0</v>
      </c>
      <c r="D476" s="1">
        <v>0</v>
      </c>
      <c r="E476" s="1">
        <v>0</v>
      </c>
      <c r="F476" s="1">
        <v>0</v>
      </c>
      <c r="G476" s="1">
        <v>0</v>
      </c>
      <c r="H476" s="1">
        <v>0</v>
      </c>
      <c r="I476" s="1">
        <v>0</v>
      </c>
      <c r="J476" s="1">
        <v>0</v>
      </c>
      <c r="K476" s="1">
        <v>0</v>
      </c>
      <c r="L476" s="1">
        <v>0</v>
      </c>
      <c r="M476" s="1">
        <v>18.521683339999999</v>
      </c>
      <c r="N476" s="1">
        <v>0</v>
      </c>
      <c r="O476" s="1">
        <v>1.0513589640000001</v>
      </c>
      <c r="P476" s="1">
        <v>0</v>
      </c>
      <c r="Q476" s="1">
        <v>0</v>
      </c>
      <c r="R476" s="1">
        <v>238.8880212</v>
      </c>
      <c r="S476" s="1">
        <v>0</v>
      </c>
      <c r="T476" s="1">
        <v>0</v>
      </c>
      <c r="U476" s="1">
        <v>0</v>
      </c>
      <c r="V476" s="1">
        <v>9.9454131000000001E-2</v>
      </c>
      <c r="W476" s="1">
        <v>0</v>
      </c>
      <c r="X476" s="1">
        <v>0</v>
      </c>
      <c r="Y476" s="1">
        <v>16.124611519999998</v>
      </c>
      <c r="Z476" s="1">
        <v>0</v>
      </c>
      <c r="AA476" s="1">
        <v>989</v>
      </c>
      <c r="AB476" s="1">
        <v>0</v>
      </c>
      <c r="AC476" s="1">
        <v>0</v>
      </c>
      <c r="AD476">
        <v>0</v>
      </c>
      <c r="AE476" t="s">
        <v>637</v>
      </c>
      <c r="AF476" s="8" cm="1">
        <f t="array" aca="1" ref="AF476" ca="1">fScore_Total("ESPN",aCols)</f>
        <v>41.666983512000002</v>
      </c>
      <c r="AG476" s="8" cm="1">
        <f t="array" aca="1" ref="AG476" ca="1">-fScore_Total("diff",aCols)</f>
        <v>0</v>
      </c>
      <c r="AH476" s="8">
        <f t="shared" ca="1" si="16"/>
        <v>41.666983512000002</v>
      </c>
      <c r="AI476" s="8" t="str">
        <f t="shared" si="15"/>
        <v>FLEX</v>
      </c>
      <c r="AJ476" s="8"/>
    </row>
    <row r="477" spans="1:36" x14ac:dyDescent="0.25">
      <c r="A477" t="s">
        <v>305</v>
      </c>
      <c r="B477" s="1" t="s">
        <v>535</v>
      </c>
      <c r="C477" s="1">
        <v>0</v>
      </c>
      <c r="D477" s="1">
        <v>0</v>
      </c>
      <c r="E477" s="1">
        <v>0</v>
      </c>
      <c r="F477" s="1">
        <v>0</v>
      </c>
      <c r="G477" s="1">
        <v>0</v>
      </c>
      <c r="H477" s="1">
        <v>0</v>
      </c>
      <c r="I477" s="1">
        <v>0</v>
      </c>
      <c r="J477" s="1">
        <v>0</v>
      </c>
      <c r="K477" s="1">
        <v>0</v>
      </c>
      <c r="L477" s="1">
        <v>0</v>
      </c>
      <c r="M477" s="1">
        <v>16.31129022</v>
      </c>
      <c r="N477" s="1">
        <v>0</v>
      </c>
      <c r="O477" s="1">
        <v>1.5250584979999999</v>
      </c>
      <c r="P477" s="1">
        <v>0</v>
      </c>
      <c r="Q477" s="1">
        <v>0</v>
      </c>
      <c r="R477" s="1">
        <v>168.77234329999999</v>
      </c>
      <c r="S477" s="1">
        <v>0</v>
      </c>
      <c r="T477" s="1"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996</v>
      </c>
      <c r="AB477" s="1">
        <v>0</v>
      </c>
      <c r="AC477" s="1">
        <v>0</v>
      </c>
      <c r="AD477">
        <v>0</v>
      </c>
      <c r="AE477" t="s">
        <v>637</v>
      </c>
      <c r="AF477" s="8" cm="1">
        <f t="array" aca="1" ref="AF477" ca="1">fScore_Total("ESPN",aCols)</f>
        <v>34.183230428000002</v>
      </c>
      <c r="AG477" s="8" cm="1">
        <f t="array" aca="1" ref="AG477" ca="1">-fScore_Total("diff",aCols)</f>
        <v>0</v>
      </c>
      <c r="AH477" s="8">
        <f t="shared" ca="1" si="16"/>
        <v>34.183230428000002</v>
      </c>
      <c r="AI477" s="8" t="str">
        <f t="shared" si="15"/>
        <v>FLEX</v>
      </c>
      <c r="AJ477" s="8"/>
    </row>
    <row r="478" spans="1:36" x14ac:dyDescent="0.25">
      <c r="A478" t="s">
        <v>323</v>
      </c>
      <c r="B478" s="1" t="s">
        <v>533</v>
      </c>
      <c r="C478" s="1">
        <v>0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  <c r="J478" s="1">
        <v>0</v>
      </c>
      <c r="K478" s="1">
        <v>0</v>
      </c>
      <c r="L478" s="1">
        <v>0</v>
      </c>
      <c r="M478" s="1">
        <v>17.440493450000002</v>
      </c>
      <c r="N478" s="1">
        <v>0</v>
      </c>
      <c r="O478" s="1">
        <v>0.90057610099999996</v>
      </c>
      <c r="P478" s="1">
        <v>0</v>
      </c>
      <c r="Q478" s="1">
        <v>0</v>
      </c>
      <c r="R478" s="1">
        <v>218.53313929999999</v>
      </c>
      <c r="S478" s="1">
        <v>0</v>
      </c>
      <c r="T478" s="1">
        <v>0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995</v>
      </c>
      <c r="AB478" s="1">
        <v>0</v>
      </c>
      <c r="AC478" s="1">
        <v>0</v>
      </c>
      <c r="AD478">
        <v>0</v>
      </c>
      <c r="AE478" t="s">
        <v>637</v>
      </c>
      <c r="AF478" s="8" cm="1">
        <f t="array" aca="1" ref="AF478" ca="1">fScore_Total("ESPN",aCols)</f>
        <v>35.977017261</v>
      </c>
      <c r="AG478" s="8" cm="1">
        <f t="array" aca="1" ref="AG478" ca="1">-fScore_Total("diff",aCols)</f>
        <v>0</v>
      </c>
      <c r="AH478" s="8">
        <f t="shared" ca="1" si="16"/>
        <v>35.977017261</v>
      </c>
      <c r="AI478" s="8" t="str">
        <f t="shared" si="15"/>
        <v>FLEX</v>
      </c>
      <c r="AJ478" s="8"/>
    </row>
    <row r="479" spans="1:36" x14ac:dyDescent="0.25">
      <c r="A479" t="s">
        <v>276</v>
      </c>
      <c r="B479" s="1" t="s">
        <v>533</v>
      </c>
      <c r="C479" s="1">
        <v>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14.83710892</v>
      </c>
      <c r="N479" s="1">
        <v>0</v>
      </c>
      <c r="O479" s="1">
        <v>1.731927376</v>
      </c>
      <c r="P479" s="1">
        <v>0</v>
      </c>
      <c r="Q479" s="1">
        <v>0</v>
      </c>
      <c r="R479" s="1">
        <v>215.8327506</v>
      </c>
      <c r="S479" s="1">
        <v>0</v>
      </c>
      <c r="T479" s="1">
        <v>0</v>
      </c>
      <c r="U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994</v>
      </c>
      <c r="AB479" s="1">
        <v>0</v>
      </c>
      <c r="AC479" s="1">
        <v>0</v>
      </c>
      <c r="AD479">
        <v>0</v>
      </c>
      <c r="AE479" t="s">
        <v>637</v>
      </c>
      <c r="AF479" s="8" cm="1">
        <f t="array" aca="1" ref="AF479" ca="1">fScore_Total("ESPN",aCols)</f>
        <v>39.393393776000003</v>
      </c>
      <c r="AG479" s="8" cm="1">
        <f t="array" aca="1" ref="AG479" ca="1">-fScore_Total("diff",aCols)</f>
        <v>0</v>
      </c>
      <c r="AH479" s="8">
        <f t="shared" ca="1" si="16"/>
        <v>39.393393776000003</v>
      </c>
      <c r="AI479" s="8" t="str">
        <f t="shared" si="15"/>
        <v>FLEX</v>
      </c>
      <c r="AJ479" s="8"/>
    </row>
    <row r="480" spans="1:36" x14ac:dyDescent="0.25">
      <c r="A480" t="s">
        <v>494</v>
      </c>
      <c r="B480" s="1" t="s">
        <v>533</v>
      </c>
      <c r="C480" s="1">
        <v>0</v>
      </c>
      <c r="D480" s="1">
        <v>0</v>
      </c>
      <c r="E480" s="1">
        <v>0</v>
      </c>
      <c r="F480" s="1">
        <v>0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  <c r="M480" s="1">
        <v>17.30303</v>
      </c>
      <c r="N480" s="1">
        <v>0</v>
      </c>
      <c r="O480" s="1">
        <v>1.5349752560000001</v>
      </c>
      <c r="P480" s="1">
        <v>0</v>
      </c>
      <c r="Q480" s="1">
        <v>0</v>
      </c>
      <c r="R480" s="1">
        <v>221.15067550000001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993</v>
      </c>
      <c r="AB480" s="1">
        <v>0</v>
      </c>
      <c r="AC480" s="1">
        <v>0</v>
      </c>
      <c r="AD480">
        <v>0</v>
      </c>
      <c r="AE480" t="s">
        <v>637</v>
      </c>
      <c r="AF480" s="8" cm="1">
        <f t="array" aca="1" ref="AF480" ca="1">fScore_Total("ESPN",aCols)</f>
        <v>39.976434085999998</v>
      </c>
      <c r="AG480" s="8" cm="1">
        <f t="array" aca="1" ref="AG480" ca="1">-fScore_Total("diff",aCols)</f>
        <v>0</v>
      </c>
      <c r="AH480" s="8">
        <f t="shared" ca="1" si="16"/>
        <v>39.976434085999998</v>
      </c>
      <c r="AI480" s="8" t="str">
        <f t="shared" si="15"/>
        <v>FLEX</v>
      </c>
      <c r="AJ480" s="8"/>
    </row>
    <row r="481" spans="1:36" x14ac:dyDescent="0.25">
      <c r="A481" t="s">
        <v>448</v>
      </c>
      <c r="B481" s="1" t="s">
        <v>533</v>
      </c>
      <c r="C481" s="1">
        <v>0</v>
      </c>
      <c r="D481" s="1">
        <v>0</v>
      </c>
      <c r="E481" s="1">
        <v>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  <c r="M481" s="1">
        <v>18.07140704</v>
      </c>
      <c r="N481" s="1">
        <v>0</v>
      </c>
      <c r="O481" s="1">
        <v>1.427071634</v>
      </c>
      <c r="P481" s="1">
        <v>0</v>
      </c>
      <c r="Q481" s="1">
        <v>0</v>
      </c>
      <c r="R481" s="1">
        <v>221.12026800000001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992</v>
      </c>
      <c r="AB481" s="1">
        <v>0</v>
      </c>
      <c r="AC481" s="1">
        <v>0</v>
      </c>
      <c r="AD481">
        <v>0</v>
      </c>
      <c r="AE481" t="s">
        <v>637</v>
      </c>
      <c r="AF481" s="8" cm="1">
        <f t="array" aca="1" ref="AF481" ca="1">fScore_Total("ESPN",aCols)</f>
        <v>39.710160124000005</v>
      </c>
      <c r="AG481" s="8" cm="1">
        <f t="array" aca="1" ref="AG481" ca="1">-fScore_Total("diff",aCols)</f>
        <v>0</v>
      </c>
      <c r="AH481" s="8">
        <f t="shared" ca="1" si="16"/>
        <v>39.710160124000005</v>
      </c>
      <c r="AI481" s="8" t="str">
        <f t="shared" si="15"/>
        <v>FLEX</v>
      </c>
      <c r="AJ481" s="8"/>
    </row>
    <row r="482" spans="1:36" x14ac:dyDescent="0.25">
      <c r="A482" t="s">
        <v>289</v>
      </c>
      <c r="B482" s="1" t="s">
        <v>533</v>
      </c>
      <c r="C482" s="1">
        <v>0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  <c r="M482" s="1">
        <v>16.762453579999999</v>
      </c>
      <c r="N482" s="1">
        <v>0</v>
      </c>
      <c r="O482" s="1">
        <v>1.652291875</v>
      </c>
      <c r="P482" s="1">
        <v>0</v>
      </c>
      <c r="Q482" s="1">
        <v>0</v>
      </c>
      <c r="R482" s="1">
        <v>222.73061290000001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991</v>
      </c>
      <c r="AB482" s="1">
        <v>0</v>
      </c>
      <c r="AC482" s="1">
        <v>0</v>
      </c>
      <c r="AD482">
        <v>0</v>
      </c>
      <c r="AE482" t="s">
        <v>637</v>
      </c>
      <c r="AF482" s="8" cm="1">
        <f t="array" aca="1" ref="AF482" ca="1">fScore_Total("ESPN",aCols)</f>
        <v>40.568039330000005</v>
      </c>
      <c r="AG482" s="8" cm="1">
        <f t="array" aca="1" ref="AG482" ca="1">-fScore_Total("diff",aCols)</f>
        <v>0</v>
      </c>
      <c r="AH482" s="8">
        <f t="shared" ca="1" si="16"/>
        <v>40.568039330000005</v>
      </c>
      <c r="AI482" s="8" t="str">
        <f t="shared" si="15"/>
        <v>FLEX</v>
      </c>
      <c r="AJ482" s="8"/>
    </row>
    <row r="483" spans="1:36" x14ac:dyDescent="0.25">
      <c r="A483" t="s">
        <v>287</v>
      </c>
      <c r="B483" s="1" t="s">
        <v>533</v>
      </c>
      <c r="C483" s="1">
        <v>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0</v>
      </c>
      <c r="J483" s="1">
        <v>0</v>
      </c>
      <c r="K483" s="1">
        <v>0</v>
      </c>
      <c r="L483" s="1">
        <v>0</v>
      </c>
      <c r="M483" s="1">
        <v>17.477638030000001</v>
      </c>
      <c r="N483" s="1">
        <v>0</v>
      </c>
      <c r="O483" s="1">
        <v>1.277773386</v>
      </c>
      <c r="P483" s="1">
        <v>0</v>
      </c>
      <c r="Q483" s="1">
        <v>0</v>
      </c>
      <c r="R483" s="1">
        <v>246.19096450000001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990</v>
      </c>
      <c r="AB483" s="1">
        <v>0</v>
      </c>
      <c r="AC483" s="1">
        <v>0</v>
      </c>
      <c r="AD483">
        <v>0</v>
      </c>
      <c r="AE483" t="s">
        <v>637</v>
      </c>
      <c r="AF483" s="8" cm="1">
        <f t="array" aca="1" ref="AF483" ca="1">fScore_Total("ESPN",aCols)</f>
        <v>41.024555781000004</v>
      </c>
      <c r="AG483" s="8" cm="1">
        <f t="array" aca="1" ref="AG483" ca="1">-fScore_Total("diff",aCols)</f>
        <v>0</v>
      </c>
      <c r="AH483" s="8">
        <f t="shared" ca="1" si="16"/>
        <v>41.024555781000004</v>
      </c>
      <c r="AI483" s="8" t="str">
        <f t="shared" si="15"/>
        <v>FLEX</v>
      </c>
      <c r="AJ483" s="8"/>
    </row>
    <row r="484" spans="1:36" x14ac:dyDescent="0.25">
      <c r="A484" t="s">
        <v>283</v>
      </c>
      <c r="B484" s="1" t="s">
        <v>533</v>
      </c>
      <c r="C484" s="1">
        <v>0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  <c r="J484" s="1">
        <v>0</v>
      </c>
      <c r="K484" s="1">
        <v>0</v>
      </c>
      <c r="L484" s="1">
        <v>0</v>
      </c>
      <c r="M484" s="1">
        <v>20.233473450000002</v>
      </c>
      <c r="N484" s="1">
        <v>0</v>
      </c>
      <c r="O484" s="1">
        <v>1.537963083</v>
      </c>
      <c r="P484" s="1">
        <v>0</v>
      </c>
      <c r="Q484" s="1">
        <v>0</v>
      </c>
      <c r="R484" s="1">
        <v>228.74137469999999</v>
      </c>
      <c r="S484" s="1">
        <v>0</v>
      </c>
      <c r="T484" s="1">
        <v>0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1">
        <v>0</v>
      </c>
      <c r="AA484" s="1">
        <v>988</v>
      </c>
      <c r="AB484" s="1">
        <v>0</v>
      </c>
      <c r="AC484" s="1">
        <v>0</v>
      </c>
      <c r="AD484">
        <v>0</v>
      </c>
      <c r="AE484" t="s">
        <v>637</v>
      </c>
      <c r="AF484" s="8" cm="1">
        <f t="array" aca="1" ref="AF484" ca="1">fScore_Total("ESPN",aCols)</f>
        <v>42.218652693000003</v>
      </c>
      <c r="AG484" s="8" cm="1">
        <f t="array" aca="1" ref="AG484" ca="1">-fScore_Total("diff",aCols)</f>
        <v>0</v>
      </c>
      <c r="AH484" s="8">
        <f t="shared" ca="1" si="16"/>
        <v>42.218652693000003</v>
      </c>
      <c r="AI484" s="8" t="str">
        <f t="shared" si="15"/>
        <v>FLEX</v>
      </c>
      <c r="AJ484" s="8"/>
    </row>
    <row r="485" spans="1:36" x14ac:dyDescent="0.25">
      <c r="A485" t="s">
        <v>271</v>
      </c>
      <c r="B485" s="1" t="s">
        <v>533</v>
      </c>
      <c r="C485" s="1">
        <v>0</v>
      </c>
      <c r="D485" s="1">
        <v>0</v>
      </c>
      <c r="E485" s="1">
        <v>0</v>
      </c>
      <c r="F485" s="1">
        <v>0</v>
      </c>
      <c r="G485" s="1">
        <v>0</v>
      </c>
      <c r="H485" s="1">
        <v>0</v>
      </c>
      <c r="I485" s="1">
        <v>0</v>
      </c>
      <c r="J485" s="1">
        <v>0</v>
      </c>
      <c r="K485" s="1">
        <v>0</v>
      </c>
      <c r="L485" s="1">
        <v>0</v>
      </c>
      <c r="M485" s="1">
        <v>19.68132473</v>
      </c>
      <c r="N485" s="1">
        <v>0</v>
      </c>
      <c r="O485" s="1">
        <v>1.331621707</v>
      </c>
      <c r="P485" s="1">
        <v>0</v>
      </c>
      <c r="Q485" s="1">
        <v>0</v>
      </c>
      <c r="R485" s="1">
        <v>264.96234980000003</v>
      </c>
      <c r="S485" s="1">
        <v>0</v>
      </c>
      <c r="T485" s="1">
        <v>0</v>
      </c>
      <c r="U485" s="1">
        <v>0</v>
      </c>
      <c r="V485" s="1">
        <v>0.12330629999999999</v>
      </c>
      <c r="W485" s="1">
        <v>0</v>
      </c>
      <c r="X485" s="1">
        <v>0</v>
      </c>
      <c r="Y485" s="1">
        <v>12.22141804</v>
      </c>
      <c r="Z485" s="1">
        <v>0</v>
      </c>
      <c r="AA485" s="1">
        <v>987</v>
      </c>
      <c r="AB485" s="1">
        <v>0</v>
      </c>
      <c r="AC485" s="1">
        <v>0</v>
      </c>
      <c r="AD485">
        <v>0</v>
      </c>
      <c r="AE485" t="s">
        <v>637</v>
      </c>
      <c r="AF485" s="8" cm="1">
        <f t="array" aca="1" ref="AF485" ca="1">fScore_Total("ESPN",aCols)</f>
        <v>46.288607191000004</v>
      </c>
      <c r="AG485" s="8" cm="1">
        <f t="array" aca="1" ref="AG485" ca="1">-fScore_Total("diff",aCols)</f>
        <v>0</v>
      </c>
      <c r="AH485" s="8">
        <f t="shared" ca="1" si="16"/>
        <v>46.288607191000004</v>
      </c>
      <c r="AI485" s="8" t="str">
        <f t="shared" si="15"/>
        <v>FLEX</v>
      </c>
      <c r="AJ485" s="8"/>
    </row>
    <row r="486" spans="1:36" x14ac:dyDescent="0.25">
      <c r="A486" t="s">
        <v>270</v>
      </c>
      <c r="B486" s="1" t="s">
        <v>533</v>
      </c>
      <c r="C486" s="1">
        <v>0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  <c r="J486" s="1">
        <v>0</v>
      </c>
      <c r="K486" s="1">
        <v>0</v>
      </c>
      <c r="L486" s="1">
        <v>0</v>
      </c>
      <c r="M486" s="1">
        <v>20.574671559999999</v>
      </c>
      <c r="N486" s="1">
        <v>0</v>
      </c>
      <c r="O486" s="1">
        <v>1.1011555980000001</v>
      </c>
      <c r="P486" s="1">
        <v>0</v>
      </c>
      <c r="Q486" s="1">
        <v>0</v>
      </c>
      <c r="R486" s="1">
        <v>284.83565979999997</v>
      </c>
      <c r="S486" s="1">
        <v>0</v>
      </c>
      <c r="T486" s="1">
        <v>0</v>
      </c>
      <c r="U486" s="1">
        <v>0</v>
      </c>
      <c r="V486" s="1">
        <v>0.15187133</v>
      </c>
      <c r="W486" s="1">
        <v>0</v>
      </c>
      <c r="X486" s="1">
        <v>0</v>
      </c>
      <c r="Y486" s="1">
        <v>22.062681189999999</v>
      </c>
      <c r="Z486" s="1">
        <v>0</v>
      </c>
      <c r="AA486" s="1">
        <v>985</v>
      </c>
      <c r="AB486" s="1">
        <v>0</v>
      </c>
      <c r="AC486" s="1">
        <v>0</v>
      </c>
      <c r="AD486">
        <v>0</v>
      </c>
      <c r="AE486" t="s">
        <v>637</v>
      </c>
      <c r="AF486" s="8" cm="1">
        <f t="array" aca="1" ref="AF486" ca="1">fScore_Total("ESPN",aCols)</f>
        <v>48.495331446999998</v>
      </c>
      <c r="AG486" s="8" cm="1">
        <f t="array" aca="1" ref="AG486" ca="1">-fScore_Total("diff",aCols)</f>
        <v>0</v>
      </c>
      <c r="AH486" s="8">
        <f t="shared" ca="1" si="16"/>
        <v>48.495331446999998</v>
      </c>
      <c r="AI486" s="8" t="str">
        <f t="shared" si="15"/>
        <v>FLEX</v>
      </c>
      <c r="AJ486" s="8"/>
    </row>
    <row r="487" spans="1:36" x14ac:dyDescent="0.25">
      <c r="A487" t="s">
        <v>346</v>
      </c>
      <c r="B487" s="1" t="s">
        <v>533</v>
      </c>
      <c r="C487" s="1">
        <v>0</v>
      </c>
      <c r="D487" s="1">
        <v>0</v>
      </c>
      <c r="E487" s="1">
        <v>0</v>
      </c>
      <c r="F487" s="1">
        <v>0</v>
      </c>
      <c r="G487" s="1">
        <v>0</v>
      </c>
      <c r="H487" s="1">
        <v>0</v>
      </c>
      <c r="I487" s="1">
        <v>0</v>
      </c>
      <c r="J487" s="1">
        <v>0</v>
      </c>
      <c r="K487" s="1">
        <v>0</v>
      </c>
      <c r="L487" s="1">
        <v>0</v>
      </c>
      <c r="M487" s="1">
        <v>23.591956750000001</v>
      </c>
      <c r="N487" s="1">
        <v>0</v>
      </c>
      <c r="O487" s="1">
        <v>1.2476899379999999</v>
      </c>
      <c r="P487" s="1">
        <v>0</v>
      </c>
      <c r="Q487" s="1">
        <v>0</v>
      </c>
      <c r="R487" s="1">
        <v>280.74106519999998</v>
      </c>
      <c r="S487" s="1">
        <v>0</v>
      </c>
      <c r="T487" s="1">
        <v>0</v>
      </c>
      <c r="U487" s="1">
        <v>0</v>
      </c>
      <c r="V487" s="1">
        <v>0</v>
      </c>
      <c r="W487" s="1">
        <v>0</v>
      </c>
      <c r="X487" s="1">
        <v>0</v>
      </c>
      <c r="Y487" s="1">
        <v>0</v>
      </c>
      <c r="Z487" s="1">
        <v>0</v>
      </c>
      <c r="AA487" s="1">
        <v>984</v>
      </c>
      <c r="AB487" s="1">
        <v>0</v>
      </c>
      <c r="AC487" s="1">
        <v>0</v>
      </c>
      <c r="AD487">
        <v>0</v>
      </c>
      <c r="AE487" t="s">
        <v>637</v>
      </c>
      <c r="AF487" s="8" cm="1">
        <f t="array" aca="1" ref="AF487" ca="1">fScore_Total("ESPN",aCols)</f>
        <v>47.356224523000002</v>
      </c>
      <c r="AG487" s="8" cm="1">
        <f t="array" aca="1" ref="AG487" ca="1">-fScore_Total("diff",aCols)</f>
        <v>0</v>
      </c>
      <c r="AH487" s="8">
        <f t="shared" ca="1" si="16"/>
        <v>47.356224523000002</v>
      </c>
      <c r="AI487" s="8" t="str">
        <f t="shared" si="15"/>
        <v>FLEX</v>
      </c>
      <c r="AJ487" s="8"/>
    </row>
    <row r="488" spans="1:36" x14ac:dyDescent="0.25">
      <c r="A488" t="s">
        <v>224</v>
      </c>
      <c r="B488" s="1" t="s">
        <v>533</v>
      </c>
      <c r="C488" s="1">
        <v>0</v>
      </c>
      <c r="D488" s="1">
        <v>0</v>
      </c>
      <c r="E488" s="1">
        <v>0</v>
      </c>
      <c r="F488" s="1">
        <v>0</v>
      </c>
      <c r="G488" s="1">
        <v>0</v>
      </c>
      <c r="H488" s="1">
        <v>0</v>
      </c>
      <c r="I488" s="1">
        <v>0</v>
      </c>
      <c r="J488" s="1">
        <v>0</v>
      </c>
      <c r="K488" s="1">
        <v>0</v>
      </c>
      <c r="L488" s="1">
        <v>0</v>
      </c>
      <c r="M488" s="1">
        <v>18.4032117</v>
      </c>
      <c r="N488" s="1">
        <v>0</v>
      </c>
      <c r="O488" s="1">
        <v>1.597759953</v>
      </c>
      <c r="P488" s="1">
        <v>0</v>
      </c>
      <c r="Q488" s="1">
        <v>0</v>
      </c>
      <c r="R488" s="1">
        <v>229.6389021</v>
      </c>
      <c r="S488" s="1">
        <v>0</v>
      </c>
      <c r="T488" s="1">
        <v>0</v>
      </c>
      <c r="U488" s="1">
        <v>0</v>
      </c>
      <c r="V488" s="1">
        <v>0.40861542000000001</v>
      </c>
      <c r="W488" s="1">
        <v>0</v>
      </c>
      <c r="X488" s="1">
        <v>0</v>
      </c>
      <c r="Y488" s="1">
        <v>59.661229290000001</v>
      </c>
      <c r="Z488" s="1">
        <v>0</v>
      </c>
      <c r="AA488" s="1">
        <v>983</v>
      </c>
      <c r="AB488" s="1">
        <v>0</v>
      </c>
      <c r="AC488" s="1">
        <v>0</v>
      </c>
      <c r="AD488">
        <v>0</v>
      </c>
      <c r="AE488" t="s">
        <v>637</v>
      </c>
      <c r="AF488" s="8" cm="1">
        <f t="array" aca="1" ref="AF488" ca="1">fScore_Total("ESPN",aCols)</f>
        <v>50.169871227000002</v>
      </c>
      <c r="AG488" s="8" cm="1">
        <f t="array" aca="1" ref="AG488" ca="1">-fScore_Total("diff",aCols)</f>
        <v>0</v>
      </c>
      <c r="AH488" s="8">
        <f t="shared" ca="1" si="16"/>
        <v>50.169871227000002</v>
      </c>
      <c r="AI488" s="8" t="str">
        <f t="shared" si="15"/>
        <v>FLEX</v>
      </c>
      <c r="AJ488" s="8"/>
    </row>
    <row r="489" spans="1:36" x14ac:dyDescent="0.25">
      <c r="A489" t="s">
        <v>496</v>
      </c>
      <c r="B489" s="1" t="s">
        <v>533</v>
      </c>
      <c r="C489" s="1">
        <v>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0</v>
      </c>
      <c r="M489" s="1">
        <v>21.012666899999999</v>
      </c>
      <c r="N489" s="1">
        <v>0</v>
      </c>
      <c r="O489" s="1">
        <v>1.055370269</v>
      </c>
      <c r="P489" s="1">
        <v>0</v>
      </c>
      <c r="Q489" s="1">
        <v>0</v>
      </c>
      <c r="R489" s="1">
        <v>277.56340419999998</v>
      </c>
      <c r="S489" s="1">
        <v>0</v>
      </c>
      <c r="T489" s="1">
        <v>0</v>
      </c>
      <c r="U489" s="1">
        <v>0</v>
      </c>
      <c r="V489" s="1">
        <v>0.378816704</v>
      </c>
      <c r="W489" s="1">
        <v>0</v>
      </c>
      <c r="X489" s="1">
        <v>0</v>
      </c>
      <c r="Y489" s="1">
        <v>53.780253250000001</v>
      </c>
      <c r="Z489" s="1">
        <v>0</v>
      </c>
      <c r="AA489" s="1">
        <v>982</v>
      </c>
      <c r="AB489" s="1">
        <v>0</v>
      </c>
      <c r="AC489" s="1">
        <v>0</v>
      </c>
      <c r="AD489">
        <v>0</v>
      </c>
      <c r="AE489" t="s">
        <v>637</v>
      </c>
      <c r="AF489" s="8" cm="1">
        <f t="array" aca="1" ref="AF489" ca="1">fScore_Total("ESPN",aCols)</f>
        <v>52.245821032999999</v>
      </c>
      <c r="AG489" s="8" cm="1">
        <f t="array" aca="1" ref="AG489" ca="1">-fScore_Total("diff",aCols)</f>
        <v>0</v>
      </c>
      <c r="AH489" s="8">
        <f t="shared" ca="1" si="16"/>
        <v>52.245821032999999</v>
      </c>
      <c r="AI489" s="8" t="str">
        <f t="shared" si="15"/>
        <v>FLEX</v>
      </c>
      <c r="AJ489" s="8"/>
    </row>
    <row r="490" spans="1:36" x14ac:dyDescent="0.25">
      <c r="A490" t="s">
        <v>273</v>
      </c>
      <c r="B490" s="1" t="s">
        <v>533</v>
      </c>
      <c r="C490" s="1">
        <v>0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L490" s="1">
        <v>0</v>
      </c>
      <c r="M490" s="1">
        <v>25.531808600000002</v>
      </c>
      <c r="N490" s="1">
        <v>0</v>
      </c>
      <c r="O490" s="1">
        <v>1.2847924850000001</v>
      </c>
      <c r="P490" s="1">
        <v>0</v>
      </c>
      <c r="Q490" s="1">
        <v>0</v>
      </c>
      <c r="R490" s="1">
        <v>337.23782640000002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0</v>
      </c>
      <c r="Y490" s="1">
        <v>0</v>
      </c>
      <c r="Z490" s="1">
        <v>0</v>
      </c>
      <c r="AA490" s="1">
        <v>981</v>
      </c>
      <c r="AB490" s="1">
        <v>0</v>
      </c>
      <c r="AC490" s="1">
        <v>0</v>
      </c>
      <c r="AD490">
        <v>0</v>
      </c>
      <c r="AE490" t="s">
        <v>637</v>
      </c>
      <c r="AF490" s="8" cm="1">
        <f t="array" aca="1" ref="AF490" ca="1">fScore_Total("ESPN",aCols)</f>
        <v>54.198441850000009</v>
      </c>
      <c r="AG490" s="8" cm="1">
        <f t="array" aca="1" ref="AG490" ca="1">-fScore_Total("diff",aCols)</f>
        <v>0</v>
      </c>
      <c r="AH490" s="8">
        <f t="shared" ca="1" si="16"/>
        <v>54.198441850000009</v>
      </c>
      <c r="AI490" s="8" t="str">
        <f t="shared" si="15"/>
        <v>FLEX</v>
      </c>
      <c r="AJ490" s="8"/>
    </row>
    <row r="491" spans="1:36" x14ac:dyDescent="0.25">
      <c r="A491" t="s">
        <v>329</v>
      </c>
      <c r="B491" s="1" t="s">
        <v>532</v>
      </c>
      <c r="C491" s="1">
        <v>0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  <c r="M491" s="1">
        <v>4.1011617090000003</v>
      </c>
      <c r="N491" s="1">
        <v>0</v>
      </c>
      <c r="O491" s="1">
        <v>0.16786284200000001</v>
      </c>
      <c r="P491" s="1">
        <v>0</v>
      </c>
      <c r="Q491" s="1">
        <v>0</v>
      </c>
      <c r="R491" s="1">
        <v>29.12341326</v>
      </c>
      <c r="S491" s="1">
        <v>0</v>
      </c>
      <c r="T491" s="1">
        <v>0</v>
      </c>
      <c r="U491" s="1">
        <v>0</v>
      </c>
      <c r="V491" s="1">
        <v>0.82013428300000002</v>
      </c>
      <c r="W491" s="1">
        <v>0</v>
      </c>
      <c r="X491" s="1">
        <v>0</v>
      </c>
      <c r="Y491" s="1">
        <v>107.20299230000001</v>
      </c>
      <c r="Z491" s="1">
        <v>0</v>
      </c>
      <c r="AA491" s="1">
        <v>459</v>
      </c>
      <c r="AB491" s="1">
        <v>0</v>
      </c>
      <c r="AC491" s="1">
        <v>0</v>
      </c>
      <c r="AD491">
        <v>0</v>
      </c>
      <c r="AE491" t="s">
        <v>637</v>
      </c>
      <c r="AF491" s="8" cm="1">
        <f t="array" aca="1" ref="AF491" ca="1">fScore_Total("ESPN",aCols)</f>
        <v>21.611204160500002</v>
      </c>
      <c r="AG491" s="8" cm="1">
        <f t="array" aca="1" ref="AG491" ca="1">-fScore_Total("diff",aCols)</f>
        <v>0</v>
      </c>
      <c r="AH491" s="8">
        <f t="shared" ca="1" si="16"/>
        <v>21.611204160500002</v>
      </c>
      <c r="AI491" s="8" t="str">
        <f t="shared" si="15"/>
        <v>FLEX</v>
      </c>
      <c r="AJ491" s="8"/>
    </row>
    <row r="492" spans="1:36" x14ac:dyDescent="0.25">
      <c r="A492" t="s">
        <v>211</v>
      </c>
      <c r="B492" s="1" t="s">
        <v>533</v>
      </c>
      <c r="C492" s="1">
        <v>0</v>
      </c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  <c r="M492" s="1">
        <v>25.696143769999999</v>
      </c>
      <c r="N492" s="1">
        <v>0</v>
      </c>
      <c r="O492" s="1">
        <v>2.2673323239999998</v>
      </c>
      <c r="P492" s="1">
        <v>0</v>
      </c>
      <c r="Q492" s="1">
        <v>0</v>
      </c>
      <c r="R492" s="1">
        <v>325.4520253</v>
      </c>
      <c r="S492" s="1">
        <v>0</v>
      </c>
      <c r="T492" s="1">
        <v>0</v>
      </c>
      <c r="U492" s="1">
        <v>0</v>
      </c>
      <c r="V492" s="1">
        <v>0</v>
      </c>
      <c r="W492" s="1">
        <v>0</v>
      </c>
      <c r="X492" s="1">
        <v>0</v>
      </c>
      <c r="Y492" s="1">
        <v>0</v>
      </c>
      <c r="Z492" s="1">
        <v>0</v>
      </c>
      <c r="AA492" s="1">
        <v>394</v>
      </c>
      <c r="AB492" s="1">
        <v>0</v>
      </c>
      <c r="AC492" s="1">
        <v>0</v>
      </c>
      <c r="AD492">
        <v>0</v>
      </c>
      <c r="AE492" t="s">
        <v>637</v>
      </c>
      <c r="AF492" s="8" cm="1">
        <f t="array" aca="1" ref="AF492" ca="1">fScore_Total("ESPN",aCols)</f>
        <v>58.997268359000003</v>
      </c>
      <c r="AG492" s="8" cm="1">
        <f t="array" aca="1" ref="AG492" ca="1">-fScore_Total("diff",aCols)</f>
        <v>0</v>
      </c>
      <c r="AH492" s="8">
        <f t="shared" ca="1" si="16"/>
        <v>58.997268359000003</v>
      </c>
      <c r="AI492" s="8" t="str">
        <f t="shared" si="15"/>
        <v>FLEX</v>
      </c>
      <c r="AJ492" s="8"/>
    </row>
    <row r="493" spans="1:36" x14ac:dyDescent="0.25">
      <c r="A493" t="s">
        <v>353</v>
      </c>
      <c r="B493" s="1" t="s">
        <v>532</v>
      </c>
      <c r="C493" s="1">
        <v>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1">
        <v>0</v>
      </c>
      <c r="J493" s="1">
        <v>0</v>
      </c>
      <c r="K493" s="1">
        <v>0</v>
      </c>
      <c r="L493" s="1">
        <v>0</v>
      </c>
      <c r="M493" s="1">
        <v>2.1993151590000002</v>
      </c>
      <c r="N493" s="1">
        <v>0</v>
      </c>
      <c r="O493" s="1">
        <v>0.11038347</v>
      </c>
      <c r="P493" s="1">
        <v>0</v>
      </c>
      <c r="Q493" s="1">
        <v>0</v>
      </c>
      <c r="R493" s="1">
        <v>15.91350031</v>
      </c>
      <c r="S493" s="1">
        <v>0</v>
      </c>
      <c r="T493" s="1">
        <v>0</v>
      </c>
      <c r="U493" s="1">
        <v>0</v>
      </c>
      <c r="V493" s="1">
        <v>0.86524978200000002</v>
      </c>
      <c r="W493" s="1">
        <v>0</v>
      </c>
      <c r="X493" s="1">
        <v>0</v>
      </c>
      <c r="Y493" s="1">
        <v>134.89175510000001</v>
      </c>
      <c r="Z493" s="1">
        <v>0</v>
      </c>
      <c r="AA493" s="1">
        <v>458</v>
      </c>
      <c r="AB493" s="1">
        <v>0</v>
      </c>
      <c r="AC493" s="1">
        <v>0</v>
      </c>
      <c r="AD493">
        <v>0</v>
      </c>
      <c r="AE493" t="s">
        <v>637</v>
      </c>
      <c r="AF493" s="8" cm="1">
        <f t="array" aca="1" ref="AF493" ca="1">fScore_Total("ESPN",aCols)</f>
        <v>22.033982632500003</v>
      </c>
      <c r="AG493" s="8" cm="1">
        <f t="array" aca="1" ref="AG493" ca="1">-fScore_Total("diff",aCols)</f>
        <v>0</v>
      </c>
      <c r="AH493" s="8">
        <f t="shared" ca="1" si="16"/>
        <v>22.033982632500003</v>
      </c>
      <c r="AI493" s="8" t="str">
        <f t="shared" si="15"/>
        <v>FLEX</v>
      </c>
      <c r="AJ493" s="8"/>
    </row>
    <row r="494" spans="1:36" x14ac:dyDescent="0.25">
      <c r="A494" t="s">
        <v>213</v>
      </c>
      <c r="B494" s="1" t="s">
        <v>533</v>
      </c>
      <c r="C494" s="1">
        <v>0</v>
      </c>
      <c r="D494" s="1">
        <v>0</v>
      </c>
      <c r="E494" s="1">
        <v>0</v>
      </c>
      <c r="F494" s="1">
        <v>0</v>
      </c>
      <c r="G494" s="1">
        <v>0</v>
      </c>
      <c r="H494" s="1">
        <v>0</v>
      </c>
      <c r="I494" s="1">
        <v>0</v>
      </c>
      <c r="J494" s="1">
        <v>0</v>
      </c>
      <c r="K494" s="1">
        <v>0</v>
      </c>
      <c r="L494" s="1">
        <v>0</v>
      </c>
      <c r="M494" s="1">
        <v>21.525697139999998</v>
      </c>
      <c r="N494" s="1">
        <v>0</v>
      </c>
      <c r="O494" s="1">
        <v>2.1809720050000001</v>
      </c>
      <c r="P494" s="1">
        <v>0</v>
      </c>
      <c r="Q494" s="1">
        <v>0</v>
      </c>
      <c r="R494" s="1">
        <v>265.68543920000002</v>
      </c>
      <c r="S494" s="1">
        <v>0</v>
      </c>
      <c r="T494" s="1">
        <v>0</v>
      </c>
      <c r="U494" s="1">
        <v>0</v>
      </c>
      <c r="V494" s="1">
        <v>0.31539519700000002</v>
      </c>
      <c r="W494" s="1">
        <v>0</v>
      </c>
      <c r="X494" s="1">
        <v>0</v>
      </c>
      <c r="Y494" s="1">
        <v>28.429699620000001</v>
      </c>
      <c r="Z494" s="1">
        <v>0</v>
      </c>
      <c r="AA494" s="1">
        <v>422</v>
      </c>
      <c r="AB494" s="1">
        <v>0</v>
      </c>
      <c r="AC494" s="1">
        <v>0</v>
      </c>
      <c r="AD494">
        <v>0</v>
      </c>
      <c r="AE494" t="s">
        <v>637</v>
      </c>
      <c r="AF494" s="8" cm="1">
        <f t="array" aca="1" ref="AF494" ca="1">fScore_Total("ESPN",aCols)</f>
        <v>55.152565664000001</v>
      </c>
      <c r="AG494" s="8" cm="1">
        <f t="array" aca="1" ref="AG494" ca="1">-fScore_Total("diff",aCols)</f>
        <v>0</v>
      </c>
      <c r="AH494" s="8">
        <f t="shared" ca="1" si="16"/>
        <v>55.152565664000001</v>
      </c>
      <c r="AI494" s="8" t="str">
        <f t="shared" si="15"/>
        <v>FLEX</v>
      </c>
      <c r="AJ494" s="8"/>
    </row>
    <row r="495" spans="1:36" x14ac:dyDescent="0.25">
      <c r="A495" t="s">
        <v>238</v>
      </c>
      <c r="B495" s="1" t="s">
        <v>535</v>
      </c>
      <c r="C495" s="1">
        <v>0</v>
      </c>
      <c r="D495" s="1">
        <v>0</v>
      </c>
      <c r="E495" s="1">
        <v>0</v>
      </c>
      <c r="F495" s="1">
        <v>0</v>
      </c>
      <c r="G495" s="1">
        <v>0</v>
      </c>
      <c r="H495" s="1">
        <v>0</v>
      </c>
      <c r="I495" s="1">
        <v>0</v>
      </c>
      <c r="J495" s="1">
        <v>0</v>
      </c>
      <c r="K495" s="1">
        <v>0</v>
      </c>
      <c r="L495" s="1">
        <v>0</v>
      </c>
      <c r="M495" s="1">
        <v>30.1398817</v>
      </c>
      <c r="N495" s="1">
        <v>0</v>
      </c>
      <c r="O495" s="1">
        <v>2.907893778</v>
      </c>
      <c r="P495" s="1">
        <v>0</v>
      </c>
      <c r="Q495" s="1">
        <v>0</v>
      </c>
      <c r="R495" s="1">
        <v>309.28920479999999</v>
      </c>
      <c r="S495" s="1">
        <v>0</v>
      </c>
      <c r="T495" s="1">
        <v>0</v>
      </c>
      <c r="U495" s="1">
        <v>0</v>
      </c>
      <c r="V495" s="1">
        <v>0</v>
      </c>
      <c r="W495" s="1">
        <v>0</v>
      </c>
      <c r="X495" s="1">
        <v>0</v>
      </c>
      <c r="Y495" s="1">
        <v>0</v>
      </c>
      <c r="Z495" s="1">
        <v>0</v>
      </c>
      <c r="AA495" s="1">
        <v>419</v>
      </c>
      <c r="AB495" s="1">
        <v>0</v>
      </c>
      <c r="AC495" s="1">
        <v>0</v>
      </c>
      <c r="AD495">
        <v>0</v>
      </c>
      <c r="AE495" t="s">
        <v>637</v>
      </c>
      <c r="AF495" s="8" cm="1">
        <f t="array" aca="1" ref="AF495" ca="1">fScore_Total("ESPN",aCols)</f>
        <v>63.446223998000001</v>
      </c>
      <c r="AG495" s="8" cm="1">
        <f t="array" aca="1" ref="AG495" ca="1">-fScore_Total("diff",aCols)</f>
        <v>0</v>
      </c>
      <c r="AH495" s="8">
        <f t="shared" ca="1" si="16"/>
        <v>63.446223998000001</v>
      </c>
      <c r="AI495" s="8" t="str">
        <f t="shared" si="15"/>
        <v>FLEX</v>
      </c>
      <c r="AJ495" s="8"/>
    </row>
    <row r="496" spans="1:36" x14ac:dyDescent="0.25">
      <c r="A496" t="s">
        <v>253</v>
      </c>
      <c r="B496" s="1" t="s">
        <v>535</v>
      </c>
      <c r="C496" s="1">
        <v>0</v>
      </c>
      <c r="D496" s="1">
        <v>0</v>
      </c>
      <c r="E496" s="1">
        <v>0</v>
      </c>
      <c r="F496" s="1">
        <v>0</v>
      </c>
      <c r="G496" s="1">
        <v>0</v>
      </c>
      <c r="H496" s="1">
        <v>0</v>
      </c>
      <c r="I496" s="1">
        <v>0</v>
      </c>
      <c r="J496" s="1">
        <v>0</v>
      </c>
      <c r="K496" s="1">
        <v>0</v>
      </c>
      <c r="L496" s="1">
        <v>0</v>
      </c>
      <c r="M496" s="1">
        <v>34.577948990000003</v>
      </c>
      <c r="N496" s="1">
        <v>0</v>
      </c>
      <c r="O496" s="1">
        <v>2.0584108099999998</v>
      </c>
      <c r="P496" s="1">
        <v>0</v>
      </c>
      <c r="Q496" s="1">
        <v>0</v>
      </c>
      <c r="R496" s="1">
        <v>361.02310940000001</v>
      </c>
      <c r="S496" s="1">
        <v>0</v>
      </c>
      <c r="T496" s="1">
        <v>0</v>
      </c>
      <c r="U496" s="1">
        <v>0</v>
      </c>
      <c r="V496" s="1">
        <v>0</v>
      </c>
      <c r="W496" s="1">
        <v>0</v>
      </c>
      <c r="X496" s="1">
        <v>0</v>
      </c>
      <c r="Y496" s="1">
        <v>0</v>
      </c>
      <c r="Z496" s="1">
        <v>0</v>
      </c>
      <c r="AA496" s="1">
        <v>418</v>
      </c>
      <c r="AB496" s="1">
        <v>0</v>
      </c>
      <c r="AC496" s="1">
        <v>0</v>
      </c>
      <c r="AD496">
        <v>0</v>
      </c>
      <c r="AE496" t="s">
        <v>637</v>
      </c>
      <c r="AF496" s="8" cm="1">
        <f t="array" aca="1" ref="AF496" ca="1">fScore_Total("ESPN",aCols)</f>
        <v>65.741750295000003</v>
      </c>
      <c r="AG496" s="8" cm="1">
        <f t="array" aca="1" ref="AG496" ca="1">-fScore_Total("diff",aCols)</f>
        <v>0</v>
      </c>
      <c r="AH496" s="8">
        <f t="shared" ca="1" si="16"/>
        <v>65.741750295000003</v>
      </c>
      <c r="AI496" s="8" t="str">
        <f t="shared" si="15"/>
        <v>FLEX</v>
      </c>
      <c r="AJ496" s="8"/>
    </row>
    <row r="497" spans="1:36" x14ac:dyDescent="0.25">
      <c r="A497" t="s">
        <v>222</v>
      </c>
      <c r="B497" s="1" t="s">
        <v>535</v>
      </c>
      <c r="C497" s="1">
        <v>0</v>
      </c>
      <c r="D497" s="1">
        <v>0</v>
      </c>
      <c r="E497" s="1">
        <v>0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  <c r="K497" s="1">
        <v>0</v>
      </c>
      <c r="L497" s="1">
        <v>0</v>
      </c>
      <c r="M497" s="1">
        <v>32.262120189999997</v>
      </c>
      <c r="N497" s="1">
        <v>0</v>
      </c>
      <c r="O497" s="1">
        <v>2.6012797619999999</v>
      </c>
      <c r="P497" s="1">
        <v>0</v>
      </c>
      <c r="Q497" s="1">
        <v>0</v>
      </c>
      <c r="R497" s="1">
        <v>319.1212395</v>
      </c>
      <c r="S497" s="1">
        <v>0</v>
      </c>
      <c r="T497" s="1">
        <v>0</v>
      </c>
      <c r="U497" s="1">
        <v>0</v>
      </c>
      <c r="V497" s="1">
        <v>0</v>
      </c>
      <c r="W497" s="1">
        <v>0</v>
      </c>
      <c r="X497" s="1">
        <v>0</v>
      </c>
      <c r="Y497" s="1">
        <v>0</v>
      </c>
      <c r="Z497" s="1">
        <v>0</v>
      </c>
      <c r="AA497" s="1">
        <v>417</v>
      </c>
      <c r="AB497" s="1">
        <v>0</v>
      </c>
      <c r="AC497" s="1">
        <v>0</v>
      </c>
      <c r="AD497">
        <v>0</v>
      </c>
      <c r="AE497" t="s">
        <v>637</v>
      </c>
      <c r="AF497" s="8" cm="1">
        <f t="array" aca="1" ref="AF497" ca="1">fScore_Total("ESPN",aCols)</f>
        <v>63.650862617000001</v>
      </c>
      <c r="AG497" s="8" cm="1">
        <f t="array" aca="1" ref="AG497" ca="1">-fScore_Total("diff",aCols)</f>
        <v>0</v>
      </c>
      <c r="AH497" s="8">
        <f t="shared" ca="1" si="16"/>
        <v>63.650862617000001</v>
      </c>
      <c r="AI497" s="8" t="str">
        <f t="shared" si="15"/>
        <v>FLEX</v>
      </c>
      <c r="AJ497" s="8"/>
    </row>
    <row r="498" spans="1:36" x14ac:dyDescent="0.25">
      <c r="A498" t="s">
        <v>225</v>
      </c>
      <c r="B498" s="1" t="s">
        <v>533</v>
      </c>
      <c r="C498" s="1">
        <v>0</v>
      </c>
      <c r="D498" s="1">
        <v>0</v>
      </c>
      <c r="E498" s="1">
        <v>0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  <c r="K498" s="1">
        <v>0</v>
      </c>
      <c r="L498" s="1">
        <v>0</v>
      </c>
      <c r="M498" s="1">
        <v>24.677578279999999</v>
      </c>
      <c r="N498" s="1">
        <v>0</v>
      </c>
      <c r="O498" s="1">
        <v>2.093218781</v>
      </c>
      <c r="P498" s="1">
        <v>0</v>
      </c>
      <c r="Q498" s="1">
        <v>0</v>
      </c>
      <c r="R498" s="1">
        <v>325.42398659999998</v>
      </c>
      <c r="S498" s="1">
        <v>0</v>
      </c>
      <c r="T498" s="1">
        <v>0</v>
      </c>
      <c r="U498" s="1">
        <v>0</v>
      </c>
      <c r="V498" s="1">
        <v>0</v>
      </c>
      <c r="W498" s="1">
        <v>0</v>
      </c>
      <c r="X498" s="1">
        <v>0</v>
      </c>
      <c r="Y498" s="1">
        <v>0</v>
      </c>
      <c r="Z498" s="1">
        <v>0</v>
      </c>
      <c r="AA498" s="1">
        <v>407</v>
      </c>
      <c r="AB498" s="1">
        <v>0</v>
      </c>
      <c r="AC498" s="1">
        <v>0</v>
      </c>
      <c r="AD498">
        <v>0</v>
      </c>
      <c r="AE498" t="s">
        <v>637</v>
      </c>
      <c r="AF498" s="8" cm="1">
        <f t="array" aca="1" ref="AF498" ca="1">fScore_Total("ESPN",aCols)</f>
        <v>57.440500485999998</v>
      </c>
      <c r="AG498" s="8" cm="1">
        <f t="array" aca="1" ref="AG498" ca="1">-fScore_Total("diff",aCols)</f>
        <v>0</v>
      </c>
      <c r="AH498" s="8">
        <f t="shared" ca="1" si="16"/>
        <v>57.440500485999998</v>
      </c>
      <c r="AI498" s="8" t="str">
        <f t="shared" si="15"/>
        <v>FLEX</v>
      </c>
      <c r="AJ498" s="8"/>
    </row>
    <row r="499" spans="1:36" x14ac:dyDescent="0.25">
      <c r="A499" t="s">
        <v>229</v>
      </c>
      <c r="B499" s="1" t="s">
        <v>532</v>
      </c>
      <c r="C499" s="1">
        <v>0</v>
      </c>
      <c r="D499" s="1">
        <v>0</v>
      </c>
      <c r="E499" s="1">
        <v>0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K499" s="1">
        <v>0</v>
      </c>
      <c r="L499" s="1">
        <v>0</v>
      </c>
      <c r="M499" s="1">
        <v>6.093592396</v>
      </c>
      <c r="N499" s="1">
        <v>0</v>
      </c>
      <c r="O499" s="1">
        <v>0.20241636299999999</v>
      </c>
      <c r="P499" s="1">
        <v>0</v>
      </c>
      <c r="Q499" s="1">
        <v>0</v>
      </c>
      <c r="R499" s="1">
        <v>47.162280979999998</v>
      </c>
      <c r="S499" s="1">
        <v>0</v>
      </c>
      <c r="T499" s="1">
        <v>0</v>
      </c>
      <c r="U499" s="1">
        <v>0</v>
      </c>
      <c r="V499" s="1">
        <v>1.0846591560000001</v>
      </c>
      <c r="W499" s="1">
        <v>0</v>
      </c>
      <c r="X499" s="1">
        <v>0</v>
      </c>
      <c r="Y499" s="1">
        <v>124.8424615</v>
      </c>
      <c r="Z499" s="1">
        <v>0</v>
      </c>
      <c r="AA499" s="1">
        <v>406</v>
      </c>
      <c r="AB499" s="1">
        <v>0</v>
      </c>
      <c r="AC499" s="1">
        <v>0</v>
      </c>
      <c r="AD499">
        <v>0</v>
      </c>
      <c r="AE499" t="s">
        <v>637</v>
      </c>
      <c r="AF499" s="8" cm="1">
        <f t="array" aca="1" ref="AF499" ca="1">fScore_Total("ESPN",aCols)</f>
        <v>27.969723560000002</v>
      </c>
      <c r="AG499" s="8" cm="1">
        <f t="array" aca="1" ref="AG499" ca="1">-fScore_Total("diff",aCols)</f>
        <v>0</v>
      </c>
      <c r="AH499" s="8">
        <f t="shared" ca="1" si="16"/>
        <v>27.969723560000002</v>
      </c>
      <c r="AI499" s="8" t="str">
        <f t="shared" si="15"/>
        <v>FLEX</v>
      </c>
      <c r="AJ499" s="8"/>
    </row>
    <row r="500" spans="1:36" x14ac:dyDescent="0.25">
      <c r="A500" t="s">
        <v>228</v>
      </c>
      <c r="B500" s="1" t="s">
        <v>532</v>
      </c>
      <c r="C500" s="1">
        <v>0</v>
      </c>
      <c r="D500" s="1">
        <v>0</v>
      </c>
      <c r="E500" s="1">
        <v>0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  <c r="L500" s="1">
        <v>0</v>
      </c>
      <c r="M500" s="1">
        <v>8.1786831590000002</v>
      </c>
      <c r="N500" s="1">
        <v>0</v>
      </c>
      <c r="O500" s="1">
        <v>0.322576686</v>
      </c>
      <c r="P500" s="1">
        <v>0</v>
      </c>
      <c r="Q500" s="1">
        <v>0</v>
      </c>
      <c r="R500" s="1">
        <v>57.50340619</v>
      </c>
      <c r="S500" s="1">
        <v>0</v>
      </c>
      <c r="T500" s="1">
        <v>0</v>
      </c>
      <c r="U500" s="1">
        <v>0</v>
      </c>
      <c r="V500" s="1">
        <v>0.844482603</v>
      </c>
      <c r="W500" s="1">
        <v>0</v>
      </c>
      <c r="X500" s="1">
        <v>0</v>
      </c>
      <c r="Y500" s="1">
        <v>116.0815107</v>
      </c>
      <c r="Z500" s="1">
        <v>0</v>
      </c>
      <c r="AA500" s="1">
        <v>405</v>
      </c>
      <c r="AB500" s="1">
        <v>0</v>
      </c>
      <c r="AC500" s="1">
        <v>0</v>
      </c>
      <c r="AD500">
        <v>0</v>
      </c>
      <c r="AE500" t="s">
        <v>637</v>
      </c>
      <c r="AF500" s="8" cm="1">
        <f t="array" aca="1" ref="AF500" ca="1">fScore_Total("ESPN",aCols)</f>
        <v>28.450189002499997</v>
      </c>
      <c r="AG500" s="8" cm="1">
        <f t="array" aca="1" ref="AG500" ca="1">-fScore_Total("diff",aCols)</f>
        <v>0</v>
      </c>
      <c r="AH500" s="8">
        <f t="shared" ca="1" si="16"/>
        <v>28.450189002499997</v>
      </c>
      <c r="AI500" s="8" t="str">
        <f t="shared" si="15"/>
        <v>FLEX</v>
      </c>
      <c r="AJ500" s="8"/>
    </row>
    <row r="501" spans="1:36" x14ac:dyDescent="0.25">
      <c r="A501" t="s">
        <v>218</v>
      </c>
      <c r="B501" s="1" t="s">
        <v>532</v>
      </c>
      <c r="C501" s="1">
        <v>0</v>
      </c>
      <c r="D501" s="1">
        <v>0</v>
      </c>
      <c r="E501" s="1">
        <v>0</v>
      </c>
      <c r="F501" s="1">
        <v>0</v>
      </c>
      <c r="G501" s="1">
        <v>0</v>
      </c>
      <c r="H501" s="1">
        <v>0</v>
      </c>
      <c r="I501" s="1">
        <v>0</v>
      </c>
      <c r="J501" s="1">
        <v>0</v>
      </c>
      <c r="K501" s="1">
        <v>0</v>
      </c>
      <c r="L501" s="1">
        <v>0</v>
      </c>
      <c r="M501" s="1">
        <v>8.6568323570000008</v>
      </c>
      <c r="N501" s="1">
        <v>0</v>
      </c>
      <c r="O501" s="1">
        <v>0.29236693499999999</v>
      </c>
      <c r="P501" s="1">
        <v>0</v>
      </c>
      <c r="Q501" s="1">
        <v>0</v>
      </c>
      <c r="R501" s="1">
        <v>60.88628808</v>
      </c>
      <c r="S501" s="1">
        <v>0</v>
      </c>
      <c r="T501" s="1">
        <v>0</v>
      </c>
      <c r="U501" s="1">
        <v>0</v>
      </c>
      <c r="V501" s="1">
        <v>0.92867893999999995</v>
      </c>
      <c r="W501" s="1">
        <v>0</v>
      </c>
      <c r="X501" s="1">
        <v>0</v>
      </c>
      <c r="Y501" s="1">
        <v>130.02925279999999</v>
      </c>
      <c r="Z501" s="1">
        <v>0</v>
      </c>
      <c r="AA501" s="1">
        <v>403</v>
      </c>
      <c r="AB501" s="1">
        <v>0</v>
      </c>
      <c r="AC501" s="1">
        <v>0</v>
      </c>
      <c r="AD501">
        <v>0</v>
      </c>
      <c r="AE501" t="s">
        <v>637</v>
      </c>
      <c r="AF501" s="8" cm="1">
        <f t="array" aca="1" ref="AF501" ca="1">fScore_Total("ESPN",aCols)</f>
        <v>30.7462455165</v>
      </c>
      <c r="AG501" s="8" cm="1">
        <f t="array" aca="1" ref="AG501" ca="1">-fScore_Total("diff",aCols)</f>
        <v>0</v>
      </c>
      <c r="AH501" s="8">
        <f t="shared" ca="1" si="16"/>
        <v>30.7462455165</v>
      </c>
      <c r="AI501" s="8" t="str">
        <f t="shared" si="15"/>
        <v>FLEX</v>
      </c>
      <c r="AJ501" s="8"/>
    </row>
    <row r="502" spans="1:36" x14ac:dyDescent="0.25">
      <c r="A502" t="s">
        <v>214</v>
      </c>
      <c r="B502" s="1" t="s">
        <v>532</v>
      </c>
      <c r="C502" s="1">
        <v>0</v>
      </c>
      <c r="D502" s="1">
        <v>0</v>
      </c>
      <c r="E502" s="1">
        <v>0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  <c r="K502" s="1">
        <v>0</v>
      </c>
      <c r="L502" s="1">
        <v>0</v>
      </c>
      <c r="M502" s="1">
        <v>13.022138330000001</v>
      </c>
      <c r="N502" s="1">
        <v>0</v>
      </c>
      <c r="O502" s="1">
        <v>0.41910503599999999</v>
      </c>
      <c r="P502" s="1">
        <v>0</v>
      </c>
      <c r="Q502" s="1">
        <v>0</v>
      </c>
      <c r="R502" s="1">
        <v>94.198550449999999</v>
      </c>
      <c r="S502" s="1">
        <v>0</v>
      </c>
      <c r="T502" s="1">
        <v>0</v>
      </c>
      <c r="U502" s="1">
        <v>0</v>
      </c>
      <c r="V502" s="1">
        <v>0.62151288599999999</v>
      </c>
      <c r="W502" s="1">
        <v>0</v>
      </c>
      <c r="X502" s="1">
        <v>0</v>
      </c>
      <c r="Y502" s="1">
        <v>103.10648089999999</v>
      </c>
      <c r="Z502" s="1">
        <v>0</v>
      </c>
      <c r="AA502" s="1">
        <v>400</v>
      </c>
      <c r="AB502" s="1">
        <v>0</v>
      </c>
      <c r="AC502" s="1">
        <v>0</v>
      </c>
      <c r="AD502">
        <v>0</v>
      </c>
      <c r="AE502" t="s">
        <v>637</v>
      </c>
      <c r="AF502" s="8" cm="1">
        <f t="array" aca="1" ref="AF502" ca="1">fScore_Total("ESPN",aCols)</f>
        <v>32.485279832000003</v>
      </c>
      <c r="AG502" s="8" cm="1">
        <f t="array" aca="1" ref="AG502" ca="1">-fScore_Total("diff",aCols)</f>
        <v>0</v>
      </c>
      <c r="AH502" s="8">
        <f t="shared" ca="1" si="16"/>
        <v>32.485279832000003</v>
      </c>
      <c r="AI502" s="8" t="str">
        <f t="shared" si="15"/>
        <v>FLEX</v>
      </c>
      <c r="AJ502" s="8"/>
    </row>
    <row r="503" spans="1:36" x14ac:dyDescent="0.25">
      <c r="A503" t="s">
        <v>401</v>
      </c>
      <c r="B503" s="1" t="s">
        <v>532</v>
      </c>
      <c r="C503" s="1">
        <v>0</v>
      </c>
      <c r="D503" s="1">
        <v>0</v>
      </c>
      <c r="E503" s="1">
        <v>0</v>
      </c>
      <c r="F503" s="1">
        <v>0</v>
      </c>
      <c r="G503" s="1">
        <v>0</v>
      </c>
      <c r="H503" s="1">
        <v>0</v>
      </c>
      <c r="I503" s="1">
        <v>0</v>
      </c>
      <c r="J503" s="1">
        <v>0</v>
      </c>
      <c r="K503" s="1">
        <v>0</v>
      </c>
      <c r="L503" s="1">
        <v>0</v>
      </c>
      <c r="M503" s="1">
        <v>11.650798910000001</v>
      </c>
      <c r="N503" s="1">
        <v>0</v>
      </c>
      <c r="O503" s="1">
        <v>0.35698797199999999</v>
      </c>
      <c r="P503" s="1">
        <v>0</v>
      </c>
      <c r="Q503" s="1">
        <v>0</v>
      </c>
      <c r="R503" s="1">
        <v>82.423524549999996</v>
      </c>
      <c r="S503" s="1">
        <v>0</v>
      </c>
      <c r="T503" s="1">
        <v>0</v>
      </c>
      <c r="U503" s="1">
        <v>0</v>
      </c>
      <c r="V503" s="1">
        <v>0.63918578299999995</v>
      </c>
      <c r="W503" s="1">
        <v>0</v>
      </c>
      <c r="X503" s="1">
        <v>0</v>
      </c>
      <c r="Y503" s="1">
        <v>115.3557706</v>
      </c>
      <c r="Z503" s="1">
        <v>0</v>
      </c>
      <c r="AA503" s="1">
        <v>399</v>
      </c>
      <c r="AB503" s="1">
        <v>0</v>
      </c>
      <c r="AC503" s="1">
        <v>0</v>
      </c>
      <c r="AD503">
        <v>0</v>
      </c>
      <c r="AE503" t="s">
        <v>637</v>
      </c>
      <c r="AF503" s="8" cm="1">
        <f t="array" aca="1" ref="AF503" ca="1">fScore_Total("ESPN",aCols)</f>
        <v>31.580371499999998</v>
      </c>
      <c r="AG503" s="8" cm="1">
        <f t="array" aca="1" ref="AG503" ca="1">-fScore_Total("diff",aCols)</f>
        <v>0</v>
      </c>
      <c r="AH503" s="8">
        <f t="shared" ca="1" si="16"/>
        <v>31.580371499999998</v>
      </c>
      <c r="AI503" s="8" t="str">
        <f t="shared" si="15"/>
        <v>FLEX</v>
      </c>
      <c r="AJ503" s="8"/>
    </row>
    <row r="504" spans="1:36" x14ac:dyDescent="0.25">
      <c r="A504" t="s">
        <v>297</v>
      </c>
      <c r="B504" s="1" t="s">
        <v>533</v>
      </c>
      <c r="C504" s="1">
        <v>0</v>
      </c>
      <c r="D504" s="1">
        <v>0</v>
      </c>
      <c r="E504" s="1">
        <v>0</v>
      </c>
      <c r="F504" s="1">
        <v>0</v>
      </c>
      <c r="G504" s="1">
        <v>0</v>
      </c>
      <c r="H504" s="1">
        <v>0</v>
      </c>
      <c r="I504" s="1">
        <v>0</v>
      </c>
      <c r="J504" s="1">
        <v>0</v>
      </c>
      <c r="K504" s="1">
        <v>0</v>
      </c>
      <c r="L504" s="1">
        <v>0</v>
      </c>
      <c r="M504" s="1">
        <v>24.335156560000001</v>
      </c>
      <c r="N504" s="1">
        <v>0</v>
      </c>
      <c r="O504" s="1">
        <v>1.6541518900000001</v>
      </c>
      <c r="P504" s="1">
        <v>0</v>
      </c>
      <c r="Q504" s="1">
        <v>0</v>
      </c>
      <c r="R504" s="1">
        <v>363.80433249999999</v>
      </c>
      <c r="S504" s="1">
        <v>0</v>
      </c>
      <c r="T504" s="1">
        <v>0</v>
      </c>
      <c r="U504" s="1">
        <v>0</v>
      </c>
      <c r="V504" s="1">
        <v>0</v>
      </c>
      <c r="W504" s="1">
        <v>0</v>
      </c>
      <c r="X504" s="1">
        <v>0</v>
      </c>
      <c r="Y504" s="1">
        <v>0</v>
      </c>
      <c r="Z504" s="1">
        <v>0</v>
      </c>
      <c r="AA504" s="1">
        <v>396</v>
      </c>
      <c r="AB504" s="1">
        <v>0</v>
      </c>
      <c r="AC504" s="1">
        <v>0</v>
      </c>
      <c r="AD504">
        <v>0</v>
      </c>
      <c r="AE504" t="s">
        <v>637</v>
      </c>
      <c r="AF504" s="8" cm="1">
        <f t="array" aca="1" ref="AF504" ca="1">fScore_Total("ESPN",aCols)</f>
        <v>58.472922870000005</v>
      </c>
      <c r="AG504" s="8" cm="1">
        <f t="array" aca="1" ref="AG504" ca="1">-fScore_Total("diff",aCols)</f>
        <v>0</v>
      </c>
      <c r="AH504" s="8">
        <f t="shared" ca="1" si="16"/>
        <v>58.472922870000005</v>
      </c>
      <c r="AI504" s="8" t="str">
        <f t="shared" si="15"/>
        <v>FLEX</v>
      </c>
      <c r="AJ504" s="8"/>
    </row>
    <row r="505" spans="1:36" x14ac:dyDescent="0.25">
      <c r="A505" t="s">
        <v>227</v>
      </c>
      <c r="B505" s="1" t="s">
        <v>534</v>
      </c>
      <c r="C505" s="1">
        <v>0</v>
      </c>
      <c r="D505" s="1">
        <v>2.3371350899999999</v>
      </c>
      <c r="E505" s="1">
        <v>0</v>
      </c>
      <c r="F505" s="1">
        <v>0</v>
      </c>
      <c r="G505" s="1">
        <v>2.9734223989999999</v>
      </c>
      <c r="H505" s="1">
        <v>0</v>
      </c>
      <c r="I505" s="1">
        <v>0</v>
      </c>
      <c r="J505" s="1">
        <v>673.39858600000002</v>
      </c>
      <c r="K505" s="1">
        <v>0</v>
      </c>
      <c r="L505" s="1">
        <v>0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>
        <v>0.453927319</v>
      </c>
      <c r="W505" s="1">
        <v>0</v>
      </c>
      <c r="X505" s="1">
        <v>0</v>
      </c>
      <c r="Y505" s="1">
        <v>43.963116079999999</v>
      </c>
      <c r="Z505" s="1">
        <v>0</v>
      </c>
      <c r="AA505" s="1">
        <v>430</v>
      </c>
      <c r="AB505" s="1">
        <v>0</v>
      </c>
      <c r="AC505" s="1">
        <v>0</v>
      </c>
      <c r="AD505">
        <v>0</v>
      </c>
      <c r="AE505" t="s">
        <v>637</v>
      </c>
      <c r="AF505" s="8" cm="1">
        <f t="array" aca="1" ref="AF505" ca="1">fScore_Total("ESPN",aCols)</f>
        <v>41.275238378000005</v>
      </c>
      <c r="AG505" s="8" cm="1">
        <f t="array" aca="1" ref="AG505" ca="1">-fScore_Total("diff",aCols)</f>
        <v>0</v>
      </c>
      <c r="AH505" s="8">
        <f t="shared" ca="1" si="16"/>
        <v>41.275238378000005</v>
      </c>
      <c r="AI505" s="8" t="str">
        <f t="shared" si="15"/>
        <v>QB</v>
      </c>
      <c r="AJ505" s="8" t="s">
        <v>641</v>
      </c>
    </row>
    <row r="506" spans="1:36" x14ac:dyDescent="0.25">
      <c r="A506" t="s">
        <v>352</v>
      </c>
      <c r="B506" s="1" t="s">
        <v>532</v>
      </c>
      <c r="C506" s="1">
        <v>0</v>
      </c>
      <c r="D506" s="1">
        <v>0</v>
      </c>
      <c r="E506" s="1">
        <v>0</v>
      </c>
      <c r="F506" s="1">
        <v>0</v>
      </c>
      <c r="G506" s="1">
        <v>0</v>
      </c>
      <c r="H506" s="1">
        <v>0</v>
      </c>
      <c r="I506" s="1">
        <v>0</v>
      </c>
      <c r="J506" s="1">
        <v>0</v>
      </c>
      <c r="K506" s="1">
        <v>0</v>
      </c>
      <c r="L506" s="1">
        <v>0</v>
      </c>
      <c r="M506" s="1">
        <v>4.2434745190000003</v>
      </c>
      <c r="N506" s="1">
        <v>0</v>
      </c>
      <c r="O506" s="1">
        <v>0.16454501399999999</v>
      </c>
      <c r="P506" s="1">
        <v>0</v>
      </c>
      <c r="Q506" s="1">
        <v>0</v>
      </c>
      <c r="R506" s="1">
        <v>29.489939379999999</v>
      </c>
      <c r="S506" s="1">
        <v>0</v>
      </c>
      <c r="T506" s="1">
        <v>0</v>
      </c>
      <c r="U506" s="1">
        <v>0</v>
      </c>
      <c r="V506" s="1">
        <v>1.097332492</v>
      </c>
      <c r="W506" s="1">
        <v>0</v>
      </c>
      <c r="X506" s="1">
        <v>0</v>
      </c>
      <c r="Y506" s="1">
        <v>157.8664407</v>
      </c>
      <c r="Z506" s="1">
        <v>0</v>
      </c>
      <c r="AA506" s="1">
        <v>432</v>
      </c>
      <c r="AB506" s="1">
        <v>0</v>
      </c>
      <c r="AC506" s="1">
        <v>0</v>
      </c>
      <c r="AD506">
        <v>0</v>
      </c>
      <c r="AE506" t="s">
        <v>637</v>
      </c>
      <c r="AF506" s="8" cm="1">
        <f t="array" aca="1" ref="AF506" ca="1">fScore_Total("ESPN",aCols)</f>
        <v>28.428640303500003</v>
      </c>
      <c r="AG506" s="8" cm="1">
        <f t="array" aca="1" ref="AG506" ca="1">-fScore_Total("diff",aCols)</f>
        <v>0</v>
      </c>
      <c r="AH506" s="8">
        <f t="shared" ca="1" si="16"/>
        <v>28.428640303500003</v>
      </c>
      <c r="AI506" s="8" t="str">
        <f t="shared" si="15"/>
        <v>FLEX</v>
      </c>
      <c r="AJ506" s="8"/>
    </row>
    <row r="507" spans="1:36" x14ac:dyDescent="0.25">
      <c r="A507" t="s">
        <v>237</v>
      </c>
      <c r="B507" s="1" t="s">
        <v>535</v>
      </c>
      <c r="C507" s="1">
        <v>0</v>
      </c>
      <c r="D507" s="1">
        <v>0</v>
      </c>
      <c r="E507" s="1">
        <v>0</v>
      </c>
      <c r="F507" s="1">
        <v>0</v>
      </c>
      <c r="G507" s="1">
        <v>0</v>
      </c>
      <c r="H507" s="1">
        <v>0</v>
      </c>
      <c r="I507" s="1">
        <v>0</v>
      </c>
      <c r="J507" s="1">
        <v>0</v>
      </c>
      <c r="K507" s="1">
        <v>0</v>
      </c>
      <c r="L507" s="1">
        <v>0</v>
      </c>
      <c r="M507" s="1">
        <v>31.62992118</v>
      </c>
      <c r="N507" s="1">
        <v>0</v>
      </c>
      <c r="O507" s="1">
        <v>2.1546464219999999</v>
      </c>
      <c r="P507" s="1">
        <v>0</v>
      </c>
      <c r="Q507" s="1">
        <v>0</v>
      </c>
      <c r="R507" s="1">
        <v>297.59445460000001</v>
      </c>
      <c r="S507" s="1">
        <v>0</v>
      </c>
      <c r="T507" s="1">
        <v>0</v>
      </c>
      <c r="U507" s="1">
        <v>0</v>
      </c>
      <c r="V507" s="1">
        <v>0</v>
      </c>
      <c r="W507" s="1">
        <v>0</v>
      </c>
      <c r="X507" s="1">
        <v>0</v>
      </c>
      <c r="Y507" s="1">
        <v>0</v>
      </c>
      <c r="Z507" s="1">
        <v>0</v>
      </c>
      <c r="AA507" s="1">
        <v>444</v>
      </c>
      <c r="AB507" s="1">
        <v>0</v>
      </c>
      <c r="AC507" s="1">
        <v>0</v>
      </c>
      <c r="AD507">
        <v>0</v>
      </c>
      <c r="AE507" t="s">
        <v>637</v>
      </c>
      <c r="AF507" s="8" cm="1">
        <f t="array" aca="1" ref="AF507" ca="1">fScore_Total("ESPN",aCols)</f>
        <v>58.502284582000001</v>
      </c>
      <c r="AG507" s="8" cm="1">
        <f t="array" aca="1" ref="AG507" ca="1">-fScore_Total("diff",aCols)</f>
        <v>0</v>
      </c>
      <c r="AH507" s="8">
        <f t="shared" ca="1" si="16"/>
        <v>58.502284582000001</v>
      </c>
      <c r="AI507" s="8" t="str">
        <f t="shared" si="15"/>
        <v>FLEX</v>
      </c>
      <c r="AJ507" s="8"/>
    </row>
    <row r="508" spans="1:36" x14ac:dyDescent="0.25">
      <c r="A508" t="s">
        <v>243</v>
      </c>
      <c r="B508" s="1" t="s">
        <v>534</v>
      </c>
      <c r="C508" s="1">
        <v>0</v>
      </c>
      <c r="D508" s="1">
        <v>1.8805266629999999</v>
      </c>
      <c r="E508" s="1">
        <v>0</v>
      </c>
      <c r="F508" s="1">
        <v>0</v>
      </c>
      <c r="G508" s="1">
        <v>3.622313621</v>
      </c>
      <c r="H508" s="1">
        <v>0</v>
      </c>
      <c r="I508" s="1">
        <v>0</v>
      </c>
      <c r="J508" s="1">
        <v>498.02099220000002</v>
      </c>
      <c r="K508" s="1">
        <v>0</v>
      </c>
      <c r="L508" s="1">
        <v>0</v>
      </c>
      <c r="M508" s="1">
        <v>0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1">
        <v>0</v>
      </c>
      <c r="T508" s="1">
        <v>0</v>
      </c>
      <c r="U508" s="1">
        <v>0</v>
      </c>
      <c r="V508" s="1">
        <v>0.60786859599999998</v>
      </c>
      <c r="W508" s="1">
        <v>0</v>
      </c>
      <c r="X508" s="1">
        <v>0</v>
      </c>
      <c r="Y508" s="1">
        <v>35.0409583</v>
      </c>
      <c r="Z508" s="1">
        <v>0</v>
      </c>
      <c r="AA508" s="1">
        <v>456</v>
      </c>
      <c r="AB508" s="1">
        <v>0</v>
      </c>
      <c r="AC508" s="1">
        <v>0</v>
      </c>
      <c r="AD508">
        <v>0</v>
      </c>
      <c r="AE508" t="s">
        <v>637</v>
      </c>
      <c r="AF508" s="8" cm="1">
        <f t="array" aca="1" ref="AF508" ca="1">fScore_Total("ESPN",aCols)</f>
        <v>37.800348251999999</v>
      </c>
      <c r="AG508" s="8" cm="1">
        <f t="array" aca="1" ref="AG508" ca="1">-fScore_Total("diff",aCols)</f>
        <v>0</v>
      </c>
      <c r="AH508" s="8">
        <f t="shared" ca="1" si="16"/>
        <v>37.800348251999999</v>
      </c>
      <c r="AI508" s="8" t="str">
        <f t="shared" si="15"/>
        <v>QB</v>
      </c>
      <c r="AJ508" s="8" t="s">
        <v>641</v>
      </c>
    </row>
    <row r="509" spans="1:36" x14ac:dyDescent="0.25">
      <c r="A509" t="s">
        <v>242</v>
      </c>
      <c r="B509" s="1" t="s">
        <v>534</v>
      </c>
      <c r="C509" s="1">
        <v>0</v>
      </c>
      <c r="D509" s="1">
        <v>1.5634059060000001</v>
      </c>
      <c r="E509" s="1">
        <v>0</v>
      </c>
      <c r="F509" s="1">
        <v>0</v>
      </c>
      <c r="G509" s="1">
        <v>2.2374438090000002</v>
      </c>
      <c r="H509" s="1">
        <v>0</v>
      </c>
      <c r="I509" s="1">
        <v>0</v>
      </c>
      <c r="J509" s="1">
        <v>434.3348742</v>
      </c>
      <c r="K509" s="1">
        <v>0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0.19273789299999999</v>
      </c>
      <c r="W509" s="1">
        <v>0</v>
      </c>
      <c r="X509" s="1">
        <v>0</v>
      </c>
      <c r="Y509" s="1">
        <v>18.257963700000001</v>
      </c>
      <c r="Z509" s="1">
        <v>0</v>
      </c>
      <c r="AA509" s="1">
        <v>455</v>
      </c>
      <c r="AB509" s="1">
        <v>0</v>
      </c>
      <c r="AC509" s="1">
        <v>0</v>
      </c>
      <c r="AD509">
        <v>0</v>
      </c>
      <c r="AE509" t="s">
        <v>637</v>
      </c>
      <c r="AF509" s="8" cm="1">
        <f t="array" aca="1" ref="AF509" ca="1">fScore_Total("ESPN",aCols)</f>
        <v>26.178582119999998</v>
      </c>
      <c r="AG509" s="8" cm="1">
        <f t="array" aca="1" ref="AG509" ca="1">-fScore_Total("diff",aCols)</f>
        <v>0</v>
      </c>
      <c r="AH509" s="8">
        <f t="shared" ca="1" si="16"/>
        <v>26.178582119999998</v>
      </c>
      <c r="AI509" s="8" t="str">
        <f t="shared" si="15"/>
        <v>QB</v>
      </c>
      <c r="AJ509" s="8" t="s">
        <v>641</v>
      </c>
    </row>
    <row r="510" spans="1:36" x14ac:dyDescent="0.25">
      <c r="A510" t="s">
        <v>241</v>
      </c>
      <c r="B510" s="1" t="s">
        <v>534</v>
      </c>
      <c r="C510" s="1">
        <v>0</v>
      </c>
      <c r="D510" s="1">
        <v>1.784055712</v>
      </c>
      <c r="E510" s="1">
        <v>0</v>
      </c>
      <c r="F510" s="1">
        <v>0</v>
      </c>
      <c r="G510" s="1">
        <v>3.4163379549999999</v>
      </c>
      <c r="H510" s="1">
        <v>0</v>
      </c>
      <c r="I510" s="1">
        <v>0</v>
      </c>
      <c r="J510" s="1">
        <v>445.50528709999998</v>
      </c>
      <c r="K510" s="1">
        <v>0</v>
      </c>
      <c r="L510" s="1">
        <v>0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0.18217599800000001</v>
      </c>
      <c r="W510" s="1">
        <v>0</v>
      </c>
      <c r="X510" s="1">
        <v>0</v>
      </c>
      <c r="Y510" s="1">
        <v>39.04501638</v>
      </c>
      <c r="Z510" s="1">
        <v>0</v>
      </c>
      <c r="AA510" s="1">
        <v>453</v>
      </c>
      <c r="AB510" s="1">
        <v>0</v>
      </c>
      <c r="AC510" s="1">
        <v>0</v>
      </c>
      <c r="AD510">
        <v>0</v>
      </c>
      <c r="AE510" t="s">
        <v>637</v>
      </c>
      <c r="AF510" s="8" cm="1">
        <f t="array" aca="1" ref="AF510" ca="1">fScore_Total("ESPN",aCols)</f>
        <v>32.915009505999997</v>
      </c>
      <c r="AG510" s="8" cm="1">
        <f t="array" aca="1" ref="AG510" ca="1">-fScore_Total("diff",aCols)</f>
        <v>0</v>
      </c>
      <c r="AH510" s="8">
        <f t="shared" ca="1" si="16"/>
        <v>32.915009505999997</v>
      </c>
      <c r="AI510" s="8" t="str">
        <f t="shared" si="15"/>
        <v>QB</v>
      </c>
      <c r="AJ510" s="8" t="s">
        <v>641</v>
      </c>
    </row>
    <row r="511" spans="1:36" x14ac:dyDescent="0.25">
      <c r="A511" t="s">
        <v>223</v>
      </c>
      <c r="B511" s="1" t="s">
        <v>535</v>
      </c>
      <c r="C511" s="1">
        <v>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  <c r="J511" s="1">
        <v>0</v>
      </c>
      <c r="K511" s="1">
        <v>0</v>
      </c>
      <c r="L511" s="1">
        <v>0</v>
      </c>
      <c r="M511" s="1">
        <v>29.230093490000002</v>
      </c>
      <c r="N511" s="1">
        <v>0</v>
      </c>
      <c r="O511" s="1">
        <v>1.431966099</v>
      </c>
      <c r="P511" s="1">
        <v>0</v>
      </c>
      <c r="Q511" s="1">
        <v>0</v>
      </c>
      <c r="R511" s="1">
        <v>328.65930420000001</v>
      </c>
      <c r="S511" s="1">
        <v>0</v>
      </c>
      <c r="T511" s="1">
        <v>0</v>
      </c>
      <c r="U511" s="1">
        <v>0</v>
      </c>
      <c r="V511" s="1">
        <v>0</v>
      </c>
      <c r="W511" s="1">
        <v>0</v>
      </c>
      <c r="X511" s="1">
        <v>0</v>
      </c>
      <c r="Y511" s="1">
        <v>0</v>
      </c>
      <c r="Z511" s="1">
        <v>0</v>
      </c>
      <c r="AA511" s="1">
        <v>443</v>
      </c>
      <c r="AB511" s="1">
        <v>0</v>
      </c>
      <c r="AC511" s="1">
        <v>0</v>
      </c>
      <c r="AD511">
        <v>0</v>
      </c>
      <c r="AE511" t="s">
        <v>637</v>
      </c>
      <c r="AF511" s="8" cm="1">
        <f t="array" aca="1" ref="AF511" ca="1">fScore_Total("ESPN",aCols)</f>
        <v>56.072773759000007</v>
      </c>
      <c r="AG511" s="8" cm="1">
        <f t="array" aca="1" ref="AG511" ca="1">-fScore_Total("diff",aCols)</f>
        <v>0</v>
      </c>
      <c r="AH511" s="8">
        <f t="shared" ca="1" si="16"/>
        <v>56.072773759000007</v>
      </c>
      <c r="AI511" s="8" t="str">
        <f t="shared" si="15"/>
        <v>FLEX</v>
      </c>
      <c r="AJ511" s="8"/>
    </row>
    <row r="512" spans="1:36" x14ac:dyDescent="0.25">
      <c r="A512" t="s">
        <v>217</v>
      </c>
      <c r="B512" s="1" t="s">
        <v>532</v>
      </c>
      <c r="C512" s="1">
        <v>0</v>
      </c>
      <c r="D512" s="1">
        <v>0</v>
      </c>
      <c r="E512" s="1">
        <v>0</v>
      </c>
      <c r="F512" s="1">
        <v>0</v>
      </c>
      <c r="G512" s="1">
        <v>0</v>
      </c>
      <c r="H512" s="1">
        <v>0</v>
      </c>
      <c r="I512" s="1">
        <v>0</v>
      </c>
      <c r="J512" s="1">
        <v>0</v>
      </c>
      <c r="K512" s="1">
        <v>0</v>
      </c>
      <c r="L512" s="1">
        <v>0</v>
      </c>
      <c r="M512" s="1">
        <v>10.099625400000001</v>
      </c>
      <c r="N512" s="1">
        <v>0</v>
      </c>
      <c r="O512" s="1">
        <v>0.314220045</v>
      </c>
      <c r="P512" s="1">
        <v>0</v>
      </c>
      <c r="Q512" s="1">
        <v>0</v>
      </c>
      <c r="R512" s="1">
        <v>74.666644259999998</v>
      </c>
      <c r="S512" s="1">
        <v>0</v>
      </c>
      <c r="T512" s="1">
        <v>0</v>
      </c>
      <c r="U512" s="1">
        <v>0</v>
      </c>
      <c r="V512" s="1">
        <v>0.46898519999999999</v>
      </c>
      <c r="W512" s="1">
        <v>0</v>
      </c>
      <c r="X512" s="1">
        <v>0</v>
      </c>
      <c r="Y512" s="1">
        <v>80.999819009999996</v>
      </c>
      <c r="Z512" s="1">
        <v>0</v>
      </c>
      <c r="AA512" s="1">
        <v>433</v>
      </c>
      <c r="AB512" s="1">
        <v>0</v>
      </c>
      <c r="AC512" s="1">
        <v>0</v>
      </c>
      <c r="AD512">
        <v>0</v>
      </c>
      <c r="AE512" t="s">
        <v>637</v>
      </c>
      <c r="AF512" s="8" cm="1">
        <f t="array" aca="1" ref="AF512" ca="1">fScore_Total("ESPN",aCols)</f>
        <v>25.315690496999999</v>
      </c>
      <c r="AG512" s="8" cm="1">
        <f t="array" aca="1" ref="AG512" ca="1">-fScore_Total("diff",aCols)</f>
        <v>0</v>
      </c>
      <c r="AH512" s="8">
        <f t="shared" ca="1" si="16"/>
        <v>25.315690496999999</v>
      </c>
      <c r="AI512" s="8" t="str">
        <f t="shared" si="15"/>
        <v>FLEX</v>
      </c>
      <c r="AJ512" s="8"/>
    </row>
    <row r="513" spans="1:36" x14ac:dyDescent="0.25">
      <c r="A513" t="s">
        <v>221</v>
      </c>
      <c r="B513" s="1" t="s">
        <v>535</v>
      </c>
      <c r="C513" s="1">
        <v>0</v>
      </c>
      <c r="D513" s="1">
        <v>0</v>
      </c>
      <c r="E513" s="1">
        <v>0</v>
      </c>
      <c r="F513" s="1">
        <v>0</v>
      </c>
      <c r="G513" s="1">
        <v>0</v>
      </c>
      <c r="H513" s="1">
        <v>0</v>
      </c>
      <c r="I513" s="1">
        <v>0</v>
      </c>
      <c r="J513" s="1">
        <v>0</v>
      </c>
      <c r="K513" s="1">
        <v>0</v>
      </c>
      <c r="L513" s="1">
        <v>0</v>
      </c>
      <c r="M513" s="1">
        <v>27.388944739999999</v>
      </c>
      <c r="N513" s="1">
        <v>0</v>
      </c>
      <c r="O513" s="1">
        <v>2.0086856740000001</v>
      </c>
      <c r="P513" s="1">
        <v>0</v>
      </c>
      <c r="Q513" s="1">
        <v>0</v>
      </c>
      <c r="R513" s="1">
        <v>255.20634340000001</v>
      </c>
      <c r="S513" s="1">
        <v>0</v>
      </c>
      <c r="T513" s="1">
        <v>0</v>
      </c>
      <c r="U513" s="1">
        <v>0</v>
      </c>
      <c r="V513" s="1">
        <v>2.2009404E-2</v>
      </c>
      <c r="W513" s="1">
        <v>0</v>
      </c>
      <c r="X513" s="1">
        <v>0</v>
      </c>
      <c r="Y513" s="1">
        <v>1.8260879830000001</v>
      </c>
      <c r="Z513" s="1">
        <v>0</v>
      </c>
      <c r="AA513" s="1">
        <v>442</v>
      </c>
      <c r="AB513" s="1">
        <v>0</v>
      </c>
      <c r="AC513" s="1">
        <v>0</v>
      </c>
      <c r="AD513">
        <v>0</v>
      </c>
      <c r="AE513" t="s">
        <v>637</v>
      </c>
      <c r="AF513" s="8" cm="1">
        <f t="array" aca="1" ref="AF513" ca="1">fScore_Total("ESPN",aCols)</f>
        <v>51.581885976300001</v>
      </c>
      <c r="AG513" s="8" cm="1">
        <f t="array" aca="1" ref="AG513" ca="1">-fScore_Total("diff",aCols)</f>
        <v>0</v>
      </c>
      <c r="AH513" s="8">
        <f t="shared" ca="1" si="16"/>
        <v>51.581885976300001</v>
      </c>
      <c r="AI513" s="8" t="str">
        <f t="shared" si="15"/>
        <v>FLEX</v>
      </c>
      <c r="AJ513" s="8"/>
    </row>
    <row r="514" spans="1:36" x14ac:dyDescent="0.25">
      <c r="A514" t="s">
        <v>226</v>
      </c>
      <c r="B514" s="1" t="s">
        <v>534</v>
      </c>
      <c r="C514" s="1">
        <v>0</v>
      </c>
      <c r="D514" s="1">
        <v>6.4729977959999996</v>
      </c>
      <c r="E514" s="1">
        <v>0</v>
      </c>
      <c r="F514" s="1">
        <v>0</v>
      </c>
      <c r="G514" s="1">
        <v>9.0022678000000003</v>
      </c>
      <c r="H514" s="1">
        <v>0</v>
      </c>
      <c r="I514" s="1">
        <v>0</v>
      </c>
      <c r="J514" s="1">
        <v>1921.867506</v>
      </c>
      <c r="K514" s="1">
        <v>0</v>
      </c>
      <c r="L514" s="1">
        <v>0</v>
      </c>
      <c r="M514" s="1">
        <v>0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U514" s="1">
        <v>0</v>
      </c>
      <c r="V514" s="1">
        <v>1.3605332320000001</v>
      </c>
      <c r="W514" s="1">
        <v>0</v>
      </c>
      <c r="X514" s="1">
        <v>0</v>
      </c>
      <c r="Y514" s="1">
        <v>74.575300170000006</v>
      </c>
      <c r="Z514" s="1">
        <v>0</v>
      </c>
      <c r="AA514" s="1">
        <v>441</v>
      </c>
      <c r="AB514" s="1">
        <v>0</v>
      </c>
      <c r="AC514" s="1">
        <v>0</v>
      </c>
      <c r="AD514">
        <v>0</v>
      </c>
      <c r="AE514" t="s">
        <v>637</v>
      </c>
      <c r="AF514" s="8" cm="1">
        <f t="array" aca="1" ref="AF514" ca="1">fScore_Total("ESPN",aCols)</f>
        <v>115.55850525700001</v>
      </c>
      <c r="AG514" s="8" cm="1">
        <f t="array" aca="1" ref="AG514" ca="1">-fScore_Total("diff",aCols)</f>
        <v>0</v>
      </c>
      <c r="AH514" s="8">
        <f t="shared" ca="1" si="16"/>
        <v>115.55850525700001</v>
      </c>
      <c r="AI514" s="8" t="str">
        <f t="shared" si="15"/>
        <v>QB</v>
      </c>
      <c r="AJ514" s="8" t="s">
        <v>641</v>
      </c>
    </row>
    <row r="515" spans="1:36" x14ac:dyDescent="0.25">
      <c r="A515" t="s">
        <v>244</v>
      </c>
      <c r="B515" s="1" t="s">
        <v>532</v>
      </c>
      <c r="C515" s="1">
        <v>0</v>
      </c>
      <c r="D515" s="1">
        <v>0</v>
      </c>
      <c r="E515" s="1">
        <v>0</v>
      </c>
      <c r="F515" s="1">
        <v>0</v>
      </c>
      <c r="G515" s="1">
        <v>0</v>
      </c>
      <c r="H515" s="1">
        <v>0</v>
      </c>
      <c r="I515" s="1">
        <v>0</v>
      </c>
      <c r="J515" s="1">
        <v>0</v>
      </c>
      <c r="K515" s="1">
        <v>0</v>
      </c>
      <c r="L515" s="1">
        <v>0</v>
      </c>
      <c r="M515" s="1">
        <v>4.3117649809999996</v>
      </c>
      <c r="N515" s="1">
        <v>0</v>
      </c>
      <c r="O515" s="1">
        <v>0.12631429199999999</v>
      </c>
      <c r="P515" s="1">
        <v>0</v>
      </c>
      <c r="Q515" s="1">
        <v>0</v>
      </c>
      <c r="R515" s="1">
        <v>30.103319410000001</v>
      </c>
      <c r="S515" s="1">
        <v>0</v>
      </c>
      <c r="T515" s="1">
        <v>0</v>
      </c>
      <c r="U515" s="1">
        <v>0</v>
      </c>
      <c r="V515" s="1">
        <v>0.87777852700000003</v>
      </c>
      <c r="W515" s="1">
        <v>0</v>
      </c>
      <c r="X515" s="1">
        <v>0</v>
      </c>
      <c r="Y515" s="1">
        <v>116.6741662</v>
      </c>
      <c r="Z515" s="1">
        <v>0</v>
      </c>
      <c r="AA515" s="1">
        <v>439</v>
      </c>
      <c r="AB515" s="1">
        <v>0</v>
      </c>
      <c r="AC515" s="1">
        <v>0</v>
      </c>
      <c r="AD515">
        <v>0</v>
      </c>
      <c r="AE515" t="s">
        <v>637</v>
      </c>
      <c r="AF515" s="8" cm="1">
        <f t="array" aca="1" ref="AF515" ca="1">fScore_Total("ESPN",aCols)</f>
        <v>22.858187965500001</v>
      </c>
      <c r="AG515" s="8" cm="1">
        <f t="array" aca="1" ref="AG515" ca="1">-fScore_Total("diff",aCols)</f>
        <v>0</v>
      </c>
      <c r="AH515" s="8">
        <f t="shared" ca="1" si="16"/>
        <v>22.858187965500001</v>
      </c>
      <c r="AI515" s="8" t="str">
        <f t="shared" ref="AI515:AI518" si="17">IF(B515="QB","QB","FLEX")</f>
        <v>FLEX</v>
      </c>
      <c r="AJ515" s="8"/>
    </row>
    <row r="516" spans="1:36" x14ac:dyDescent="0.25">
      <c r="A516" t="s">
        <v>450</v>
      </c>
      <c r="B516" s="1" t="s">
        <v>532</v>
      </c>
      <c r="C516" s="1">
        <v>0</v>
      </c>
      <c r="D516" s="1">
        <v>0</v>
      </c>
      <c r="E516" s="1">
        <v>0</v>
      </c>
      <c r="F516" s="1">
        <v>0</v>
      </c>
      <c r="G516" s="1">
        <v>0</v>
      </c>
      <c r="H516" s="1">
        <v>0</v>
      </c>
      <c r="I516" s="1">
        <v>0</v>
      </c>
      <c r="J516" s="1">
        <v>0</v>
      </c>
      <c r="K516" s="1">
        <v>0</v>
      </c>
      <c r="L516" s="1">
        <v>0</v>
      </c>
      <c r="M516" s="1">
        <v>8.3139574330000006</v>
      </c>
      <c r="N516" s="1">
        <v>0</v>
      </c>
      <c r="O516" s="1">
        <v>0.26115651299999998</v>
      </c>
      <c r="P516" s="1">
        <v>0</v>
      </c>
      <c r="Q516" s="1">
        <v>0</v>
      </c>
      <c r="R516" s="1">
        <v>61.975513769999999</v>
      </c>
      <c r="S516" s="1">
        <v>0</v>
      </c>
      <c r="T516" s="1">
        <v>0</v>
      </c>
      <c r="U516" s="1">
        <v>0</v>
      </c>
      <c r="V516" s="1">
        <v>0.516137925</v>
      </c>
      <c r="W516" s="1">
        <v>0</v>
      </c>
      <c r="X516" s="1">
        <v>0</v>
      </c>
      <c r="Y516" s="1">
        <v>70.840259669999995</v>
      </c>
      <c r="Z516" s="1">
        <v>0</v>
      </c>
      <c r="AA516" s="1">
        <v>436</v>
      </c>
      <c r="AB516" s="1">
        <v>0</v>
      </c>
      <c r="AC516" s="1">
        <v>0</v>
      </c>
      <c r="AD516">
        <v>0</v>
      </c>
      <c r="AE516" t="s">
        <v>637</v>
      </c>
      <c r="AF516" s="8" cm="1">
        <f t="array" aca="1" ref="AF516" ca="1">fScore_Total("ESPN",aCols)</f>
        <v>22.102322688499999</v>
      </c>
      <c r="AG516" s="8" cm="1">
        <f t="array" aca="1" ref="AG516" ca="1">-fScore_Total("diff",aCols)</f>
        <v>0</v>
      </c>
      <c r="AH516" s="8">
        <f t="shared" ca="1" si="16"/>
        <v>22.102322688499999</v>
      </c>
      <c r="AI516" s="8" t="str">
        <f t="shared" si="17"/>
        <v>FLEX</v>
      </c>
      <c r="AJ516" s="8"/>
    </row>
    <row r="517" spans="1:36" x14ac:dyDescent="0.25">
      <c r="A517" t="s">
        <v>232</v>
      </c>
      <c r="B517" s="1" t="s">
        <v>532</v>
      </c>
      <c r="C517" s="1">
        <v>0</v>
      </c>
      <c r="D517" s="1">
        <v>0</v>
      </c>
      <c r="E517" s="1">
        <v>0</v>
      </c>
      <c r="F517" s="1">
        <v>0</v>
      </c>
      <c r="G517" s="1">
        <v>0</v>
      </c>
      <c r="H517" s="1">
        <v>0</v>
      </c>
      <c r="I517" s="1">
        <v>0</v>
      </c>
      <c r="J517" s="1">
        <v>0</v>
      </c>
      <c r="K517" s="1">
        <v>0</v>
      </c>
      <c r="L517" s="1">
        <v>0</v>
      </c>
      <c r="M517" s="1">
        <v>11.759892499999999</v>
      </c>
      <c r="N517" s="1">
        <v>0</v>
      </c>
      <c r="O517" s="1">
        <v>0.80667243300000002</v>
      </c>
      <c r="P517" s="1">
        <v>0</v>
      </c>
      <c r="Q517" s="1">
        <v>0</v>
      </c>
      <c r="R517" s="1">
        <v>88.285214010000004</v>
      </c>
      <c r="S517" s="1">
        <v>0</v>
      </c>
      <c r="T517" s="1">
        <v>0</v>
      </c>
      <c r="U517" s="1">
        <v>0</v>
      </c>
      <c r="V517" s="1">
        <v>0.220888479</v>
      </c>
      <c r="W517" s="1">
        <v>0</v>
      </c>
      <c r="X517" s="1">
        <v>0</v>
      </c>
      <c r="Y517" s="1">
        <v>19.75789623</v>
      </c>
      <c r="Z517" s="1">
        <v>0</v>
      </c>
      <c r="AA517" s="1">
        <v>434</v>
      </c>
      <c r="AB517" s="1">
        <v>0</v>
      </c>
      <c r="AC517" s="1">
        <v>0</v>
      </c>
      <c r="AD517">
        <v>0</v>
      </c>
      <c r="AE517" t="s">
        <v>637</v>
      </c>
      <c r="AF517" s="8" cm="1">
        <f t="array" aca="1" ref="AF517" ca="1">fScore_Total("ESPN",aCols)</f>
        <v>22.849622746000001</v>
      </c>
      <c r="AG517" s="8" cm="1">
        <f t="array" aca="1" ref="AG517" ca="1">-fScore_Total("diff",aCols)</f>
        <v>0</v>
      </c>
      <c r="AH517" s="8">
        <f t="shared" ca="1" si="16"/>
        <v>22.849622746000001</v>
      </c>
      <c r="AI517" s="8" t="str">
        <f t="shared" si="17"/>
        <v>FLEX</v>
      </c>
      <c r="AJ517" s="8"/>
    </row>
    <row r="518" spans="1:36" x14ac:dyDescent="0.25">
      <c r="A518" t="s">
        <v>408</v>
      </c>
      <c r="B518" s="1" t="s">
        <v>533</v>
      </c>
      <c r="C518" s="1">
        <v>0</v>
      </c>
      <c r="D518" s="1">
        <v>0</v>
      </c>
      <c r="E518" s="1">
        <v>0</v>
      </c>
      <c r="F518" s="1">
        <v>0</v>
      </c>
      <c r="G518" s="1">
        <v>0</v>
      </c>
      <c r="H518" s="1">
        <v>0</v>
      </c>
      <c r="I518" s="1">
        <v>0</v>
      </c>
      <c r="J518" s="1">
        <v>0</v>
      </c>
      <c r="K518" s="1">
        <v>0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U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1370</v>
      </c>
      <c r="AB518" s="1">
        <v>0</v>
      </c>
      <c r="AC518" s="1">
        <v>0</v>
      </c>
      <c r="AD518">
        <v>0</v>
      </c>
      <c r="AE518" t="s">
        <v>637</v>
      </c>
      <c r="AF518" s="8" cm="1">
        <f t="array" aca="1" ref="AF518" ca="1">fScore_Total("ESPN",aCols)</f>
        <v>0</v>
      </c>
      <c r="AG518" s="8" cm="1">
        <f t="array" aca="1" ref="AG518" ca="1">-fScore_Total("diff",aCols)</f>
        <v>0</v>
      </c>
      <c r="AH518" s="8">
        <f t="shared" ref="AH518" ca="1" si="18">+AF518+AG518</f>
        <v>0</v>
      </c>
      <c r="AI518" s="8" t="str">
        <f t="shared" si="17"/>
        <v>FLEX</v>
      </c>
      <c r="AJ518" s="8"/>
    </row>
  </sheetData>
  <autoFilter ref="A1:AJ518" xr:uid="{96B6B01C-70DF-427F-ABBD-65098E5FD13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B6AA9-5648-4B0B-9222-11A5B6F5E618}">
  <sheetPr codeName="Sheet3"/>
  <dimension ref="A1:K25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9" bestFit="1" customWidth="1"/>
    <col min="2" max="11" width="13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461</v>
      </c>
      <c r="E1" t="s">
        <v>3</v>
      </c>
      <c r="F1" t="s">
        <v>4</v>
      </c>
      <c r="G1" t="s">
        <v>5</v>
      </c>
      <c r="H1" t="s">
        <v>462</v>
      </c>
      <c r="I1" t="s">
        <v>6</v>
      </c>
      <c r="J1" t="s">
        <v>7</v>
      </c>
      <c r="K1" t="s">
        <v>8</v>
      </c>
    </row>
    <row r="2" spans="1:11" x14ac:dyDescent="0.25">
      <c r="A2" t="s">
        <v>9</v>
      </c>
      <c r="B2">
        <v>3500.5</v>
      </c>
      <c r="C2">
        <v>19.5</v>
      </c>
    </row>
    <row r="3" spans="1:11" x14ac:dyDescent="0.25">
      <c r="A3" t="s">
        <v>10</v>
      </c>
      <c r="B3">
        <v>2925.5</v>
      </c>
      <c r="C3">
        <v>18.5</v>
      </c>
      <c r="D3">
        <v>20000</v>
      </c>
    </row>
    <row r="4" spans="1:11" x14ac:dyDescent="0.25">
      <c r="A4" t="s">
        <v>11</v>
      </c>
      <c r="B4">
        <v>3900.5</v>
      </c>
      <c r="C4">
        <v>22.5</v>
      </c>
      <c r="D4">
        <v>20000</v>
      </c>
      <c r="E4">
        <v>10.5</v>
      </c>
    </row>
    <row r="5" spans="1:11" x14ac:dyDescent="0.25">
      <c r="A5" t="s">
        <v>12</v>
      </c>
      <c r="B5">
        <v>3200.5</v>
      </c>
      <c r="C5">
        <v>18.5</v>
      </c>
      <c r="D5">
        <v>5000</v>
      </c>
      <c r="E5">
        <v>9.5</v>
      </c>
      <c r="F5">
        <v>550.5</v>
      </c>
      <c r="G5">
        <v>7.5</v>
      </c>
    </row>
    <row r="6" spans="1:11" x14ac:dyDescent="0.25">
      <c r="A6" t="s">
        <v>13</v>
      </c>
      <c r="B6">
        <v>3550.5</v>
      </c>
      <c r="C6">
        <v>21.5</v>
      </c>
      <c r="D6">
        <v>10000</v>
      </c>
      <c r="E6">
        <v>9.5</v>
      </c>
      <c r="F6">
        <v>475.5</v>
      </c>
    </row>
    <row r="7" spans="1:11" x14ac:dyDescent="0.25">
      <c r="A7" t="s">
        <v>14</v>
      </c>
      <c r="B7">
        <v>3100.5</v>
      </c>
      <c r="C7">
        <v>18.5</v>
      </c>
      <c r="D7">
        <v>20000</v>
      </c>
      <c r="G7">
        <v>3.5</v>
      </c>
      <c r="H7">
        <v>1000</v>
      </c>
    </row>
    <row r="8" spans="1:11" x14ac:dyDescent="0.25">
      <c r="A8" t="s">
        <v>15</v>
      </c>
      <c r="B8">
        <v>2800.5</v>
      </c>
      <c r="C8">
        <v>16.5</v>
      </c>
      <c r="D8">
        <v>20000</v>
      </c>
      <c r="E8">
        <v>8.5</v>
      </c>
    </row>
    <row r="9" spans="1:11" x14ac:dyDescent="0.25">
      <c r="A9" t="s">
        <v>16</v>
      </c>
      <c r="B9">
        <v>4050.5</v>
      </c>
      <c r="C9">
        <v>25.5</v>
      </c>
      <c r="D9">
        <v>15000</v>
      </c>
      <c r="E9">
        <v>10.5</v>
      </c>
    </row>
    <row r="10" spans="1:11" x14ac:dyDescent="0.25">
      <c r="A10" t="s">
        <v>17</v>
      </c>
      <c r="B10">
        <v>3150.5</v>
      </c>
      <c r="C10">
        <v>18.5</v>
      </c>
      <c r="D10">
        <v>12000</v>
      </c>
      <c r="E10">
        <v>12.5</v>
      </c>
      <c r="F10">
        <v>550.5</v>
      </c>
      <c r="G10">
        <v>5.5</v>
      </c>
      <c r="H10">
        <v>475</v>
      </c>
    </row>
    <row r="11" spans="1:11" x14ac:dyDescent="0.25">
      <c r="A11" t="s">
        <v>18</v>
      </c>
      <c r="B11">
        <v>3750.5</v>
      </c>
      <c r="C11">
        <v>27.5</v>
      </c>
      <c r="D11">
        <v>6500</v>
      </c>
      <c r="E11">
        <v>12.5</v>
      </c>
      <c r="F11">
        <v>480.5</v>
      </c>
      <c r="G11">
        <v>9.5</v>
      </c>
    </row>
    <row r="12" spans="1:11" x14ac:dyDescent="0.25">
      <c r="A12" t="s">
        <v>19</v>
      </c>
      <c r="B12">
        <v>3250.5</v>
      </c>
      <c r="C12">
        <v>22.5</v>
      </c>
      <c r="D12">
        <v>7000</v>
      </c>
      <c r="E12">
        <v>7.5</v>
      </c>
      <c r="F12">
        <v>675.5</v>
      </c>
      <c r="G12">
        <v>4.5</v>
      </c>
    </row>
    <row r="13" spans="1:11" x14ac:dyDescent="0.25">
      <c r="A13" t="s">
        <v>20</v>
      </c>
      <c r="B13">
        <v>3350.5</v>
      </c>
      <c r="C13">
        <v>21.5</v>
      </c>
      <c r="D13">
        <v>20000</v>
      </c>
      <c r="E13">
        <v>11.5</v>
      </c>
    </row>
    <row r="14" spans="1:11" x14ac:dyDescent="0.25">
      <c r="A14" t="s">
        <v>21</v>
      </c>
      <c r="B14">
        <v>3650.5</v>
      </c>
      <c r="C14">
        <v>26.5</v>
      </c>
      <c r="D14">
        <v>10000</v>
      </c>
      <c r="E14">
        <v>7.5</v>
      </c>
    </row>
    <row r="15" spans="1:11" x14ac:dyDescent="0.25">
      <c r="A15" t="s">
        <v>22</v>
      </c>
      <c r="B15">
        <v>3600.5</v>
      </c>
      <c r="C15">
        <v>22.5</v>
      </c>
      <c r="D15">
        <v>6000</v>
      </c>
      <c r="E15">
        <v>10.5</v>
      </c>
      <c r="F15">
        <v>550.5</v>
      </c>
      <c r="G15">
        <v>9.5</v>
      </c>
    </row>
    <row r="16" spans="1:11" x14ac:dyDescent="0.25">
      <c r="A16" t="s">
        <v>23</v>
      </c>
      <c r="B16">
        <v>3400.5</v>
      </c>
      <c r="C16">
        <v>20.5</v>
      </c>
      <c r="D16">
        <v>20000</v>
      </c>
      <c r="E16">
        <v>12.5</v>
      </c>
    </row>
    <row r="17" spans="1:11" x14ac:dyDescent="0.25">
      <c r="A17" t="s">
        <v>24</v>
      </c>
      <c r="B17">
        <v>3300.5</v>
      </c>
      <c r="C17">
        <v>19.5</v>
      </c>
      <c r="D17">
        <v>15000</v>
      </c>
      <c r="E17">
        <v>9.5</v>
      </c>
    </row>
    <row r="18" spans="1:11" x14ac:dyDescent="0.25">
      <c r="A18" t="s">
        <v>25</v>
      </c>
      <c r="B18">
        <v>3900.5</v>
      </c>
      <c r="C18">
        <v>27.5</v>
      </c>
      <c r="D18">
        <v>7500</v>
      </c>
      <c r="E18">
        <v>10.5</v>
      </c>
    </row>
    <row r="19" spans="1:11" x14ac:dyDescent="0.25">
      <c r="A19" t="s">
        <v>26</v>
      </c>
      <c r="B19">
        <v>3800.5</v>
      </c>
      <c r="C19">
        <v>22.5</v>
      </c>
      <c r="D19">
        <v>15000</v>
      </c>
      <c r="E19">
        <v>12.5</v>
      </c>
    </row>
    <row r="20" spans="1:11" x14ac:dyDescent="0.25">
      <c r="A20" t="s">
        <v>27</v>
      </c>
      <c r="B20">
        <v>3800.5</v>
      </c>
      <c r="C20">
        <v>27.5</v>
      </c>
      <c r="D20">
        <v>10000</v>
      </c>
      <c r="E20">
        <v>8.5</v>
      </c>
    </row>
    <row r="21" spans="1:11" x14ac:dyDescent="0.25">
      <c r="A21" t="s">
        <v>28</v>
      </c>
      <c r="B21">
        <v>3900.5</v>
      </c>
      <c r="C21">
        <v>28.5</v>
      </c>
      <c r="D21">
        <v>10000</v>
      </c>
      <c r="E21">
        <v>9.5</v>
      </c>
    </row>
    <row r="22" spans="1:11" x14ac:dyDescent="0.25">
      <c r="A22" t="s">
        <v>29</v>
      </c>
      <c r="B22">
        <v>4100.5</v>
      </c>
      <c r="C22">
        <v>30.5</v>
      </c>
      <c r="D22">
        <v>10000</v>
      </c>
      <c r="E22">
        <v>9.5</v>
      </c>
    </row>
    <row r="23" spans="1:11" x14ac:dyDescent="0.25">
      <c r="A23" t="s">
        <v>30</v>
      </c>
      <c r="B23">
        <v>4100.5</v>
      </c>
      <c r="C23">
        <v>25.5</v>
      </c>
      <c r="D23">
        <v>15000</v>
      </c>
      <c r="E23">
        <v>10.5</v>
      </c>
    </row>
    <row r="24" spans="1:11" x14ac:dyDescent="0.25">
      <c r="A24" t="s">
        <v>31</v>
      </c>
      <c r="B24">
        <v>3500.5</v>
      </c>
      <c r="C24">
        <v>23.5</v>
      </c>
      <c r="D24">
        <v>7500</v>
      </c>
      <c r="E24">
        <v>11.5</v>
      </c>
      <c r="H24">
        <v>135</v>
      </c>
    </row>
    <row r="25" spans="1:11" x14ac:dyDescent="0.25">
      <c r="A25" t="s">
        <v>32</v>
      </c>
      <c r="B25">
        <v>4000.5</v>
      </c>
      <c r="C25">
        <v>28.5</v>
      </c>
      <c r="D25">
        <v>7500</v>
      </c>
      <c r="E25">
        <v>9.5</v>
      </c>
    </row>
    <row r="26" spans="1:11" x14ac:dyDescent="0.25">
      <c r="A26" t="s">
        <v>33</v>
      </c>
      <c r="B26">
        <v>3200.5</v>
      </c>
      <c r="C26">
        <v>18.5</v>
      </c>
      <c r="D26">
        <v>20000</v>
      </c>
      <c r="E26">
        <v>10.5</v>
      </c>
    </row>
    <row r="27" spans="1:11" x14ac:dyDescent="0.25">
      <c r="A27" t="s">
        <v>431</v>
      </c>
      <c r="B27">
        <v>4150.5</v>
      </c>
      <c r="C27">
        <v>28.5</v>
      </c>
      <c r="D27">
        <v>6500</v>
      </c>
      <c r="E27">
        <v>9.5</v>
      </c>
    </row>
    <row r="28" spans="1:11" x14ac:dyDescent="0.25">
      <c r="A28" t="s">
        <v>34</v>
      </c>
      <c r="B28">
        <v>3550.5</v>
      </c>
      <c r="C28">
        <v>23.5</v>
      </c>
      <c r="D28">
        <v>25000</v>
      </c>
      <c r="E28">
        <v>11.5</v>
      </c>
    </row>
    <row r="29" spans="1:11" x14ac:dyDescent="0.25">
      <c r="A29" t="s">
        <v>35</v>
      </c>
      <c r="B29">
        <v>4350.5</v>
      </c>
      <c r="C29">
        <v>34.5</v>
      </c>
      <c r="D29">
        <v>5500</v>
      </c>
      <c r="E29">
        <v>9.5</v>
      </c>
    </row>
    <row r="30" spans="1:11" x14ac:dyDescent="0.25">
      <c r="A30" t="s">
        <v>36</v>
      </c>
      <c r="D30">
        <v>20000</v>
      </c>
      <c r="I30">
        <v>725.5</v>
      </c>
      <c r="J30">
        <v>5.5</v>
      </c>
      <c r="K30">
        <v>65.5</v>
      </c>
    </row>
    <row r="31" spans="1:11" x14ac:dyDescent="0.25">
      <c r="A31" t="s">
        <v>37</v>
      </c>
      <c r="D31">
        <v>12000</v>
      </c>
      <c r="I31">
        <v>775.5</v>
      </c>
      <c r="J31">
        <v>4.5</v>
      </c>
    </row>
    <row r="32" spans="1:11" x14ac:dyDescent="0.25">
      <c r="A32" t="s">
        <v>38</v>
      </c>
      <c r="D32">
        <v>12000</v>
      </c>
      <c r="I32">
        <v>925.5</v>
      </c>
      <c r="J32">
        <v>4.5</v>
      </c>
    </row>
    <row r="33" spans="1:11" x14ac:dyDescent="0.25">
      <c r="A33" t="s">
        <v>39</v>
      </c>
      <c r="D33">
        <v>15000</v>
      </c>
      <c r="I33">
        <v>775.5</v>
      </c>
      <c r="J33">
        <v>4.5</v>
      </c>
    </row>
    <row r="34" spans="1:11" x14ac:dyDescent="0.25">
      <c r="A34" t="s">
        <v>413</v>
      </c>
      <c r="D34">
        <v>12000</v>
      </c>
      <c r="I34">
        <v>950.5</v>
      </c>
      <c r="J34">
        <v>5.5</v>
      </c>
    </row>
    <row r="35" spans="1:11" x14ac:dyDescent="0.25">
      <c r="A35" t="s">
        <v>40</v>
      </c>
      <c r="D35">
        <v>15000</v>
      </c>
      <c r="I35">
        <v>850.5</v>
      </c>
      <c r="J35">
        <v>4.5</v>
      </c>
    </row>
    <row r="36" spans="1:11" x14ac:dyDescent="0.25">
      <c r="A36" t="s">
        <v>41</v>
      </c>
      <c r="D36">
        <v>25000</v>
      </c>
      <c r="I36">
        <v>675.5</v>
      </c>
      <c r="J36">
        <v>5.5</v>
      </c>
    </row>
    <row r="37" spans="1:11" x14ac:dyDescent="0.25">
      <c r="A37" t="s">
        <v>42</v>
      </c>
      <c r="I37">
        <v>475.5</v>
      </c>
      <c r="J37">
        <v>3.5</v>
      </c>
    </row>
    <row r="38" spans="1:11" x14ac:dyDescent="0.25">
      <c r="A38" t="s">
        <v>43</v>
      </c>
      <c r="D38">
        <v>15000</v>
      </c>
      <c r="I38">
        <v>825.5</v>
      </c>
      <c r="J38">
        <v>4.5</v>
      </c>
    </row>
    <row r="39" spans="1:11" x14ac:dyDescent="0.25">
      <c r="A39" t="s">
        <v>44</v>
      </c>
      <c r="D39">
        <v>15000</v>
      </c>
      <c r="I39">
        <v>775.5</v>
      </c>
      <c r="J39">
        <v>4.5</v>
      </c>
      <c r="K39">
        <v>64.5</v>
      </c>
    </row>
    <row r="40" spans="1:11" x14ac:dyDescent="0.25">
      <c r="A40" t="s">
        <v>45</v>
      </c>
      <c r="D40">
        <v>25000</v>
      </c>
      <c r="I40">
        <v>750.5</v>
      </c>
      <c r="J40">
        <v>4.5</v>
      </c>
    </row>
    <row r="41" spans="1:11" x14ac:dyDescent="0.25">
      <c r="A41" t="s">
        <v>46</v>
      </c>
      <c r="D41">
        <v>25000</v>
      </c>
      <c r="I41">
        <v>750.5</v>
      </c>
      <c r="J41">
        <v>5.5</v>
      </c>
      <c r="K41">
        <v>80.5</v>
      </c>
    </row>
    <row r="42" spans="1:11" x14ac:dyDescent="0.25">
      <c r="A42" t="s">
        <v>47</v>
      </c>
      <c r="D42">
        <v>15000</v>
      </c>
      <c r="I42">
        <v>750.5</v>
      </c>
      <c r="J42">
        <v>5.5</v>
      </c>
    </row>
    <row r="43" spans="1:11" x14ac:dyDescent="0.25">
      <c r="A43" t="s">
        <v>48</v>
      </c>
      <c r="D43">
        <v>25000</v>
      </c>
      <c r="I43">
        <v>900.5</v>
      </c>
      <c r="J43">
        <v>4.5</v>
      </c>
    </row>
    <row r="44" spans="1:11" x14ac:dyDescent="0.25">
      <c r="A44" t="s">
        <v>49</v>
      </c>
      <c r="D44">
        <v>15000</v>
      </c>
      <c r="I44">
        <v>725.5</v>
      </c>
      <c r="J44">
        <v>4.5</v>
      </c>
    </row>
    <row r="45" spans="1:11" x14ac:dyDescent="0.25">
      <c r="A45" t="s">
        <v>50</v>
      </c>
      <c r="D45">
        <v>10000</v>
      </c>
      <c r="I45">
        <v>875.5</v>
      </c>
      <c r="J45">
        <v>5.5</v>
      </c>
      <c r="K45">
        <v>65.5</v>
      </c>
    </row>
    <row r="46" spans="1:11" x14ac:dyDescent="0.25">
      <c r="A46" t="s">
        <v>51</v>
      </c>
      <c r="D46">
        <v>25000</v>
      </c>
      <c r="I46">
        <v>550.5</v>
      </c>
      <c r="J46">
        <v>3.5</v>
      </c>
    </row>
    <row r="47" spans="1:11" x14ac:dyDescent="0.25">
      <c r="A47" t="s">
        <v>52</v>
      </c>
      <c r="D47">
        <v>10000</v>
      </c>
      <c r="I47">
        <v>800.5</v>
      </c>
      <c r="J47">
        <v>4.5</v>
      </c>
      <c r="K47">
        <v>71.5</v>
      </c>
    </row>
    <row r="48" spans="1:11" x14ac:dyDescent="0.25">
      <c r="A48" t="s">
        <v>53</v>
      </c>
      <c r="D48">
        <v>5000</v>
      </c>
      <c r="I48">
        <v>800.5</v>
      </c>
      <c r="J48">
        <v>5.5</v>
      </c>
      <c r="K48">
        <v>62.5</v>
      </c>
    </row>
    <row r="49" spans="1:11" x14ac:dyDescent="0.25">
      <c r="A49" t="s">
        <v>54</v>
      </c>
      <c r="D49">
        <v>15000</v>
      </c>
      <c r="I49">
        <v>750.5</v>
      </c>
      <c r="J49">
        <v>5.5</v>
      </c>
      <c r="K49">
        <v>59.5</v>
      </c>
    </row>
    <row r="50" spans="1:11" x14ac:dyDescent="0.25">
      <c r="A50" t="s">
        <v>55</v>
      </c>
      <c r="D50">
        <v>10000</v>
      </c>
      <c r="I50">
        <v>950.5</v>
      </c>
      <c r="J50">
        <v>5.5</v>
      </c>
      <c r="K50">
        <v>65.5</v>
      </c>
    </row>
    <row r="51" spans="1:11" x14ac:dyDescent="0.25">
      <c r="A51" t="s">
        <v>56</v>
      </c>
      <c r="D51">
        <v>25000</v>
      </c>
      <c r="I51">
        <v>550.5</v>
      </c>
      <c r="J51">
        <v>3.5</v>
      </c>
    </row>
    <row r="52" spans="1:11" x14ac:dyDescent="0.25">
      <c r="A52" t="s">
        <v>57</v>
      </c>
      <c r="D52">
        <v>15000</v>
      </c>
      <c r="I52">
        <v>800.5</v>
      </c>
      <c r="J52">
        <v>5.5</v>
      </c>
      <c r="K52">
        <v>60.5</v>
      </c>
    </row>
    <row r="53" spans="1:11" x14ac:dyDescent="0.25">
      <c r="A53" t="s">
        <v>58</v>
      </c>
      <c r="I53">
        <v>700.5</v>
      </c>
    </row>
    <row r="54" spans="1:11" x14ac:dyDescent="0.25">
      <c r="A54" t="s">
        <v>59</v>
      </c>
      <c r="D54">
        <v>12000</v>
      </c>
      <c r="I54">
        <v>1000.5</v>
      </c>
      <c r="J54">
        <v>5.5</v>
      </c>
      <c r="K54">
        <v>74.5</v>
      </c>
    </row>
    <row r="55" spans="1:11" x14ac:dyDescent="0.25">
      <c r="A55" t="s">
        <v>60</v>
      </c>
      <c r="D55">
        <v>10000</v>
      </c>
      <c r="I55">
        <v>1025.5</v>
      </c>
      <c r="J55">
        <v>5.5</v>
      </c>
      <c r="K55">
        <v>82.5</v>
      </c>
    </row>
    <row r="56" spans="1:11" x14ac:dyDescent="0.25">
      <c r="A56" t="s">
        <v>61</v>
      </c>
      <c r="D56">
        <v>6500</v>
      </c>
      <c r="I56">
        <v>1050.5</v>
      </c>
      <c r="J56">
        <v>5.5</v>
      </c>
      <c r="K56">
        <v>72.5</v>
      </c>
    </row>
    <row r="57" spans="1:11" x14ac:dyDescent="0.25">
      <c r="A57" t="s">
        <v>432</v>
      </c>
      <c r="D57">
        <v>3000</v>
      </c>
      <c r="I57">
        <v>1250.5</v>
      </c>
      <c r="J57">
        <v>8.5</v>
      </c>
      <c r="K57">
        <v>87.5</v>
      </c>
    </row>
    <row r="58" spans="1:11" x14ac:dyDescent="0.25">
      <c r="A58" t="s">
        <v>439</v>
      </c>
      <c r="D58">
        <v>12000</v>
      </c>
      <c r="H58">
        <v>650</v>
      </c>
      <c r="I58">
        <v>1000.5</v>
      </c>
      <c r="J58">
        <v>6.5</v>
      </c>
      <c r="K58">
        <v>82.5</v>
      </c>
    </row>
    <row r="59" spans="1:11" x14ac:dyDescent="0.25">
      <c r="A59" t="s">
        <v>62</v>
      </c>
      <c r="D59">
        <v>15000</v>
      </c>
      <c r="I59">
        <v>925.5</v>
      </c>
      <c r="J59">
        <v>5.5</v>
      </c>
      <c r="K59">
        <v>72.5</v>
      </c>
    </row>
    <row r="60" spans="1:11" x14ac:dyDescent="0.25">
      <c r="A60" t="s">
        <v>63</v>
      </c>
      <c r="D60">
        <v>3000</v>
      </c>
      <c r="I60">
        <v>1125.5</v>
      </c>
      <c r="J60">
        <v>7.5</v>
      </c>
      <c r="K60">
        <v>90.5</v>
      </c>
    </row>
    <row r="61" spans="1:11" x14ac:dyDescent="0.25">
      <c r="A61" t="s">
        <v>64</v>
      </c>
      <c r="D61">
        <v>700</v>
      </c>
      <c r="I61">
        <v>1375.5</v>
      </c>
      <c r="J61">
        <v>9.5</v>
      </c>
      <c r="K61">
        <v>97.5</v>
      </c>
    </row>
    <row r="62" spans="1:11" x14ac:dyDescent="0.25">
      <c r="A62" t="s">
        <v>65</v>
      </c>
      <c r="D62">
        <v>7500</v>
      </c>
      <c r="I62">
        <v>900.5</v>
      </c>
      <c r="J62">
        <v>5.5</v>
      </c>
      <c r="K62">
        <v>74.5</v>
      </c>
    </row>
    <row r="63" spans="1:11" x14ac:dyDescent="0.25">
      <c r="A63" t="s">
        <v>66</v>
      </c>
      <c r="D63">
        <v>1300</v>
      </c>
      <c r="I63">
        <v>1300.5</v>
      </c>
      <c r="J63">
        <v>7.5</v>
      </c>
      <c r="K63">
        <v>94.5</v>
      </c>
    </row>
    <row r="64" spans="1:11" x14ac:dyDescent="0.25">
      <c r="A64" t="s">
        <v>415</v>
      </c>
      <c r="D64">
        <v>15000</v>
      </c>
      <c r="H64">
        <v>1400</v>
      </c>
      <c r="I64">
        <v>900.5</v>
      </c>
      <c r="J64">
        <v>5.5</v>
      </c>
      <c r="K64">
        <v>74.5</v>
      </c>
    </row>
    <row r="65" spans="1:11" x14ac:dyDescent="0.25">
      <c r="A65" t="s">
        <v>67</v>
      </c>
      <c r="D65">
        <v>20000</v>
      </c>
      <c r="H65">
        <v>7000</v>
      </c>
      <c r="I65">
        <v>675.5</v>
      </c>
      <c r="J65">
        <v>4.5</v>
      </c>
    </row>
    <row r="66" spans="1:11" x14ac:dyDescent="0.25">
      <c r="A66" t="s">
        <v>68</v>
      </c>
      <c r="D66">
        <v>15000</v>
      </c>
      <c r="I66">
        <v>850.5</v>
      </c>
      <c r="J66">
        <v>7.5</v>
      </c>
      <c r="K66">
        <v>82.5</v>
      </c>
    </row>
    <row r="67" spans="1:11" x14ac:dyDescent="0.25">
      <c r="A67" t="s">
        <v>414</v>
      </c>
      <c r="D67">
        <v>12000</v>
      </c>
      <c r="I67">
        <v>975.5</v>
      </c>
      <c r="J67">
        <v>6.5</v>
      </c>
      <c r="K67">
        <v>72.5</v>
      </c>
    </row>
    <row r="68" spans="1:11" x14ac:dyDescent="0.25">
      <c r="A68" t="s">
        <v>69</v>
      </c>
      <c r="D68">
        <v>1800</v>
      </c>
      <c r="I68">
        <v>1250.5</v>
      </c>
      <c r="J68">
        <v>8.5</v>
      </c>
      <c r="K68">
        <v>105.5</v>
      </c>
    </row>
    <row r="69" spans="1:11" x14ac:dyDescent="0.25">
      <c r="A69" t="s">
        <v>70</v>
      </c>
      <c r="D69">
        <v>20000</v>
      </c>
      <c r="H69">
        <v>5000</v>
      </c>
      <c r="I69">
        <v>650.5</v>
      </c>
      <c r="J69">
        <v>4.5</v>
      </c>
    </row>
    <row r="70" spans="1:11" x14ac:dyDescent="0.25">
      <c r="A70" t="s">
        <v>71</v>
      </c>
      <c r="D70">
        <v>5000</v>
      </c>
      <c r="I70">
        <v>1000.5</v>
      </c>
      <c r="J70">
        <v>6.5</v>
      </c>
      <c r="K70">
        <v>81.5</v>
      </c>
    </row>
    <row r="71" spans="1:11" x14ac:dyDescent="0.25">
      <c r="A71" t="s">
        <v>72</v>
      </c>
      <c r="D71">
        <v>10000</v>
      </c>
      <c r="I71">
        <v>900.5</v>
      </c>
      <c r="J71">
        <v>6.5</v>
      </c>
      <c r="K71">
        <v>80.5</v>
      </c>
    </row>
    <row r="72" spans="1:11" x14ac:dyDescent="0.25">
      <c r="A72" t="s">
        <v>73</v>
      </c>
      <c r="D72">
        <v>50000</v>
      </c>
      <c r="H72">
        <v>3500</v>
      </c>
      <c r="I72">
        <v>725.5</v>
      </c>
      <c r="J72">
        <v>4.5</v>
      </c>
    </row>
    <row r="73" spans="1:11" x14ac:dyDescent="0.25">
      <c r="A73" t="s">
        <v>74</v>
      </c>
      <c r="D73">
        <v>1200</v>
      </c>
      <c r="I73">
        <v>1250.5</v>
      </c>
      <c r="J73">
        <v>8.5</v>
      </c>
      <c r="K73">
        <v>98.5</v>
      </c>
    </row>
    <row r="74" spans="1:11" x14ac:dyDescent="0.25">
      <c r="A74" t="s">
        <v>440</v>
      </c>
      <c r="D74">
        <v>50000</v>
      </c>
      <c r="H74">
        <v>5000</v>
      </c>
      <c r="I74">
        <v>750.5</v>
      </c>
      <c r="J74">
        <v>4.5</v>
      </c>
    </row>
    <row r="75" spans="1:11" x14ac:dyDescent="0.25">
      <c r="A75" t="s">
        <v>75</v>
      </c>
      <c r="D75">
        <v>7500</v>
      </c>
      <c r="I75">
        <v>1025.5</v>
      </c>
      <c r="J75">
        <v>6.5</v>
      </c>
      <c r="K75">
        <v>84.5</v>
      </c>
    </row>
    <row r="76" spans="1:11" x14ac:dyDescent="0.25">
      <c r="A76" t="s">
        <v>76</v>
      </c>
      <c r="D76">
        <v>6000</v>
      </c>
      <c r="I76">
        <v>950.5</v>
      </c>
      <c r="J76">
        <v>6.5</v>
      </c>
      <c r="K76">
        <v>79.5</v>
      </c>
    </row>
    <row r="77" spans="1:11" x14ac:dyDescent="0.25">
      <c r="A77" t="s">
        <v>77</v>
      </c>
      <c r="H77">
        <v>2200</v>
      </c>
      <c r="I77">
        <v>750.5</v>
      </c>
      <c r="J77">
        <v>4.5</v>
      </c>
    </row>
    <row r="78" spans="1:11" x14ac:dyDescent="0.25">
      <c r="A78" t="s">
        <v>78</v>
      </c>
      <c r="D78">
        <v>1000</v>
      </c>
      <c r="I78">
        <v>1350.5</v>
      </c>
      <c r="J78">
        <v>9.5</v>
      </c>
      <c r="K78">
        <v>104.5</v>
      </c>
    </row>
    <row r="79" spans="1:11" x14ac:dyDescent="0.25">
      <c r="A79" t="s">
        <v>79</v>
      </c>
      <c r="D79">
        <v>2800</v>
      </c>
      <c r="I79">
        <v>1150.5</v>
      </c>
      <c r="J79">
        <v>6.5</v>
      </c>
      <c r="K79">
        <v>85.5</v>
      </c>
    </row>
    <row r="80" spans="1:11" x14ac:dyDescent="0.25">
      <c r="A80" t="s">
        <v>80</v>
      </c>
      <c r="D80">
        <v>20000</v>
      </c>
      <c r="H80">
        <v>3500</v>
      </c>
      <c r="I80">
        <v>675.5</v>
      </c>
      <c r="J80">
        <v>4.5</v>
      </c>
    </row>
    <row r="81" spans="1:11" x14ac:dyDescent="0.25">
      <c r="A81" t="s">
        <v>81</v>
      </c>
      <c r="D81">
        <v>10000</v>
      </c>
      <c r="I81">
        <v>950.5</v>
      </c>
      <c r="J81">
        <v>6.5</v>
      </c>
      <c r="K81">
        <v>68.5</v>
      </c>
    </row>
    <row r="82" spans="1:11" x14ac:dyDescent="0.25">
      <c r="A82" t="s">
        <v>412</v>
      </c>
      <c r="D82">
        <v>6000</v>
      </c>
      <c r="I82">
        <v>1000.5</v>
      </c>
      <c r="J82">
        <v>6.5</v>
      </c>
      <c r="K82">
        <v>67.5</v>
      </c>
    </row>
    <row r="83" spans="1:11" x14ac:dyDescent="0.25">
      <c r="A83" t="s">
        <v>82</v>
      </c>
      <c r="D83">
        <v>7500</v>
      </c>
      <c r="I83">
        <v>1050.5</v>
      </c>
      <c r="J83">
        <v>8.5</v>
      </c>
      <c r="K83">
        <v>68.5</v>
      </c>
    </row>
    <row r="84" spans="1:11" x14ac:dyDescent="0.25">
      <c r="A84" t="s">
        <v>83</v>
      </c>
      <c r="D84">
        <v>12000</v>
      </c>
      <c r="I84">
        <v>925.5</v>
      </c>
      <c r="J84">
        <v>4.5</v>
      </c>
    </row>
    <row r="85" spans="1:11" x14ac:dyDescent="0.25">
      <c r="A85" t="s">
        <v>84</v>
      </c>
      <c r="H85">
        <v>7500</v>
      </c>
      <c r="I85">
        <v>500.5</v>
      </c>
      <c r="J85">
        <v>3.5</v>
      </c>
    </row>
    <row r="86" spans="1:11" x14ac:dyDescent="0.25">
      <c r="A86" t="s">
        <v>85</v>
      </c>
      <c r="D86">
        <v>25000</v>
      </c>
      <c r="I86">
        <v>800.5</v>
      </c>
      <c r="J86">
        <v>6.5</v>
      </c>
      <c r="K86">
        <v>67.5</v>
      </c>
    </row>
    <row r="87" spans="1:11" x14ac:dyDescent="0.25">
      <c r="A87" t="s">
        <v>441</v>
      </c>
      <c r="D87">
        <v>10000</v>
      </c>
      <c r="I87">
        <v>950.5</v>
      </c>
      <c r="J87">
        <v>5.5</v>
      </c>
      <c r="K87">
        <v>85.5</v>
      </c>
    </row>
    <row r="88" spans="1:11" x14ac:dyDescent="0.25">
      <c r="A88" t="s">
        <v>86</v>
      </c>
      <c r="D88">
        <v>20000</v>
      </c>
      <c r="I88">
        <v>825.5</v>
      </c>
      <c r="J88">
        <v>4.5</v>
      </c>
      <c r="K88">
        <v>71.5</v>
      </c>
    </row>
    <row r="89" spans="1:11" x14ac:dyDescent="0.25">
      <c r="A89" t="s">
        <v>87</v>
      </c>
      <c r="D89">
        <v>15000</v>
      </c>
      <c r="I89">
        <v>875.5</v>
      </c>
      <c r="J89">
        <v>4.5</v>
      </c>
    </row>
    <row r="90" spans="1:11" x14ac:dyDescent="0.25">
      <c r="A90" t="s">
        <v>88</v>
      </c>
      <c r="D90">
        <v>850</v>
      </c>
      <c r="F90">
        <v>1150.5</v>
      </c>
      <c r="G90">
        <v>10.5</v>
      </c>
      <c r="I90">
        <v>500.5</v>
      </c>
      <c r="J90">
        <v>5.5</v>
      </c>
      <c r="K90">
        <v>62.5</v>
      </c>
    </row>
    <row r="91" spans="1:11" x14ac:dyDescent="0.25">
      <c r="A91" t="s">
        <v>89</v>
      </c>
      <c r="D91">
        <v>20000</v>
      </c>
      <c r="I91">
        <v>700.5</v>
      </c>
      <c r="J91">
        <v>3.5</v>
      </c>
    </row>
    <row r="92" spans="1:11" x14ac:dyDescent="0.25">
      <c r="A92" t="s">
        <v>90</v>
      </c>
      <c r="D92">
        <v>10000</v>
      </c>
      <c r="F92">
        <v>675.5</v>
      </c>
      <c r="G92">
        <v>7.5</v>
      </c>
    </row>
    <row r="93" spans="1:11" x14ac:dyDescent="0.25">
      <c r="A93" t="s">
        <v>91</v>
      </c>
      <c r="D93">
        <v>25000</v>
      </c>
      <c r="F93">
        <v>725.5</v>
      </c>
      <c r="G93">
        <v>4.5</v>
      </c>
    </row>
    <row r="94" spans="1:11" x14ac:dyDescent="0.25">
      <c r="A94" t="s">
        <v>92</v>
      </c>
      <c r="D94">
        <v>1500</v>
      </c>
      <c r="F94">
        <v>1050.5</v>
      </c>
      <c r="G94">
        <v>7.5</v>
      </c>
    </row>
    <row r="95" spans="1:11" x14ac:dyDescent="0.25">
      <c r="A95" t="s">
        <v>93</v>
      </c>
      <c r="D95">
        <v>10000</v>
      </c>
      <c r="F95">
        <v>900.5</v>
      </c>
      <c r="G95">
        <v>6.5</v>
      </c>
    </row>
    <row r="96" spans="1:11" x14ac:dyDescent="0.25">
      <c r="A96" t="s">
        <v>94</v>
      </c>
      <c r="D96">
        <v>7500</v>
      </c>
      <c r="F96">
        <v>925.5</v>
      </c>
      <c r="G96">
        <v>4.5</v>
      </c>
    </row>
    <row r="97" spans="1:7" x14ac:dyDescent="0.25">
      <c r="A97" t="s">
        <v>442</v>
      </c>
      <c r="D97">
        <v>7500</v>
      </c>
      <c r="F97">
        <v>925.5</v>
      </c>
      <c r="G97">
        <v>6.5</v>
      </c>
    </row>
    <row r="98" spans="1:7" x14ac:dyDescent="0.25">
      <c r="A98" t="s">
        <v>95</v>
      </c>
      <c r="D98">
        <v>10000</v>
      </c>
      <c r="F98">
        <v>825.5</v>
      </c>
      <c r="G98">
        <v>5.5</v>
      </c>
    </row>
    <row r="99" spans="1:7" x14ac:dyDescent="0.25">
      <c r="A99" t="s">
        <v>96</v>
      </c>
      <c r="D99">
        <v>1800</v>
      </c>
      <c r="F99">
        <v>1000.5</v>
      </c>
      <c r="G99">
        <v>6.5</v>
      </c>
    </row>
    <row r="100" spans="1:7" x14ac:dyDescent="0.25">
      <c r="A100" t="s">
        <v>97</v>
      </c>
      <c r="D100">
        <v>12000</v>
      </c>
      <c r="F100">
        <v>800.5</v>
      </c>
      <c r="G100">
        <v>4.5</v>
      </c>
    </row>
    <row r="101" spans="1:7" x14ac:dyDescent="0.25">
      <c r="A101" t="s">
        <v>98</v>
      </c>
      <c r="D101">
        <v>6000</v>
      </c>
      <c r="F101">
        <v>750.5</v>
      </c>
      <c r="G101">
        <v>7.5</v>
      </c>
    </row>
    <row r="102" spans="1:7" x14ac:dyDescent="0.25">
      <c r="A102" t="s">
        <v>99</v>
      </c>
      <c r="D102">
        <v>15000</v>
      </c>
      <c r="F102">
        <v>850.5</v>
      </c>
      <c r="G102">
        <v>6.5</v>
      </c>
    </row>
    <row r="103" spans="1:7" x14ac:dyDescent="0.25">
      <c r="A103" t="s">
        <v>100</v>
      </c>
      <c r="D103">
        <v>12000</v>
      </c>
      <c r="F103">
        <v>750.5</v>
      </c>
      <c r="G103">
        <v>5.5</v>
      </c>
    </row>
    <row r="104" spans="1:7" x14ac:dyDescent="0.25">
      <c r="A104" t="s">
        <v>101</v>
      </c>
      <c r="D104">
        <v>25000</v>
      </c>
      <c r="F104">
        <v>575.5</v>
      </c>
    </row>
    <row r="105" spans="1:7" x14ac:dyDescent="0.25">
      <c r="A105" t="s">
        <v>102</v>
      </c>
      <c r="D105">
        <v>10000</v>
      </c>
      <c r="F105">
        <v>625.5</v>
      </c>
      <c r="G105">
        <v>4.5</v>
      </c>
    </row>
    <row r="106" spans="1:7" x14ac:dyDescent="0.25">
      <c r="A106" t="s">
        <v>103</v>
      </c>
      <c r="D106">
        <v>2800</v>
      </c>
      <c r="F106">
        <v>1075.5</v>
      </c>
      <c r="G106">
        <v>8.5</v>
      </c>
    </row>
    <row r="107" spans="1:7" x14ac:dyDescent="0.25">
      <c r="A107" t="s">
        <v>104</v>
      </c>
      <c r="D107">
        <v>2200</v>
      </c>
      <c r="F107">
        <v>1000.5</v>
      </c>
      <c r="G107">
        <v>7.5</v>
      </c>
    </row>
    <row r="108" spans="1:7" x14ac:dyDescent="0.25">
      <c r="A108" t="s">
        <v>105</v>
      </c>
      <c r="D108">
        <v>12000</v>
      </c>
      <c r="F108">
        <v>950.5</v>
      </c>
      <c r="G108">
        <v>7.5</v>
      </c>
    </row>
    <row r="109" spans="1:7" x14ac:dyDescent="0.25">
      <c r="A109" t="s">
        <v>106</v>
      </c>
      <c r="D109">
        <v>5000</v>
      </c>
      <c r="F109">
        <v>975.5</v>
      </c>
      <c r="G109">
        <v>10.5</v>
      </c>
    </row>
    <row r="110" spans="1:7" x14ac:dyDescent="0.25">
      <c r="A110" t="s">
        <v>107</v>
      </c>
      <c r="D110">
        <v>12000</v>
      </c>
      <c r="F110">
        <v>725.5</v>
      </c>
      <c r="G110">
        <v>5.5</v>
      </c>
    </row>
    <row r="111" spans="1:7" x14ac:dyDescent="0.25">
      <c r="A111" t="s">
        <v>108</v>
      </c>
      <c r="D111">
        <v>15000</v>
      </c>
      <c r="F111">
        <v>775.5</v>
      </c>
      <c r="G111">
        <v>5.5</v>
      </c>
    </row>
    <row r="112" spans="1:7" x14ac:dyDescent="0.25">
      <c r="A112" t="s">
        <v>109</v>
      </c>
      <c r="F112">
        <v>700.5</v>
      </c>
      <c r="G112">
        <v>6.5</v>
      </c>
    </row>
    <row r="113" spans="1:11" x14ac:dyDescent="0.25">
      <c r="A113" t="s">
        <v>110</v>
      </c>
      <c r="D113">
        <v>20000</v>
      </c>
      <c r="K113">
        <v>62.5</v>
      </c>
    </row>
    <row r="114" spans="1:11" x14ac:dyDescent="0.25">
      <c r="A114" t="s">
        <v>208</v>
      </c>
      <c r="D114">
        <v>30000</v>
      </c>
      <c r="H114">
        <v>2000</v>
      </c>
    </row>
    <row r="115" spans="1:11" x14ac:dyDescent="0.25">
      <c r="A115" t="s">
        <v>125</v>
      </c>
      <c r="H115">
        <v>6000</v>
      </c>
    </row>
    <row r="116" spans="1:11" x14ac:dyDescent="0.25">
      <c r="A116" t="s">
        <v>131</v>
      </c>
      <c r="D116">
        <v>30000</v>
      </c>
      <c r="H116">
        <v>7500</v>
      </c>
    </row>
    <row r="117" spans="1:11" x14ac:dyDescent="0.25">
      <c r="A117" t="s">
        <v>189</v>
      </c>
      <c r="H117">
        <v>7500</v>
      </c>
    </row>
    <row r="118" spans="1:11" x14ac:dyDescent="0.25">
      <c r="A118" t="s">
        <v>115</v>
      </c>
      <c r="H118">
        <v>7500</v>
      </c>
    </row>
    <row r="119" spans="1:11" x14ac:dyDescent="0.25">
      <c r="A119" t="s">
        <v>186</v>
      </c>
      <c r="H119">
        <v>7500</v>
      </c>
    </row>
    <row r="120" spans="1:11" x14ac:dyDescent="0.25">
      <c r="A120" t="s">
        <v>113</v>
      </c>
      <c r="D120">
        <v>20000</v>
      </c>
      <c r="H120">
        <v>7500</v>
      </c>
    </row>
    <row r="121" spans="1:11" x14ac:dyDescent="0.25">
      <c r="A121" t="s">
        <v>147</v>
      </c>
      <c r="H121">
        <v>10000</v>
      </c>
    </row>
    <row r="122" spans="1:11" x14ac:dyDescent="0.25">
      <c r="A122" t="s">
        <v>454</v>
      </c>
      <c r="D122">
        <v>20000</v>
      </c>
      <c r="H122">
        <v>10000</v>
      </c>
    </row>
    <row r="123" spans="1:11" x14ac:dyDescent="0.25">
      <c r="A123" t="s">
        <v>418</v>
      </c>
      <c r="H123">
        <v>10000</v>
      </c>
    </row>
    <row r="124" spans="1:11" x14ac:dyDescent="0.25">
      <c r="A124" t="s">
        <v>164</v>
      </c>
      <c r="H124">
        <v>10000</v>
      </c>
    </row>
    <row r="125" spans="1:11" x14ac:dyDescent="0.25">
      <c r="A125" t="s">
        <v>135</v>
      </c>
      <c r="H125">
        <v>10000</v>
      </c>
    </row>
    <row r="126" spans="1:11" x14ac:dyDescent="0.25">
      <c r="A126" t="s">
        <v>281</v>
      </c>
      <c r="D126">
        <v>30000</v>
      </c>
      <c r="H126">
        <v>12000</v>
      </c>
    </row>
    <row r="127" spans="1:11" x14ac:dyDescent="0.25">
      <c r="A127" t="s">
        <v>215</v>
      </c>
      <c r="H127">
        <v>15000</v>
      </c>
    </row>
    <row r="128" spans="1:11" x14ac:dyDescent="0.25">
      <c r="A128" t="s">
        <v>311</v>
      </c>
      <c r="H128">
        <v>15000</v>
      </c>
    </row>
    <row r="129" spans="1:8" x14ac:dyDescent="0.25">
      <c r="A129" t="s">
        <v>269</v>
      </c>
      <c r="H129">
        <v>15000</v>
      </c>
    </row>
    <row r="130" spans="1:8" x14ac:dyDescent="0.25">
      <c r="A130" t="s">
        <v>150</v>
      </c>
      <c r="H130">
        <v>15000</v>
      </c>
    </row>
    <row r="131" spans="1:8" x14ac:dyDescent="0.25">
      <c r="A131" t="s">
        <v>184</v>
      </c>
      <c r="H131">
        <v>15000</v>
      </c>
    </row>
    <row r="132" spans="1:8" x14ac:dyDescent="0.25">
      <c r="A132" t="s">
        <v>234</v>
      </c>
      <c r="H132">
        <v>15000</v>
      </c>
    </row>
    <row r="133" spans="1:8" x14ac:dyDescent="0.25">
      <c r="A133" t="s">
        <v>279</v>
      </c>
      <c r="D133">
        <v>30000</v>
      </c>
      <c r="H133">
        <v>15000</v>
      </c>
    </row>
    <row r="134" spans="1:8" x14ac:dyDescent="0.25">
      <c r="A134" t="s">
        <v>219</v>
      </c>
      <c r="H134">
        <v>15000</v>
      </c>
    </row>
    <row r="135" spans="1:8" x14ac:dyDescent="0.25">
      <c r="A135" t="s">
        <v>180</v>
      </c>
      <c r="H135">
        <v>15000</v>
      </c>
    </row>
    <row r="136" spans="1:8" x14ac:dyDescent="0.25">
      <c r="A136" t="s">
        <v>523</v>
      </c>
      <c r="H136">
        <v>15000</v>
      </c>
    </row>
    <row r="137" spans="1:8" x14ac:dyDescent="0.25">
      <c r="A137" t="s">
        <v>154</v>
      </c>
      <c r="H137">
        <v>15000</v>
      </c>
    </row>
    <row r="138" spans="1:8" x14ac:dyDescent="0.25">
      <c r="A138" t="s">
        <v>345</v>
      </c>
      <c r="H138">
        <v>20000</v>
      </c>
    </row>
    <row r="139" spans="1:8" x14ac:dyDescent="0.25">
      <c r="A139" t="s">
        <v>383</v>
      </c>
      <c r="H139">
        <v>20000</v>
      </c>
    </row>
    <row r="140" spans="1:8" x14ac:dyDescent="0.25">
      <c r="A140" t="s">
        <v>463</v>
      </c>
      <c r="H140">
        <v>20000</v>
      </c>
    </row>
    <row r="141" spans="1:8" x14ac:dyDescent="0.25">
      <c r="A141" t="s">
        <v>464</v>
      </c>
      <c r="H141">
        <v>20000</v>
      </c>
    </row>
    <row r="142" spans="1:8" x14ac:dyDescent="0.25">
      <c r="A142" t="s">
        <v>220</v>
      </c>
      <c r="H142">
        <v>20000</v>
      </c>
    </row>
    <row r="143" spans="1:8" x14ac:dyDescent="0.25">
      <c r="A143" t="s">
        <v>465</v>
      </c>
      <c r="H143">
        <v>25000</v>
      </c>
    </row>
    <row r="144" spans="1:8" x14ac:dyDescent="0.25">
      <c r="A144" t="s">
        <v>344</v>
      </c>
      <c r="H144">
        <v>25000</v>
      </c>
    </row>
    <row r="145" spans="1:8" x14ac:dyDescent="0.25">
      <c r="A145" t="s">
        <v>466</v>
      </c>
      <c r="H145">
        <v>25000</v>
      </c>
    </row>
    <row r="146" spans="1:8" x14ac:dyDescent="0.25">
      <c r="A146" t="s">
        <v>145</v>
      </c>
      <c r="H146">
        <v>25000</v>
      </c>
    </row>
    <row r="147" spans="1:8" x14ac:dyDescent="0.25">
      <c r="A147" t="s">
        <v>195</v>
      </c>
      <c r="H147">
        <v>25000</v>
      </c>
    </row>
    <row r="148" spans="1:8" x14ac:dyDescent="0.25">
      <c r="A148" t="s">
        <v>246</v>
      </c>
      <c r="H148">
        <v>25000</v>
      </c>
    </row>
    <row r="149" spans="1:8" x14ac:dyDescent="0.25">
      <c r="A149" t="s">
        <v>467</v>
      </c>
      <c r="H149">
        <v>25000</v>
      </c>
    </row>
    <row r="150" spans="1:8" x14ac:dyDescent="0.25">
      <c r="A150" t="s">
        <v>468</v>
      </c>
      <c r="H150">
        <v>25000</v>
      </c>
    </row>
    <row r="151" spans="1:8" x14ac:dyDescent="0.25">
      <c r="A151" t="s">
        <v>188</v>
      </c>
      <c r="H151">
        <v>25000</v>
      </c>
    </row>
    <row r="152" spans="1:8" x14ac:dyDescent="0.25">
      <c r="A152" t="s">
        <v>366</v>
      </c>
      <c r="H152">
        <v>25000</v>
      </c>
    </row>
    <row r="153" spans="1:8" x14ac:dyDescent="0.25">
      <c r="A153" t="s">
        <v>469</v>
      </c>
      <c r="H153">
        <v>25000</v>
      </c>
    </row>
    <row r="154" spans="1:8" x14ac:dyDescent="0.25">
      <c r="A154" t="s">
        <v>153</v>
      </c>
      <c r="H154">
        <v>25000</v>
      </c>
    </row>
    <row r="155" spans="1:8" x14ac:dyDescent="0.25">
      <c r="A155" t="s">
        <v>470</v>
      </c>
      <c r="H155">
        <v>25000</v>
      </c>
    </row>
    <row r="156" spans="1:8" x14ac:dyDescent="0.25">
      <c r="A156" t="s">
        <v>332</v>
      </c>
      <c r="H156">
        <v>25000</v>
      </c>
    </row>
    <row r="157" spans="1:8" x14ac:dyDescent="0.25">
      <c r="A157" t="s">
        <v>471</v>
      </c>
      <c r="H157">
        <v>25000</v>
      </c>
    </row>
    <row r="158" spans="1:8" x14ac:dyDescent="0.25">
      <c r="A158" t="s">
        <v>365</v>
      </c>
      <c r="H158">
        <v>25000</v>
      </c>
    </row>
    <row r="159" spans="1:8" x14ac:dyDescent="0.25">
      <c r="A159" t="s">
        <v>472</v>
      </c>
      <c r="H159">
        <v>25000</v>
      </c>
    </row>
    <row r="160" spans="1:8" x14ac:dyDescent="0.25">
      <c r="A160" t="s">
        <v>325</v>
      </c>
      <c r="H160">
        <v>25000</v>
      </c>
    </row>
    <row r="161" spans="1:8" x14ac:dyDescent="0.25">
      <c r="A161" t="s">
        <v>339</v>
      </c>
      <c r="H161">
        <v>25000</v>
      </c>
    </row>
    <row r="162" spans="1:8" x14ac:dyDescent="0.25">
      <c r="A162" t="s">
        <v>473</v>
      </c>
      <c r="H162">
        <v>30000</v>
      </c>
    </row>
    <row r="163" spans="1:8" x14ac:dyDescent="0.25">
      <c r="A163" t="s">
        <v>474</v>
      </c>
      <c r="H163">
        <v>30000</v>
      </c>
    </row>
    <row r="164" spans="1:8" x14ac:dyDescent="0.25">
      <c r="A164" t="s">
        <v>256</v>
      </c>
      <c r="H164">
        <v>30000</v>
      </c>
    </row>
    <row r="165" spans="1:8" x14ac:dyDescent="0.25">
      <c r="A165" t="s">
        <v>233</v>
      </c>
      <c r="H165">
        <v>30000</v>
      </c>
    </row>
    <row r="166" spans="1:8" x14ac:dyDescent="0.25">
      <c r="A166" t="s">
        <v>330</v>
      </c>
      <c r="H166">
        <v>30000</v>
      </c>
    </row>
    <row r="167" spans="1:8" x14ac:dyDescent="0.25">
      <c r="A167" t="s">
        <v>362</v>
      </c>
      <c r="H167">
        <v>30000</v>
      </c>
    </row>
    <row r="168" spans="1:8" x14ac:dyDescent="0.25">
      <c r="A168" t="s">
        <v>384</v>
      </c>
      <c r="H168">
        <v>30000</v>
      </c>
    </row>
    <row r="169" spans="1:8" x14ac:dyDescent="0.25">
      <c r="A169" t="s">
        <v>475</v>
      </c>
      <c r="H169">
        <v>30000</v>
      </c>
    </row>
    <row r="170" spans="1:8" x14ac:dyDescent="0.25">
      <c r="A170" t="s">
        <v>476</v>
      </c>
      <c r="H170">
        <v>30000</v>
      </c>
    </row>
    <row r="171" spans="1:8" x14ac:dyDescent="0.25">
      <c r="A171" t="s">
        <v>446</v>
      </c>
      <c r="H171">
        <v>30000</v>
      </c>
    </row>
    <row r="172" spans="1:8" x14ac:dyDescent="0.25">
      <c r="A172" t="s">
        <v>312</v>
      </c>
      <c r="H172">
        <v>30000</v>
      </c>
    </row>
    <row r="173" spans="1:8" x14ac:dyDescent="0.25">
      <c r="A173" t="s">
        <v>477</v>
      </c>
      <c r="H173">
        <v>30000</v>
      </c>
    </row>
    <row r="174" spans="1:8" x14ac:dyDescent="0.25">
      <c r="A174" t="s">
        <v>453</v>
      </c>
      <c r="H174">
        <v>30000</v>
      </c>
    </row>
    <row r="175" spans="1:8" x14ac:dyDescent="0.25">
      <c r="A175" t="s">
        <v>341</v>
      </c>
      <c r="H175">
        <v>30000</v>
      </c>
    </row>
    <row r="176" spans="1:8" x14ac:dyDescent="0.25">
      <c r="A176" t="s">
        <v>478</v>
      </c>
      <c r="H176">
        <v>30000</v>
      </c>
    </row>
    <row r="177" spans="1:8" x14ac:dyDescent="0.25">
      <c r="A177" t="s">
        <v>479</v>
      </c>
      <c r="H177">
        <v>40000</v>
      </c>
    </row>
    <row r="178" spans="1:8" x14ac:dyDescent="0.25">
      <c r="A178" t="s">
        <v>480</v>
      </c>
      <c r="H178">
        <v>50000</v>
      </c>
    </row>
    <row r="179" spans="1:8" x14ac:dyDescent="0.25">
      <c r="A179" t="s">
        <v>481</v>
      </c>
      <c r="H179">
        <v>50000</v>
      </c>
    </row>
    <row r="180" spans="1:8" x14ac:dyDescent="0.25">
      <c r="A180" t="s">
        <v>482</v>
      </c>
      <c r="H180">
        <v>50000</v>
      </c>
    </row>
    <row r="181" spans="1:8" x14ac:dyDescent="0.25">
      <c r="A181" t="s">
        <v>483</v>
      </c>
      <c r="H181">
        <v>50000</v>
      </c>
    </row>
    <row r="182" spans="1:8" x14ac:dyDescent="0.25">
      <c r="A182" t="s">
        <v>484</v>
      </c>
      <c r="H182">
        <v>50000</v>
      </c>
    </row>
    <row r="183" spans="1:8" x14ac:dyDescent="0.25">
      <c r="A183" t="s">
        <v>485</v>
      </c>
      <c r="H183">
        <v>50000</v>
      </c>
    </row>
    <row r="184" spans="1:8" x14ac:dyDescent="0.25">
      <c r="A184" t="s">
        <v>486</v>
      </c>
      <c r="H184">
        <v>50000</v>
      </c>
    </row>
    <row r="185" spans="1:8" x14ac:dyDescent="0.25">
      <c r="A185" t="s">
        <v>487</v>
      </c>
      <c r="H185">
        <v>50000</v>
      </c>
    </row>
    <row r="186" spans="1:8" x14ac:dyDescent="0.25">
      <c r="A186" t="s">
        <v>488</v>
      </c>
      <c r="H186">
        <v>50000</v>
      </c>
    </row>
    <row r="187" spans="1:8" x14ac:dyDescent="0.25">
      <c r="A187" t="s">
        <v>410</v>
      </c>
      <c r="D187">
        <v>2800</v>
      </c>
    </row>
    <row r="188" spans="1:8" x14ac:dyDescent="0.25">
      <c r="A188" t="s">
        <v>411</v>
      </c>
      <c r="D188">
        <v>3000</v>
      </c>
    </row>
    <row r="189" spans="1:8" x14ac:dyDescent="0.25">
      <c r="A189" t="s">
        <v>493</v>
      </c>
      <c r="D189">
        <v>7500</v>
      </c>
    </row>
    <row r="190" spans="1:8" x14ac:dyDescent="0.25">
      <c r="A190" t="s">
        <v>151</v>
      </c>
      <c r="D190">
        <v>10000</v>
      </c>
    </row>
    <row r="191" spans="1:8" x14ac:dyDescent="0.25">
      <c r="A191" t="s">
        <v>424</v>
      </c>
      <c r="D191">
        <v>10000</v>
      </c>
    </row>
    <row r="192" spans="1:8" x14ac:dyDescent="0.25">
      <c r="A192" t="s">
        <v>430</v>
      </c>
      <c r="D192">
        <v>10000</v>
      </c>
    </row>
    <row r="193" spans="1:4" x14ac:dyDescent="0.25">
      <c r="A193" t="s">
        <v>425</v>
      </c>
      <c r="D193">
        <v>10000</v>
      </c>
    </row>
    <row r="194" spans="1:4" x14ac:dyDescent="0.25">
      <c r="A194" t="s">
        <v>443</v>
      </c>
      <c r="D194">
        <v>12000</v>
      </c>
    </row>
    <row r="195" spans="1:4" x14ac:dyDescent="0.25">
      <c r="A195" t="s">
        <v>419</v>
      </c>
      <c r="D195">
        <v>12000</v>
      </c>
    </row>
    <row r="196" spans="1:4" x14ac:dyDescent="0.25">
      <c r="A196" t="s">
        <v>146</v>
      </c>
      <c r="D196">
        <v>12000</v>
      </c>
    </row>
    <row r="197" spans="1:4" x14ac:dyDescent="0.25">
      <c r="A197" t="s">
        <v>119</v>
      </c>
      <c r="D197">
        <v>15000</v>
      </c>
    </row>
    <row r="198" spans="1:4" x14ac:dyDescent="0.25">
      <c r="A198" t="s">
        <v>235</v>
      </c>
      <c r="D198">
        <v>15000</v>
      </c>
    </row>
    <row r="199" spans="1:4" x14ac:dyDescent="0.25">
      <c r="A199" t="s">
        <v>177</v>
      </c>
      <c r="D199">
        <v>15000</v>
      </c>
    </row>
    <row r="200" spans="1:4" x14ac:dyDescent="0.25">
      <c r="A200" t="s">
        <v>144</v>
      </c>
      <c r="D200">
        <v>15000</v>
      </c>
    </row>
    <row r="201" spans="1:4" x14ac:dyDescent="0.25">
      <c r="A201" t="s">
        <v>434</v>
      </c>
      <c r="D201">
        <v>15000</v>
      </c>
    </row>
    <row r="202" spans="1:4" x14ac:dyDescent="0.25">
      <c r="A202" t="s">
        <v>422</v>
      </c>
      <c r="D202">
        <v>15000</v>
      </c>
    </row>
    <row r="203" spans="1:4" x14ac:dyDescent="0.25">
      <c r="A203" t="s">
        <v>416</v>
      </c>
      <c r="D203">
        <v>15000</v>
      </c>
    </row>
    <row r="204" spans="1:4" x14ac:dyDescent="0.25">
      <c r="A204" t="s">
        <v>420</v>
      </c>
      <c r="D204">
        <v>15000</v>
      </c>
    </row>
    <row r="205" spans="1:4" x14ac:dyDescent="0.25">
      <c r="A205" t="s">
        <v>116</v>
      </c>
      <c r="D205">
        <v>15000</v>
      </c>
    </row>
    <row r="206" spans="1:4" x14ac:dyDescent="0.25">
      <c r="A206" t="s">
        <v>423</v>
      </c>
      <c r="D206">
        <v>15000</v>
      </c>
    </row>
    <row r="207" spans="1:4" x14ac:dyDescent="0.25">
      <c r="A207" t="s">
        <v>433</v>
      </c>
      <c r="D207">
        <v>15000</v>
      </c>
    </row>
    <row r="208" spans="1:4" x14ac:dyDescent="0.25">
      <c r="A208" t="s">
        <v>142</v>
      </c>
      <c r="D208">
        <v>20000</v>
      </c>
    </row>
    <row r="209" spans="1:4" x14ac:dyDescent="0.25">
      <c r="A209" t="s">
        <v>138</v>
      </c>
      <c r="D209">
        <v>20000</v>
      </c>
    </row>
    <row r="210" spans="1:4" x14ac:dyDescent="0.25">
      <c r="A210" t="s">
        <v>160</v>
      </c>
      <c r="D210">
        <v>20000</v>
      </c>
    </row>
    <row r="211" spans="1:4" x14ac:dyDescent="0.25">
      <c r="A211" t="s">
        <v>240</v>
      </c>
      <c r="D211">
        <v>20000</v>
      </c>
    </row>
    <row r="212" spans="1:4" x14ac:dyDescent="0.25">
      <c r="A212" t="s">
        <v>118</v>
      </c>
      <c r="D212">
        <v>20000</v>
      </c>
    </row>
    <row r="213" spans="1:4" x14ac:dyDescent="0.25">
      <c r="A213" t="s">
        <v>178</v>
      </c>
      <c r="D213">
        <v>20000</v>
      </c>
    </row>
    <row r="214" spans="1:4" x14ac:dyDescent="0.25">
      <c r="A214" t="s">
        <v>426</v>
      </c>
      <c r="D214">
        <v>20000</v>
      </c>
    </row>
    <row r="215" spans="1:4" x14ac:dyDescent="0.25">
      <c r="A215" t="s">
        <v>427</v>
      </c>
      <c r="D215">
        <v>20000</v>
      </c>
    </row>
    <row r="216" spans="1:4" x14ac:dyDescent="0.25">
      <c r="A216" t="s">
        <v>127</v>
      </c>
      <c r="D216">
        <v>20000</v>
      </c>
    </row>
    <row r="217" spans="1:4" x14ac:dyDescent="0.25">
      <c r="A217" t="s">
        <v>128</v>
      </c>
      <c r="D217">
        <v>20000</v>
      </c>
    </row>
    <row r="218" spans="1:4" x14ac:dyDescent="0.25">
      <c r="A218" t="s">
        <v>489</v>
      </c>
      <c r="D218">
        <v>20000</v>
      </c>
    </row>
    <row r="219" spans="1:4" x14ac:dyDescent="0.25">
      <c r="A219" t="s">
        <v>417</v>
      </c>
      <c r="D219">
        <v>25000</v>
      </c>
    </row>
    <row r="220" spans="1:4" x14ac:dyDescent="0.25">
      <c r="A220" t="s">
        <v>149</v>
      </c>
      <c r="D220">
        <v>25000</v>
      </c>
    </row>
    <row r="221" spans="1:4" x14ac:dyDescent="0.25">
      <c r="A221" t="s">
        <v>428</v>
      </c>
      <c r="D221">
        <v>25000</v>
      </c>
    </row>
    <row r="222" spans="1:4" x14ac:dyDescent="0.25">
      <c r="A222" t="s">
        <v>421</v>
      </c>
      <c r="D222">
        <v>25000</v>
      </c>
    </row>
    <row r="223" spans="1:4" x14ac:dyDescent="0.25">
      <c r="A223" t="s">
        <v>307</v>
      </c>
      <c r="D223">
        <v>25000</v>
      </c>
    </row>
    <row r="224" spans="1:4" x14ac:dyDescent="0.25">
      <c r="A224" t="s">
        <v>265</v>
      </c>
      <c r="D224">
        <v>25000</v>
      </c>
    </row>
    <row r="225" spans="1:4" x14ac:dyDescent="0.25">
      <c r="A225" t="s">
        <v>117</v>
      </c>
      <c r="D225">
        <v>25000</v>
      </c>
    </row>
    <row r="226" spans="1:4" x14ac:dyDescent="0.25">
      <c r="A226" t="s">
        <v>167</v>
      </c>
      <c r="D226">
        <v>25000</v>
      </c>
    </row>
    <row r="227" spans="1:4" x14ac:dyDescent="0.25">
      <c r="A227" t="s">
        <v>121</v>
      </c>
      <c r="D227">
        <v>25000</v>
      </c>
    </row>
    <row r="228" spans="1:4" x14ac:dyDescent="0.25">
      <c r="A228" t="s">
        <v>157</v>
      </c>
      <c r="D228">
        <v>25000</v>
      </c>
    </row>
    <row r="229" spans="1:4" x14ac:dyDescent="0.25">
      <c r="A229" t="s">
        <v>136</v>
      </c>
      <c r="D229">
        <v>25000</v>
      </c>
    </row>
    <row r="230" spans="1:4" x14ac:dyDescent="0.25">
      <c r="A230" t="s">
        <v>272</v>
      </c>
      <c r="D230">
        <v>25000</v>
      </c>
    </row>
    <row r="231" spans="1:4" x14ac:dyDescent="0.25">
      <c r="A231" t="s">
        <v>114</v>
      </c>
      <c r="D231">
        <v>25000</v>
      </c>
    </row>
    <row r="232" spans="1:4" x14ac:dyDescent="0.25">
      <c r="A232" t="s">
        <v>139</v>
      </c>
      <c r="D232">
        <v>25000</v>
      </c>
    </row>
    <row r="233" spans="1:4" x14ac:dyDescent="0.25">
      <c r="A233" t="s">
        <v>137</v>
      </c>
      <c r="D233">
        <v>25000</v>
      </c>
    </row>
    <row r="234" spans="1:4" x14ac:dyDescent="0.25">
      <c r="A234" t="s">
        <v>438</v>
      </c>
      <c r="D234">
        <v>25000</v>
      </c>
    </row>
    <row r="235" spans="1:4" x14ac:dyDescent="0.25">
      <c r="A235" t="s">
        <v>266</v>
      </c>
      <c r="D235">
        <v>25000</v>
      </c>
    </row>
    <row r="236" spans="1:4" x14ac:dyDescent="0.25">
      <c r="A236" t="s">
        <v>490</v>
      </c>
      <c r="D236">
        <v>30000</v>
      </c>
    </row>
    <row r="237" spans="1:4" x14ac:dyDescent="0.25">
      <c r="A237" t="s">
        <v>207</v>
      </c>
      <c r="D237">
        <v>30000</v>
      </c>
    </row>
    <row r="238" spans="1:4" x14ac:dyDescent="0.25">
      <c r="A238" t="s">
        <v>429</v>
      </c>
      <c r="D238">
        <v>30000</v>
      </c>
    </row>
    <row r="239" spans="1:4" x14ac:dyDescent="0.25">
      <c r="A239" t="s">
        <v>248</v>
      </c>
      <c r="D239">
        <v>30000</v>
      </c>
    </row>
    <row r="240" spans="1:4" x14ac:dyDescent="0.25">
      <c r="A240" t="s">
        <v>193</v>
      </c>
      <c r="D240">
        <v>30000</v>
      </c>
    </row>
    <row r="241" spans="1:4" x14ac:dyDescent="0.25">
      <c r="A241" t="s">
        <v>133</v>
      </c>
      <c r="D241">
        <v>30000</v>
      </c>
    </row>
    <row r="242" spans="1:4" x14ac:dyDescent="0.25">
      <c r="A242" t="s">
        <v>187</v>
      </c>
      <c r="D242">
        <v>30000</v>
      </c>
    </row>
    <row r="243" spans="1:4" x14ac:dyDescent="0.25">
      <c r="A243" t="s">
        <v>173</v>
      </c>
      <c r="D243">
        <v>30000</v>
      </c>
    </row>
    <row r="244" spans="1:4" x14ac:dyDescent="0.25">
      <c r="A244" t="s">
        <v>158</v>
      </c>
      <c r="D244">
        <v>30000</v>
      </c>
    </row>
    <row r="245" spans="1:4" x14ac:dyDescent="0.25">
      <c r="A245" t="s">
        <v>171</v>
      </c>
      <c r="D245">
        <v>30000</v>
      </c>
    </row>
    <row r="246" spans="1:4" x14ac:dyDescent="0.25">
      <c r="A246" t="s">
        <v>190</v>
      </c>
      <c r="D246">
        <v>30000</v>
      </c>
    </row>
    <row r="247" spans="1:4" x14ac:dyDescent="0.25">
      <c r="A247" t="s">
        <v>491</v>
      </c>
      <c r="D247">
        <v>30000</v>
      </c>
    </row>
    <row r="248" spans="1:4" x14ac:dyDescent="0.25">
      <c r="A248" t="s">
        <v>130</v>
      </c>
      <c r="D248">
        <v>40000</v>
      </c>
    </row>
    <row r="249" spans="1:4" x14ac:dyDescent="0.25">
      <c r="A249" t="s">
        <v>492</v>
      </c>
      <c r="D249">
        <v>50000</v>
      </c>
    </row>
    <row r="250" spans="1:4" x14ac:dyDescent="0.25">
      <c r="A250" t="s">
        <v>239</v>
      </c>
      <c r="D250">
        <v>50000</v>
      </c>
    </row>
  </sheetData>
  <autoFilter ref="A1:K250" xr:uid="{1D2B6AA9-5648-4B0B-9222-11A5B6F5E618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090AD-C97F-4CF9-A031-892FCA3BAEC0}">
  <sheetPr codeName="Sheet4"/>
  <dimension ref="A1:N488"/>
  <sheetViews>
    <sheetView workbookViewId="0">
      <pane xSplit="1" ySplit="1" topLeftCell="B453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24.28515625" bestFit="1" customWidth="1"/>
    <col min="2" max="6" width="12.140625" bestFit="1" customWidth="1"/>
    <col min="7" max="7" width="11.28515625" bestFit="1" customWidth="1"/>
    <col min="8" max="8" width="9.5703125" bestFit="1" customWidth="1"/>
    <col min="9" max="9" width="11.140625" bestFit="1" customWidth="1"/>
    <col min="10" max="10" width="8" bestFit="1" customWidth="1"/>
    <col min="11" max="11" width="7" bestFit="1" customWidth="1"/>
    <col min="12" max="12" width="9.28515625" bestFit="1" customWidth="1"/>
    <col min="15" max="15" width="11.140625" bestFit="1" customWidth="1"/>
    <col min="16" max="16" width="2" bestFit="1" customWidth="1"/>
  </cols>
  <sheetData>
    <row r="1" spans="1:14" x14ac:dyDescent="0.25">
      <c r="A1" t="s">
        <v>0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111</v>
      </c>
      <c r="H1" t="s">
        <v>112</v>
      </c>
      <c r="I1" t="s">
        <v>531</v>
      </c>
      <c r="J1" t="s">
        <v>1</v>
      </c>
      <c r="K1" t="s">
        <v>2</v>
      </c>
      <c r="L1" t="s">
        <v>3</v>
      </c>
    </row>
    <row r="2" spans="1:14" x14ac:dyDescent="0.25">
      <c r="A2" t="s">
        <v>88</v>
      </c>
      <c r="B2" s="1">
        <v>1218.158443</v>
      </c>
      <c r="C2" s="1">
        <v>11.89892905</v>
      </c>
      <c r="D2" s="1">
        <v>526.40418390000002</v>
      </c>
      <c r="E2" s="1">
        <v>3.853017146</v>
      </c>
      <c r="F2" s="1">
        <v>67.313641129999993</v>
      </c>
      <c r="G2" s="1">
        <v>57</v>
      </c>
      <c r="H2" s="1">
        <v>1</v>
      </c>
      <c r="I2" s="1" t="s">
        <v>532</v>
      </c>
      <c r="J2" s="1"/>
      <c r="K2" s="1"/>
      <c r="L2" s="1"/>
      <c r="N2" s="2"/>
    </row>
    <row r="3" spans="1:14" x14ac:dyDescent="0.25">
      <c r="A3" t="s">
        <v>96</v>
      </c>
      <c r="B3" s="1">
        <v>1030.7824370000001</v>
      </c>
      <c r="C3" s="1">
        <v>7.6910078579999999</v>
      </c>
      <c r="D3" s="1">
        <v>564.34513059999995</v>
      </c>
      <c r="E3" s="1">
        <v>4.1379154949999997</v>
      </c>
      <c r="F3" s="1">
        <v>64.231886270000004</v>
      </c>
      <c r="G3" s="1">
        <v>56</v>
      </c>
      <c r="H3" s="1">
        <v>2</v>
      </c>
      <c r="I3" s="1" t="s">
        <v>532</v>
      </c>
      <c r="J3" s="1"/>
      <c r="K3" s="1"/>
      <c r="L3" s="1"/>
    </row>
    <row r="4" spans="1:14" x14ac:dyDescent="0.25">
      <c r="A4" t="s">
        <v>92</v>
      </c>
      <c r="B4">
        <v>1049.4063679999999</v>
      </c>
      <c r="C4">
        <v>7.9822839019999998</v>
      </c>
      <c r="D4">
        <v>546.4325169</v>
      </c>
      <c r="E4">
        <v>2.5352651819999998</v>
      </c>
      <c r="F4">
        <v>67.80669872</v>
      </c>
      <c r="G4">
        <v>55</v>
      </c>
      <c r="H4">
        <v>3</v>
      </c>
      <c r="I4" t="s">
        <v>532</v>
      </c>
    </row>
    <row r="5" spans="1:14" x14ac:dyDescent="0.25">
      <c r="A5" t="s">
        <v>78</v>
      </c>
      <c r="B5">
        <v>85.893220159999998</v>
      </c>
      <c r="C5">
        <v>0.78298634</v>
      </c>
      <c r="D5">
        <v>1406.527327</v>
      </c>
      <c r="E5">
        <v>8.5502473630000004</v>
      </c>
      <c r="F5">
        <v>112.85836329999999</v>
      </c>
      <c r="G5">
        <v>55</v>
      </c>
      <c r="H5">
        <v>4</v>
      </c>
      <c r="I5" t="s">
        <v>533</v>
      </c>
    </row>
    <row r="6" spans="1:14" x14ac:dyDescent="0.25">
      <c r="A6" t="s">
        <v>64</v>
      </c>
      <c r="B6">
        <v>24.96510808</v>
      </c>
      <c r="C6">
        <v>0.26433866</v>
      </c>
      <c r="D6">
        <v>1435.9199599999999</v>
      </c>
      <c r="E6">
        <v>7.7191455219999998</v>
      </c>
      <c r="F6">
        <v>105.8088125</v>
      </c>
      <c r="G6">
        <v>54</v>
      </c>
      <c r="H6">
        <v>5</v>
      </c>
      <c r="I6" t="s">
        <v>533</v>
      </c>
    </row>
    <row r="7" spans="1:14" x14ac:dyDescent="0.25">
      <c r="A7" t="s">
        <v>69</v>
      </c>
      <c r="B7">
        <v>29.206890749999999</v>
      </c>
      <c r="C7">
        <v>0.25987584000000002</v>
      </c>
      <c r="D7">
        <v>1263.6232869999999</v>
      </c>
      <c r="E7">
        <v>7.3654043160000002</v>
      </c>
      <c r="F7">
        <v>109.56019019999999</v>
      </c>
      <c r="G7">
        <v>53</v>
      </c>
      <c r="H7">
        <v>6</v>
      </c>
      <c r="I7" t="s">
        <v>533</v>
      </c>
    </row>
    <row r="8" spans="1:14" x14ac:dyDescent="0.25">
      <c r="A8" t="s">
        <v>74</v>
      </c>
      <c r="B8">
        <v>18.157686930000001</v>
      </c>
      <c r="C8">
        <v>0.15580259499999999</v>
      </c>
      <c r="D8">
        <v>1347.9209719999999</v>
      </c>
      <c r="E8">
        <v>8.2969312350000006</v>
      </c>
      <c r="F8">
        <v>105.8864786</v>
      </c>
      <c r="G8">
        <v>53</v>
      </c>
      <c r="H8">
        <v>7</v>
      </c>
      <c r="I8" t="s">
        <v>533</v>
      </c>
    </row>
    <row r="9" spans="1:14" x14ac:dyDescent="0.25">
      <c r="A9" t="s">
        <v>66</v>
      </c>
      <c r="B9">
        <v>10.22366442</v>
      </c>
      <c r="C9">
        <v>9.5277438000000006E-2</v>
      </c>
      <c r="D9">
        <v>1358.8997629999999</v>
      </c>
      <c r="E9">
        <v>6.6250065930000002</v>
      </c>
      <c r="F9">
        <v>106.1879926</v>
      </c>
      <c r="G9">
        <v>52</v>
      </c>
      <c r="H9">
        <v>8</v>
      </c>
      <c r="I9" t="s">
        <v>533</v>
      </c>
    </row>
    <row r="10" spans="1:14" x14ac:dyDescent="0.25">
      <c r="A10" t="s">
        <v>103</v>
      </c>
      <c r="B10">
        <v>1174.858017</v>
      </c>
      <c r="C10">
        <v>9.7820691350000004</v>
      </c>
      <c r="D10">
        <v>319.72616249999999</v>
      </c>
      <c r="E10">
        <v>1.4462940520000001</v>
      </c>
      <c r="F10">
        <v>41.314067809999997</v>
      </c>
      <c r="G10">
        <v>51</v>
      </c>
      <c r="H10">
        <v>9</v>
      </c>
      <c r="I10" t="s">
        <v>532</v>
      </c>
    </row>
    <row r="11" spans="1:14" x14ac:dyDescent="0.25">
      <c r="A11" t="s">
        <v>104</v>
      </c>
      <c r="B11">
        <v>1044.3385060000001</v>
      </c>
      <c r="C11">
        <v>8.7860475289999993</v>
      </c>
      <c r="D11">
        <v>360.34718420000002</v>
      </c>
      <c r="E11">
        <v>2.3757154420000002</v>
      </c>
      <c r="F11">
        <v>46.040619100000001</v>
      </c>
      <c r="G11">
        <v>50</v>
      </c>
      <c r="H11">
        <v>10</v>
      </c>
      <c r="I11" t="s">
        <v>532</v>
      </c>
    </row>
    <row r="12" spans="1:14" x14ac:dyDescent="0.25">
      <c r="A12" t="s">
        <v>432</v>
      </c>
      <c r="D12">
        <v>1250.9910190000001</v>
      </c>
      <c r="E12">
        <v>7.6339362839999998</v>
      </c>
      <c r="F12">
        <v>89.755443260000007</v>
      </c>
      <c r="G12">
        <v>48</v>
      </c>
      <c r="H12">
        <v>11</v>
      </c>
      <c r="I12" t="s">
        <v>533</v>
      </c>
    </row>
    <row r="13" spans="1:14" x14ac:dyDescent="0.25">
      <c r="A13" t="s">
        <v>79</v>
      </c>
      <c r="B13">
        <v>77.240782240000001</v>
      </c>
      <c r="C13">
        <v>0.652338062</v>
      </c>
      <c r="D13">
        <v>1237.816294</v>
      </c>
      <c r="E13">
        <v>5.8816697700000002</v>
      </c>
      <c r="F13">
        <v>88.52396238</v>
      </c>
      <c r="G13">
        <v>46</v>
      </c>
      <c r="H13">
        <v>12</v>
      </c>
      <c r="I13" t="s">
        <v>533</v>
      </c>
    </row>
    <row r="14" spans="1:14" x14ac:dyDescent="0.25">
      <c r="A14" t="s">
        <v>63</v>
      </c>
      <c r="B14">
        <v>23.66450116</v>
      </c>
      <c r="C14">
        <v>0.19817676000000001</v>
      </c>
      <c r="D14">
        <v>1139.6464289999999</v>
      </c>
      <c r="E14">
        <v>9.0705794520000005</v>
      </c>
      <c r="F14">
        <v>80.49012793</v>
      </c>
      <c r="G14">
        <v>45</v>
      </c>
      <c r="H14">
        <v>13</v>
      </c>
      <c r="I14" t="s">
        <v>533</v>
      </c>
    </row>
    <row r="15" spans="1:14" x14ac:dyDescent="0.25">
      <c r="A15" t="s">
        <v>410</v>
      </c>
      <c r="B15">
        <v>871.53184069999998</v>
      </c>
      <c r="C15">
        <v>8.2807341769999994</v>
      </c>
      <c r="D15">
        <v>374.53922669999997</v>
      </c>
      <c r="E15">
        <v>2.4728966479999999</v>
      </c>
      <c r="F15">
        <v>50.563625049999999</v>
      </c>
      <c r="G15">
        <v>43</v>
      </c>
      <c r="H15">
        <v>14</v>
      </c>
      <c r="I15" t="s">
        <v>532</v>
      </c>
    </row>
    <row r="16" spans="1:14" x14ac:dyDescent="0.25">
      <c r="A16" t="s">
        <v>411</v>
      </c>
      <c r="B16">
        <v>1013.32769</v>
      </c>
      <c r="C16">
        <v>9.5995676630000002</v>
      </c>
      <c r="D16">
        <v>284.58537660000002</v>
      </c>
      <c r="E16">
        <v>1.849704617</v>
      </c>
      <c r="F16">
        <v>34.564378320000003</v>
      </c>
      <c r="G16">
        <v>42</v>
      </c>
      <c r="H16">
        <v>15</v>
      </c>
      <c r="I16" t="s">
        <v>532</v>
      </c>
    </row>
    <row r="17" spans="1:9" x14ac:dyDescent="0.25">
      <c r="A17" t="s">
        <v>93</v>
      </c>
      <c r="B17">
        <v>978.72175319999997</v>
      </c>
      <c r="C17">
        <v>8.2311669240000001</v>
      </c>
      <c r="D17">
        <v>290.18322669999998</v>
      </c>
      <c r="E17">
        <v>2.0488881280000002</v>
      </c>
      <c r="F17">
        <v>45.45333342</v>
      </c>
      <c r="G17">
        <v>40</v>
      </c>
      <c r="H17">
        <v>16</v>
      </c>
      <c r="I17" t="s">
        <v>532</v>
      </c>
    </row>
    <row r="18" spans="1:9" x14ac:dyDescent="0.25">
      <c r="A18" t="s">
        <v>442</v>
      </c>
      <c r="B18">
        <v>950.97773199999995</v>
      </c>
      <c r="C18">
        <v>6.990935243</v>
      </c>
      <c r="D18">
        <v>355.03243179999998</v>
      </c>
      <c r="E18">
        <v>1.138724874</v>
      </c>
      <c r="F18">
        <v>46.70183609</v>
      </c>
      <c r="G18">
        <v>38</v>
      </c>
      <c r="H18">
        <v>17</v>
      </c>
      <c r="I18" t="s">
        <v>532</v>
      </c>
    </row>
    <row r="19" spans="1:9" x14ac:dyDescent="0.25">
      <c r="A19" t="s">
        <v>60</v>
      </c>
      <c r="D19">
        <v>1264.4167359999999</v>
      </c>
      <c r="E19">
        <v>5.6055695940000003</v>
      </c>
      <c r="F19">
        <v>86.457998140000001</v>
      </c>
      <c r="G19">
        <v>37</v>
      </c>
      <c r="H19">
        <v>18</v>
      </c>
      <c r="I19" t="s">
        <v>533</v>
      </c>
    </row>
    <row r="20" spans="1:9" x14ac:dyDescent="0.25">
      <c r="A20" t="s">
        <v>441</v>
      </c>
      <c r="D20">
        <v>1089.644178</v>
      </c>
      <c r="E20">
        <v>4.0196772059999999</v>
      </c>
      <c r="F20">
        <v>99.234961389999995</v>
      </c>
      <c r="G20">
        <v>36</v>
      </c>
      <c r="H20">
        <v>19</v>
      </c>
      <c r="I20" t="s">
        <v>533</v>
      </c>
    </row>
    <row r="21" spans="1:9" x14ac:dyDescent="0.25">
      <c r="A21" t="s">
        <v>82</v>
      </c>
      <c r="D21">
        <v>1137.9072550000001</v>
      </c>
      <c r="E21">
        <v>7.435436793</v>
      </c>
      <c r="F21">
        <v>77.114572300000006</v>
      </c>
      <c r="G21">
        <v>35</v>
      </c>
      <c r="H21">
        <v>20</v>
      </c>
      <c r="I21" t="s">
        <v>533</v>
      </c>
    </row>
    <row r="22" spans="1:9" x14ac:dyDescent="0.25">
      <c r="A22" t="s">
        <v>75</v>
      </c>
      <c r="D22">
        <v>1148.109741</v>
      </c>
      <c r="E22">
        <v>5.1065542730000004</v>
      </c>
      <c r="F22">
        <v>89.122284769999993</v>
      </c>
      <c r="G22">
        <v>34</v>
      </c>
      <c r="H22">
        <v>21</v>
      </c>
      <c r="I22" t="s">
        <v>533</v>
      </c>
    </row>
    <row r="23" spans="1:9" x14ac:dyDescent="0.25">
      <c r="A23" t="s">
        <v>439</v>
      </c>
      <c r="D23">
        <v>1113.8022550000001</v>
      </c>
      <c r="E23">
        <v>5.6701490379999999</v>
      </c>
      <c r="F23">
        <v>82.44161991</v>
      </c>
      <c r="G23">
        <v>33</v>
      </c>
      <c r="H23">
        <v>22</v>
      </c>
      <c r="I23" t="s">
        <v>533</v>
      </c>
    </row>
    <row r="24" spans="1:9" x14ac:dyDescent="0.25">
      <c r="A24" t="s">
        <v>71</v>
      </c>
      <c r="D24">
        <v>1021.439201</v>
      </c>
      <c r="E24">
        <v>6.8241921320000003</v>
      </c>
      <c r="F24">
        <v>83.311058900000006</v>
      </c>
      <c r="G24">
        <v>32</v>
      </c>
      <c r="H24">
        <v>23</v>
      </c>
      <c r="I24" t="s">
        <v>533</v>
      </c>
    </row>
    <row r="25" spans="1:9" x14ac:dyDescent="0.25">
      <c r="A25" t="s">
        <v>106</v>
      </c>
      <c r="B25">
        <v>1060.2649550000001</v>
      </c>
      <c r="C25">
        <v>11.48918877</v>
      </c>
      <c r="D25">
        <v>223.2960191</v>
      </c>
      <c r="E25">
        <v>1.1151121770000001</v>
      </c>
      <c r="F25">
        <v>27.22548591</v>
      </c>
      <c r="G25">
        <v>32</v>
      </c>
      <c r="H25">
        <v>24</v>
      </c>
      <c r="I25" t="s">
        <v>532</v>
      </c>
    </row>
    <row r="26" spans="1:9" x14ac:dyDescent="0.25">
      <c r="A26" t="s">
        <v>95</v>
      </c>
      <c r="B26">
        <v>863.15660349999996</v>
      </c>
      <c r="C26">
        <v>6.1387052769999997</v>
      </c>
      <c r="D26">
        <v>395.13540449999999</v>
      </c>
      <c r="E26">
        <v>1.7239678190000001</v>
      </c>
      <c r="F26">
        <v>53.61480246</v>
      </c>
      <c r="G26">
        <v>31</v>
      </c>
      <c r="H26">
        <v>25</v>
      </c>
      <c r="I26" t="s">
        <v>532</v>
      </c>
    </row>
    <row r="27" spans="1:9" x14ac:dyDescent="0.25">
      <c r="A27" t="s">
        <v>415</v>
      </c>
      <c r="D27">
        <v>1077.518824</v>
      </c>
      <c r="E27">
        <v>5.4669062869999996</v>
      </c>
      <c r="F27">
        <v>82.31971068</v>
      </c>
      <c r="G27">
        <v>30</v>
      </c>
      <c r="H27">
        <v>27</v>
      </c>
      <c r="I27" t="s">
        <v>533</v>
      </c>
    </row>
    <row r="28" spans="1:9" x14ac:dyDescent="0.25">
      <c r="A28" t="s">
        <v>61</v>
      </c>
      <c r="D28">
        <v>1068.9827700000001</v>
      </c>
      <c r="E28">
        <v>7.525567272</v>
      </c>
      <c r="F28">
        <v>78.100504330000007</v>
      </c>
      <c r="G28">
        <v>30</v>
      </c>
      <c r="H28">
        <v>26</v>
      </c>
      <c r="I28" t="s">
        <v>533</v>
      </c>
    </row>
    <row r="29" spans="1:9" x14ac:dyDescent="0.25">
      <c r="A29" t="s">
        <v>102</v>
      </c>
      <c r="B29">
        <v>752.84350099999995</v>
      </c>
      <c r="C29">
        <v>4.6353202370000002</v>
      </c>
      <c r="D29">
        <v>497.55178069999999</v>
      </c>
      <c r="E29">
        <v>1.8603031800000001</v>
      </c>
      <c r="F29">
        <v>67.826318470000004</v>
      </c>
      <c r="G29">
        <v>29</v>
      </c>
      <c r="H29">
        <v>28</v>
      </c>
      <c r="I29" t="s">
        <v>532</v>
      </c>
    </row>
    <row r="30" spans="1:9" x14ac:dyDescent="0.25">
      <c r="A30" t="s">
        <v>94</v>
      </c>
      <c r="B30">
        <v>935.20860879999998</v>
      </c>
      <c r="C30">
        <v>4.3515844220000002</v>
      </c>
      <c r="D30">
        <v>406.01022160000002</v>
      </c>
      <c r="E30">
        <v>2.3653872549999999</v>
      </c>
      <c r="F30">
        <v>49.255515029999998</v>
      </c>
      <c r="G30">
        <v>28</v>
      </c>
      <c r="H30">
        <v>29</v>
      </c>
      <c r="I30" t="s">
        <v>532</v>
      </c>
    </row>
    <row r="31" spans="1:9" x14ac:dyDescent="0.25">
      <c r="A31" t="s">
        <v>105</v>
      </c>
      <c r="B31">
        <v>959.48837860000003</v>
      </c>
      <c r="C31">
        <v>6.6993324489999999</v>
      </c>
      <c r="D31">
        <v>325.44137979999999</v>
      </c>
      <c r="E31">
        <v>1.5267205349999999</v>
      </c>
      <c r="F31">
        <v>42.015658889999997</v>
      </c>
      <c r="G31">
        <v>27</v>
      </c>
      <c r="H31">
        <v>30</v>
      </c>
      <c r="I31" t="s">
        <v>532</v>
      </c>
    </row>
    <row r="32" spans="1:9" x14ac:dyDescent="0.25">
      <c r="A32" t="s">
        <v>412</v>
      </c>
      <c r="D32">
        <v>1070.4863519999999</v>
      </c>
      <c r="E32">
        <v>8.2051118729999999</v>
      </c>
      <c r="F32">
        <v>69.573018300000001</v>
      </c>
      <c r="G32">
        <v>26</v>
      </c>
      <c r="H32">
        <v>31</v>
      </c>
      <c r="I32" t="s">
        <v>533</v>
      </c>
    </row>
    <row r="33" spans="1:12" x14ac:dyDescent="0.25">
      <c r="A33" t="s">
        <v>53</v>
      </c>
      <c r="B33">
        <v>164.32474300000001</v>
      </c>
      <c r="C33">
        <v>2.8095470840000001</v>
      </c>
      <c r="D33">
        <v>923.13895260000004</v>
      </c>
      <c r="E33">
        <v>5.606564745</v>
      </c>
      <c r="F33">
        <v>62.283604330000003</v>
      </c>
      <c r="G33">
        <v>25</v>
      </c>
      <c r="H33">
        <v>32</v>
      </c>
      <c r="I33" t="s">
        <v>533</v>
      </c>
    </row>
    <row r="34" spans="1:12" x14ac:dyDescent="0.25">
      <c r="A34" t="s">
        <v>413</v>
      </c>
      <c r="D34">
        <v>1067.241217</v>
      </c>
      <c r="E34">
        <v>6.8254017779999998</v>
      </c>
      <c r="F34">
        <v>75.214403309999994</v>
      </c>
      <c r="G34">
        <v>24</v>
      </c>
      <c r="H34">
        <v>33</v>
      </c>
      <c r="I34" t="s">
        <v>533</v>
      </c>
    </row>
    <row r="35" spans="1:12" x14ac:dyDescent="0.25">
      <c r="A35" t="s">
        <v>81</v>
      </c>
      <c r="B35">
        <v>12.63974966</v>
      </c>
      <c r="C35">
        <v>9.5130708999999994E-2</v>
      </c>
      <c r="D35">
        <v>1048.235212</v>
      </c>
      <c r="E35">
        <v>6.6947263149999996</v>
      </c>
      <c r="F35">
        <v>77.372182480000006</v>
      </c>
      <c r="G35">
        <v>23</v>
      </c>
      <c r="H35">
        <v>34</v>
      </c>
      <c r="I35" t="s">
        <v>533</v>
      </c>
    </row>
    <row r="36" spans="1:12" x14ac:dyDescent="0.25">
      <c r="A36" t="s">
        <v>72</v>
      </c>
      <c r="B36">
        <v>0.68514563500000003</v>
      </c>
      <c r="C36">
        <v>3.9870083000000001E-2</v>
      </c>
      <c r="D36">
        <v>837.47640339999998</v>
      </c>
      <c r="E36">
        <v>7.0909349099999996</v>
      </c>
      <c r="F36">
        <v>82.842308470000006</v>
      </c>
      <c r="G36">
        <v>22</v>
      </c>
      <c r="H36">
        <v>38</v>
      </c>
      <c r="I36" t="s">
        <v>535</v>
      </c>
    </row>
    <row r="37" spans="1:12" x14ac:dyDescent="0.25">
      <c r="A37" t="s">
        <v>18</v>
      </c>
      <c r="B37">
        <v>495.73247429999998</v>
      </c>
      <c r="C37">
        <v>8.5714553149999997</v>
      </c>
      <c r="G37">
        <v>22</v>
      </c>
      <c r="H37">
        <v>35</v>
      </c>
      <c r="I37" t="s">
        <v>534</v>
      </c>
      <c r="J37">
        <v>3752.977198</v>
      </c>
      <c r="K37">
        <v>23.02469404</v>
      </c>
      <c r="L37">
        <v>12.45175399</v>
      </c>
    </row>
    <row r="38" spans="1:12" x14ac:dyDescent="0.25">
      <c r="A38" t="s">
        <v>68</v>
      </c>
      <c r="D38">
        <v>859.7639782</v>
      </c>
      <c r="E38">
        <v>6.5732571770000003</v>
      </c>
      <c r="F38">
        <v>84.110996639999996</v>
      </c>
      <c r="G38">
        <v>22</v>
      </c>
      <c r="H38">
        <v>37</v>
      </c>
      <c r="I38" t="s">
        <v>535</v>
      </c>
    </row>
    <row r="39" spans="1:12" x14ac:dyDescent="0.25">
      <c r="A39" t="s">
        <v>22</v>
      </c>
      <c r="B39">
        <v>535.97716319999995</v>
      </c>
      <c r="C39">
        <v>9.9441202050000008</v>
      </c>
      <c r="G39">
        <v>21</v>
      </c>
      <c r="H39">
        <v>39</v>
      </c>
      <c r="I39" t="s">
        <v>534</v>
      </c>
      <c r="J39">
        <v>3623.4440220000001</v>
      </c>
      <c r="K39">
        <v>20.94957325</v>
      </c>
      <c r="L39">
        <v>11.26852585</v>
      </c>
    </row>
    <row r="40" spans="1:12" x14ac:dyDescent="0.25">
      <c r="A40" t="s">
        <v>99</v>
      </c>
      <c r="B40">
        <v>884.65459450000003</v>
      </c>
      <c r="C40">
        <v>6.704902637</v>
      </c>
      <c r="D40">
        <v>299.5688371</v>
      </c>
      <c r="E40">
        <v>2.9044979299999998</v>
      </c>
      <c r="F40">
        <v>42.594751670000001</v>
      </c>
      <c r="G40">
        <v>21</v>
      </c>
      <c r="H40">
        <v>41</v>
      </c>
      <c r="I40" t="s">
        <v>532</v>
      </c>
    </row>
    <row r="41" spans="1:12" x14ac:dyDescent="0.25">
      <c r="A41" t="s">
        <v>493</v>
      </c>
      <c r="B41">
        <v>1026.900439</v>
      </c>
      <c r="C41">
        <v>8.6222896379999998</v>
      </c>
      <c r="D41">
        <v>229.26298790000001</v>
      </c>
      <c r="E41">
        <v>0.81348567400000005</v>
      </c>
      <c r="F41">
        <v>30.60568542</v>
      </c>
      <c r="G41">
        <v>20</v>
      </c>
      <c r="H41">
        <v>42</v>
      </c>
      <c r="I41" t="s">
        <v>532</v>
      </c>
    </row>
    <row r="42" spans="1:12" x14ac:dyDescent="0.25">
      <c r="A42" t="s">
        <v>98</v>
      </c>
      <c r="B42">
        <v>749.18884519999995</v>
      </c>
      <c r="C42">
        <v>5.9363907859999996</v>
      </c>
      <c r="D42">
        <v>391.30836740000001</v>
      </c>
      <c r="E42">
        <v>2.5368537679999998</v>
      </c>
      <c r="F42">
        <v>46.547634979999998</v>
      </c>
      <c r="G42">
        <v>19</v>
      </c>
      <c r="H42">
        <v>43</v>
      </c>
      <c r="I42" t="s">
        <v>532</v>
      </c>
    </row>
    <row r="43" spans="1:12" x14ac:dyDescent="0.25">
      <c r="A43" t="s">
        <v>65</v>
      </c>
      <c r="B43">
        <v>11.80761813</v>
      </c>
      <c r="C43">
        <v>7.8458304000000006E-2</v>
      </c>
      <c r="D43">
        <v>1050.8262810000001</v>
      </c>
      <c r="E43">
        <v>5.7470948369999997</v>
      </c>
      <c r="F43">
        <v>86.979652229999999</v>
      </c>
      <c r="G43">
        <v>19</v>
      </c>
      <c r="H43">
        <v>44</v>
      </c>
      <c r="I43" t="s">
        <v>533</v>
      </c>
    </row>
    <row r="44" spans="1:12" x14ac:dyDescent="0.25">
      <c r="A44" t="s">
        <v>414</v>
      </c>
      <c r="D44">
        <v>1039.561242</v>
      </c>
      <c r="E44">
        <v>6.3272390920000001</v>
      </c>
      <c r="F44">
        <v>83.935632960000007</v>
      </c>
      <c r="G44">
        <v>18</v>
      </c>
      <c r="H44">
        <v>45</v>
      </c>
      <c r="I44" t="s">
        <v>533</v>
      </c>
    </row>
    <row r="45" spans="1:12" x14ac:dyDescent="0.25">
      <c r="A45" t="s">
        <v>59</v>
      </c>
      <c r="B45">
        <v>24.918192770000001</v>
      </c>
      <c r="C45">
        <v>0.238319274</v>
      </c>
      <c r="D45">
        <v>1067.566624</v>
      </c>
      <c r="E45">
        <v>4.749267208</v>
      </c>
      <c r="F45">
        <v>80.725202319999994</v>
      </c>
      <c r="G45">
        <v>17</v>
      </c>
      <c r="H45">
        <v>46</v>
      </c>
      <c r="I45" t="s">
        <v>533</v>
      </c>
    </row>
    <row r="46" spans="1:12" x14ac:dyDescent="0.25">
      <c r="A46" t="s">
        <v>76</v>
      </c>
      <c r="B46">
        <v>11.96084898</v>
      </c>
      <c r="C46">
        <v>0.103571154</v>
      </c>
      <c r="D46">
        <v>996.56367439999997</v>
      </c>
      <c r="E46">
        <v>6.4832966140000003</v>
      </c>
      <c r="F46">
        <v>78.103868869999999</v>
      </c>
      <c r="G46">
        <v>17</v>
      </c>
      <c r="H46">
        <v>47</v>
      </c>
      <c r="I46" t="s">
        <v>533</v>
      </c>
    </row>
    <row r="47" spans="1:12" x14ac:dyDescent="0.25">
      <c r="A47" t="s">
        <v>87</v>
      </c>
      <c r="B47">
        <v>18.823418780000001</v>
      </c>
      <c r="C47">
        <v>0.144708534</v>
      </c>
      <c r="D47">
        <v>1000.2263850000001</v>
      </c>
      <c r="E47">
        <v>7.3491682200000001</v>
      </c>
      <c r="F47">
        <v>72.997157090000002</v>
      </c>
      <c r="G47">
        <v>15</v>
      </c>
      <c r="H47">
        <v>48</v>
      </c>
      <c r="I47" t="s">
        <v>533</v>
      </c>
    </row>
    <row r="48" spans="1:12" x14ac:dyDescent="0.25">
      <c r="A48" t="s">
        <v>62</v>
      </c>
      <c r="B48">
        <v>55.43273336</v>
      </c>
      <c r="C48">
        <v>0.50729034200000001</v>
      </c>
      <c r="D48">
        <v>971.51958890000003</v>
      </c>
      <c r="E48">
        <v>5.5574943350000003</v>
      </c>
      <c r="F48">
        <v>78.466350730000002</v>
      </c>
      <c r="G48">
        <v>15</v>
      </c>
      <c r="H48">
        <v>49</v>
      </c>
      <c r="I48" t="s">
        <v>533</v>
      </c>
    </row>
    <row r="49" spans="1:12" x14ac:dyDescent="0.25">
      <c r="A49" t="s">
        <v>424</v>
      </c>
      <c r="B49">
        <v>11.2197821</v>
      </c>
      <c r="C49">
        <v>9.3215586000000003E-2</v>
      </c>
      <c r="D49">
        <v>876.95294460000002</v>
      </c>
      <c r="E49">
        <v>7.6232690009999997</v>
      </c>
      <c r="F49">
        <v>75.128436199999996</v>
      </c>
      <c r="G49">
        <v>14</v>
      </c>
      <c r="H49">
        <v>50</v>
      </c>
      <c r="I49" t="s">
        <v>533</v>
      </c>
    </row>
    <row r="50" spans="1:12" x14ac:dyDescent="0.25">
      <c r="A50" t="s">
        <v>19</v>
      </c>
      <c r="B50">
        <v>737.42541110000002</v>
      </c>
      <c r="C50">
        <v>5.6808812739999999</v>
      </c>
      <c r="G50">
        <v>13</v>
      </c>
      <c r="H50">
        <v>51</v>
      </c>
      <c r="I50" t="s">
        <v>534</v>
      </c>
      <c r="J50">
        <v>3396.2095100000001</v>
      </c>
      <c r="K50">
        <v>22.00716384</v>
      </c>
      <c r="L50">
        <v>11.157714110000001</v>
      </c>
    </row>
    <row r="51" spans="1:12" x14ac:dyDescent="0.25">
      <c r="A51" t="s">
        <v>35</v>
      </c>
      <c r="B51">
        <v>337.07539750000001</v>
      </c>
      <c r="C51">
        <v>0.98335099500000001</v>
      </c>
      <c r="G51">
        <v>13</v>
      </c>
      <c r="H51">
        <v>53</v>
      </c>
      <c r="I51" t="s">
        <v>534</v>
      </c>
      <c r="J51">
        <v>4033.5526530000002</v>
      </c>
      <c r="K51">
        <v>33.231996950000003</v>
      </c>
      <c r="L51">
        <v>10.938401259999999</v>
      </c>
    </row>
    <row r="52" spans="1:12" x14ac:dyDescent="0.25">
      <c r="A52" t="s">
        <v>85</v>
      </c>
      <c r="D52">
        <v>819.7098694</v>
      </c>
      <c r="E52">
        <v>6.9943424040000002</v>
      </c>
      <c r="F52">
        <v>73.735570269999997</v>
      </c>
      <c r="G52">
        <v>12</v>
      </c>
      <c r="H52">
        <v>55</v>
      </c>
      <c r="I52" t="s">
        <v>535</v>
      </c>
    </row>
    <row r="53" spans="1:12" x14ac:dyDescent="0.25">
      <c r="A53" t="s">
        <v>83</v>
      </c>
      <c r="B53">
        <v>28.532366939999999</v>
      </c>
      <c r="C53">
        <v>0.211371686</v>
      </c>
      <c r="D53">
        <v>1091.3722769999999</v>
      </c>
      <c r="E53">
        <v>4.557735278</v>
      </c>
      <c r="F53">
        <v>71.029840640000003</v>
      </c>
      <c r="G53">
        <v>11</v>
      </c>
      <c r="H53">
        <v>57</v>
      </c>
      <c r="I53" t="s">
        <v>533</v>
      </c>
    </row>
    <row r="54" spans="1:12" x14ac:dyDescent="0.25">
      <c r="A54" t="s">
        <v>50</v>
      </c>
      <c r="D54">
        <v>1034.7869470000001</v>
      </c>
      <c r="E54">
        <v>7.1905227629999997</v>
      </c>
      <c r="F54">
        <v>70.039379179999997</v>
      </c>
      <c r="G54">
        <v>11</v>
      </c>
      <c r="H54">
        <v>56</v>
      </c>
      <c r="I54" t="s">
        <v>533</v>
      </c>
    </row>
    <row r="55" spans="1:12" x14ac:dyDescent="0.25">
      <c r="A55" t="s">
        <v>43</v>
      </c>
      <c r="B55">
        <v>92.943872459999994</v>
      </c>
      <c r="C55">
        <v>0.583340529</v>
      </c>
      <c r="D55">
        <v>943.60996709999995</v>
      </c>
      <c r="E55">
        <v>5.8129586819999997</v>
      </c>
      <c r="F55">
        <v>70.44518875</v>
      </c>
      <c r="G55">
        <v>10</v>
      </c>
      <c r="H55">
        <v>59</v>
      </c>
      <c r="I55" t="s">
        <v>533</v>
      </c>
    </row>
    <row r="56" spans="1:12" x14ac:dyDescent="0.25">
      <c r="A56" t="s">
        <v>417</v>
      </c>
      <c r="D56">
        <v>791.30613359999995</v>
      </c>
      <c r="E56">
        <v>3.507111369</v>
      </c>
      <c r="F56">
        <v>82.714891809999997</v>
      </c>
      <c r="G56">
        <v>10</v>
      </c>
      <c r="H56">
        <v>60</v>
      </c>
      <c r="I56" t="s">
        <v>535</v>
      </c>
    </row>
    <row r="57" spans="1:12" x14ac:dyDescent="0.25">
      <c r="A57" t="s">
        <v>421</v>
      </c>
      <c r="D57">
        <v>787.50944289999995</v>
      </c>
      <c r="E57">
        <v>3.0881844310000002</v>
      </c>
      <c r="F57">
        <v>87.000232760000003</v>
      </c>
      <c r="G57">
        <v>10</v>
      </c>
      <c r="H57">
        <v>61</v>
      </c>
      <c r="I57" t="s">
        <v>535</v>
      </c>
    </row>
    <row r="58" spans="1:12" x14ac:dyDescent="0.25">
      <c r="A58" t="s">
        <v>40</v>
      </c>
      <c r="B58">
        <v>24.335856239999998</v>
      </c>
      <c r="C58">
        <v>0.25733065500000002</v>
      </c>
      <c r="D58">
        <v>972.50487669999995</v>
      </c>
      <c r="E58">
        <v>5.3493986720000004</v>
      </c>
      <c r="F58">
        <v>81.394802229999996</v>
      </c>
      <c r="G58">
        <v>10</v>
      </c>
      <c r="H58">
        <v>58</v>
      </c>
      <c r="I58" t="s">
        <v>533</v>
      </c>
    </row>
    <row r="59" spans="1:12" x14ac:dyDescent="0.25">
      <c r="A59" t="s">
        <v>12</v>
      </c>
      <c r="B59">
        <v>544.28095029999997</v>
      </c>
      <c r="C59">
        <v>9.0709624810000005</v>
      </c>
      <c r="G59">
        <v>9</v>
      </c>
      <c r="H59">
        <v>62</v>
      </c>
      <c r="I59" t="s">
        <v>534</v>
      </c>
      <c r="J59">
        <v>3388.6800790000002</v>
      </c>
      <c r="K59">
        <v>15.935090600000001</v>
      </c>
      <c r="L59">
        <v>11.785359270000001</v>
      </c>
    </row>
    <row r="60" spans="1:12" x14ac:dyDescent="0.25">
      <c r="A60" t="s">
        <v>431</v>
      </c>
      <c r="B60">
        <v>181.8641551</v>
      </c>
      <c r="C60">
        <v>2.525954783</v>
      </c>
      <c r="G60">
        <v>9</v>
      </c>
      <c r="H60">
        <v>64</v>
      </c>
      <c r="I60" t="s">
        <v>534</v>
      </c>
      <c r="J60">
        <v>4048.706326</v>
      </c>
      <c r="K60">
        <v>26.874842009999998</v>
      </c>
      <c r="L60">
        <v>10.746518439999999</v>
      </c>
    </row>
    <row r="61" spans="1:12" x14ac:dyDescent="0.25">
      <c r="A61" t="s">
        <v>32</v>
      </c>
      <c r="B61">
        <v>174.03090209999999</v>
      </c>
      <c r="C61">
        <v>2.575149626</v>
      </c>
      <c r="G61">
        <v>9</v>
      </c>
      <c r="H61">
        <v>67</v>
      </c>
      <c r="I61" t="s">
        <v>534</v>
      </c>
      <c r="J61">
        <v>4127.8768389999996</v>
      </c>
      <c r="K61">
        <v>26.767267329999999</v>
      </c>
      <c r="L61">
        <v>11.370627710000001</v>
      </c>
    </row>
    <row r="62" spans="1:12" x14ac:dyDescent="0.25">
      <c r="A62" t="s">
        <v>107</v>
      </c>
      <c r="B62">
        <v>831.59694139999999</v>
      </c>
      <c r="C62">
        <v>5.1275603729999997</v>
      </c>
      <c r="D62">
        <v>249.2422631</v>
      </c>
      <c r="E62">
        <v>1.387834107</v>
      </c>
      <c r="F62">
        <v>34.82745671</v>
      </c>
      <c r="G62">
        <v>8</v>
      </c>
      <c r="H62">
        <v>72</v>
      </c>
      <c r="I62" t="s">
        <v>532</v>
      </c>
    </row>
    <row r="63" spans="1:12" x14ac:dyDescent="0.25">
      <c r="A63" t="s">
        <v>29</v>
      </c>
      <c r="B63">
        <v>227.11273890000001</v>
      </c>
      <c r="C63">
        <v>2.0471772279999998</v>
      </c>
      <c r="G63">
        <v>8</v>
      </c>
      <c r="H63">
        <v>69</v>
      </c>
      <c r="I63" t="s">
        <v>534</v>
      </c>
      <c r="J63">
        <v>4078.9691189999999</v>
      </c>
      <c r="K63">
        <v>26.615168409999999</v>
      </c>
      <c r="L63">
        <v>12.279953709999999</v>
      </c>
    </row>
    <row r="64" spans="1:12" x14ac:dyDescent="0.25">
      <c r="A64" t="s">
        <v>416</v>
      </c>
      <c r="B64">
        <v>792.14454820000003</v>
      </c>
      <c r="C64">
        <v>4.724317128</v>
      </c>
      <c r="D64">
        <v>335.69721980000003</v>
      </c>
      <c r="E64">
        <v>1.005441319</v>
      </c>
      <c r="F64">
        <v>46.003200530000001</v>
      </c>
      <c r="G64">
        <v>8</v>
      </c>
      <c r="H64">
        <v>71</v>
      </c>
      <c r="I64" t="s">
        <v>532</v>
      </c>
    </row>
    <row r="65" spans="1:9" x14ac:dyDescent="0.25">
      <c r="A65" t="s">
        <v>420</v>
      </c>
      <c r="B65">
        <v>812.87535700000001</v>
      </c>
      <c r="C65">
        <v>5.7827833699999998</v>
      </c>
      <c r="D65">
        <v>223.01487789999999</v>
      </c>
      <c r="E65">
        <v>1.0951549840000001</v>
      </c>
      <c r="F65">
        <v>33.211255440000002</v>
      </c>
      <c r="G65">
        <v>7</v>
      </c>
      <c r="H65">
        <v>73</v>
      </c>
      <c r="I65" t="s">
        <v>532</v>
      </c>
    </row>
    <row r="66" spans="1:9" x14ac:dyDescent="0.25">
      <c r="A66" t="s">
        <v>100</v>
      </c>
      <c r="B66">
        <v>755.36764249999999</v>
      </c>
      <c r="C66">
        <v>4.4379902380000003</v>
      </c>
      <c r="D66">
        <v>342.65862090000002</v>
      </c>
      <c r="E66">
        <v>1.848297775</v>
      </c>
      <c r="F66">
        <v>43.198821160000001</v>
      </c>
      <c r="G66">
        <v>7</v>
      </c>
      <c r="H66">
        <v>75</v>
      </c>
      <c r="I66" t="s">
        <v>532</v>
      </c>
    </row>
    <row r="67" spans="1:9" x14ac:dyDescent="0.25">
      <c r="A67" t="s">
        <v>97</v>
      </c>
      <c r="B67">
        <v>871.59981230000005</v>
      </c>
      <c r="C67">
        <v>5.3187264560000003</v>
      </c>
      <c r="D67">
        <v>246.12559060000001</v>
      </c>
      <c r="E67">
        <v>0.78411001300000005</v>
      </c>
      <c r="F67">
        <v>35.347358710000002</v>
      </c>
      <c r="G67">
        <v>7</v>
      </c>
      <c r="H67">
        <v>76</v>
      </c>
      <c r="I67" t="s">
        <v>532</v>
      </c>
    </row>
    <row r="68" spans="1:9" x14ac:dyDescent="0.25">
      <c r="A68" t="s">
        <v>55</v>
      </c>
      <c r="D68">
        <v>1045.366671</v>
      </c>
      <c r="E68">
        <v>5.4450453660000004</v>
      </c>
      <c r="F68">
        <v>73.462050550000001</v>
      </c>
      <c r="G68">
        <v>7</v>
      </c>
      <c r="H68">
        <v>77</v>
      </c>
      <c r="I68" t="s">
        <v>533</v>
      </c>
    </row>
    <row r="69" spans="1:9" x14ac:dyDescent="0.25">
      <c r="A69" t="s">
        <v>44</v>
      </c>
      <c r="D69">
        <v>883.85265679999998</v>
      </c>
      <c r="E69">
        <v>4.7357705829999999</v>
      </c>
      <c r="F69">
        <v>75.358557790000006</v>
      </c>
      <c r="G69">
        <v>6</v>
      </c>
      <c r="H69">
        <v>82</v>
      </c>
      <c r="I69" t="s">
        <v>533</v>
      </c>
    </row>
    <row r="70" spans="1:9" x14ac:dyDescent="0.25">
      <c r="A70" t="s">
        <v>54</v>
      </c>
      <c r="D70">
        <v>845.17383199999995</v>
      </c>
      <c r="E70">
        <v>4.6686795139999999</v>
      </c>
      <c r="F70">
        <v>62.877652320000003</v>
      </c>
      <c r="G70">
        <v>6</v>
      </c>
      <c r="H70">
        <v>83</v>
      </c>
      <c r="I70" t="s">
        <v>535</v>
      </c>
    </row>
    <row r="71" spans="1:9" x14ac:dyDescent="0.25">
      <c r="A71" t="s">
        <v>48</v>
      </c>
      <c r="B71">
        <v>11.898150660000001</v>
      </c>
      <c r="C71">
        <v>7.8779418000000004E-2</v>
      </c>
      <c r="D71">
        <v>951.24973</v>
      </c>
      <c r="E71">
        <v>4.4107176480000003</v>
      </c>
      <c r="F71">
        <v>83.502809600000006</v>
      </c>
      <c r="G71">
        <v>6</v>
      </c>
      <c r="H71">
        <v>81</v>
      </c>
      <c r="I71" t="s">
        <v>533</v>
      </c>
    </row>
    <row r="72" spans="1:9" x14ac:dyDescent="0.25">
      <c r="A72" t="s">
        <v>52</v>
      </c>
      <c r="B72">
        <v>12.44118701</v>
      </c>
      <c r="C72">
        <v>9.3697954E-2</v>
      </c>
      <c r="D72">
        <v>883.11043410000002</v>
      </c>
      <c r="E72">
        <v>4.792893168</v>
      </c>
      <c r="F72">
        <v>84.51208561</v>
      </c>
      <c r="G72">
        <v>6</v>
      </c>
      <c r="H72">
        <v>79</v>
      </c>
      <c r="I72" t="s">
        <v>533</v>
      </c>
    </row>
    <row r="73" spans="1:9" x14ac:dyDescent="0.25">
      <c r="A73" t="s">
        <v>86</v>
      </c>
      <c r="B73">
        <v>13.009039720000001</v>
      </c>
      <c r="C73">
        <v>8.7638385999999999E-2</v>
      </c>
      <c r="D73">
        <v>986.94498759999999</v>
      </c>
      <c r="E73">
        <v>6.2306102799999996</v>
      </c>
      <c r="F73">
        <v>71.593339409999999</v>
      </c>
      <c r="G73">
        <v>6</v>
      </c>
      <c r="H73">
        <v>78</v>
      </c>
      <c r="I73" t="s">
        <v>533</v>
      </c>
    </row>
    <row r="74" spans="1:9" x14ac:dyDescent="0.25">
      <c r="A74" t="s">
        <v>38</v>
      </c>
      <c r="D74">
        <v>1008.80313</v>
      </c>
      <c r="E74">
        <v>3.250391048</v>
      </c>
      <c r="F74">
        <v>74.656419630000002</v>
      </c>
      <c r="G74">
        <v>6</v>
      </c>
      <c r="H74">
        <v>80</v>
      </c>
      <c r="I74" t="s">
        <v>533</v>
      </c>
    </row>
    <row r="75" spans="1:9" x14ac:dyDescent="0.25">
      <c r="A75" t="s">
        <v>46</v>
      </c>
      <c r="D75">
        <v>734.7416819</v>
      </c>
      <c r="E75">
        <v>3.9805674839999998</v>
      </c>
      <c r="F75">
        <v>75.408418690000005</v>
      </c>
      <c r="G75">
        <v>5</v>
      </c>
      <c r="H75">
        <v>84</v>
      </c>
      <c r="I75" t="s">
        <v>535</v>
      </c>
    </row>
    <row r="76" spans="1:9" x14ac:dyDescent="0.25">
      <c r="A76" t="s">
        <v>45</v>
      </c>
      <c r="D76">
        <v>821.81264399999998</v>
      </c>
      <c r="E76">
        <v>4.1826102479999996</v>
      </c>
      <c r="F76">
        <v>59.859840320000004</v>
      </c>
      <c r="G76">
        <v>5</v>
      </c>
      <c r="H76">
        <v>87</v>
      </c>
      <c r="I76" t="s">
        <v>535</v>
      </c>
    </row>
    <row r="77" spans="1:9" x14ac:dyDescent="0.25">
      <c r="A77" t="s">
        <v>426</v>
      </c>
      <c r="B77">
        <v>730.57588740000006</v>
      </c>
      <c r="C77">
        <v>4.4220101940000003</v>
      </c>
      <c r="D77">
        <v>298.20273179999998</v>
      </c>
      <c r="E77">
        <v>1.3012976190000001</v>
      </c>
      <c r="F77">
        <v>48.85205603</v>
      </c>
      <c r="G77">
        <v>5</v>
      </c>
      <c r="H77">
        <v>88</v>
      </c>
      <c r="I77" t="s">
        <v>532</v>
      </c>
    </row>
    <row r="78" spans="1:9" x14ac:dyDescent="0.25">
      <c r="A78" t="s">
        <v>443</v>
      </c>
      <c r="B78">
        <v>841.55001890000005</v>
      </c>
      <c r="C78">
        <v>4.6106573060000002</v>
      </c>
      <c r="D78">
        <v>272.61650950000001</v>
      </c>
      <c r="E78">
        <v>1.0953090620000001</v>
      </c>
      <c r="F78">
        <v>34.922652370000002</v>
      </c>
      <c r="G78">
        <v>5</v>
      </c>
      <c r="H78">
        <v>89</v>
      </c>
      <c r="I78" t="s">
        <v>532</v>
      </c>
    </row>
    <row r="79" spans="1:9" x14ac:dyDescent="0.25">
      <c r="A79" t="s">
        <v>67</v>
      </c>
      <c r="B79">
        <v>12.845802519999999</v>
      </c>
      <c r="C79">
        <v>9.6280887999999995E-2</v>
      </c>
      <c r="D79">
        <v>804.71239349999996</v>
      </c>
      <c r="E79">
        <v>5.5486749929999997</v>
      </c>
      <c r="F79">
        <v>59.738536109999998</v>
      </c>
      <c r="G79">
        <v>4</v>
      </c>
      <c r="H79">
        <v>99</v>
      </c>
      <c r="I79" t="s">
        <v>533</v>
      </c>
    </row>
    <row r="80" spans="1:9" x14ac:dyDescent="0.25">
      <c r="A80" t="s">
        <v>37</v>
      </c>
      <c r="B80">
        <v>86.037444170000001</v>
      </c>
      <c r="C80">
        <v>0.57400680000000004</v>
      </c>
      <c r="D80">
        <v>766.56783180000002</v>
      </c>
      <c r="E80">
        <v>5.0808281710000003</v>
      </c>
      <c r="F80">
        <v>62.779271139999999</v>
      </c>
      <c r="G80">
        <v>4</v>
      </c>
      <c r="H80">
        <v>95</v>
      </c>
      <c r="I80" t="s">
        <v>533</v>
      </c>
    </row>
    <row r="81" spans="1:12" x14ac:dyDescent="0.25">
      <c r="A81" t="s">
        <v>77</v>
      </c>
      <c r="B81">
        <v>35.196831799999998</v>
      </c>
      <c r="C81">
        <v>0.278512912</v>
      </c>
      <c r="D81">
        <v>761.91854890000002</v>
      </c>
      <c r="E81">
        <v>6.340266765</v>
      </c>
      <c r="F81">
        <v>56.38100214</v>
      </c>
      <c r="G81">
        <v>4</v>
      </c>
      <c r="H81">
        <v>98</v>
      </c>
      <c r="I81" t="s">
        <v>533</v>
      </c>
    </row>
    <row r="82" spans="1:12" x14ac:dyDescent="0.25">
      <c r="A82" t="s">
        <v>429</v>
      </c>
      <c r="D82">
        <v>878.10198849999995</v>
      </c>
      <c r="E82">
        <v>5.1954021340000001</v>
      </c>
      <c r="F82">
        <v>70.465484480000001</v>
      </c>
      <c r="G82">
        <v>4</v>
      </c>
      <c r="H82">
        <v>96</v>
      </c>
      <c r="I82" t="s">
        <v>533</v>
      </c>
    </row>
    <row r="83" spans="1:12" x14ac:dyDescent="0.25">
      <c r="A83" t="s">
        <v>47</v>
      </c>
      <c r="B83">
        <v>38.151383690000003</v>
      </c>
      <c r="C83">
        <v>0.30300000999999999</v>
      </c>
      <c r="D83">
        <v>840.59734639999999</v>
      </c>
      <c r="E83">
        <v>7.6054809260000003</v>
      </c>
      <c r="F83">
        <v>54.921708219999999</v>
      </c>
      <c r="G83">
        <v>4</v>
      </c>
      <c r="H83">
        <v>93</v>
      </c>
      <c r="I83" t="s">
        <v>533</v>
      </c>
    </row>
    <row r="84" spans="1:12" x14ac:dyDescent="0.25">
      <c r="A84" t="s">
        <v>57</v>
      </c>
      <c r="D84">
        <v>896.49218180000003</v>
      </c>
      <c r="E84">
        <v>4.9572877259999997</v>
      </c>
      <c r="F84">
        <v>71.186665950000005</v>
      </c>
      <c r="G84">
        <v>4</v>
      </c>
      <c r="H84">
        <v>94</v>
      </c>
      <c r="I84" t="s">
        <v>533</v>
      </c>
    </row>
    <row r="85" spans="1:12" x14ac:dyDescent="0.25">
      <c r="A85" t="s">
        <v>419</v>
      </c>
      <c r="B85">
        <v>795.14006040000004</v>
      </c>
      <c r="C85">
        <v>9.3596973430000006</v>
      </c>
      <c r="D85">
        <v>162.33809400000001</v>
      </c>
      <c r="E85">
        <v>0.70510499199999999</v>
      </c>
      <c r="F85">
        <v>21.716341</v>
      </c>
      <c r="G85">
        <v>4</v>
      </c>
      <c r="H85">
        <v>92</v>
      </c>
      <c r="I85" t="s">
        <v>532</v>
      </c>
    </row>
    <row r="86" spans="1:12" x14ac:dyDescent="0.25">
      <c r="A86" t="s">
        <v>422</v>
      </c>
      <c r="B86">
        <v>618.74599350000005</v>
      </c>
      <c r="C86">
        <v>3.204946681</v>
      </c>
      <c r="D86">
        <v>370.36074839999998</v>
      </c>
      <c r="E86">
        <v>1.3719381239999999</v>
      </c>
      <c r="F86">
        <v>54.253275340000002</v>
      </c>
      <c r="G86">
        <v>4</v>
      </c>
      <c r="H86">
        <v>91</v>
      </c>
      <c r="I86" t="s">
        <v>532</v>
      </c>
    </row>
    <row r="87" spans="1:12" x14ac:dyDescent="0.25">
      <c r="A87" t="s">
        <v>423</v>
      </c>
      <c r="B87">
        <v>894.73664699999995</v>
      </c>
      <c r="C87">
        <v>5.8633327880000001</v>
      </c>
      <c r="D87">
        <v>168.7914394</v>
      </c>
      <c r="E87">
        <v>1.2380839299999999</v>
      </c>
      <c r="F87">
        <v>28.025854089999999</v>
      </c>
      <c r="G87">
        <v>4</v>
      </c>
      <c r="H87">
        <v>90</v>
      </c>
      <c r="I87" t="s">
        <v>532</v>
      </c>
    </row>
    <row r="88" spans="1:12" x14ac:dyDescent="0.25">
      <c r="A88" t="s">
        <v>25</v>
      </c>
      <c r="B88">
        <v>209.40185600000001</v>
      </c>
      <c r="C88">
        <v>2.5393800679999998</v>
      </c>
      <c r="G88">
        <v>3</v>
      </c>
      <c r="H88">
        <v>107</v>
      </c>
      <c r="I88" t="s">
        <v>534</v>
      </c>
      <c r="J88">
        <v>3720.2118930000001</v>
      </c>
      <c r="K88">
        <v>26.395372519999999</v>
      </c>
      <c r="L88">
        <v>12.648819899999999</v>
      </c>
    </row>
    <row r="89" spans="1:12" x14ac:dyDescent="0.25">
      <c r="A89" t="s">
        <v>80</v>
      </c>
      <c r="D89">
        <v>814.61080159999995</v>
      </c>
      <c r="E89">
        <v>4.9550540410000004</v>
      </c>
      <c r="F89">
        <v>58.952453669999997</v>
      </c>
      <c r="G89">
        <v>3</v>
      </c>
      <c r="H89">
        <v>113</v>
      </c>
      <c r="I89" t="s">
        <v>533</v>
      </c>
    </row>
    <row r="90" spans="1:12" x14ac:dyDescent="0.25">
      <c r="A90" t="s">
        <v>73</v>
      </c>
      <c r="B90">
        <v>13.67908203</v>
      </c>
      <c r="C90">
        <v>7.4318295000000006E-2</v>
      </c>
      <c r="D90">
        <v>802.46539900000005</v>
      </c>
      <c r="E90">
        <v>4.8557623440000004</v>
      </c>
      <c r="F90">
        <v>63.649976580000001</v>
      </c>
      <c r="G90">
        <v>3</v>
      </c>
      <c r="H90">
        <v>111</v>
      </c>
      <c r="I90" t="s">
        <v>533</v>
      </c>
    </row>
    <row r="91" spans="1:12" x14ac:dyDescent="0.25">
      <c r="A91" t="s">
        <v>28</v>
      </c>
      <c r="B91">
        <v>173.09462529999999</v>
      </c>
      <c r="C91">
        <v>2.3089634600000002</v>
      </c>
      <c r="G91">
        <v>3</v>
      </c>
      <c r="H91">
        <v>109</v>
      </c>
      <c r="I91" t="s">
        <v>534</v>
      </c>
      <c r="J91">
        <v>3909.1096830000001</v>
      </c>
      <c r="K91">
        <v>24.182402750000001</v>
      </c>
      <c r="L91">
        <v>10.775035559999999</v>
      </c>
    </row>
    <row r="92" spans="1:12" x14ac:dyDescent="0.25">
      <c r="A92" t="s">
        <v>91</v>
      </c>
      <c r="B92">
        <v>787.06253419999996</v>
      </c>
      <c r="C92">
        <v>4.5807278370000004</v>
      </c>
      <c r="D92">
        <v>224.91261299999999</v>
      </c>
      <c r="E92">
        <v>0.59553220900000003</v>
      </c>
      <c r="F92">
        <v>35.492156629999997</v>
      </c>
      <c r="G92">
        <v>3</v>
      </c>
      <c r="H92">
        <v>103</v>
      </c>
      <c r="I92" t="s">
        <v>532</v>
      </c>
    </row>
    <row r="93" spans="1:12" x14ac:dyDescent="0.25">
      <c r="A93" t="s">
        <v>13</v>
      </c>
      <c r="B93">
        <v>487.24725169999999</v>
      </c>
      <c r="C93">
        <v>5.2320703039999996</v>
      </c>
      <c r="G93">
        <v>3</v>
      </c>
      <c r="H93">
        <v>105</v>
      </c>
      <c r="I93" t="s">
        <v>534</v>
      </c>
      <c r="J93">
        <v>3565.7942979999998</v>
      </c>
      <c r="K93">
        <v>17.390881629999999</v>
      </c>
      <c r="L93">
        <v>11.57715576</v>
      </c>
    </row>
    <row r="94" spans="1:12" x14ac:dyDescent="0.25">
      <c r="A94" t="s">
        <v>430</v>
      </c>
      <c r="B94">
        <v>480.4948483</v>
      </c>
      <c r="C94">
        <v>3.6817452959999999</v>
      </c>
      <c r="D94">
        <v>433.0927982</v>
      </c>
      <c r="E94">
        <v>2.0062724869999999</v>
      </c>
      <c r="F94">
        <v>49.365005799999999</v>
      </c>
      <c r="G94">
        <v>3</v>
      </c>
      <c r="H94">
        <v>102</v>
      </c>
      <c r="I94" t="s">
        <v>532</v>
      </c>
    </row>
    <row r="95" spans="1:12" x14ac:dyDescent="0.25">
      <c r="A95" t="s">
        <v>108</v>
      </c>
      <c r="B95">
        <v>742.75700080000001</v>
      </c>
      <c r="C95">
        <v>5.110948789</v>
      </c>
      <c r="D95">
        <v>245.5219361</v>
      </c>
      <c r="E95">
        <v>1.013365072</v>
      </c>
      <c r="F95">
        <v>38.095198109999998</v>
      </c>
      <c r="G95">
        <v>3</v>
      </c>
      <c r="H95">
        <v>101</v>
      </c>
      <c r="I95" t="s">
        <v>532</v>
      </c>
    </row>
    <row r="96" spans="1:12" x14ac:dyDescent="0.25">
      <c r="A96" t="s">
        <v>425</v>
      </c>
      <c r="B96">
        <v>544.04835490000005</v>
      </c>
      <c r="C96">
        <v>3.2962292710000001</v>
      </c>
      <c r="D96">
        <v>402.59024090000003</v>
      </c>
      <c r="E96">
        <v>1.795733016</v>
      </c>
      <c r="F96">
        <v>49.831258910000003</v>
      </c>
      <c r="G96">
        <v>3</v>
      </c>
      <c r="H96">
        <v>100</v>
      </c>
      <c r="I96" t="s">
        <v>532</v>
      </c>
    </row>
    <row r="97" spans="1:12" x14ac:dyDescent="0.25">
      <c r="A97" t="s">
        <v>70</v>
      </c>
      <c r="D97">
        <v>649.37202000000002</v>
      </c>
      <c r="E97">
        <v>3.7966898250000001</v>
      </c>
      <c r="F97">
        <v>56.543111500000002</v>
      </c>
      <c r="G97">
        <v>2</v>
      </c>
      <c r="H97">
        <v>135</v>
      </c>
      <c r="I97" t="s">
        <v>535</v>
      </c>
    </row>
    <row r="98" spans="1:12" x14ac:dyDescent="0.25">
      <c r="A98" t="s">
        <v>142</v>
      </c>
      <c r="B98">
        <v>559.34758450000004</v>
      </c>
      <c r="C98">
        <v>4.539012413</v>
      </c>
      <c r="D98">
        <v>197.78638770000001</v>
      </c>
      <c r="E98">
        <v>0.65461015700000003</v>
      </c>
      <c r="F98">
        <v>29.900498349999999</v>
      </c>
      <c r="G98">
        <v>2</v>
      </c>
      <c r="H98">
        <v>141</v>
      </c>
      <c r="I98" t="s">
        <v>532</v>
      </c>
    </row>
    <row r="99" spans="1:12" x14ac:dyDescent="0.25">
      <c r="A99" t="s">
        <v>434</v>
      </c>
      <c r="D99">
        <v>565.63361640000005</v>
      </c>
      <c r="E99">
        <v>2.594103526</v>
      </c>
      <c r="F99">
        <v>58.33435617</v>
      </c>
      <c r="G99">
        <v>2</v>
      </c>
      <c r="H99">
        <v>136</v>
      </c>
      <c r="I99" t="s">
        <v>535</v>
      </c>
    </row>
    <row r="100" spans="1:12" x14ac:dyDescent="0.25">
      <c r="A100" t="s">
        <v>433</v>
      </c>
      <c r="B100">
        <v>743.43807270000002</v>
      </c>
      <c r="C100">
        <v>3.9087798330000001</v>
      </c>
      <c r="D100">
        <v>212.56437399999999</v>
      </c>
      <c r="E100">
        <v>1.113728872</v>
      </c>
      <c r="F100">
        <v>30.48626148</v>
      </c>
      <c r="G100">
        <v>2</v>
      </c>
      <c r="H100">
        <v>137</v>
      </c>
      <c r="I100" t="s">
        <v>532</v>
      </c>
    </row>
    <row r="101" spans="1:12" x14ac:dyDescent="0.25">
      <c r="A101" t="s">
        <v>119</v>
      </c>
      <c r="B101">
        <v>759.33973630000003</v>
      </c>
      <c r="C101">
        <v>5.7953816170000003</v>
      </c>
      <c r="D101">
        <v>134.47753</v>
      </c>
      <c r="E101">
        <v>0.51094088999999998</v>
      </c>
      <c r="F101">
        <v>17.00471288</v>
      </c>
      <c r="G101">
        <v>2</v>
      </c>
      <c r="H101">
        <v>138</v>
      </c>
      <c r="I101" t="s">
        <v>532</v>
      </c>
    </row>
    <row r="102" spans="1:12" x14ac:dyDescent="0.25">
      <c r="A102" t="s">
        <v>418</v>
      </c>
      <c r="B102">
        <v>656.35878530000002</v>
      </c>
      <c r="C102">
        <v>4.8356369020000001</v>
      </c>
      <c r="D102">
        <v>174.000023</v>
      </c>
      <c r="E102">
        <v>0.83119949400000004</v>
      </c>
      <c r="F102">
        <v>23.619981419999998</v>
      </c>
      <c r="G102">
        <v>2</v>
      </c>
      <c r="H102">
        <v>128</v>
      </c>
      <c r="I102" t="s">
        <v>532</v>
      </c>
    </row>
    <row r="103" spans="1:12" x14ac:dyDescent="0.25">
      <c r="A103" t="s">
        <v>118</v>
      </c>
      <c r="B103">
        <v>627.81513380000001</v>
      </c>
      <c r="C103">
        <v>3.8416748919999999</v>
      </c>
      <c r="D103">
        <v>214.68289440000001</v>
      </c>
      <c r="E103">
        <v>1.003851614</v>
      </c>
      <c r="F103">
        <v>30.056838299999999</v>
      </c>
      <c r="G103">
        <v>2</v>
      </c>
      <c r="H103">
        <v>142</v>
      </c>
      <c r="I103" t="s">
        <v>532</v>
      </c>
    </row>
    <row r="104" spans="1:12" x14ac:dyDescent="0.25">
      <c r="A104" t="s">
        <v>116</v>
      </c>
      <c r="B104">
        <v>725.09937839999998</v>
      </c>
      <c r="C104">
        <v>4.8121108909999997</v>
      </c>
      <c r="D104">
        <v>136.94995059999999</v>
      </c>
      <c r="E104">
        <v>0.48849101700000003</v>
      </c>
      <c r="F104">
        <v>16.576670679999999</v>
      </c>
      <c r="G104">
        <v>2</v>
      </c>
      <c r="H104">
        <v>143</v>
      </c>
      <c r="I104" t="s">
        <v>532</v>
      </c>
    </row>
    <row r="105" spans="1:12" x14ac:dyDescent="0.25">
      <c r="A105" t="s">
        <v>21</v>
      </c>
      <c r="B105">
        <v>109.46645100000001</v>
      </c>
      <c r="C105">
        <v>2.0730321940000001</v>
      </c>
      <c r="G105">
        <v>2</v>
      </c>
      <c r="H105">
        <v>144</v>
      </c>
      <c r="I105" t="s">
        <v>534</v>
      </c>
      <c r="J105">
        <v>3849.855204</v>
      </c>
      <c r="K105">
        <v>27.210867029999999</v>
      </c>
      <c r="L105">
        <v>9.0527273430000008</v>
      </c>
    </row>
    <row r="106" spans="1:12" x14ac:dyDescent="0.25">
      <c r="A106" t="s">
        <v>151</v>
      </c>
      <c r="B106">
        <v>256.48208729999999</v>
      </c>
      <c r="C106">
        <v>2.438692063</v>
      </c>
      <c r="G106">
        <v>2</v>
      </c>
      <c r="H106">
        <v>146</v>
      </c>
      <c r="I106" t="s">
        <v>534</v>
      </c>
      <c r="J106">
        <v>3561.7291839999998</v>
      </c>
      <c r="K106">
        <v>22.965140389999998</v>
      </c>
      <c r="L106">
        <v>9.7123555269999997</v>
      </c>
    </row>
    <row r="107" spans="1:12" x14ac:dyDescent="0.25">
      <c r="A107" t="s">
        <v>27</v>
      </c>
      <c r="B107">
        <v>117.8267172</v>
      </c>
      <c r="C107">
        <v>1.5868922599999999</v>
      </c>
      <c r="G107">
        <v>2</v>
      </c>
      <c r="H107">
        <v>149</v>
      </c>
      <c r="I107" t="s">
        <v>534</v>
      </c>
      <c r="J107">
        <v>3958.1655820000001</v>
      </c>
      <c r="K107">
        <v>24.85774893</v>
      </c>
      <c r="L107">
        <v>11.03075484</v>
      </c>
    </row>
    <row r="108" spans="1:12" x14ac:dyDescent="0.25">
      <c r="A108" t="s">
        <v>39</v>
      </c>
      <c r="D108">
        <v>762.41489520000005</v>
      </c>
      <c r="E108">
        <v>4.1906564120000001</v>
      </c>
      <c r="F108">
        <v>68.871762910000001</v>
      </c>
      <c r="G108">
        <v>2</v>
      </c>
      <c r="H108">
        <v>131</v>
      </c>
      <c r="I108" t="s">
        <v>533</v>
      </c>
    </row>
    <row r="109" spans="1:12" x14ac:dyDescent="0.25">
      <c r="A109" t="s">
        <v>133</v>
      </c>
      <c r="D109">
        <v>685.42483730000004</v>
      </c>
      <c r="E109">
        <v>2.962020812</v>
      </c>
      <c r="F109">
        <v>66.132263390000006</v>
      </c>
      <c r="G109">
        <v>2</v>
      </c>
      <c r="H109">
        <v>133</v>
      </c>
      <c r="I109" t="s">
        <v>535</v>
      </c>
    </row>
    <row r="110" spans="1:12" x14ac:dyDescent="0.25">
      <c r="A110" t="s">
        <v>36</v>
      </c>
      <c r="D110">
        <v>753.88920889999997</v>
      </c>
      <c r="E110">
        <v>5.3229086900000002</v>
      </c>
      <c r="F110">
        <v>64.045631729999997</v>
      </c>
      <c r="G110">
        <v>2</v>
      </c>
      <c r="H110">
        <v>120</v>
      </c>
      <c r="I110" t="s">
        <v>535</v>
      </c>
    </row>
    <row r="111" spans="1:12" x14ac:dyDescent="0.25">
      <c r="A111" t="s">
        <v>49</v>
      </c>
      <c r="D111">
        <v>763.00172469999995</v>
      </c>
      <c r="E111">
        <v>5.7070077570000004</v>
      </c>
      <c r="F111">
        <v>56.192311529999998</v>
      </c>
      <c r="G111">
        <v>2</v>
      </c>
      <c r="H111">
        <v>130</v>
      </c>
      <c r="I111" t="s">
        <v>533</v>
      </c>
    </row>
    <row r="112" spans="1:12" x14ac:dyDescent="0.25">
      <c r="A112" t="s">
        <v>41</v>
      </c>
      <c r="D112">
        <v>674.98195999999996</v>
      </c>
      <c r="E112">
        <v>5.4408097619999998</v>
      </c>
      <c r="F112">
        <v>65.429859820000004</v>
      </c>
      <c r="G112">
        <v>2</v>
      </c>
      <c r="H112">
        <v>121</v>
      </c>
      <c r="I112" t="s">
        <v>535</v>
      </c>
    </row>
    <row r="113" spans="1:12" x14ac:dyDescent="0.25">
      <c r="A113" t="s">
        <v>440</v>
      </c>
      <c r="D113">
        <v>814.55663909999998</v>
      </c>
      <c r="E113">
        <v>4.8189823839999999</v>
      </c>
      <c r="F113">
        <v>61.385361209999999</v>
      </c>
      <c r="G113">
        <v>2</v>
      </c>
      <c r="H113">
        <v>114</v>
      </c>
      <c r="I113" t="s">
        <v>533</v>
      </c>
    </row>
    <row r="114" spans="1:12" x14ac:dyDescent="0.25">
      <c r="A114" t="s">
        <v>428</v>
      </c>
      <c r="B114">
        <v>10.106777210000001</v>
      </c>
      <c r="C114">
        <v>6.6062222000000004E-2</v>
      </c>
      <c r="D114">
        <v>639.77668300000005</v>
      </c>
      <c r="E114">
        <v>5.2424850090000001</v>
      </c>
      <c r="F114">
        <v>43.739649839999998</v>
      </c>
      <c r="G114">
        <v>2</v>
      </c>
      <c r="H114">
        <v>129</v>
      </c>
      <c r="I114" t="s">
        <v>533</v>
      </c>
    </row>
    <row r="115" spans="1:12" x14ac:dyDescent="0.25">
      <c r="A115" t="s">
        <v>427</v>
      </c>
      <c r="D115">
        <v>857.62627889999999</v>
      </c>
      <c r="E115">
        <v>4.5036341569999996</v>
      </c>
      <c r="F115">
        <v>65.723936710000004</v>
      </c>
      <c r="G115">
        <v>2</v>
      </c>
      <c r="H115">
        <v>116</v>
      </c>
      <c r="I115" t="s">
        <v>533</v>
      </c>
    </row>
    <row r="116" spans="1:12" x14ac:dyDescent="0.25">
      <c r="A116" t="s">
        <v>17</v>
      </c>
      <c r="B116">
        <v>587.23477349999996</v>
      </c>
      <c r="C116">
        <v>5.0886542849999996</v>
      </c>
      <c r="G116">
        <v>2</v>
      </c>
      <c r="H116">
        <v>117</v>
      </c>
      <c r="I116" t="s">
        <v>534</v>
      </c>
      <c r="J116">
        <v>3461.8488189999998</v>
      </c>
      <c r="K116">
        <v>15.21986693</v>
      </c>
      <c r="L116">
        <v>13.52611355</v>
      </c>
    </row>
    <row r="117" spans="1:12" x14ac:dyDescent="0.25">
      <c r="A117" t="s">
        <v>127</v>
      </c>
      <c r="B117">
        <v>25.475209509999999</v>
      </c>
      <c r="C117">
        <v>0.29534876799999998</v>
      </c>
      <c r="D117">
        <v>777.15401340000005</v>
      </c>
      <c r="E117">
        <v>3.369065934</v>
      </c>
      <c r="F117">
        <v>72.829995719999999</v>
      </c>
      <c r="G117">
        <v>2</v>
      </c>
      <c r="H117">
        <v>115</v>
      </c>
      <c r="I117" t="s">
        <v>533</v>
      </c>
      <c r="J117">
        <v>18.558215619999999</v>
      </c>
      <c r="K117">
        <v>8.6104330000000007E-2</v>
      </c>
      <c r="L117">
        <v>9.9941449000000002E-2</v>
      </c>
    </row>
    <row r="118" spans="1:12" x14ac:dyDescent="0.25">
      <c r="A118" t="s">
        <v>90</v>
      </c>
      <c r="B118">
        <v>720.40550710000002</v>
      </c>
      <c r="C118">
        <v>7.9227431490000004</v>
      </c>
      <c r="D118">
        <v>188.3206696</v>
      </c>
      <c r="E118">
        <v>1.17131322</v>
      </c>
      <c r="F118">
        <v>26.14410328</v>
      </c>
      <c r="G118">
        <v>2</v>
      </c>
      <c r="H118">
        <v>122</v>
      </c>
      <c r="I118" t="s">
        <v>532</v>
      </c>
    </row>
    <row r="119" spans="1:12" x14ac:dyDescent="0.25">
      <c r="A119" t="s">
        <v>120</v>
      </c>
      <c r="B119">
        <v>577.03080220000004</v>
      </c>
      <c r="C119">
        <v>4.6564999990000002</v>
      </c>
      <c r="D119">
        <v>307.9105667</v>
      </c>
      <c r="E119">
        <v>1.512152771</v>
      </c>
      <c r="F119">
        <v>41.422418569999998</v>
      </c>
      <c r="G119">
        <v>2</v>
      </c>
      <c r="H119">
        <v>123</v>
      </c>
      <c r="I119" t="s">
        <v>532</v>
      </c>
    </row>
    <row r="120" spans="1:12" x14ac:dyDescent="0.25">
      <c r="A120" t="s">
        <v>101</v>
      </c>
      <c r="B120">
        <v>752.22064030000001</v>
      </c>
      <c r="C120">
        <v>6.3246496329999999</v>
      </c>
      <c r="D120">
        <v>216.677346</v>
      </c>
      <c r="E120">
        <v>1.090138643</v>
      </c>
      <c r="F120">
        <v>32.110698020000001</v>
      </c>
      <c r="G120">
        <v>2</v>
      </c>
      <c r="H120">
        <v>124</v>
      </c>
      <c r="I120" t="s">
        <v>532</v>
      </c>
    </row>
    <row r="121" spans="1:12" x14ac:dyDescent="0.25">
      <c r="A121" t="s">
        <v>109</v>
      </c>
      <c r="B121">
        <v>646.75282960000004</v>
      </c>
      <c r="C121">
        <v>5.5886300020000004</v>
      </c>
      <c r="D121">
        <v>206.603396</v>
      </c>
      <c r="E121">
        <v>1.04865078</v>
      </c>
      <c r="F121">
        <v>30.334626</v>
      </c>
      <c r="G121">
        <v>2</v>
      </c>
      <c r="H121">
        <v>126</v>
      </c>
      <c r="I121" t="s">
        <v>532</v>
      </c>
    </row>
    <row r="122" spans="1:12" x14ac:dyDescent="0.25">
      <c r="A122" t="s">
        <v>139</v>
      </c>
      <c r="D122">
        <v>572.42020339999999</v>
      </c>
      <c r="E122">
        <v>3.8378880500000001</v>
      </c>
      <c r="F122">
        <v>47.23704446</v>
      </c>
      <c r="G122">
        <v>1</v>
      </c>
      <c r="H122">
        <v>195</v>
      </c>
      <c r="I122" t="s">
        <v>533</v>
      </c>
    </row>
    <row r="123" spans="1:12" x14ac:dyDescent="0.25">
      <c r="A123" t="s">
        <v>113</v>
      </c>
      <c r="B123">
        <v>563.15569519999997</v>
      </c>
      <c r="C123">
        <v>4.2209609099999996</v>
      </c>
      <c r="D123">
        <v>129.6048831</v>
      </c>
      <c r="E123">
        <v>0.67052919899999996</v>
      </c>
      <c r="F123">
        <v>17.691747159999998</v>
      </c>
      <c r="G123">
        <v>1</v>
      </c>
      <c r="H123">
        <v>182</v>
      </c>
      <c r="I123" t="s">
        <v>532</v>
      </c>
    </row>
    <row r="124" spans="1:12" x14ac:dyDescent="0.25">
      <c r="A124" t="s">
        <v>130</v>
      </c>
      <c r="B124">
        <v>523.36381219999998</v>
      </c>
      <c r="C124">
        <v>2.6427592849999999</v>
      </c>
      <c r="D124">
        <v>283.12206750000001</v>
      </c>
      <c r="E124">
        <v>1.1394230809999999</v>
      </c>
      <c r="F124">
        <v>39.381098190000003</v>
      </c>
      <c r="G124">
        <v>1</v>
      </c>
      <c r="H124">
        <v>183</v>
      </c>
      <c r="I124" t="s">
        <v>532</v>
      </c>
    </row>
    <row r="125" spans="1:12" x14ac:dyDescent="0.25">
      <c r="A125" t="s">
        <v>180</v>
      </c>
      <c r="B125">
        <v>447.14397750000001</v>
      </c>
      <c r="C125">
        <v>2.3585781730000002</v>
      </c>
      <c r="D125">
        <v>193.06928679999999</v>
      </c>
      <c r="E125">
        <v>1.0567618320000001</v>
      </c>
      <c r="F125">
        <v>26.596670199999998</v>
      </c>
      <c r="G125">
        <v>1</v>
      </c>
      <c r="H125">
        <v>187</v>
      </c>
      <c r="I125" t="s">
        <v>532</v>
      </c>
    </row>
    <row r="126" spans="1:12" x14ac:dyDescent="0.25">
      <c r="A126" t="s">
        <v>134</v>
      </c>
      <c r="B126">
        <v>479.06409780000001</v>
      </c>
      <c r="C126">
        <v>3.28167798</v>
      </c>
      <c r="D126">
        <v>214.15490560000001</v>
      </c>
      <c r="E126">
        <v>1.050489064</v>
      </c>
      <c r="F126">
        <v>27.789719770000001</v>
      </c>
      <c r="G126">
        <v>1</v>
      </c>
      <c r="H126">
        <v>188</v>
      </c>
      <c r="I126" t="s">
        <v>532</v>
      </c>
    </row>
    <row r="127" spans="1:12" x14ac:dyDescent="0.25">
      <c r="A127" t="s">
        <v>131</v>
      </c>
      <c r="D127">
        <v>638.11252560000003</v>
      </c>
      <c r="E127">
        <v>3.3478108419999999</v>
      </c>
      <c r="F127">
        <v>45.986977090000003</v>
      </c>
      <c r="G127">
        <v>1</v>
      </c>
      <c r="H127">
        <v>189</v>
      </c>
      <c r="I127" t="s">
        <v>533</v>
      </c>
    </row>
    <row r="128" spans="1:12" x14ac:dyDescent="0.25">
      <c r="A128" t="s">
        <v>156</v>
      </c>
      <c r="D128">
        <v>662.15663629999995</v>
      </c>
      <c r="E128">
        <v>3.3294197900000002</v>
      </c>
      <c r="F128">
        <v>56.398161999999999</v>
      </c>
      <c r="G128">
        <v>1</v>
      </c>
      <c r="H128">
        <v>190</v>
      </c>
      <c r="I128" t="s">
        <v>533</v>
      </c>
    </row>
    <row r="129" spans="1:9" x14ac:dyDescent="0.25">
      <c r="A129" t="s">
        <v>84</v>
      </c>
      <c r="B129">
        <v>38.936171190000003</v>
      </c>
      <c r="C129">
        <v>0.32062824099999998</v>
      </c>
      <c r="D129">
        <v>609.57128079999995</v>
      </c>
      <c r="E129">
        <v>3.085782069</v>
      </c>
      <c r="F129">
        <v>46.340764780000001</v>
      </c>
      <c r="G129">
        <v>1</v>
      </c>
      <c r="H129">
        <v>191</v>
      </c>
      <c r="I129" t="s">
        <v>533</v>
      </c>
    </row>
    <row r="130" spans="1:9" x14ac:dyDescent="0.25">
      <c r="A130" t="s">
        <v>136</v>
      </c>
      <c r="D130">
        <v>594.36897250000004</v>
      </c>
      <c r="E130">
        <v>4.7289009809999998</v>
      </c>
      <c r="F130">
        <v>49.069691710000001</v>
      </c>
      <c r="G130">
        <v>1</v>
      </c>
      <c r="H130">
        <v>194</v>
      </c>
      <c r="I130" t="s">
        <v>533</v>
      </c>
    </row>
    <row r="131" spans="1:9" x14ac:dyDescent="0.25">
      <c r="A131" t="s">
        <v>58</v>
      </c>
      <c r="D131">
        <v>727.20626849999996</v>
      </c>
      <c r="E131">
        <v>4.4020102400000001</v>
      </c>
      <c r="F131">
        <v>60.381814609999999</v>
      </c>
      <c r="G131">
        <v>1</v>
      </c>
      <c r="H131">
        <v>180</v>
      </c>
      <c r="I131" t="s">
        <v>533</v>
      </c>
    </row>
    <row r="132" spans="1:9" x14ac:dyDescent="0.25">
      <c r="A132" t="s">
        <v>137</v>
      </c>
      <c r="B132">
        <v>26.377629070000001</v>
      </c>
      <c r="C132">
        <v>0.179795025</v>
      </c>
      <c r="D132">
        <v>667.89893380000001</v>
      </c>
      <c r="E132">
        <v>4.6901616390000003</v>
      </c>
      <c r="F132">
        <v>57.295743229999999</v>
      </c>
      <c r="G132">
        <v>1</v>
      </c>
      <c r="H132">
        <v>196</v>
      </c>
      <c r="I132" t="s">
        <v>533</v>
      </c>
    </row>
    <row r="133" spans="1:9" x14ac:dyDescent="0.25">
      <c r="A133" t="s">
        <v>158</v>
      </c>
      <c r="B133">
        <v>569.01874569999995</v>
      </c>
      <c r="C133">
        <v>2.7763610019999998</v>
      </c>
      <c r="D133">
        <v>115.52922580000001</v>
      </c>
      <c r="E133">
        <v>0.66457689200000003</v>
      </c>
      <c r="F133">
        <v>16.172711209999999</v>
      </c>
      <c r="G133">
        <v>1</v>
      </c>
      <c r="H133">
        <v>197</v>
      </c>
      <c r="I133" t="s">
        <v>532</v>
      </c>
    </row>
    <row r="134" spans="1:9" x14ac:dyDescent="0.25">
      <c r="A134" t="s">
        <v>230</v>
      </c>
      <c r="B134">
        <v>397.02744760000002</v>
      </c>
      <c r="C134">
        <v>3.3578393169999998</v>
      </c>
      <c r="D134">
        <v>82.754620059999993</v>
      </c>
      <c r="E134">
        <v>0.39503718599999998</v>
      </c>
      <c r="F134">
        <v>11.357560579999999</v>
      </c>
      <c r="G134">
        <v>1</v>
      </c>
      <c r="H134">
        <v>198</v>
      </c>
      <c r="I134" t="s">
        <v>532</v>
      </c>
    </row>
    <row r="135" spans="1:9" x14ac:dyDescent="0.25">
      <c r="A135" t="s">
        <v>135</v>
      </c>
      <c r="B135">
        <v>225.9791085</v>
      </c>
      <c r="C135">
        <v>1.494482571</v>
      </c>
      <c r="D135">
        <v>90.289441460000006</v>
      </c>
      <c r="E135">
        <v>0.49851373700000001</v>
      </c>
      <c r="F135">
        <v>12.50927555</v>
      </c>
      <c r="G135">
        <v>1</v>
      </c>
      <c r="H135">
        <v>201</v>
      </c>
      <c r="I135" t="s">
        <v>532</v>
      </c>
    </row>
    <row r="136" spans="1:9" x14ac:dyDescent="0.25">
      <c r="A136" t="s">
        <v>453</v>
      </c>
      <c r="B136">
        <v>306.04552810000001</v>
      </c>
      <c r="C136">
        <v>1.81334317</v>
      </c>
      <c r="D136">
        <v>150.0939004</v>
      </c>
      <c r="E136">
        <v>0.78060432599999996</v>
      </c>
      <c r="F136">
        <v>21.860901200000001</v>
      </c>
      <c r="G136">
        <v>1</v>
      </c>
      <c r="H136">
        <v>202</v>
      </c>
      <c r="I136" t="s">
        <v>532</v>
      </c>
    </row>
    <row r="137" spans="1:9" x14ac:dyDescent="0.25">
      <c r="A137" t="s">
        <v>145</v>
      </c>
      <c r="B137">
        <v>351.01139879999999</v>
      </c>
      <c r="C137">
        <v>2.4745566729999999</v>
      </c>
      <c r="D137">
        <v>94.036189980000003</v>
      </c>
      <c r="E137">
        <v>0.54319423899999997</v>
      </c>
      <c r="F137">
        <v>12.966582819999999</v>
      </c>
      <c r="G137">
        <v>1</v>
      </c>
      <c r="H137">
        <v>203</v>
      </c>
      <c r="I137" t="s">
        <v>532</v>
      </c>
    </row>
    <row r="138" spans="1:9" x14ac:dyDescent="0.25">
      <c r="A138" t="s">
        <v>125</v>
      </c>
      <c r="B138">
        <v>244.21154949999999</v>
      </c>
      <c r="C138">
        <v>1.4275378999999999</v>
      </c>
      <c r="D138">
        <v>116.4293303</v>
      </c>
      <c r="E138">
        <v>0.71061741099999998</v>
      </c>
      <c r="F138">
        <v>16.532312579999999</v>
      </c>
      <c r="G138">
        <v>1</v>
      </c>
      <c r="H138">
        <v>204</v>
      </c>
      <c r="I138" t="s">
        <v>532</v>
      </c>
    </row>
    <row r="139" spans="1:9" x14ac:dyDescent="0.25">
      <c r="A139" t="s">
        <v>157</v>
      </c>
      <c r="B139">
        <v>413.81579440000002</v>
      </c>
      <c r="C139">
        <v>2.7144061509999999</v>
      </c>
      <c r="D139">
        <v>119.51091700000001</v>
      </c>
      <c r="E139">
        <v>0.25533400099999998</v>
      </c>
      <c r="F139">
        <v>16.125646870000001</v>
      </c>
      <c r="G139">
        <v>1</v>
      </c>
      <c r="H139">
        <v>205</v>
      </c>
      <c r="I139" t="s">
        <v>532</v>
      </c>
    </row>
    <row r="140" spans="1:9" x14ac:dyDescent="0.25">
      <c r="A140" t="s">
        <v>168</v>
      </c>
      <c r="B140">
        <v>77.843278440000006</v>
      </c>
      <c r="C140">
        <v>0.47455097699999998</v>
      </c>
      <c r="D140">
        <v>570.67714430000001</v>
      </c>
      <c r="E140">
        <v>2.387668723</v>
      </c>
      <c r="F140">
        <v>44.176051399999999</v>
      </c>
      <c r="G140">
        <v>1</v>
      </c>
      <c r="H140">
        <v>209</v>
      </c>
      <c r="I140" t="s">
        <v>533</v>
      </c>
    </row>
    <row r="141" spans="1:9" x14ac:dyDescent="0.25">
      <c r="A141" t="s">
        <v>115</v>
      </c>
      <c r="B141">
        <v>556.0722657</v>
      </c>
      <c r="C141">
        <v>3.2924050920000001</v>
      </c>
      <c r="D141">
        <v>181.73639700000001</v>
      </c>
      <c r="E141">
        <v>0.83653710100000001</v>
      </c>
      <c r="F141">
        <v>25.647238000000002</v>
      </c>
      <c r="G141">
        <v>1</v>
      </c>
      <c r="H141">
        <v>181</v>
      </c>
      <c r="I141" t="s">
        <v>532</v>
      </c>
    </row>
    <row r="142" spans="1:9" x14ac:dyDescent="0.25">
      <c r="A142" t="s">
        <v>117</v>
      </c>
      <c r="B142">
        <v>531.49474720000001</v>
      </c>
      <c r="C142">
        <v>3.5135667819999998</v>
      </c>
      <c r="D142">
        <v>245.29080970000001</v>
      </c>
      <c r="E142">
        <v>0.97918907899999996</v>
      </c>
      <c r="F142">
        <v>35.50228079</v>
      </c>
      <c r="G142">
        <v>1</v>
      </c>
      <c r="H142">
        <v>151</v>
      </c>
      <c r="I142" t="s">
        <v>532</v>
      </c>
    </row>
    <row r="143" spans="1:9" x14ac:dyDescent="0.25">
      <c r="A143" t="s">
        <v>123</v>
      </c>
      <c r="B143">
        <v>64.30763528</v>
      </c>
      <c r="C143">
        <v>0.90542452799999995</v>
      </c>
      <c r="D143">
        <v>646.61673470000005</v>
      </c>
      <c r="E143">
        <v>4.5143897629999996</v>
      </c>
      <c r="F143">
        <v>63.352359890000002</v>
      </c>
      <c r="G143">
        <v>1</v>
      </c>
      <c r="H143">
        <v>179</v>
      </c>
      <c r="I143" t="s">
        <v>533</v>
      </c>
    </row>
    <row r="144" spans="1:9" x14ac:dyDescent="0.25">
      <c r="A144" t="s">
        <v>147</v>
      </c>
      <c r="D144">
        <v>695.75820720000002</v>
      </c>
      <c r="E144">
        <v>2.9222094470000002</v>
      </c>
      <c r="F144">
        <v>55.881329970000003</v>
      </c>
      <c r="G144">
        <v>1</v>
      </c>
      <c r="H144">
        <v>162</v>
      </c>
      <c r="I144" t="s">
        <v>533</v>
      </c>
    </row>
    <row r="145" spans="1:12" x14ac:dyDescent="0.25">
      <c r="A145" t="s">
        <v>121</v>
      </c>
      <c r="B145">
        <v>27.09695541</v>
      </c>
      <c r="C145">
        <v>0.14973336400000001</v>
      </c>
      <c r="D145">
        <v>750.43068010000002</v>
      </c>
      <c r="E145">
        <v>3.8825715390000002</v>
      </c>
      <c r="F145">
        <v>54.837478930000003</v>
      </c>
      <c r="G145">
        <v>1</v>
      </c>
      <c r="H145">
        <v>176</v>
      </c>
      <c r="I145" t="s">
        <v>533</v>
      </c>
    </row>
    <row r="146" spans="1:12" x14ac:dyDescent="0.25">
      <c r="A146" t="s">
        <v>128</v>
      </c>
      <c r="B146">
        <v>684.87013190000005</v>
      </c>
      <c r="C146">
        <v>4.1287056309999999</v>
      </c>
      <c r="D146">
        <v>156.6830885</v>
      </c>
      <c r="E146">
        <v>0.65236639100000005</v>
      </c>
      <c r="F146">
        <v>22.223513619999999</v>
      </c>
      <c r="G146">
        <v>1</v>
      </c>
      <c r="H146">
        <v>153</v>
      </c>
      <c r="I146" t="s">
        <v>532</v>
      </c>
    </row>
    <row r="147" spans="1:12" x14ac:dyDescent="0.25">
      <c r="A147" t="s">
        <v>132</v>
      </c>
      <c r="B147">
        <v>472.71854380000002</v>
      </c>
      <c r="C147">
        <v>2.607957377</v>
      </c>
      <c r="D147">
        <v>273.26695890000002</v>
      </c>
      <c r="E147">
        <v>1.2035849869999999</v>
      </c>
      <c r="F147">
        <v>39.904701930000002</v>
      </c>
      <c r="G147">
        <v>1</v>
      </c>
      <c r="H147">
        <v>154</v>
      </c>
      <c r="I147" t="s">
        <v>532</v>
      </c>
    </row>
    <row r="148" spans="1:12" x14ac:dyDescent="0.25">
      <c r="A148" t="s">
        <v>89</v>
      </c>
      <c r="D148">
        <v>922.21809570000005</v>
      </c>
      <c r="E148">
        <v>4.0160872029999997</v>
      </c>
      <c r="F148">
        <v>61.459535780000003</v>
      </c>
      <c r="G148">
        <v>1</v>
      </c>
      <c r="H148">
        <v>155</v>
      </c>
      <c r="I148" t="s">
        <v>533</v>
      </c>
    </row>
    <row r="149" spans="1:12" x14ac:dyDescent="0.25">
      <c r="A149" t="s">
        <v>114</v>
      </c>
      <c r="B149">
        <v>33.687174570000003</v>
      </c>
      <c r="C149">
        <v>0.36327989300000002</v>
      </c>
      <c r="D149">
        <v>777.41512290000003</v>
      </c>
      <c r="E149">
        <v>4.2041883599999998</v>
      </c>
      <c r="F149">
        <v>53.9697095</v>
      </c>
      <c r="G149">
        <v>1</v>
      </c>
      <c r="H149">
        <v>157</v>
      </c>
      <c r="I149" t="s">
        <v>533</v>
      </c>
    </row>
    <row r="150" spans="1:12" x14ac:dyDescent="0.25">
      <c r="A150" t="s">
        <v>126</v>
      </c>
      <c r="B150">
        <v>25.22295471</v>
      </c>
      <c r="C150">
        <v>0.277878034</v>
      </c>
      <c r="D150">
        <v>809.60145609999995</v>
      </c>
      <c r="E150">
        <v>5.6055465680000003</v>
      </c>
      <c r="F150">
        <v>55.686505619999998</v>
      </c>
      <c r="G150">
        <v>1</v>
      </c>
      <c r="H150">
        <v>158</v>
      </c>
      <c r="I150" t="s">
        <v>533</v>
      </c>
    </row>
    <row r="151" spans="1:12" x14ac:dyDescent="0.25">
      <c r="A151" t="s">
        <v>129</v>
      </c>
      <c r="B151">
        <v>69.777579500000002</v>
      </c>
      <c r="C151">
        <v>0.326192592</v>
      </c>
      <c r="D151">
        <v>779.94133179999994</v>
      </c>
      <c r="E151">
        <v>3.2181949909999998</v>
      </c>
      <c r="F151">
        <v>59.63196851</v>
      </c>
      <c r="G151">
        <v>1</v>
      </c>
      <c r="H151">
        <v>159</v>
      </c>
      <c r="I151" t="s">
        <v>533</v>
      </c>
    </row>
    <row r="152" spans="1:12" x14ac:dyDescent="0.25">
      <c r="A152" t="s">
        <v>110</v>
      </c>
      <c r="D152">
        <v>720.36365179999996</v>
      </c>
      <c r="E152">
        <v>3.6154112669999998</v>
      </c>
      <c r="F152">
        <v>60.375152890000003</v>
      </c>
      <c r="G152">
        <v>1</v>
      </c>
      <c r="H152">
        <v>160</v>
      </c>
      <c r="I152" t="s">
        <v>533</v>
      </c>
    </row>
    <row r="153" spans="1:12" x14ac:dyDescent="0.25">
      <c r="A153" t="s">
        <v>124</v>
      </c>
      <c r="B153">
        <v>567.11973550000005</v>
      </c>
      <c r="C153">
        <v>4.8997076030000004</v>
      </c>
      <c r="D153">
        <v>211.96286559999999</v>
      </c>
      <c r="E153">
        <v>0.99710482</v>
      </c>
      <c r="F153">
        <v>27.980540449999999</v>
      </c>
      <c r="G153">
        <v>1</v>
      </c>
      <c r="H153">
        <v>152</v>
      </c>
      <c r="I153" t="s">
        <v>532</v>
      </c>
    </row>
    <row r="154" spans="1:12" x14ac:dyDescent="0.25">
      <c r="A154" t="s">
        <v>138</v>
      </c>
      <c r="D154">
        <v>798.06056660000002</v>
      </c>
      <c r="E154">
        <v>6.4487089810000002</v>
      </c>
      <c r="F154">
        <v>52.631200270000001</v>
      </c>
      <c r="G154">
        <v>1</v>
      </c>
      <c r="H154">
        <v>163</v>
      </c>
      <c r="I154" t="s">
        <v>533</v>
      </c>
    </row>
    <row r="155" spans="1:12" x14ac:dyDescent="0.25">
      <c r="A155" t="s">
        <v>24</v>
      </c>
      <c r="B155">
        <v>361.92465950000002</v>
      </c>
      <c r="C155">
        <v>2.5575046960000001</v>
      </c>
      <c r="G155">
        <v>1</v>
      </c>
      <c r="H155">
        <v>166</v>
      </c>
      <c r="I155" t="s">
        <v>534</v>
      </c>
      <c r="J155">
        <v>3795.5988179999999</v>
      </c>
      <c r="K155">
        <v>20.653771410000001</v>
      </c>
      <c r="L155">
        <v>10.616827260000001</v>
      </c>
    </row>
    <row r="156" spans="1:12" x14ac:dyDescent="0.25">
      <c r="A156" t="s">
        <v>26</v>
      </c>
      <c r="B156">
        <v>281.47992679999999</v>
      </c>
      <c r="C156">
        <v>3.1615680089999998</v>
      </c>
      <c r="G156">
        <v>1</v>
      </c>
      <c r="H156">
        <v>168</v>
      </c>
      <c r="I156" t="s">
        <v>534</v>
      </c>
      <c r="J156">
        <v>3770.7600779999998</v>
      </c>
      <c r="K156">
        <v>20.464372099999999</v>
      </c>
      <c r="L156">
        <v>12.457242770000001</v>
      </c>
    </row>
    <row r="157" spans="1:12" x14ac:dyDescent="0.25">
      <c r="A157" t="s">
        <v>42</v>
      </c>
      <c r="D157">
        <v>589.60385880000001</v>
      </c>
      <c r="E157">
        <v>3.8548246900000001</v>
      </c>
      <c r="F157">
        <v>56.8728956</v>
      </c>
      <c r="G157">
        <v>1</v>
      </c>
      <c r="H157">
        <v>172</v>
      </c>
      <c r="I157" t="s">
        <v>535</v>
      </c>
    </row>
    <row r="158" spans="1:12" x14ac:dyDescent="0.25">
      <c r="A158" t="s">
        <v>56</v>
      </c>
      <c r="D158">
        <v>543.47935240000004</v>
      </c>
      <c r="E158">
        <v>4.2467287999999996</v>
      </c>
      <c r="F158">
        <v>53.592605849999998</v>
      </c>
      <c r="G158">
        <v>1</v>
      </c>
      <c r="H158">
        <v>173</v>
      </c>
      <c r="I158" t="s">
        <v>535</v>
      </c>
    </row>
    <row r="159" spans="1:12" x14ac:dyDescent="0.25">
      <c r="A159" t="s">
        <v>155</v>
      </c>
      <c r="D159">
        <v>528.96723950000001</v>
      </c>
      <c r="E159">
        <v>3.825343508</v>
      </c>
      <c r="F159">
        <v>52.858953900000003</v>
      </c>
      <c r="G159">
        <v>1</v>
      </c>
      <c r="H159">
        <v>174</v>
      </c>
      <c r="I159" t="s">
        <v>535</v>
      </c>
    </row>
    <row r="160" spans="1:12" x14ac:dyDescent="0.25">
      <c r="A160" t="s">
        <v>31</v>
      </c>
      <c r="B160">
        <v>311.11597039999998</v>
      </c>
      <c r="C160">
        <v>3.17266388</v>
      </c>
      <c r="G160">
        <v>1</v>
      </c>
      <c r="H160">
        <v>164</v>
      </c>
      <c r="I160" t="s">
        <v>534</v>
      </c>
      <c r="J160">
        <v>3537.9534250000002</v>
      </c>
      <c r="K160">
        <v>22.964714870000002</v>
      </c>
      <c r="L160">
        <v>13.18917398</v>
      </c>
    </row>
    <row r="161" spans="1:12" x14ac:dyDescent="0.25">
      <c r="A161" t="s">
        <v>51</v>
      </c>
      <c r="D161">
        <v>706.89500129999999</v>
      </c>
      <c r="E161">
        <v>4.6112006939999999</v>
      </c>
      <c r="F161">
        <v>73.993799580000001</v>
      </c>
      <c r="G161">
        <v>1</v>
      </c>
      <c r="H161">
        <v>175</v>
      </c>
      <c r="I161" t="s">
        <v>533</v>
      </c>
    </row>
    <row r="162" spans="1:12" x14ac:dyDescent="0.25">
      <c r="A162" t="s">
        <v>445</v>
      </c>
      <c r="B162">
        <v>45.374989489999997</v>
      </c>
      <c r="C162">
        <v>0.33377845900000003</v>
      </c>
      <c r="D162">
        <v>76.662023039999994</v>
      </c>
      <c r="E162">
        <v>0.39366701500000001</v>
      </c>
      <c r="F162">
        <v>7.6692997869999999</v>
      </c>
      <c r="G162">
        <v>0</v>
      </c>
      <c r="H162">
        <v>1051</v>
      </c>
      <c r="I162" t="s">
        <v>533</v>
      </c>
    </row>
    <row r="163" spans="1:12" x14ac:dyDescent="0.25">
      <c r="A163" t="s">
        <v>446</v>
      </c>
      <c r="D163">
        <v>83.960941860000005</v>
      </c>
      <c r="E163">
        <v>0.59918256599999997</v>
      </c>
      <c r="F163">
        <v>8.5854565960000002</v>
      </c>
      <c r="G163">
        <v>0</v>
      </c>
      <c r="H163">
        <v>1058</v>
      </c>
      <c r="I163" t="s">
        <v>535</v>
      </c>
    </row>
    <row r="164" spans="1:12" x14ac:dyDescent="0.25">
      <c r="A164" t="s">
        <v>362</v>
      </c>
      <c r="D164">
        <v>81.646897179999996</v>
      </c>
      <c r="E164">
        <v>0.77548048999999997</v>
      </c>
      <c r="F164">
        <v>8.0755037250000008</v>
      </c>
      <c r="G164">
        <v>0</v>
      </c>
      <c r="H164">
        <v>1057</v>
      </c>
      <c r="I164" t="s">
        <v>535</v>
      </c>
    </row>
    <row r="165" spans="1:12" x14ac:dyDescent="0.25">
      <c r="A165" t="s">
        <v>331</v>
      </c>
      <c r="D165">
        <v>101.858565</v>
      </c>
      <c r="E165">
        <v>0.64971712599999998</v>
      </c>
      <c r="F165">
        <v>8.2777108039999998</v>
      </c>
      <c r="G165">
        <v>0</v>
      </c>
      <c r="H165">
        <v>1056</v>
      </c>
      <c r="I165" t="s">
        <v>533</v>
      </c>
    </row>
    <row r="166" spans="1:12" x14ac:dyDescent="0.25">
      <c r="A166" t="s">
        <v>330</v>
      </c>
      <c r="D166">
        <v>96.832346139999999</v>
      </c>
      <c r="E166">
        <v>0.67857958500000004</v>
      </c>
      <c r="F166">
        <v>9.7240066469999995</v>
      </c>
      <c r="G166">
        <v>0</v>
      </c>
      <c r="H166">
        <v>1055</v>
      </c>
      <c r="I166" t="s">
        <v>535</v>
      </c>
    </row>
    <row r="167" spans="1:12" x14ac:dyDescent="0.25">
      <c r="A167" t="s">
        <v>328</v>
      </c>
      <c r="D167">
        <v>101.0904761</v>
      </c>
      <c r="E167">
        <v>0.72544415699999998</v>
      </c>
      <c r="F167">
        <v>10.010460119999999</v>
      </c>
      <c r="G167">
        <v>0</v>
      </c>
      <c r="H167">
        <v>1054</v>
      </c>
      <c r="I167" t="s">
        <v>535</v>
      </c>
    </row>
    <row r="168" spans="1:12" x14ac:dyDescent="0.25">
      <c r="A168" t="s">
        <v>326</v>
      </c>
      <c r="D168">
        <v>95.134805830000005</v>
      </c>
      <c r="E168">
        <v>0.45479973699999998</v>
      </c>
      <c r="F168">
        <v>12.97668223</v>
      </c>
      <c r="G168">
        <v>0</v>
      </c>
      <c r="H168">
        <v>1053</v>
      </c>
      <c r="I168" t="s">
        <v>532</v>
      </c>
    </row>
    <row r="169" spans="1:12" x14ac:dyDescent="0.25">
      <c r="A169" t="s">
        <v>325</v>
      </c>
      <c r="D169">
        <v>113.0424356</v>
      </c>
      <c r="E169">
        <v>0.70648419900000003</v>
      </c>
      <c r="F169">
        <v>9.6788192419999994</v>
      </c>
      <c r="G169">
        <v>0</v>
      </c>
      <c r="H169">
        <v>1052</v>
      </c>
      <c r="I169" t="s">
        <v>533</v>
      </c>
    </row>
    <row r="170" spans="1:12" x14ac:dyDescent="0.25">
      <c r="A170" t="s">
        <v>338</v>
      </c>
      <c r="D170">
        <v>116.8913143</v>
      </c>
      <c r="E170">
        <v>0.74769259700000001</v>
      </c>
      <c r="F170">
        <v>11.05726278</v>
      </c>
      <c r="G170">
        <v>0</v>
      </c>
      <c r="H170">
        <v>1048</v>
      </c>
      <c r="I170" t="s">
        <v>535</v>
      </c>
    </row>
    <row r="171" spans="1:12" x14ac:dyDescent="0.25">
      <c r="A171" t="s">
        <v>342</v>
      </c>
      <c r="D171">
        <v>104.1347044</v>
      </c>
      <c r="E171">
        <v>0.81047161099999998</v>
      </c>
      <c r="F171">
        <v>10.65930227</v>
      </c>
      <c r="G171">
        <v>0</v>
      </c>
      <c r="H171">
        <v>1050</v>
      </c>
      <c r="I171" t="s">
        <v>535</v>
      </c>
    </row>
    <row r="172" spans="1:12" x14ac:dyDescent="0.25">
      <c r="A172" t="s">
        <v>324</v>
      </c>
      <c r="D172">
        <v>122.2066423</v>
      </c>
      <c r="E172">
        <v>0.61691923000000004</v>
      </c>
      <c r="F172">
        <v>10.49005874</v>
      </c>
      <c r="G172">
        <v>0</v>
      </c>
      <c r="H172">
        <v>1049</v>
      </c>
      <c r="I172" t="s">
        <v>533</v>
      </c>
    </row>
    <row r="173" spans="1:12" x14ac:dyDescent="0.25">
      <c r="A173" t="s">
        <v>552</v>
      </c>
      <c r="B173">
        <v>19.17012914</v>
      </c>
      <c r="C173">
        <v>0.16630605400000001</v>
      </c>
      <c r="G173">
        <v>0</v>
      </c>
      <c r="H173">
        <v>1047</v>
      </c>
      <c r="I173" t="s">
        <v>534</v>
      </c>
      <c r="J173">
        <v>471.17319889999999</v>
      </c>
      <c r="K173">
        <v>2.4526078240000002</v>
      </c>
      <c r="L173">
        <v>1.754032856</v>
      </c>
    </row>
    <row r="174" spans="1:12" x14ac:dyDescent="0.25">
      <c r="A174" t="s">
        <v>321</v>
      </c>
      <c r="D174">
        <v>122.2969966</v>
      </c>
      <c r="E174">
        <v>0.89765922600000003</v>
      </c>
      <c r="F174">
        <v>9.9626074429999996</v>
      </c>
      <c r="G174">
        <v>0</v>
      </c>
      <c r="H174">
        <v>1046</v>
      </c>
      <c r="I174" t="s">
        <v>533</v>
      </c>
    </row>
    <row r="175" spans="1:12" x14ac:dyDescent="0.25">
      <c r="A175" t="s">
        <v>320</v>
      </c>
      <c r="D175">
        <v>122.4511708</v>
      </c>
      <c r="E175">
        <v>0.56539584399999998</v>
      </c>
      <c r="F175">
        <v>12.16892874</v>
      </c>
      <c r="G175">
        <v>0</v>
      </c>
      <c r="H175">
        <v>1045</v>
      </c>
      <c r="I175" t="s">
        <v>535</v>
      </c>
    </row>
    <row r="176" spans="1:12" x14ac:dyDescent="0.25">
      <c r="A176" t="s">
        <v>337</v>
      </c>
      <c r="D176">
        <v>141.82971989999999</v>
      </c>
      <c r="E176">
        <v>0.82345680499999996</v>
      </c>
      <c r="F176">
        <v>8.6712676420000001</v>
      </c>
      <c r="G176">
        <v>0</v>
      </c>
      <c r="H176">
        <v>1044</v>
      </c>
      <c r="I176" t="s">
        <v>533</v>
      </c>
    </row>
    <row r="177" spans="1:9" x14ac:dyDescent="0.25">
      <c r="A177" t="s">
        <v>319</v>
      </c>
      <c r="B177">
        <v>12.67544286</v>
      </c>
      <c r="C177">
        <v>7.8501324999999997E-2</v>
      </c>
      <c r="D177">
        <v>115.0619993</v>
      </c>
      <c r="E177">
        <v>0.79651844100000002</v>
      </c>
      <c r="F177">
        <v>9.8912160700000005</v>
      </c>
      <c r="G177">
        <v>0</v>
      </c>
      <c r="H177">
        <v>1043</v>
      </c>
      <c r="I177" t="s">
        <v>533</v>
      </c>
    </row>
    <row r="178" spans="1:9" x14ac:dyDescent="0.25">
      <c r="A178" t="s">
        <v>310</v>
      </c>
      <c r="D178">
        <v>84.53005512</v>
      </c>
      <c r="E178">
        <v>0.65016469899999996</v>
      </c>
      <c r="F178">
        <v>7.3887353730000003</v>
      </c>
      <c r="G178">
        <v>0</v>
      </c>
      <c r="H178">
        <v>1060</v>
      </c>
      <c r="I178" t="s">
        <v>533</v>
      </c>
    </row>
    <row r="179" spans="1:9" x14ac:dyDescent="0.25">
      <c r="A179" t="s">
        <v>334</v>
      </c>
      <c r="D179">
        <v>77.991205289999996</v>
      </c>
      <c r="E179">
        <v>0.66386637000000004</v>
      </c>
      <c r="F179">
        <v>8.0220226110000006</v>
      </c>
      <c r="G179">
        <v>0</v>
      </c>
      <c r="H179">
        <v>1059</v>
      </c>
      <c r="I179" t="s">
        <v>535</v>
      </c>
    </row>
    <row r="180" spans="1:9" x14ac:dyDescent="0.25">
      <c r="A180" t="s">
        <v>381</v>
      </c>
      <c r="D180">
        <v>67.352575810000005</v>
      </c>
      <c r="E180">
        <v>0.593195947</v>
      </c>
      <c r="F180">
        <v>6.7303010600000004</v>
      </c>
      <c r="G180">
        <v>0</v>
      </c>
      <c r="H180">
        <v>1069</v>
      </c>
      <c r="I180" t="s">
        <v>535</v>
      </c>
    </row>
    <row r="181" spans="1:9" x14ac:dyDescent="0.25">
      <c r="A181" t="s">
        <v>492</v>
      </c>
      <c r="D181">
        <v>74.274545939999996</v>
      </c>
      <c r="E181">
        <v>0.643138447</v>
      </c>
      <c r="F181">
        <v>7.9877249670000001</v>
      </c>
      <c r="G181">
        <v>0</v>
      </c>
      <c r="H181">
        <v>1061</v>
      </c>
      <c r="I181" t="s">
        <v>533</v>
      </c>
    </row>
    <row r="182" spans="1:9" x14ac:dyDescent="0.25">
      <c r="A182" t="s">
        <v>336</v>
      </c>
      <c r="D182">
        <v>75.907718160000002</v>
      </c>
      <c r="E182">
        <v>0.61657373000000004</v>
      </c>
      <c r="F182">
        <v>7.4695705300000004</v>
      </c>
      <c r="G182">
        <v>0</v>
      </c>
      <c r="H182">
        <v>1062</v>
      </c>
      <c r="I182" t="s">
        <v>535</v>
      </c>
    </row>
    <row r="183" spans="1:9" x14ac:dyDescent="0.25">
      <c r="A183" t="s">
        <v>380</v>
      </c>
      <c r="B183">
        <v>26.291827130000001</v>
      </c>
      <c r="C183">
        <v>0.27958245300000001</v>
      </c>
      <c r="D183">
        <v>37.268366120000003</v>
      </c>
      <c r="E183">
        <v>0.31548777900000002</v>
      </c>
      <c r="F183">
        <v>3.2113382129999999</v>
      </c>
      <c r="G183">
        <v>0</v>
      </c>
      <c r="H183">
        <v>1080</v>
      </c>
      <c r="I183" t="s">
        <v>533</v>
      </c>
    </row>
    <row r="184" spans="1:9" x14ac:dyDescent="0.25">
      <c r="A184" t="s">
        <v>354</v>
      </c>
      <c r="B184">
        <v>51.919224049999997</v>
      </c>
      <c r="C184">
        <v>0.44730069</v>
      </c>
      <c r="D184">
        <v>18.05003052</v>
      </c>
      <c r="E184">
        <v>6.6433729999999996E-2</v>
      </c>
      <c r="F184">
        <v>2.5614187240000001</v>
      </c>
      <c r="G184">
        <v>0</v>
      </c>
      <c r="H184">
        <v>1078</v>
      </c>
      <c r="I184" t="s">
        <v>532</v>
      </c>
    </row>
    <row r="185" spans="1:9" x14ac:dyDescent="0.25">
      <c r="A185" t="s">
        <v>588</v>
      </c>
      <c r="B185">
        <v>51.901384229999998</v>
      </c>
      <c r="C185">
        <v>0.40565652000000002</v>
      </c>
      <c r="D185">
        <v>29.322530759999999</v>
      </c>
      <c r="E185">
        <v>0.18420697699999999</v>
      </c>
      <c r="F185">
        <v>3.6321239539999999</v>
      </c>
      <c r="G185">
        <v>0</v>
      </c>
      <c r="H185">
        <v>1077</v>
      </c>
      <c r="I185" t="s">
        <v>532</v>
      </c>
    </row>
    <row r="186" spans="1:9" x14ac:dyDescent="0.25">
      <c r="A186" t="s">
        <v>350</v>
      </c>
      <c r="D186">
        <v>75.485749330000004</v>
      </c>
      <c r="E186">
        <v>0.31411278199999998</v>
      </c>
      <c r="F186">
        <v>6.1300963360000003</v>
      </c>
      <c r="G186">
        <v>0</v>
      </c>
      <c r="H186">
        <v>1076</v>
      </c>
      <c r="I186" t="s">
        <v>533</v>
      </c>
    </row>
    <row r="187" spans="1:9" x14ac:dyDescent="0.25">
      <c r="A187" t="s">
        <v>349</v>
      </c>
      <c r="D187">
        <v>71.473049669999995</v>
      </c>
      <c r="E187">
        <v>0.30905354099999999</v>
      </c>
      <c r="F187">
        <v>6.7805229300000001</v>
      </c>
      <c r="G187">
        <v>0</v>
      </c>
      <c r="H187">
        <v>1075</v>
      </c>
      <c r="I187" t="s">
        <v>533</v>
      </c>
    </row>
    <row r="188" spans="1:9" x14ac:dyDescent="0.25">
      <c r="A188" t="s">
        <v>451</v>
      </c>
      <c r="D188">
        <v>63.944100470000002</v>
      </c>
      <c r="E188">
        <v>0.51878548899999999</v>
      </c>
      <c r="F188">
        <v>6.2434746790000002</v>
      </c>
      <c r="G188">
        <v>0</v>
      </c>
      <c r="H188">
        <v>1074</v>
      </c>
      <c r="I188" t="s">
        <v>535</v>
      </c>
    </row>
    <row r="189" spans="1:9" x14ac:dyDescent="0.25">
      <c r="A189" t="s">
        <v>302</v>
      </c>
      <c r="D189">
        <v>66.495300779999994</v>
      </c>
      <c r="E189">
        <v>0.22789662499999999</v>
      </c>
      <c r="F189">
        <v>7.2301631540000004</v>
      </c>
      <c r="G189">
        <v>0</v>
      </c>
      <c r="H189">
        <v>1073</v>
      </c>
      <c r="I189" t="s">
        <v>533</v>
      </c>
    </row>
    <row r="190" spans="1:9" x14ac:dyDescent="0.25">
      <c r="A190" t="s">
        <v>589</v>
      </c>
      <c r="B190">
        <v>60.276120890000001</v>
      </c>
      <c r="C190">
        <v>0.41222862700000001</v>
      </c>
      <c r="D190">
        <v>28.269991059999999</v>
      </c>
      <c r="E190">
        <v>0.13584649900000001</v>
      </c>
      <c r="F190">
        <v>3.9983635139999998</v>
      </c>
      <c r="G190">
        <v>0</v>
      </c>
      <c r="H190">
        <v>1072</v>
      </c>
      <c r="I190" t="s">
        <v>532</v>
      </c>
    </row>
    <row r="191" spans="1:9" x14ac:dyDescent="0.25">
      <c r="A191" t="s">
        <v>590</v>
      </c>
      <c r="D191">
        <v>74.772508999999999</v>
      </c>
      <c r="E191">
        <v>0.363359969</v>
      </c>
      <c r="F191">
        <v>7.0545032809999997</v>
      </c>
      <c r="G191">
        <v>0</v>
      </c>
      <c r="H191">
        <v>1071</v>
      </c>
      <c r="I191" t="s">
        <v>533</v>
      </c>
    </row>
    <row r="192" spans="1:9" x14ac:dyDescent="0.25">
      <c r="A192" t="s">
        <v>394</v>
      </c>
      <c r="B192">
        <v>71.172299910000007</v>
      </c>
      <c r="C192">
        <v>0.35369550399999999</v>
      </c>
      <c r="D192">
        <v>26.882742950000001</v>
      </c>
      <c r="E192">
        <v>0.14336707300000001</v>
      </c>
      <c r="F192">
        <v>4.0698677009999997</v>
      </c>
      <c r="G192">
        <v>0</v>
      </c>
      <c r="H192">
        <v>1070</v>
      </c>
      <c r="I192" t="s">
        <v>532</v>
      </c>
    </row>
    <row r="193" spans="1:12" x14ac:dyDescent="0.25">
      <c r="A193" t="s">
        <v>335</v>
      </c>
      <c r="D193">
        <v>114.86009319999999</v>
      </c>
      <c r="E193">
        <v>0.77621879299999996</v>
      </c>
      <c r="F193">
        <v>12.05233312</v>
      </c>
      <c r="G193">
        <v>0</v>
      </c>
      <c r="H193">
        <v>1041</v>
      </c>
      <c r="I193" t="s">
        <v>535</v>
      </c>
    </row>
    <row r="194" spans="1:12" x14ac:dyDescent="0.25">
      <c r="A194" t="s">
        <v>345</v>
      </c>
      <c r="B194">
        <v>70.198910359999999</v>
      </c>
      <c r="C194">
        <v>0.48278763699999999</v>
      </c>
      <c r="D194">
        <v>25.909061399999999</v>
      </c>
      <c r="E194">
        <v>0.16803414999999999</v>
      </c>
      <c r="F194">
        <v>3.6059747720000002</v>
      </c>
      <c r="G194">
        <v>0</v>
      </c>
      <c r="H194">
        <v>1068</v>
      </c>
      <c r="I194" t="s">
        <v>532</v>
      </c>
    </row>
    <row r="195" spans="1:12" x14ac:dyDescent="0.25">
      <c r="A195" t="s">
        <v>343</v>
      </c>
      <c r="D195">
        <v>71.131931109999996</v>
      </c>
      <c r="E195">
        <v>0.419050863</v>
      </c>
      <c r="F195">
        <v>7.4904132700000003</v>
      </c>
      <c r="G195">
        <v>0</v>
      </c>
      <c r="H195">
        <v>1067</v>
      </c>
      <c r="I195" t="s">
        <v>535</v>
      </c>
    </row>
    <row r="196" spans="1:12" x14ac:dyDescent="0.25">
      <c r="A196" t="s">
        <v>400</v>
      </c>
      <c r="B196">
        <v>39.398895209999999</v>
      </c>
      <c r="C196">
        <v>0.22929063999999999</v>
      </c>
      <c r="D196">
        <v>43.799727949999998</v>
      </c>
      <c r="E196">
        <v>0.28794263199999998</v>
      </c>
      <c r="F196">
        <v>5.9586854950000001</v>
      </c>
      <c r="G196">
        <v>0</v>
      </c>
      <c r="H196">
        <v>1066</v>
      </c>
      <c r="I196" t="s">
        <v>532</v>
      </c>
    </row>
    <row r="197" spans="1:12" x14ac:dyDescent="0.25">
      <c r="A197" t="s">
        <v>341</v>
      </c>
      <c r="D197">
        <v>74.197264500000003</v>
      </c>
      <c r="E197">
        <v>0.40742957400000002</v>
      </c>
      <c r="F197">
        <v>7.5929750279999997</v>
      </c>
      <c r="G197">
        <v>0</v>
      </c>
      <c r="H197">
        <v>1065</v>
      </c>
      <c r="I197" t="s">
        <v>535</v>
      </c>
    </row>
    <row r="198" spans="1:12" x14ac:dyDescent="0.25">
      <c r="A198" t="s">
        <v>367</v>
      </c>
      <c r="D198">
        <v>71.588012739999996</v>
      </c>
      <c r="E198">
        <v>0.57655819100000005</v>
      </c>
      <c r="F198">
        <v>7.6766508990000002</v>
      </c>
      <c r="G198">
        <v>0</v>
      </c>
      <c r="H198">
        <v>1064</v>
      </c>
      <c r="I198" t="s">
        <v>535</v>
      </c>
    </row>
    <row r="199" spans="1:12" x14ac:dyDescent="0.25">
      <c r="A199" t="s">
        <v>376</v>
      </c>
      <c r="D199">
        <v>66.717061740000005</v>
      </c>
      <c r="E199">
        <v>0.74113133799999997</v>
      </c>
      <c r="F199">
        <v>7.1326359879999996</v>
      </c>
      <c r="G199">
        <v>0</v>
      </c>
      <c r="H199">
        <v>1063</v>
      </c>
      <c r="I199" t="s">
        <v>535</v>
      </c>
    </row>
    <row r="200" spans="1:12" x14ac:dyDescent="0.25">
      <c r="A200" t="s">
        <v>318</v>
      </c>
      <c r="D200">
        <v>122.8890155</v>
      </c>
      <c r="E200">
        <v>1.009220709</v>
      </c>
      <c r="F200">
        <v>9.7227607630000001</v>
      </c>
      <c r="G200">
        <v>0</v>
      </c>
      <c r="H200">
        <v>1042</v>
      </c>
      <c r="I200" t="s">
        <v>533</v>
      </c>
    </row>
    <row r="201" spans="1:12" x14ac:dyDescent="0.25">
      <c r="A201" t="s">
        <v>309</v>
      </c>
      <c r="D201">
        <v>130.1718358</v>
      </c>
      <c r="E201">
        <v>0.90227118500000003</v>
      </c>
      <c r="F201">
        <v>11.80337602</v>
      </c>
      <c r="G201">
        <v>0</v>
      </c>
      <c r="H201">
        <v>1031</v>
      </c>
      <c r="I201" t="s">
        <v>535</v>
      </c>
    </row>
    <row r="202" spans="1:12" x14ac:dyDescent="0.25">
      <c r="A202" t="s">
        <v>317</v>
      </c>
      <c r="D202">
        <v>131.14975680000001</v>
      </c>
      <c r="E202">
        <v>0.76069534400000005</v>
      </c>
      <c r="F202">
        <v>10.657112420000001</v>
      </c>
      <c r="G202">
        <v>0</v>
      </c>
      <c r="H202">
        <v>1040</v>
      </c>
      <c r="I202" t="s">
        <v>533</v>
      </c>
    </row>
    <row r="203" spans="1:12" x14ac:dyDescent="0.25">
      <c r="A203" t="s">
        <v>288</v>
      </c>
      <c r="D203">
        <v>122.83569730000001</v>
      </c>
      <c r="E203">
        <v>0.98022443699999995</v>
      </c>
      <c r="F203">
        <v>10.317674159999999</v>
      </c>
      <c r="G203">
        <v>0</v>
      </c>
      <c r="H203">
        <v>1039</v>
      </c>
      <c r="I203" t="s">
        <v>535</v>
      </c>
    </row>
    <row r="204" spans="1:12" x14ac:dyDescent="0.25">
      <c r="A204" t="s">
        <v>591</v>
      </c>
      <c r="B204">
        <v>52.78957793</v>
      </c>
      <c r="C204">
        <v>0.29790865599999999</v>
      </c>
      <c r="G204">
        <v>0</v>
      </c>
      <c r="H204">
        <v>1017</v>
      </c>
      <c r="I204" t="s">
        <v>534</v>
      </c>
      <c r="J204">
        <v>443.44691699999998</v>
      </c>
      <c r="K204">
        <v>3.090928291</v>
      </c>
      <c r="L204">
        <v>1.6291840150000001</v>
      </c>
    </row>
    <row r="205" spans="1:12" x14ac:dyDescent="0.25">
      <c r="A205" t="s">
        <v>407</v>
      </c>
      <c r="D205">
        <v>155.1501725</v>
      </c>
      <c r="E205">
        <v>0.75641326900000005</v>
      </c>
      <c r="F205">
        <v>13.579750280000001</v>
      </c>
      <c r="G205">
        <v>0</v>
      </c>
      <c r="H205">
        <v>1016</v>
      </c>
      <c r="I205" t="s">
        <v>533</v>
      </c>
    </row>
    <row r="206" spans="1:12" x14ac:dyDescent="0.25">
      <c r="A206" t="s">
        <v>298</v>
      </c>
      <c r="B206">
        <v>36.433066650000001</v>
      </c>
      <c r="C206">
        <v>0.52160560899999997</v>
      </c>
      <c r="G206">
        <v>0</v>
      </c>
      <c r="H206">
        <v>1015</v>
      </c>
      <c r="I206" t="s">
        <v>534</v>
      </c>
      <c r="J206">
        <v>439.52234779999998</v>
      </c>
      <c r="K206">
        <v>3.4297671049999998</v>
      </c>
      <c r="L206">
        <v>1.5786911939999999</v>
      </c>
    </row>
    <row r="207" spans="1:12" x14ac:dyDescent="0.25">
      <c r="A207" t="s">
        <v>296</v>
      </c>
      <c r="D207">
        <v>142.74210769999999</v>
      </c>
      <c r="E207">
        <v>0.95809628700000005</v>
      </c>
      <c r="F207">
        <v>14.093154439999999</v>
      </c>
      <c r="G207">
        <v>0</v>
      </c>
      <c r="H207">
        <v>1014</v>
      </c>
      <c r="I207" t="s">
        <v>535</v>
      </c>
    </row>
    <row r="208" spans="1:12" x14ac:dyDescent="0.25">
      <c r="A208" t="s">
        <v>279</v>
      </c>
      <c r="D208">
        <v>152.3419164</v>
      </c>
      <c r="E208">
        <v>1.0587296349999999</v>
      </c>
      <c r="F208">
        <v>12.64299555</v>
      </c>
      <c r="G208">
        <v>0</v>
      </c>
      <c r="H208">
        <v>1013</v>
      </c>
      <c r="I208" t="s">
        <v>533</v>
      </c>
    </row>
    <row r="209" spans="1:12" x14ac:dyDescent="0.25">
      <c r="A209" t="s">
        <v>278</v>
      </c>
      <c r="D209">
        <v>144.14109120000001</v>
      </c>
      <c r="E209">
        <v>1.073501909</v>
      </c>
      <c r="F209">
        <v>13.48457909</v>
      </c>
      <c r="G209">
        <v>0</v>
      </c>
      <c r="H209">
        <v>1012</v>
      </c>
      <c r="I209" t="s">
        <v>535</v>
      </c>
    </row>
    <row r="210" spans="1:12" x14ac:dyDescent="0.25">
      <c r="A210" t="s">
        <v>295</v>
      </c>
      <c r="B210">
        <v>16.12647316</v>
      </c>
      <c r="C210">
        <v>0.17517212200000001</v>
      </c>
      <c r="G210">
        <v>0</v>
      </c>
      <c r="H210">
        <v>1011</v>
      </c>
      <c r="I210" t="s">
        <v>534</v>
      </c>
      <c r="J210">
        <v>511.51324940000001</v>
      </c>
      <c r="K210">
        <v>3.895508473</v>
      </c>
      <c r="L210">
        <v>1.837426665</v>
      </c>
    </row>
    <row r="211" spans="1:12" x14ac:dyDescent="0.25">
      <c r="A211" t="s">
        <v>312</v>
      </c>
      <c r="B211">
        <v>12.598419010000001</v>
      </c>
      <c r="C211">
        <v>0.103893346</v>
      </c>
      <c r="D211">
        <v>148.02027029999999</v>
      </c>
      <c r="E211">
        <v>0.89732455</v>
      </c>
      <c r="F211">
        <v>12.22613546</v>
      </c>
      <c r="G211">
        <v>0</v>
      </c>
      <c r="H211">
        <v>1010</v>
      </c>
      <c r="I211" t="s">
        <v>533</v>
      </c>
    </row>
    <row r="212" spans="1:12" x14ac:dyDescent="0.25">
      <c r="A212" t="s">
        <v>294</v>
      </c>
      <c r="D212">
        <v>156.43021450000001</v>
      </c>
      <c r="E212">
        <v>0.83266391200000001</v>
      </c>
      <c r="F212">
        <v>14.62956013</v>
      </c>
      <c r="G212">
        <v>0</v>
      </c>
      <c r="H212">
        <v>1009</v>
      </c>
      <c r="I212" t="s">
        <v>535</v>
      </c>
    </row>
    <row r="213" spans="1:12" x14ac:dyDescent="0.25">
      <c r="A213" t="s">
        <v>293</v>
      </c>
      <c r="D213">
        <v>151.049813</v>
      </c>
      <c r="E213">
        <v>0.77637101799999997</v>
      </c>
      <c r="F213">
        <v>15.566453020000001</v>
      </c>
      <c r="G213">
        <v>0</v>
      </c>
      <c r="H213">
        <v>1008</v>
      </c>
      <c r="I213" t="s">
        <v>535</v>
      </c>
    </row>
    <row r="214" spans="1:12" x14ac:dyDescent="0.25">
      <c r="A214" t="s">
        <v>292</v>
      </c>
      <c r="D214">
        <v>156.25186429999999</v>
      </c>
      <c r="E214">
        <v>1.152056086</v>
      </c>
      <c r="F214">
        <v>13.00764642</v>
      </c>
      <c r="G214">
        <v>0</v>
      </c>
      <c r="H214">
        <v>1007</v>
      </c>
      <c r="I214" t="s">
        <v>533</v>
      </c>
    </row>
    <row r="215" spans="1:12" x14ac:dyDescent="0.25">
      <c r="A215" t="s">
        <v>322</v>
      </c>
      <c r="D215">
        <v>149.6091064</v>
      </c>
      <c r="E215">
        <v>1.12517421</v>
      </c>
      <c r="F215">
        <v>14.429073580000001</v>
      </c>
      <c r="G215">
        <v>0</v>
      </c>
      <c r="H215">
        <v>1006</v>
      </c>
      <c r="I215" t="s">
        <v>535</v>
      </c>
    </row>
    <row r="216" spans="1:12" x14ac:dyDescent="0.25">
      <c r="A216" t="s">
        <v>347</v>
      </c>
      <c r="D216">
        <v>141.8790625</v>
      </c>
      <c r="E216">
        <v>0.91006058099999998</v>
      </c>
      <c r="F216">
        <v>14.263295980000001</v>
      </c>
      <c r="G216">
        <v>0</v>
      </c>
      <c r="H216">
        <v>1005</v>
      </c>
      <c r="I216" t="s">
        <v>533</v>
      </c>
    </row>
    <row r="217" spans="1:12" x14ac:dyDescent="0.25">
      <c r="A217" t="s">
        <v>277</v>
      </c>
      <c r="D217">
        <v>156.74390260000001</v>
      </c>
      <c r="E217">
        <v>1.0437703739999999</v>
      </c>
      <c r="F217">
        <v>14.51686333</v>
      </c>
      <c r="G217">
        <v>0</v>
      </c>
      <c r="H217">
        <v>1004</v>
      </c>
      <c r="I217" t="s">
        <v>533</v>
      </c>
    </row>
    <row r="218" spans="1:12" x14ac:dyDescent="0.25">
      <c r="A218" t="s">
        <v>290</v>
      </c>
      <c r="D218">
        <v>143.48522389999999</v>
      </c>
      <c r="E218">
        <v>0.90109326199999995</v>
      </c>
      <c r="F218">
        <v>17.673102910000001</v>
      </c>
      <c r="G218">
        <v>0</v>
      </c>
      <c r="H218">
        <v>1003</v>
      </c>
      <c r="I218" t="s">
        <v>535</v>
      </c>
    </row>
    <row r="219" spans="1:12" x14ac:dyDescent="0.25">
      <c r="A219" t="s">
        <v>592</v>
      </c>
      <c r="D219">
        <v>161.78552350000001</v>
      </c>
      <c r="E219">
        <v>1.0784660340000001</v>
      </c>
      <c r="F219">
        <v>13.59057181</v>
      </c>
      <c r="G219">
        <v>0</v>
      </c>
      <c r="H219">
        <v>1002</v>
      </c>
      <c r="I219" t="s">
        <v>533</v>
      </c>
    </row>
    <row r="220" spans="1:12" x14ac:dyDescent="0.25">
      <c r="A220" t="s">
        <v>286</v>
      </c>
      <c r="D220">
        <v>175.35704620000001</v>
      </c>
      <c r="E220">
        <v>1.1155861629999999</v>
      </c>
      <c r="F220">
        <v>14.47256295</v>
      </c>
      <c r="G220">
        <v>0</v>
      </c>
      <c r="H220">
        <v>1001</v>
      </c>
      <c r="I220" t="s">
        <v>533</v>
      </c>
    </row>
    <row r="221" spans="1:12" x14ac:dyDescent="0.25">
      <c r="A221" t="s">
        <v>389</v>
      </c>
      <c r="D221">
        <v>147.85373680000001</v>
      </c>
      <c r="E221">
        <v>0.64801658399999995</v>
      </c>
      <c r="F221">
        <v>14.726409950000001</v>
      </c>
      <c r="G221">
        <v>0</v>
      </c>
      <c r="H221">
        <v>1018</v>
      </c>
      <c r="I221" t="s">
        <v>535</v>
      </c>
    </row>
    <row r="222" spans="1:12" x14ac:dyDescent="0.25">
      <c r="A222" t="s">
        <v>593</v>
      </c>
      <c r="B222">
        <v>17.825792570000001</v>
      </c>
      <c r="C222">
        <v>0.17004435400000001</v>
      </c>
      <c r="G222">
        <v>0</v>
      </c>
      <c r="H222">
        <v>1019</v>
      </c>
      <c r="I222" t="s">
        <v>534</v>
      </c>
      <c r="J222">
        <v>501.62065660000002</v>
      </c>
      <c r="K222">
        <v>3.5503399560000002</v>
      </c>
      <c r="L222">
        <v>1.894724053</v>
      </c>
    </row>
    <row r="223" spans="1:12" x14ac:dyDescent="0.25">
      <c r="A223" t="s">
        <v>594</v>
      </c>
      <c r="B223">
        <v>34.419385140000003</v>
      </c>
      <c r="C223">
        <v>0.22824655599999999</v>
      </c>
      <c r="G223">
        <v>0</v>
      </c>
      <c r="H223">
        <v>1020</v>
      </c>
      <c r="I223" t="s">
        <v>534</v>
      </c>
      <c r="J223">
        <v>455.885649</v>
      </c>
      <c r="K223">
        <v>3.474105776</v>
      </c>
      <c r="L223">
        <v>1.673452808</v>
      </c>
    </row>
    <row r="224" spans="1:12" x14ac:dyDescent="0.25">
      <c r="A224" t="s">
        <v>435</v>
      </c>
      <c r="D224">
        <v>138.32689690000001</v>
      </c>
      <c r="E224">
        <v>0.63838431299999998</v>
      </c>
      <c r="F224">
        <v>13.26454521</v>
      </c>
      <c r="G224">
        <v>0</v>
      </c>
      <c r="H224">
        <v>1030</v>
      </c>
      <c r="I224" t="s">
        <v>533</v>
      </c>
    </row>
    <row r="225" spans="1:12" x14ac:dyDescent="0.25">
      <c r="A225" t="s">
        <v>316</v>
      </c>
      <c r="D225">
        <v>118.0167525</v>
      </c>
      <c r="E225">
        <v>0.60375216700000001</v>
      </c>
      <c r="F225">
        <v>13.25544929</v>
      </c>
      <c r="G225">
        <v>0</v>
      </c>
      <c r="H225">
        <v>1038</v>
      </c>
      <c r="I225" t="s">
        <v>535</v>
      </c>
    </row>
    <row r="226" spans="1:12" x14ac:dyDescent="0.25">
      <c r="A226" t="s">
        <v>315</v>
      </c>
      <c r="B226">
        <v>19.79962965</v>
      </c>
      <c r="C226">
        <v>0.17261229</v>
      </c>
      <c r="G226">
        <v>0</v>
      </c>
      <c r="H226">
        <v>1037</v>
      </c>
      <c r="I226" t="s">
        <v>534</v>
      </c>
      <c r="J226">
        <v>481.81548670000001</v>
      </c>
      <c r="K226">
        <v>2.619913275</v>
      </c>
      <c r="L226">
        <v>1.7802563870000001</v>
      </c>
    </row>
    <row r="227" spans="1:12" x14ac:dyDescent="0.25">
      <c r="A227" t="s">
        <v>314</v>
      </c>
      <c r="D227">
        <v>118.1867139</v>
      </c>
      <c r="E227">
        <v>0.88096899299999998</v>
      </c>
      <c r="F227">
        <v>11.80074671</v>
      </c>
      <c r="G227">
        <v>0</v>
      </c>
      <c r="H227">
        <v>1036</v>
      </c>
      <c r="I227" t="s">
        <v>535</v>
      </c>
    </row>
    <row r="228" spans="1:12" x14ac:dyDescent="0.25">
      <c r="A228" t="s">
        <v>313</v>
      </c>
      <c r="D228">
        <v>116.5275414</v>
      </c>
      <c r="E228">
        <v>0.73395256399999997</v>
      </c>
      <c r="F228">
        <v>13.698871799999999</v>
      </c>
      <c r="G228">
        <v>0</v>
      </c>
      <c r="H228">
        <v>1035</v>
      </c>
      <c r="I228" t="s">
        <v>535</v>
      </c>
    </row>
    <row r="229" spans="1:12" x14ac:dyDescent="0.25">
      <c r="A229" t="s">
        <v>595</v>
      </c>
      <c r="B229">
        <v>29.075469420000001</v>
      </c>
      <c r="C229">
        <v>0.36604520299999999</v>
      </c>
      <c r="G229">
        <v>0</v>
      </c>
      <c r="H229">
        <v>1034</v>
      </c>
      <c r="I229" t="s">
        <v>534</v>
      </c>
      <c r="J229">
        <v>492.49332249999998</v>
      </c>
      <c r="K229">
        <v>2.2715016270000001</v>
      </c>
      <c r="L229">
        <v>1.788561378</v>
      </c>
    </row>
    <row r="230" spans="1:12" x14ac:dyDescent="0.25">
      <c r="A230" t="s">
        <v>311</v>
      </c>
      <c r="B230">
        <v>24.365169179999999</v>
      </c>
      <c r="C230">
        <v>0.18832575800000001</v>
      </c>
      <c r="G230">
        <v>0</v>
      </c>
      <c r="H230">
        <v>1033</v>
      </c>
      <c r="I230" t="s">
        <v>534</v>
      </c>
      <c r="J230">
        <v>473.37704450000001</v>
      </c>
      <c r="K230">
        <v>2.798411958</v>
      </c>
      <c r="L230">
        <v>1.5516168349999999</v>
      </c>
    </row>
    <row r="231" spans="1:12" x14ac:dyDescent="0.25">
      <c r="A231" t="s">
        <v>308</v>
      </c>
      <c r="B231">
        <v>25.481690780000001</v>
      </c>
      <c r="C231">
        <v>0.328709643</v>
      </c>
      <c r="G231">
        <v>0</v>
      </c>
      <c r="H231">
        <v>1032</v>
      </c>
      <c r="I231" t="s">
        <v>534</v>
      </c>
      <c r="J231">
        <v>458.79511239999999</v>
      </c>
      <c r="K231">
        <v>2.8402394809999998</v>
      </c>
      <c r="L231">
        <v>1.7077990009999999</v>
      </c>
    </row>
    <row r="232" spans="1:12" x14ac:dyDescent="0.25">
      <c r="A232" t="s">
        <v>307</v>
      </c>
      <c r="B232">
        <v>21.636816840000002</v>
      </c>
      <c r="C232">
        <v>0.12070196399999999</v>
      </c>
      <c r="G232">
        <v>0</v>
      </c>
      <c r="H232">
        <v>1029</v>
      </c>
      <c r="I232" t="s">
        <v>534</v>
      </c>
      <c r="J232">
        <v>508.04134049999999</v>
      </c>
      <c r="K232">
        <v>2.9480546849999998</v>
      </c>
      <c r="L232">
        <v>1.7806998780000001</v>
      </c>
    </row>
    <row r="233" spans="1:12" x14ac:dyDescent="0.25">
      <c r="A233" t="s">
        <v>299</v>
      </c>
      <c r="B233">
        <v>32.76196049</v>
      </c>
      <c r="C233">
        <v>0.44594738099999998</v>
      </c>
      <c r="G233">
        <v>0</v>
      </c>
      <c r="H233">
        <v>1021</v>
      </c>
      <c r="I233" t="s">
        <v>534</v>
      </c>
      <c r="J233">
        <v>481.90499899999998</v>
      </c>
      <c r="K233">
        <v>2.859101286</v>
      </c>
      <c r="L233">
        <v>1.7101199659999999</v>
      </c>
    </row>
    <row r="234" spans="1:12" x14ac:dyDescent="0.25">
      <c r="A234" t="s">
        <v>327</v>
      </c>
      <c r="D234">
        <v>145.34283210000001</v>
      </c>
      <c r="E234">
        <v>0.64451715099999995</v>
      </c>
      <c r="F234">
        <v>12.70222216</v>
      </c>
      <c r="G234">
        <v>0</v>
      </c>
      <c r="H234">
        <v>1028</v>
      </c>
      <c r="I234" t="s">
        <v>533</v>
      </c>
    </row>
    <row r="235" spans="1:12" x14ac:dyDescent="0.25">
      <c r="A235" t="s">
        <v>306</v>
      </c>
      <c r="D235">
        <v>132.622489</v>
      </c>
      <c r="E235">
        <v>0.81993860600000001</v>
      </c>
      <c r="F235">
        <v>13.173355580000001</v>
      </c>
      <c r="G235">
        <v>0</v>
      </c>
      <c r="H235">
        <v>1027</v>
      </c>
      <c r="I235" t="s">
        <v>535</v>
      </c>
    </row>
    <row r="236" spans="1:12" x14ac:dyDescent="0.25">
      <c r="A236" t="s">
        <v>304</v>
      </c>
      <c r="B236">
        <v>27.562718289999999</v>
      </c>
      <c r="C236">
        <v>0.22711200400000001</v>
      </c>
      <c r="G236">
        <v>0</v>
      </c>
      <c r="H236">
        <v>1026</v>
      </c>
      <c r="I236" t="s">
        <v>534</v>
      </c>
      <c r="J236">
        <v>476.62517630000002</v>
      </c>
      <c r="K236">
        <v>3.1868040209999999</v>
      </c>
      <c r="L236">
        <v>1.8048372420000001</v>
      </c>
    </row>
    <row r="237" spans="1:12" x14ac:dyDescent="0.25">
      <c r="A237" t="s">
        <v>303</v>
      </c>
      <c r="B237">
        <v>85.726185240000007</v>
      </c>
      <c r="C237">
        <v>0.33733007799999998</v>
      </c>
      <c r="D237">
        <v>73.351994160000004</v>
      </c>
      <c r="E237">
        <v>0.518377796</v>
      </c>
      <c r="F237">
        <v>7.1757542750000001</v>
      </c>
      <c r="G237">
        <v>0</v>
      </c>
      <c r="H237">
        <v>1025</v>
      </c>
      <c r="I237" t="s">
        <v>533</v>
      </c>
    </row>
    <row r="238" spans="1:12" x14ac:dyDescent="0.25">
      <c r="A238" t="s">
        <v>301</v>
      </c>
      <c r="B238">
        <v>48.068387710000003</v>
      </c>
      <c r="C238">
        <v>0.52976627799999998</v>
      </c>
      <c r="G238">
        <v>0</v>
      </c>
      <c r="H238">
        <v>1024</v>
      </c>
      <c r="I238" t="s">
        <v>534</v>
      </c>
      <c r="J238">
        <v>440.01458170000001</v>
      </c>
      <c r="K238">
        <v>2.7038335080000002</v>
      </c>
      <c r="L238">
        <v>1.7340037589999999</v>
      </c>
    </row>
    <row r="239" spans="1:12" x14ac:dyDescent="0.25">
      <c r="A239" t="s">
        <v>275</v>
      </c>
      <c r="B239">
        <v>20.79635944</v>
      </c>
      <c r="C239">
        <v>0.112343622</v>
      </c>
      <c r="D239">
        <v>116.07114009999999</v>
      </c>
      <c r="E239">
        <v>0.61727028100000003</v>
      </c>
      <c r="F239">
        <v>11.5934116</v>
      </c>
      <c r="G239">
        <v>0</v>
      </c>
      <c r="H239">
        <v>1023</v>
      </c>
      <c r="I239" t="s">
        <v>533</v>
      </c>
    </row>
    <row r="240" spans="1:12" x14ac:dyDescent="0.25">
      <c r="A240" t="s">
        <v>300</v>
      </c>
      <c r="B240">
        <v>13.040839679999999</v>
      </c>
      <c r="C240">
        <v>7.8802223000000005E-2</v>
      </c>
      <c r="D240">
        <v>111.20814590000001</v>
      </c>
      <c r="E240">
        <v>0.69180922899999997</v>
      </c>
      <c r="F240">
        <v>11.64412714</v>
      </c>
      <c r="G240">
        <v>0</v>
      </c>
      <c r="H240">
        <v>1022</v>
      </c>
      <c r="I240" t="s">
        <v>533</v>
      </c>
    </row>
    <row r="241" spans="1:9" x14ac:dyDescent="0.25">
      <c r="A241" t="s">
        <v>351</v>
      </c>
      <c r="D241">
        <v>64.526570809999996</v>
      </c>
      <c r="E241">
        <v>0.48717537900000002</v>
      </c>
      <c r="F241">
        <v>5.630676062</v>
      </c>
      <c r="G241">
        <v>0</v>
      </c>
      <c r="H241">
        <v>1079</v>
      </c>
      <c r="I241" t="s">
        <v>533</v>
      </c>
    </row>
    <row r="242" spans="1:9" x14ac:dyDescent="0.25">
      <c r="A242" t="s">
        <v>596</v>
      </c>
      <c r="B242">
        <v>15.629477140000001</v>
      </c>
      <c r="C242">
        <v>0.11800192399999999</v>
      </c>
      <c r="G242">
        <v>0</v>
      </c>
      <c r="H242">
        <v>1160</v>
      </c>
      <c r="I242" t="s">
        <v>532</v>
      </c>
    </row>
    <row r="243" spans="1:9" x14ac:dyDescent="0.25">
      <c r="A243" t="s">
        <v>340</v>
      </c>
      <c r="D243">
        <v>52.516458999999998</v>
      </c>
      <c r="E243">
        <v>0.26248237899999999</v>
      </c>
      <c r="F243">
        <v>4.681135737</v>
      </c>
      <c r="G243">
        <v>0</v>
      </c>
      <c r="H243">
        <v>1081</v>
      </c>
      <c r="I243" t="s">
        <v>533</v>
      </c>
    </row>
    <row r="244" spans="1:9" x14ac:dyDescent="0.25">
      <c r="A244" t="s">
        <v>478</v>
      </c>
      <c r="D244">
        <v>19.670010850000001</v>
      </c>
      <c r="E244">
        <v>0.14020363899999999</v>
      </c>
      <c r="F244">
        <v>2.0227128589999999</v>
      </c>
      <c r="G244">
        <v>0</v>
      </c>
      <c r="H244">
        <v>1142</v>
      </c>
      <c r="I244" t="s">
        <v>535</v>
      </c>
    </row>
    <row r="245" spans="1:9" x14ac:dyDescent="0.25">
      <c r="A245" t="s">
        <v>466</v>
      </c>
      <c r="B245">
        <v>32.167393599999997</v>
      </c>
      <c r="C245">
        <v>0.29039248099999998</v>
      </c>
      <c r="G245">
        <v>0</v>
      </c>
      <c r="H245">
        <v>1140</v>
      </c>
      <c r="I245" t="s">
        <v>532</v>
      </c>
    </row>
    <row r="246" spans="1:9" x14ac:dyDescent="0.25">
      <c r="A246" t="s">
        <v>597</v>
      </c>
      <c r="D246">
        <v>25.109887199999999</v>
      </c>
      <c r="E246">
        <v>0.15531990800000001</v>
      </c>
      <c r="F246">
        <v>2.1070752239999999</v>
      </c>
      <c r="G246">
        <v>0</v>
      </c>
      <c r="H246">
        <v>1139</v>
      </c>
      <c r="I246" t="s">
        <v>533</v>
      </c>
    </row>
    <row r="247" spans="1:9" x14ac:dyDescent="0.25">
      <c r="A247" t="s">
        <v>404</v>
      </c>
      <c r="D247">
        <v>17.382663340000001</v>
      </c>
      <c r="E247">
        <v>0.12861367000000001</v>
      </c>
      <c r="F247">
        <v>1.621179218</v>
      </c>
      <c r="G247">
        <v>0</v>
      </c>
      <c r="H247">
        <v>1138</v>
      </c>
      <c r="I247" t="s">
        <v>533</v>
      </c>
    </row>
    <row r="248" spans="1:9" x14ac:dyDescent="0.25">
      <c r="A248" t="s">
        <v>402</v>
      </c>
      <c r="D248">
        <v>18.7592119</v>
      </c>
      <c r="E248">
        <v>0.15706981</v>
      </c>
      <c r="F248">
        <v>1.488789025</v>
      </c>
      <c r="G248">
        <v>0</v>
      </c>
      <c r="H248">
        <v>1137</v>
      </c>
      <c r="I248" t="s">
        <v>533</v>
      </c>
    </row>
    <row r="249" spans="1:9" x14ac:dyDescent="0.25">
      <c r="A249" t="s">
        <v>393</v>
      </c>
      <c r="B249">
        <v>17.30692492</v>
      </c>
      <c r="C249">
        <v>0.112520868</v>
      </c>
      <c r="D249">
        <v>14.531216089999999</v>
      </c>
      <c r="E249">
        <v>6.3107098E-2</v>
      </c>
      <c r="F249">
        <v>2.0347898870000001</v>
      </c>
      <c r="G249">
        <v>0</v>
      </c>
      <c r="H249">
        <v>1136</v>
      </c>
      <c r="I249" t="s">
        <v>532</v>
      </c>
    </row>
    <row r="250" spans="1:9" x14ac:dyDescent="0.25">
      <c r="A250" t="s">
        <v>392</v>
      </c>
      <c r="B250">
        <v>12.75073883</v>
      </c>
      <c r="C250">
        <v>9.2146207999999993E-2</v>
      </c>
      <c r="D250">
        <v>19.78501004</v>
      </c>
      <c r="E250">
        <v>0.14953256600000001</v>
      </c>
      <c r="F250">
        <v>1.67962963</v>
      </c>
      <c r="G250">
        <v>0</v>
      </c>
      <c r="H250">
        <v>1135</v>
      </c>
      <c r="I250" t="s">
        <v>533</v>
      </c>
    </row>
    <row r="251" spans="1:9" x14ac:dyDescent="0.25">
      <c r="A251" t="s">
        <v>403</v>
      </c>
      <c r="D251">
        <v>19.82375807</v>
      </c>
      <c r="E251">
        <v>0.104873513</v>
      </c>
      <c r="F251">
        <v>1.772697185</v>
      </c>
      <c r="G251">
        <v>0</v>
      </c>
      <c r="H251">
        <v>1134</v>
      </c>
      <c r="I251" t="s">
        <v>533</v>
      </c>
    </row>
    <row r="252" spans="1:9" x14ac:dyDescent="0.25">
      <c r="A252" t="s">
        <v>449</v>
      </c>
      <c r="B252">
        <v>13.75142146</v>
      </c>
      <c r="C252">
        <v>8.4964464000000003E-2</v>
      </c>
      <c r="D252">
        <v>18.717529209999999</v>
      </c>
      <c r="E252">
        <v>0.110155405</v>
      </c>
      <c r="F252">
        <v>1.518799236</v>
      </c>
      <c r="G252">
        <v>0</v>
      </c>
      <c r="H252">
        <v>1133</v>
      </c>
      <c r="I252" t="s">
        <v>533</v>
      </c>
    </row>
    <row r="253" spans="1:9" x14ac:dyDescent="0.25">
      <c r="A253" t="s">
        <v>355</v>
      </c>
      <c r="B253">
        <v>16.456478059999998</v>
      </c>
      <c r="C253">
        <v>0.11640787499999999</v>
      </c>
      <c r="D253">
        <v>12.52755756</v>
      </c>
      <c r="E253">
        <v>3.6344811999999997E-2</v>
      </c>
      <c r="F253">
        <v>2.093787791</v>
      </c>
      <c r="G253">
        <v>0</v>
      </c>
      <c r="H253">
        <v>1132</v>
      </c>
      <c r="I253" t="s">
        <v>532</v>
      </c>
    </row>
    <row r="254" spans="1:9" x14ac:dyDescent="0.25">
      <c r="A254" t="s">
        <v>447</v>
      </c>
      <c r="D254">
        <v>35.439887540000001</v>
      </c>
      <c r="E254">
        <v>0.201781509</v>
      </c>
      <c r="F254">
        <v>2.7405840179999998</v>
      </c>
      <c r="G254">
        <v>0</v>
      </c>
      <c r="H254">
        <v>1131</v>
      </c>
      <c r="I254" t="s">
        <v>533</v>
      </c>
    </row>
    <row r="255" spans="1:9" x14ac:dyDescent="0.25">
      <c r="A255" t="s">
        <v>406</v>
      </c>
      <c r="D255">
        <v>35.228526199999997</v>
      </c>
      <c r="E255">
        <v>0.200462957</v>
      </c>
      <c r="F255">
        <v>2.7396792429999999</v>
      </c>
      <c r="G255">
        <v>0</v>
      </c>
      <c r="H255">
        <v>1130</v>
      </c>
      <c r="I255" t="s">
        <v>533</v>
      </c>
    </row>
    <row r="256" spans="1:9" x14ac:dyDescent="0.25">
      <c r="A256" t="s">
        <v>598</v>
      </c>
      <c r="D256">
        <v>35.451015249999998</v>
      </c>
      <c r="E256">
        <v>0.163623088</v>
      </c>
      <c r="F256">
        <v>3.0311563549999998</v>
      </c>
      <c r="G256">
        <v>0</v>
      </c>
      <c r="H256">
        <v>1129</v>
      </c>
      <c r="I256" t="s">
        <v>533</v>
      </c>
    </row>
    <row r="257" spans="1:9" x14ac:dyDescent="0.25">
      <c r="A257" t="s">
        <v>599</v>
      </c>
      <c r="D257">
        <v>34.218087500000003</v>
      </c>
      <c r="E257">
        <v>0.12951115599999999</v>
      </c>
      <c r="F257">
        <v>3.4228221209999998</v>
      </c>
      <c r="G257">
        <v>0</v>
      </c>
      <c r="H257">
        <v>1128</v>
      </c>
      <c r="I257" t="s">
        <v>533</v>
      </c>
    </row>
    <row r="258" spans="1:9" x14ac:dyDescent="0.25">
      <c r="A258" t="s">
        <v>391</v>
      </c>
      <c r="D258">
        <v>26.314527009999999</v>
      </c>
      <c r="E258">
        <v>0.202100791</v>
      </c>
      <c r="F258">
        <v>3.7488989269999999</v>
      </c>
      <c r="G258">
        <v>0</v>
      </c>
      <c r="H258">
        <v>1127</v>
      </c>
      <c r="I258" t="s">
        <v>532</v>
      </c>
    </row>
    <row r="259" spans="1:9" x14ac:dyDescent="0.25">
      <c r="A259" t="s">
        <v>388</v>
      </c>
      <c r="D259">
        <v>37.879975889999997</v>
      </c>
      <c r="E259">
        <v>0.177664988</v>
      </c>
      <c r="F259">
        <v>3.285228423</v>
      </c>
      <c r="G259">
        <v>0</v>
      </c>
      <c r="H259">
        <v>1126</v>
      </c>
      <c r="I259" t="s">
        <v>533</v>
      </c>
    </row>
    <row r="260" spans="1:9" x14ac:dyDescent="0.25">
      <c r="A260" t="s">
        <v>600</v>
      </c>
      <c r="D260">
        <v>37.943217089999997</v>
      </c>
      <c r="E260">
        <v>0.16404206099999999</v>
      </c>
      <c r="F260">
        <v>3.3689772690000002</v>
      </c>
      <c r="G260">
        <v>0</v>
      </c>
      <c r="H260">
        <v>1125</v>
      </c>
      <c r="I260" t="s">
        <v>533</v>
      </c>
    </row>
    <row r="261" spans="1:9" x14ac:dyDescent="0.25">
      <c r="A261" t="s">
        <v>387</v>
      </c>
      <c r="D261">
        <v>32.227215719999997</v>
      </c>
      <c r="E261">
        <v>0.28357316300000002</v>
      </c>
      <c r="F261">
        <v>3.261489938</v>
      </c>
      <c r="G261">
        <v>0</v>
      </c>
      <c r="H261">
        <v>1124</v>
      </c>
      <c r="I261" t="s">
        <v>535</v>
      </c>
    </row>
    <row r="262" spans="1:9" x14ac:dyDescent="0.25">
      <c r="A262" t="s">
        <v>601</v>
      </c>
      <c r="D262">
        <v>20.431558840000001</v>
      </c>
      <c r="E262">
        <v>0.16726739900000001</v>
      </c>
      <c r="F262">
        <v>1.9975302930000001</v>
      </c>
      <c r="G262">
        <v>0</v>
      </c>
      <c r="H262">
        <v>1141</v>
      </c>
      <c r="I262" t="s">
        <v>535</v>
      </c>
    </row>
    <row r="263" spans="1:9" x14ac:dyDescent="0.25">
      <c r="A263" t="s">
        <v>602</v>
      </c>
      <c r="D263">
        <v>22.181003520000001</v>
      </c>
      <c r="E263">
        <v>0.12111435500000001</v>
      </c>
      <c r="F263">
        <v>1.8775807799999999</v>
      </c>
      <c r="G263">
        <v>0</v>
      </c>
      <c r="H263">
        <v>1143</v>
      </c>
      <c r="I263" t="s">
        <v>533</v>
      </c>
    </row>
    <row r="264" spans="1:9" x14ac:dyDescent="0.25">
      <c r="A264" t="s">
        <v>386</v>
      </c>
      <c r="D264">
        <v>64.248004550000005</v>
      </c>
      <c r="E264">
        <v>0.225041035</v>
      </c>
      <c r="F264">
        <v>5.6974158560000001</v>
      </c>
      <c r="G264">
        <v>0</v>
      </c>
      <c r="H264">
        <v>1082</v>
      </c>
      <c r="I264" t="s">
        <v>533</v>
      </c>
    </row>
    <row r="265" spans="1:9" x14ac:dyDescent="0.25">
      <c r="A265" t="s">
        <v>395</v>
      </c>
      <c r="D265">
        <v>19.015174810000001</v>
      </c>
      <c r="E265">
        <v>0.13703663999999999</v>
      </c>
      <c r="F265">
        <v>1.9005316969999999</v>
      </c>
      <c r="G265">
        <v>0</v>
      </c>
      <c r="H265">
        <v>1144</v>
      </c>
      <c r="I265" t="s">
        <v>535</v>
      </c>
    </row>
    <row r="266" spans="1:9" x14ac:dyDescent="0.25">
      <c r="A266" t="s">
        <v>603</v>
      </c>
      <c r="D266">
        <v>4.6052588559999998</v>
      </c>
      <c r="E266">
        <v>2.3233943E-2</v>
      </c>
      <c r="F266">
        <v>0.42134581399999999</v>
      </c>
      <c r="G266">
        <v>0</v>
      </c>
      <c r="H266">
        <v>1161</v>
      </c>
      <c r="I266" t="s">
        <v>533</v>
      </c>
    </row>
    <row r="267" spans="1:9" x14ac:dyDescent="0.25">
      <c r="A267" t="s">
        <v>284</v>
      </c>
      <c r="D267">
        <v>165.58767460000001</v>
      </c>
      <c r="E267">
        <v>1.133800793</v>
      </c>
      <c r="F267">
        <v>16.057192520000001</v>
      </c>
      <c r="G267">
        <v>0</v>
      </c>
      <c r="H267">
        <v>999</v>
      </c>
      <c r="I267" t="s">
        <v>535</v>
      </c>
    </row>
    <row r="268" spans="1:9" x14ac:dyDescent="0.25">
      <c r="A268" t="s">
        <v>409</v>
      </c>
      <c r="G268">
        <v>0</v>
      </c>
      <c r="H268">
        <v>1159</v>
      </c>
      <c r="I268" t="s">
        <v>533</v>
      </c>
    </row>
    <row r="269" spans="1:9" x14ac:dyDescent="0.25">
      <c r="A269" t="s">
        <v>399</v>
      </c>
      <c r="D269">
        <v>12.41403667</v>
      </c>
      <c r="E269">
        <v>7.8854934000000002E-2</v>
      </c>
      <c r="F269">
        <v>1.205423948</v>
      </c>
      <c r="G269">
        <v>0</v>
      </c>
      <c r="H269">
        <v>1158</v>
      </c>
      <c r="I269" t="s">
        <v>535</v>
      </c>
    </row>
    <row r="270" spans="1:9" x14ac:dyDescent="0.25">
      <c r="A270" t="s">
        <v>553</v>
      </c>
      <c r="D270">
        <v>13.1579064</v>
      </c>
      <c r="E270">
        <v>9.6181880999999997E-2</v>
      </c>
      <c r="F270">
        <v>1.1437177110000001</v>
      </c>
      <c r="G270">
        <v>0</v>
      </c>
      <c r="H270">
        <v>1157</v>
      </c>
      <c r="I270" t="s">
        <v>533</v>
      </c>
    </row>
    <row r="271" spans="1:9" x14ac:dyDescent="0.25">
      <c r="A271" t="s">
        <v>398</v>
      </c>
      <c r="D271">
        <v>14.02071668</v>
      </c>
      <c r="E271">
        <v>6.3830368999999998E-2</v>
      </c>
      <c r="F271">
        <v>2.0698431930000001</v>
      </c>
      <c r="G271">
        <v>0</v>
      </c>
      <c r="H271">
        <v>1156</v>
      </c>
      <c r="I271" t="s">
        <v>532</v>
      </c>
    </row>
    <row r="272" spans="1:9" x14ac:dyDescent="0.25">
      <c r="A272" t="s">
        <v>390</v>
      </c>
      <c r="D272">
        <v>17.385317959999998</v>
      </c>
      <c r="E272">
        <v>0.10253330099999999</v>
      </c>
      <c r="F272">
        <v>1.5509452239999999</v>
      </c>
      <c r="G272">
        <v>0</v>
      </c>
      <c r="H272">
        <v>1155</v>
      </c>
      <c r="I272" t="s">
        <v>533</v>
      </c>
    </row>
    <row r="273" spans="1:9" x14ac:dyDescent="0.25">
      <c r="A273" t="s">
        <v>604</v>
      </c>
      <c r="D273">
        <v>18.90865037</v>
      </c>
      <c r="E273">
        <v>8.2021030999999994E-2</v>
      </c>
      <c r="F273">
        <v>1.684488634</v>
      </c>
      <c r="G273">
        <v>0</v>
      </c>
      <c r="H273">
        <v>1154</v>
      </c>
      <c r="I273" t="s">
        <v>533</v>
      </c>
    </row>
    <row r="274" spans="1:9" x14ac:dyDescent="0.25">
      <c r="A274" t="s">
        <v>605</v>
      </c>
      <c r="D274">
        <v>17.563832699999999</v>
      </c>
      <c r="E274">
        <v>9.3275833000000002E-2</v>
      </c>
      <c r="F274">
        <v>1.7888496679999999</v>
      </c>
      <c r="G274">
        <v>0</v>
      </c>
      <c r="H274">
        <v>1153</v>
      </c>
      <c r="I274" t="s">
        <v>535</v>
      </c>
    </row>
    <row r="275" spans="1:9" x14ac:dyDescent="0.25">
      <c r="A275" t="s">
        <v>606</v>
      </c>
      <c r="D275">
        <v>19.474433250000001</v>
      </c>
      <c r="E275">
        <v>0.13241963300000001</v>
      </c>
      <c r="F275">
        <v>1.493425435</v>
      </c>
      <c r="G275">
        <v>0</v>
      </c>
      <c r="H275">
        <v>1152</v>
      </c>
      <c r="I275" t="s">
        <v>533</v>
      </c>
    </row>
    <row r="276" spans="1:9" x14ac:dyDescent="0.25">
      <c r="A276" t="s">
        <v>607</v>
      </c>
      <c r="D276">
        <v>17.485120200000001</v>
      </c>
      <c r="E276">
        <v>0.14101232899999999</v>
      </c>
      <c r="F276">
        <v>1.6788490519999999</v>
      </c>
      <c r="G276">
        <v>0</v>
      </c>
      <c r="H276">
        <v>1151</v>
      </c>
      <c r="I276" t="s">
        <v>535</v>
      </c>
    </row>
    <row r="277" spans="1:9" x14ac:dyDescent="0.25">
      <c r="A277" t="s">
        <v>374</v>
      </c>
      <c r="D277">
        <v>18.841983150000001</v>
      </c>
      <c r="E277">
        <v>0.112233086</v>
      </c>
      <c r="F277">
        <v>1.898258692</v>
      </c>
      <c r="G277">
        <v>0</v>
      </c>
      <c r="H277">
        <v>1150</v>
      </c>
      <c r="I277" t="s">
        <v>535</v>
      </c>
    </row>
    <row r="278" spans="1:9" x14ac:dyDescent="0.25">
      <c r="A278" t="s">
        <v>397</v>
      </c>
      <c r="D278">
        <v>18.338759039999999</v>
      </c>
      <c r="E278">
        <v>0.12847045800000001</v>
      </c>
      <c r="F278">
        <v>1.8548106289999999</v>
      </c>
      <c r="G278">
        <v>0</v>
      </c>
      <c r="H278">
        <v>1149</v>
      </c>
      <c r="I278" t="s">
        <v>535</v>
      </c>
    </row>
    <row r="279" spans="1:9" x14ac:dyDescent="0.25">
      <c r="A279" t="s">
        <v>382</v>
      </c>
      <c r="D279">
        <v>20.171324850000001</v>
      </c>
      <c r="E279">
        <v>0.141132375</v>
      </c>
      <c r="F279">
        <v>1.629713473</v>
      </c>
      <c r="G279">
        <v>0</v>
      </c>
      <c r="H279">
        <v>1148</v>
      </c>
      <c r="I279" t="s">
        <v>533</v>
      </c>
    </row>
    <row r="280" spans="1:9" x14ac:dyDescent="0.25">
      <c r="A280" t="s">
        <v>372</v>
      </c>
      <c r="D280">
        <v>18.558322409999999</v>
      </c>
      <c r="E280">
        <v>0.13328425299999999</v>
      </c>
      <c r="F280">
        <v>1.8462921219999999</v>
      </c>
      <c r="G280">
        <v>0</v>
      </c>
      <c r="H280">
        <v>1147</v>
      </c>
      <c r="I280" t="s">
        <v>535</v>
      </c>
    </row>
    <row r="281" spans="1:9" x14ac:dyDescent="0.25">
      <c r="A281" t="s">
        <v>608</v>
      </c>
      <c r="D281">
        <v>18.815962330000001</v>
      </c>
      <c r="E281">
        <v>0.13206251799999999</v>
      </c>
      <c r="F281">
        <v>1.851654645</v>
      </c>
      <c r="G281">
        <v>0</v>
      </c>
      <c r="H281">
        <v>1146</v>
      </c>
      <c r="I281" t="s">
        <v>535</v>
      </c>
    </row>
    <row r="282" spans="1:9" x14ac:dyDescent="0.25">
      <c r="A282" t="s">
        <v>609</v>
      </c>
      <c r="D282">
        <v>19.349078590000001</v>
      </c>
      <c r="E282">
        <v>0.115296126</v>
      </c>
      <c r="F282">
        <v>1.950911939</v>
      </c>
      <c r="G282">
        <v>0</v>
      </c>
      <c r="H282">
        <v>1145</v>
      </c>
      <c r="I282" t="s">
        <v>535</v>
      </c>
    </row>
    <row r="283" spans="1:9" x14ac:dyDescent="0.25">
      <c r="A283" t="s">
        <v>610</v>
      </c>
      <c r="D283">
        <v>38.290265920000003</v>
      </c>
      <c r="E283">
        <v>0.21794039400000001</v>
      </c>
      <c r="F283">
        <v>3.2271983479999999</v>
      </c>
      <c r="G283">
        <v>0</v>
      </c>
      <c r="H283">
        <v>1123</v>
      </c>
      <c r="I283" t="s">
        <v>533</v>
      </c>
    </row>
    <row r="284" spans="1:9" x14ac:dyDescent="0.25">
      <c r="A284" t="s">
        <v>385</v>
      </c>
      <c r="D284">
        <v>35.611478400000003</v>
      </c>
      <c r="E284">
        <v>0.19719260699999999</v>
      </c>
      <c r="F284">
        <v>3.6055390639999998</v>
      </c>
      <c r="G284">
        <v>0</v>
      </c>
      <c r="H284">
        <v>1122</v>
      </c>
      <c r="I284" t="s">
        <v>535</v>
      </c>
    </row>
    <row r="285" spans="1:9" x14ac:dyDescent="0.25">
      <c r="A285" t="s">
        <v>383</v>
      </c>
      <c r="D285">
        <v>36.267151820000002</v>
      </c>
      <c r="E285">
        <v>0.20038645099999999</v>
      </c>
      <c r="F285">
        <v>3.5872662040000001</v>
      </c>
      <c r="G285">
        <v>0</v>
      </c>
      <c r="H285">
        <v>1121</v>
      </c>
      <c r="I285" t="s">
        <v>535</v>
      </c>
    </row>
    <row r="286" spans="1:9" x14ac:dyDescent="0.25">
      <c r="A286" t="s">
        <v>384</v>
      </c>
      <c r="D286">
        <v>38.351835600000001</v>
      </c>
      <c r="E286">
        <v>0.219983601</v>
      </c>
      <c r="F286">
        <v>3.2758905610000002</v>
      </c>
      <c r="G286">
        <v>0</v>
      </c>
      <c r="H286">
        <v>1120</v>
      </c>
      <c r="I286" t="s">
        <v>533</v>
      </c>
    </row>
    <row r="287" spans="1:9" x14ac:dyDescent="0.25">
      <c r="A287" t="s">
        <v>611</v>
      </c>
      <c r="D287">
        <v>41.12143124</v>
      </c>
      <c r="E287">
        <v>0.26538190099999998</v>
      </c>
      <c r="F287">
        <v>3.4797572969999999</v>
      </c>
      <c r="G287">
        <v>0</v>
      </c>
      <c r="H287">
        <v>1099</v>
      </c>
      <c r="I287" t="s">
        <v>533</v>
      </c>
    </row>
    <row r="288" spans="1:9" x14ac:dyDescent="0.25">
      <c r="A288" t="s">
        <v>377</v>
      </c>
      <c r="D288">
        <v>36.76651717</v>
      </c>
      <c r="E288">
        <v>0.24786772800000001</v>
      </c>
      <c r="F288">
        <v>3.614978765</v>
      </c>
      <c r="G288">
        <v>0</v>
      </c>
      <c r="H288">
        <v>1098</v>
      </c>
      <c r="I288" t="s">
        <v>533</v>
      </c>
    </row>
    <row r="289" spans="1:9" x14ac:dyDescent="0.25">
      <c r="A289" t="s">
        <v>365</v>
      </c>
      <c r="D289">
        <v>38.528404799999997</v>
      </c>
      <c r="E289">
        <v>0.31220465400000003</v>
      </c>
      <c r="F289">
        <v>3.8471100649999999</v>
      </c>
      <c r="G289">
        <v>0</v>
      </c>
      <c r="H289">
        <v>1097</v>
      </c>
      <c r="I289" t="s">
        <v>535</v>
      </c>
    </row>
    <row r="290" spans="1:9" x14ac:dyDescent="0.25">
      <c r="A290" t="s">
        <v>364</v>
      </c>
      <c r="D290">
        <v>40.268735939999999</v>
      </c>
      <c r="E290">
        <v>0.32509354800000001</v>
      </c>
      <c r="F290">
        <v>3.9794962049999998</v>
      </c>
      <c r="G290">
        <v>0</v>
      </c>
      <c r="H290">
        <v>1096</v>
      </c>
      <c r="I290" t="s">
        <v>535</v>
      </c>
    </row>
    <row r="291" spans="1:9" x14ac:dyDescent="0.25">
      <c r="A291" t="s">
        <v>436</v>
      </c>
      <c r="D291">
        <v>43.687166329999997</v>
      </c>
      <c r="E291">
        <v>0.32540017999999998</v>
      </c>
      <c r="F291">
        <v>3.72038453</v>
      </c>
      <c r="G291">
        <v>0</v>
      </c>
      <c r="H291">
        <v>1095</v>
      </c>
      <c r="I291" t="s">
        <v>533</v>
      </c>
    </row>
    <row r="292" spans="1:9" x14ac:dyDescent="0.25">
      <c r="A292" t="s">
        <v>363</v>
      </c>
      <c r="D292">
        <v>37.364820559999998</v>
      </c>
      <c r="E292">
        <v>0.17475088499999999</v>
      </c>
      <c r="F292">
        <v>3.16673494</v>
      </c>
      <c r="G292">
        <v>0</v>
      </c>
      <c r="H292">
        <v>1094</v>
      </c>
      <c r="I292" t="s">
        <v>533</v>
      </c>
    </row>
    <row r="293" spans="1:9" x14ac:dyDescent="0.25">
      <c r="A293" t="s">
        <v>333</v>
      </c>
      <c r="D293">
        <v>38.374790130000001</v>
      </c>
      <c r="E293">
        <v>0.40711234299999999</v>
      </c>
      <c r="F293">
        <v>3.808684274</v>
      </c>
      <c r="G293">
        <v>0</v>
      </c>
      <c r="H293">
        <v>1093</v>
      </c>
      <c r="I293" t="s">
        <v>535</v>
      </c>
    </row>
    <row r="294" spans="1:9" x14ac:dyDescent="0.25">
      <c r="A294" t="s">
        <v>361</v>
      </c>
      <c r="B294">
        <v>18.34916527</v>
      </c>
      <c r="C294">
        <v>0.102230132</v>
      </c>
      <c r="D294">
        <v>31.903690910000002</v>
      </c>
      <c r="E294">
        <v>0.14479641400000001</v>
      </c>
      <c r="F294">
        <v>4.4568243819999998</v>
      </c>
      <c r="G294">
        <v>0</v>
      </c>
      <c r="H294">
        <v>1092</v>
      </c>
      <c r="I294" t="s">
        <v>532</v>
      </c>
    </row>
    <row r="295" spans="1:9" x14ac:dyDescent="0.25">
      <c r="A295" t="s">
        <v>332</v>
      </c>
      <c r="B295">
        <v>45.190868850000001</v>
      </c>
      <c r="C295">
        <v>0.35160918400000002</v>
      </c>
      <c r="D295">
        <v>15.300900690000001</v>
      </c>
      <c r="E295">
        <v>0.10311005099999999</v>
      </c>
      <c r="F295">
        <v>2.155197314</v>
      </c>
      <c r="G295">
        <v>0</v>
      </c>
      <c r="H295">
        <v>1091</v>
      </c>
      <c r="I295" t="s">
        <v>532</v>
      </c>
    </row>
    <row r="296" spans="1:9" x14ac:dyDescent="0.25">
      <c r="A296" t="s">
        <v>360</v>
      </c>
      <c r="D296">
        <v>41.339149040000002</v>
      </c>
      <c r="E296">
        <v>0.269445461</v>
      </c>
      <c r="F296">
        <v>3.7584631709999998</v>
      </c>
      <c r="G296">
        <v>0</v>
      </c>
      <c r="H296">
        <v>1090</v>
      </c>
      <c r="I296" t="s">
        <v>533</v>
      </c>
    </row>
    <row r="297" spans="1:9" x14ac:dyDescent="0.25">
      <c r="A297" t="s">
        <v>359</v>
      </c>
      <c r="B297">
        <v>17.984952360000001</v>
      </c>
      <c r="C297">
        <v>0.13590402400000001</v>
      </c>
      <c r="D297">
        <v>33.326881989999997</v>
      </c>
      <c r="E297">
        <v>0.19834185200000001</v>
      </c>
      <c r="F297">
        <v>4.6732754820000002</v>
      </c>
      <c r="G297">
        <v>0</v>
      </c>
      <c r="H297">
        <v>1089</v>
      </c>
      <c r="I297" t="s">
        <v>532</v>
      </c>
    </row>
    <row r="298" spans="1:9" x14ac:dyDescent="0.25">
      <c r="A298" t="s">
        <v>348</v>
      </c>
      <c r="B298">
        <v>25.701696139999999</v>
      </c>
      <c r="C298">
        <v>0.16349408200000001</v>
      </c>
      <c r="D298">
        <v>36.464112739999997</v>
      </c>
      <c r="E298">
        <v>0.26561190000000001</v>
      </c>
      <c r="F298">
        <v>3.1071087909999999</v>
      </c>
      <c r="G298">
        <v>0</v>
      </c>
      <c r="H298">
        <v>1088</v>
      </c>
      <c r="I298" t="s">
        <v>533</v>
      </c>
    </row>
    <row r="299" spans="1:9" x14ac:dyDescent="0.25">
      <c r="A299" t="s">
        <v>358</v>
      </c>
      <c r="B299">
        <v>52.91722231</v>
      </c>
      <c r="C299">
        <v>0.42315484599999997</v>
      </c>
      <c r="D299">
        <v>14.451158400000001</v>
      </c>
      <c r="E299">
        <v>8.7160741999999999E-2</v>
      </c>
      <c r="F299">
        <v>2.021491272</v>
      </c>
      <c r="G299">
        <v>0</v>
      </c>
      <c r="H299">
        <v>1087</v>
      </c>
      <c r="I299" t="s">
        <v>532</v>
      </c>
    </row>
    <row r="300" spans="1:9" x14ac:dyDescent="0.25">
      <c r="A300" t="s">
        <v>612</v>
      </c>
      <c r="B300">
        <v>56.954366180000001</v>
      </c>
      <c r="C300">
        <v>0.50152015500000002</v>
      </c>
      <c r="D300">
        <v>12.718391309999999</v>
      </c>
      <c r="E300">
        <v>6.2739764000000003E-2</v>
      </c>
      <c r="F300">
        <v>1.8407313999999999</v>
      </c>
      <c r="G300">
        <v>0</v>
      </c>
      <c r="H300">
        <v>1086</v>
      </c>
      <c r="I300" t="s">
        <v>532</v>
      </c>
    </row>
    <row r="301" spans="1:9" x14ac:dyDescent="0.25">
      <c r="A301" t="s">
        <v>357</v>
      </c>
      <c r="D301">
        <v>57.103700179999997</v>
      </c>
      <c r="E301">
        <v>0.24606309200000001</v>
      </c>
      <c r="F301">
        <v>5.0578625270000002</v>
      </c>
      <c r="G301">
        <v>0</v>
      </c>
      <c r="H301">
        <v>1085</v>
      </c>
      <c r="I301" t="s">
        <v>533</v>
      </c>
    </row>
    <row r="302" spans="1:9" x14ac:dyDescent="0.25">
      <c r="A302" t="s">
        <v>613</v>
      </c>
      <c r="D302">
        <v>53.894576880000002</v>
      </c>
      <c r="E302">
        <v>0.40909644699999997</v>
      </c>
      <c r="F302">
        <v>4.7793892639999997</v>
      </c>
      <c r="G302">
        <v>0</v>
      </c>
      <c r="H302">
        <v>1084</v>
      </c>
      <c r="I302" t="s">
        <v>533</v>
      </c>
    </row>
    <row r="303" spans="1:9" x14ac:dyDescent="0.25">
      <c r="A303" t="s">
        <v>356</v>
      </c>
      <c r="B303">
        <v>17.702779039999999</v>
      </c>
      <c r="C303">
        <v>0.15780497600000001</v>
      </c>
      <c r="D303">
        <v>29.387708440000001</v>
      </c>
      <c r="E303">
        <v>0.18663142999999999</v>
      </c>
      <c r="F303">
        <v>4.3842472609999996</v>
      </c>
      <c r="G303">
        <v>0</v>
      </c>
      <c r="H303">
        <v>1083</v>
      </c>
      <c r="I303" t="s">
        <v>532</v>
      </c>
    </row>
    <row r="304" spans="1:9" x14ac:dyDescent="0.25">
      <c r="A304" t="s">
        <v>366</v>
      </c>
      <c r="D304">
        <v>39.238063760000003</v>
      </c>
      <c r="E304">
        <v>0.29041360999999999</v>
      </c>
      <c r="F304">
        <v>3.8122440119999998</v>
      </c>
      <c r="G304">
        <v>0</v>
      </c>
      <c r="H304">
        <v>1100</v>
      </c>
      <c r="I304" t="s">
        <v>535</v>
      </c>
    </row>
    <row r="305" spans="1:9" x14ac:dyDescent="0.25">
      <c r="A305" t="s">
        <v>614</v>
      </c>
      <c r="D305">
        <v>37.998304449999999</v>
      </c>
      <c r="E305">
        <v>0.31356586800000003</v>
      </c>
      <c r="F305">
        <v>3.7889553390000001</v>
      </c>
      <c r="G305">
        <v>0</v>
      </c>
      <c r="H305">
        <v>1101</v>
      </c>
      <c r="I305" t="s">
        <v>535</v>
      </c>
    </row>
    <row r="306" spans="1:9" x14ac:dyDescent="0.25">
      <c r="A306" t="s">
        <v>615</v>
      </c>
      <c r="D306">
        <v>38.344230549999999</v>
      </c>
      <c r="E306">
        <v>0.26927395599999998</v>
      </c>
      <c r="F306">
        <v>3.9235886130000002</v>
      </c>
      <c r="G306">
        <v>0</v>
      </c>
      <c r="H306">
        <v>1102</v>
      </c>
      <c r="I306" t="s">
        <v>535</v>
      </c>
    </row>
    <row r="307" spans="1:9" x14ac:dyDescent="0.25">
      <c r="A307" t="s">
        <v>616</v>
      </c>
      <c r="D307">
        <v>39.47249103</v>
      </c>
      <c r="E307">
        <v>0.25735967399999998</v>
      </c>
      <c r="F307">
        <v>3.4503743619999998</v>
      </c>
      <c r="G307">
        <v>0</v>
      </c>
      <c r="H307">
        <v>1112</v>
      </c>
      <c r="I307" t="s">
        <v>533</v>
      </c>
    </row>
    <row r="308" spans="1:9" x14ac:dyDescent="0.25">
      <c r="A308" t="s">
        <v>617</v>
      </c>
      <c r="D308">
        <v>35.850280320000003</v>
      </c>
      <c r="E308">
        <v>0.19742696600000001</v>
      </c>
      <c r="F308">
        <v>3.6790579970000001</v>
      </c>
      <c r="G308">
        <v>0</v>
      </c>
      <c r="H308">
        <v>1119</v>
      </c>
      <c r="I308" t="s">
        <v>535</v>
      </c>
    </row>
    <row r="309" spans="1:9" x14ac:dyDescent="0.25">
      <c r="A309" t="s">
        <v>618</v>
      </c>
      <c r="D309">
        <v>38.362180709999997</v>
      </c>
      <c r="E309">
        <v>0.235518747</v>
      </c>
      <c r="F309">
        <v>3.3880264470000001</v>
      </c>
      <c r="G309">
        <v>0</v>
      </c>
      <c r="H309">
        <v>1118</v>
      </c>
      <c r="I309" t="s">
        <v>533</v>
      </c>
    </row>
    <row r="310" spans="1:9" x14ac:dyDescent="0.25">
      <c r="A310" t="s">
        <v>378</v>
      </c>
      <c r="D310">
        <v>36.911207189999999</v>
      </c>
      <c r="E310">
        <v>0.20959793900000001</v>
      </c>
      <c r="F310">
        <v>2.9988500550000001</v>
      </c>
      <c r="G310">
        <v>0</v>
      </c>
      <c r="H310">
        <v>1117</v>
      </c>
      <c r="I310" t="s">
        <v>533</v>
      </c>
    </row>
    <row r="311" spans="1:9" x14ac:dyDescent="0.25">
      <c r="A311" t="s">
        <v>379</v>
      </c>
      <c r="D311">
        <v>36.912449279999997</v>
      </c>
      <c r="E311">
        <v>0.22613925500000001</v>
      </c>
      <c r="F311">
        <v>3.6699081950000001</v>
      </c>
      <c r="G311">
        <v>0</v>
      </c>
      <c r="H311">
        <v>1116</v>
      </c>
      <c r="I311" t="s">
        <v>535</v>
      </c>
    </row>
    <row r="312" spans="1:9" x14ac:dyDescent="0.25">
      <c r="A312" t="s">
        <v>619</v>
      </c>
      <c r="D312">
        <v>31.71610154</v>
      </c>
      <c r="E312">
        <v>0.19369899400000001</v>
      </c>
      <c r="F312">
        <v>4.5252955699999999</v>
      </c>
      <c r="G312">
        <v>0</v>
      </c>
      <c r="H312">
        <v>1115</v>
      </c>
      <c r="I312" t="s">
        <v>532</v>
      </c>
    </row>
    <row r="313" spans="1:9" x14ac:dyDescent="0.25">
      <c r="A313" t="s">
        <v>375</v>
      </c>
      <c r="D313">
        <v>36.492666710000002</v>
      </c>
      <c r="E313">
        <v>0.212894106</v>
      </c>
      <c r="F313">
        <v>3.9407959730000002</v>
      </c>
      <c r="G313">
        <v>0</v>
      </c>
      <c r="H313">
        <v>1114</v>
      </c>
      <c r="I313" t="s">
        <v>535</v>
      </c>
    </row>
    <row r="314" spans="1:9" x14ac:dyDescent="0.25">
      <c r="A314" t="s">
        <v>373</v>
      </c>
      <c r="D314">
        <v>40.133626939999999</v>
      </c>
      <c r="E314">
        <v>0.241638772</v>
      </c>
      <c r="F314">
        <v>3.467647785</v>
      </c>
      <c r="G314">
        <v>0</v>
      </c>
      <c r="H314">
        <v>1113</v>
      </c>
      <c r="I314" t="s">
        <v>533</v>
      </c>
    </row>
    <row r="315" spans="1:9" x14ac:dyDescent="0.25">
      <c r="A315" t="s">
        <v>620</v>
      </c>
      <c r="D315">
        <v>36.775493240000003</v>
      </c>
      <c r="E315">
        <v>0.25660798400000001</v>
      </c>
      <c r="F315">
        <v>3.7264876619999998</v>
      </c>
      <c r="G315">
        <v>0</v>
      </c>
      <c r="H315">
        <v>1111</v>
      </c>
      <c r="I315" t="s">
        <v>535</v>
      </c>
    </row>
    <row r="316" spans="1:9" x14ac:dyDescent="0.25">
      <c r="A316" t="s">
        <v>368</v>
      </c>
      <c r="D316">
        <v>36.527330679999999</v>
      </c>
      <c r="E316">
        <v>0.33240336199999998</v>
      </c>
      <c r="F316">
        <v>3.679382602</v>
      </c>
      <c r="G316">
        <v>0</v>
      </c>
      <c r="H316">
        <v>1103</v>
      </c>
      <c r="I316" t="s">
        <v>535</v>
      </c>
    </row>
    <row r="317" spans="1:9" x14ac:dyDescent="0.25">
      <c r="A317" t="s">
        <v>396</v>
      </c>
      <c r="D317">
        <v>35.580833929999997</v>
      </c>
      <c r="E317">
        <v>0.307425426</v>
      </c>
      <c r="F317">
        <v>3.6697647739999999</v>
      </c>
      <c r="G317">
        <v>0</v>
      </c>
      <c r="H317">
        <v>1110</v>
      </c>
      <c r="I317" t="s">
        <v>535</v>
      </c>
    </row>
    <row r="318" spans="1:9" x14ac:dyDescent="0.25">
      <c r="A318" t="s">
        <v>371</v>
      </c>
      <c r="D318">
        <v>36.013877010000002</v>
      </c>
      <c r="E318">
        <v>0.311670108</v>
      </c>
      <c r="F318">
        <v>3.3250166160000001</v>
      </c>
      <c r="G318">
        <v>0</v>
      </c>
      <c r="H318">
        <v>1109</v>
      </c>
      <c r="I318" t="s">
        <v>533</v>
      </c>
    </row>
    <row r="319" spans="1:9" x14ac:dyDescent="0.25">
      <c r="A319" t="s">
        <v>370</v>
      </c>
      <c r="D319">
        <v>34.319557469999999</v>
      </c>
      <c r="E319">
        <v>0.33865207000000003</v>
      </c>
      <c r="F319">
        <v>3.7070159579999999</v>
      </c>
      <c r="G319">
        <v>0</v>
      </c>
      <c r="H319">
        <v>1108</v>
      </c>
      <c r="I319" t="s">
        <v>535</v>
      </c>
    </row>
    <row r="320" spans="1:9" x14ac:dyDescent="0.25">
      <c r="A320" t="s">
        <v>339</v>
      </c>
      <c r="D320">
        <v>37.797746910000001</v>
      </c>
      <c r="E320">
        <v>0.24618939200000001</v>
      </c>
      <c r="F320">
        <v>3.4242473530000002</v>
      </c>
      <c r="G320">
        <v>0</v>
      </c>
      <c r="H320">
        <v>1107</v>
      </c>
      <c r="I320" t="s">
        <v>533</v>
      </c>
    </row>
    <row r="321" spans="1:9" x14ac:dyDescent="0.25">
      <c r="A321" t="s">
        <v>437</v>
      </c>
      <c r="B321">
        <v>8.0543566050000006</v>
      </c>
      <c r="C321">
        <v>5.7168426000000001E-2</v>
      </c>
      <c r="D321">
        <v>29.402127950000001</v>
      </c>
      <c r="E321">
        <v>0.105151469</v>
      </c>
      <c r="F321">
        <v>4.5324977960000004</v>
      </c>
      <c r="G321">
        <v>0</v>
      </c>
      <c r="H321">
        <v>1106</v>
      </c>
      <c r="I321" t="s">
        <v>532</v>
      </c>
    </row>
    <row r="322" spans="1:9" x14ac:dyDescent="0.25">
      <c r="A322" t="s">
        <v>405</v>
      </c>
      <c r="D322">
        <v>36.03459453</v>
      </c>
      <c r="E322">
        <v>0.14114950400000001</v>
      </c>
      <c r="F322">
        <v>3.3558656889999998</v>
      </c>
      <c r="G322">
        <v>0</v>
      </c>
      <c r="H322">
        <v>1105</v>
      </c>
      <c r="I322" t="s">
        <v>533</v>
      </c>
    </row>
    <row r="323" spans="1:9" x14ac:dyDescent="0.25">
      <c r="A323" t="s">
        <v>621</v>
      </c>
      <c r="D323">
        <v>40.050197500000003</v>
      </c>
      <c r="E323">
        <v>0.30452121399999998</v>
      </c>
      <c r="F323">
        <v>3.4608988300000001</v>
      </c>
      <c r="G323">
        <v>0</v>
      </c>
      <c r="H323">
        <v>1104</v>
      </c>
      <c r="I323" t="s">
        <v>533</v>
      </c>
    </row>
    <row r="324" spans="1:9" x14ac:dyDescent="0.25">
      <c r="A324" t="s">
        <v>285</v>
      </c>
      <c r="D324">
        <v>155.147141</v>
      </c>
      <c r="E324">
        <v>1.2507309369999999</v>
      </c>
      <c r="F324">
        <v>15.99317482</v>
      </c>
      <c r="G324">
        <v>0</v>
      </c>
      <c r="H324">
        <v>1000</v>
      </c>
      <c r="I324" t="s">
        <v>535</v>
      </c>
    </row>
    <row r="325" spans="1:9" x14ac:dyDescent="0.25">
      <c r="A325" t="s">
        <v>231</v>
      </c>
      <c r="B325">
        <v>124.43918410000001</v>
      </c>
      <c r="C325">
        <v>0.70983431100000005</v>
      </c>
      <c r="D325">
        <v>78.742879900000005</v>
      </c>
      <c r="E325">
        <v>0.35483532200000001</v>
      </c>
      <c r="F325">
        <v>11.662200070000001</v>
      </c>
      <c r="G325">
        <v>0</v>
      </c>
      <c r="H325">
        <v>397</v>
      </c>
      <c r="I325" t="s">
        <v>532</v>
      </c>
    </row>
    <row r="326" spans="1:9" x14ac:dyDescent="0.25">
      <c r="A326" t="s">
        <v>282</v>
      </c>
      <c r="D326">
        <v>182.1259048</v>
      </c>
      <c r="E326">
        <v>1.281702498</v>
      </c>
      <c r="F326">
        <v>15.923219720000001</v>
      </c>
      <c r="G326">
        <v>0</v>
      </c>
      <c r="H326">
        <v>998</v>
      </c>
      <c r="I326" t="s">
        <v>535</v>
      </c>
    </row>
    <row r="327" spans="1:9" x14ac:dyDescent="0.25">
      <c r="A327" t="s">
        <v>444</v>
      </c>
      <c r="B327">
        <v>44.574234439999998</v>
      </c>
      <c r="C327">
        <v>0.29842953500000002</v>
      </c>
      <c r="D327">
        <v>495.59932220000002</v>
      </c>
      <c r="E327">
        <v>2.1351603909999999</v>
      </c>
      <c r="F327">
        <v>38.419666630000002</v>
      </c>
      <c r="G327">
        <v>0</v>
      </c>
      <c r="H327">
        <v>323</v>
      </c>
      <c r="I327" t="s">
        <v>533</v>
      </c>
    </row>
    <row r="328" spans="1:9" x14ac:dyDescent="0.25">
      <c r="A328" t="s">
        <v>193</v>
      </c>
      <c r="B328">
        <v>232.9079758</v>
      </c>
      <c r="C328">
        <v>1.682356204</v>
      </c>
      <c r="D328">
        <v>86.049910740000001</v>
      </c>
      <c r="E328">
        <v>0.44892907999999998</v>
      </c>
      <c r="F328">
        <v>12.753224550000001</v>
      </c>
      <c r="G328">
        <v>0</v>
      </c>
      <c r="H328">
        <v>351</v>
      </c>
      <c r="I328" t="s">
        <v>532</v>
      </c>
    </row>
    <row r="329" spans="1:9" x14ac:dyDescent="0.25">
      <c r="A329" t="s">
        <v>194</v>
      </c>
      <c r="B329">
        <v>224.3325361</v>
      </c>
      <c r="C329">
        <v>1.5902046000000001</v>
      </c>
      <c r="D329">
        <v>88.635387320000007</v>
      </c>
      <c r="E329">
        <v>0.45615466900000001</v>
      </c>
      <c r="F329">
        <v>13.3582131</v>
      </c>
      <c r="G329">
        <v>0</v>
      </c>
      <c r="H329">
        <v>350</v>
      </c>
      <c r="I329" t="s">
        <v>532</v>
      </c>
    </row>
    <row r="330" spans="1:9" x14ac:dyDescent="0.25">
      <c r="A330" t="s">
        <v>215</v>
      </c>
      <c r="B330">
        <v>205.33974230000001</v>
      </c>
      <c r="C330">
        <v>1.1905374010000001</v>
      </c>
      <c r="D330">
        <v>120.4386822</v>
      </c>
      <c r="E330">
        <v>0.56707874999999996</v>
      </c>
      <c r="F330">
        <v>16.71612373</v>
      </c>
      <c r="G330">
        <v>0</v>
      </c>
      <c r="H330">
        <v>347</v>
      </c>
      <c r="I330" t="s">
        <v>532</v>
      </c>
    </row>
    <row r="331" spans="1:9" x14ac:dyDescent="0.25">
      <c r="A331" t="s">
        <v>196</v>
      </c>
      <c r="B331">
        <v>277.87334420000002</v>
      </c>
      <c r="C331">
        <v>1.7030687010000001</v>
      </c>
      <c r="D331">
        <v>81.498504909999994</v>
      </c>
      <c r="E331">
        <v>0.30134151199999998</v>
      </c>
      <c r="F331">
        <v>11.966777029999999</v>
      </c>
      <c r="G331">
        <v>0</v>
      </c>
      <c r="H331">
        <v>346</v>
      </c>
      <c r="I331" t="s">
        <v>532</v>
      </c>
    </row>
    <row r="332" spans="1:9" x14ac:dyDescent="0.25">
      <c r="A332" t="s">
        <v>245</v>
      </c>
      <c r="B332">
        <v>244.80435059999999</v>
      </c>
      <c r="C332">
        <v>1.6916690510000001</v>
      </c>
      <c r="D332">
        <v>99.164410050000001</v>
      </c>
      <c r="E332">
        <v>0.572990691</v>
      </c>
      <c r="F332">
        <v>13.999745669999999</v>
      </c>
      <c r="G332">
        <v>0</v>
      </c>
      <c r="H332">
        <v>345</v>
      </c>
      <c r="I332" t="s">
        <v>532</v>
      </c>
    </row>
    <row r="333" spans="1:9" x14ac:dyDescent="0.25">
      <c r="A333" t="s">
        <v>190</v>
      </c>
      <c r="B333">
        <v>345.7819609</v>
      </c>
      <c r="C333">
        <v>2.1802028529999999</v>
      </c>
      <c r="D333">
        <v>58.033025950000003</v>
      </c>
      <c r="E333">
        <v>0.26195182500000003</v>
      </c>
      <c r="F333">
        <v>8.809329172</v>
      </c>
      <c r="G333">
        <v>0</v>
      </c>
      <c r="H333">
        <v>344</v>
      </c>
      <c r="I333" t="s">
        <v>532</v>
      </c>
    </row>
    <row r="334" spans="1:9" x14ac:dyDescent="0.25">
      <c r="A334" t="s">
        <v>182</v>
      </c>
      <c r="B334">
        <v>234.89141190000001</v>
      </c>
      <c r="C334">
        <v>1.826673886</v>
      </c>
      <c r="D334">
        <v>123.1026143</v>
      </c>
      <c r="E334">
        <v>0.54969891800000004</v>
      </c>
      <c r="F334">
        <v>16.38318327</v>
      </c>
      <c r="G334">
        <v>0</v>
      </c>
      <c r="H334">
        <v>342</v>
      </c>
      <c r="I334" t="s">
        <v>532</v>
      </c>
    </row>
    <row r="335" spans="1:9" x14ac:dyDescent="0.25">
      <c r="A335" t="s">
        <v>191</v>
      </c>
      <c r="B335">
        <v>225.3122923</v>
      </c>
      <c r="C335">
        <v>1.6352857730000001</v>
      </c>
      <c r="D335">
        <v>180.80924419999999</v>
      </c>
      <c r="E335">
        <v>0.60562450800000001</v>
      </c>
      <c r="F335">
        <v>18.845776610000001</v>
      </c>
      <c r="G335">
        <v>0</v>
      </c>
      <c r="H335">
        <v>341</v>
      </c>
      <c r="I335" t="s">
        <v>532</v>
      </c>
    </row>
    <row r="336" spans="1:9" x14ac:dyDescent="0.25">
      <c r="A336" t="s">
        <v>189</v>
      </c>
      <c r="B336">
        <v>53.919125229999999</v>
      </c>
      <c r="C336">
        <v>0.45192023399999998</v>
      </c>
      <c r="D336">
        <v>335.33298389999999</v>
      </c>
      <c r="E336">
        <v>2.1414665620000002</v>
      </c>
      <c r="F336">
        <v>30.196847890000001</v>
      </c>
      <c r="G336">
        <v>0</v>
      </c>
      <c r="H336">
        <v>334</v>
      </c>
      <c r="I336" t="s">
        <v>533</v>
      </c>
    </row>
    <row r="337" spans="1:12" x14ac:dyDescent="0.25">
      <c r="A337" t="s">
        <v>281</v>
      </c>
      <c r="D337">
        <v>420.69197559999998</v>
      </c>
      <c r="E337">
        <v>2.0108440349999999</v>
      </c>
      <c r="F337">
        <v>33.15138735</v>
      </c>
      <c r="G337">
        <v>0</v>
      </c>
      <c r="H337">
        <v>333</v>
      </c>
      <c r="I337" t="s">
        <v>533</v>
      </c>
    </row>
    <row r="338" spans="1:12" x14ac:dyDescent="0.25">
      <c r="A338" t="s">
        <v>199</v>
      </c>
      <c r="B338">
        <v>24.299277620000002</v>
      </c>
      <c r="C338">
        <v>0.16502872499999999</v>
      </c>
      <c r="D338">
        <v>440.02868389999998</v>
      </c>
      <c r="E338">
        <v>2.5805708410000001</v>
      </c>
      <c r="F338">
        <v>34.72197431</v>
      </c>
      <c r="G338">
        <v>0</v>
      </c>
      <c r="H338">
        <v>332</v>
      </c>
      <c r="I338" t="s">
        <v>533</v>
      </c>
    </row>
    <row r="339" spans="1:12" x14ac:dyDescent="0.25">
      <c r="A339" t="s">
        <v>495</v>
      </c>
      <c r="B339">
        <v>32.044932719999998</v>
      </c>
      <c r="C339">
        <v>0.24582388999999999</v>
      </c>
      <c r="D339">
        <v>411.53759300000002</v>
      </c>
      <c r="E339">
        <v>2.5461920259999999</v>
      </c>
      <c r="F339">
        <v>39.691526400000001</v>
      </c>
      <c r="G339">
        <v>0</v>
      </c>
      <c r="H339">
        <v>331</v>
      </c>
      <c r="I339" t="s">
        <v>533</v>
      </c>
    </row>
    <row r="340" spans="1:12" x14ac:dyDescent="0.25">
      <c r="A340" t="s">
        <v>187</v>
      </c>
      <c r="B340">
        <v>13.384398940000001</v>
      </c>
      <c r="C340">
        <v>6.8227962000000003E-2</v>
      </c>
      <c r="D340">
        <v>464.65340509999999</v>
      </c>
      <c r="E340">
        <v>2.9820870030000002</v>
      </c>
      <c r="F340">
        <v>36.635683</v>
      </c>
      <c r="G340">
        <v>0</v>
      </c>
      <c r="H340">
        <v>330</v>
      </c>
      <c r="I340" t="s">
        <v>533</v>
      </c>
    </row>
    <row r="341" spans="1:12" x14ac:dyDescent="0.25">
      <c r="A341" t="s">
        <v>205</v>
      </c>
      <c r="D341">
        <v>442.07645769999999</v>
      </c>
      <c r="E341">
        <v>3.3367283319999999</v>
      </c>
      <c r="F341">
        <v>38.620922720000003</v>
      </c>
      <c r="G341">
        <v>0</v>
      </c>
      <c r="H341">
        <v>329</v>
      </c>
      <c r="I341" t="s">
        <v>533</v>
      </c>
    </row>
    <row r="342" spans="1:12" x14ac:dyDescent="0.25">
      <c r="A342" t="s">
        <v>185</v>
      </c>
      <c r="D342">
        <v>328.30216949999999</v>
      </c>
      <c r="E342">
        <v>1.931009669</v>
      </c>
      <c r="F342">
        <v>28.378399009999999</v>
      </c>
      <c r="G342">
        <v>0</v>
      </c>
      <c r="H342">
        <v>328</v>
      </c>
      <c r="I342" t="s">
        <v>533</v>
      </c>
    </row>
    <row r="343" spans="1:12" x14ac:dyDescent="0.25">
      <c r="A343" t="s">
        <v>438</v>
      </c>
      <c r="D343">
        <v>333.35564950000003</v>
      </c>
      <c r="E343">
        <v>2.466196858</v>
      </c>
      <c r="F343">
        <v>22.853326920000001</v>
      </c>
      <c r="G343">
        <v>0</v>
      </c>
      <c r="H343">
        <v>327</v>
      </c>
      <c r="I343" t="s">
        <v>533</v>
      </c>
    </row>
    <row r="344" spans="1:12" x14ac:dyDescent="0.25">
      <c r="A344" t="s">
        <v>174</v>
      </c>
      <c r="B344">
        <v>344.70434060000002</v>
      </c>
      <c r="C344">
        <v>2.6258252299999998</v>
      </c>
      <c r="D344">
        <v>91.035735770000002</v>
      </c>
      <c r="E344">
        <v>0.50575436200000001</v>
      </c>
      <c r="F344">
        <v>12.942818300000001</v>
      </c>
      <c r="G344">
        <v>0</v>
      </c>
      <c r="H344">
        <v>326</v>
      </c>
      <c r="I344" t="s">
        <v>532</v>
      </c>
    </row>
    <row r="345" spans="1:12" x14ac:dyDescent="0.25">
      <c r="A345" t="s">
        <v>195</v>
      </c>
      <c r="B345">
        <v>276.19039559999999</v>
      </c>
      <c r="C345">
        <v>1.789062948</v>
      </c>
      <c r="D345">
        <v>63.106771430000002</v>
      </c>
      <c r="E345">
        <v>0.382857685</v>
      </c>
      <c r="F345">
        <v>8.9105280219999994</v>
      </c>
      <c r="G345">
        <v>0</v>
      </c>
      <c r="H345">
        <v>352</v>
      </c>
      <c r="I345" t="s">
        <v>532</v>
      </c>
    </row>
    <row r="346" spans="1:12" x14ac:dyDescent="0.25">
      <c r="A346" t="s">
        <v>622</v>
      </c>
      <c r="B346">
        <v>264.8978401</v>
      </c>
      <c r="C346">
        <v>1.5696155759999999</v>
      </c>
      <c r="D346">
        <v>57.609783059999998</v>
      </c>
      <c r="E346">
        <v>0.35512937100000003</v>
      </c>
      <c r="F346">
        <v>8.1521260580000003</v>
      </c>
      <c r="G346">
        <v>0</v>
      </c>
      <c r="H346">
        <v>353</v>
      </c>
      <c r="I346" t="s">
        <v>532</v>
      </c>
    </row>
    <row r="347" spans="1:12" x14ac:dyDescent="0.25">
      <c r="A347" t="s">
        <v>216</v>
      </c>
      <c r="B347">
        <v>156.44877600000001</v>
      </c>
      <c r="C347">
        <v>1.189669136</v>
      </c>
      <c r="D347">
        <v>81.811262389999996</v>
      </c>
      <c r="E347">
        <v>0.50873700300000002</v>
      </c>
      <c r="F347">
        <v>10.93840288</v>
      </c>
      <c r="G347">
        <v>0</v>
      </c>
      <c r="H347">
        <v>354</v>
      </c>
      <c r="I347" t="s">
        <v>532</v>
      </c>
    </row>
    <row r="348" spans="1:12" x14ac:dyDescent="0.25">
      <c r="A348" t="s">
        <v>209</v>
      </c>
      <c r="D348">
        <v>374.8897111</v>
      </c>
      <c r="E348">
        <v>2.1962365909999999</v>
      </c>
      <c r="F348">
        <v>28.644844320000001</v>
      </c>
      <c r="G348">
        <v>0</v>
      </c>
      <c r="H348">
        <v>372</v>
      </c>
      <c r="I348" t="s">
        <v>533</v>
      </c>
    </row>
    <row r="349" spans="1:12" x14ac:dyDescent="0.25">
      <c r="A349" t="s">
        <v>10</v>
      </c>
      <c r="B349">
        <v>100.1357481</v>
      </c>
      <c r="C349">
        <v>1.5828317169999999</v>
      </c>
      <c r="G349">
        <v>0</v>
      </c>
      <c r="H349">
        <v>388</v>
      </c>
      <c r="I349" t="s">
        <v>534</v>
      </c>
      <c r="J349">
        <v>2158.5123979999998</v>
      </c>
      <c r="K349">
        <v>9.9225614709999999</v>
      </c>
      <c r="L349">
        <v>6.7068598399999999</v>
      </c>
    </row>
    <row r="350" spans="1:12" x14ac:dyDescent="0.25">
      <c r="A350" t="s">
        <v>208</v>
      </c>
      <c r="B350">
        <v>308.82247580000001</v>
      </c>
      <c r="C350">
        <v>2.3699670089999998</v>
      </c>
      <c r="G350">
        <v>0</v>
      </c>
      <c r="H350">
        <v>386</v>
      </c>
      <c r="I350" t="s">
        <v>534</v>
      </c>
      <c r="J350">
        <v>3203.5242410000001</v>
      </c>
      <c r="K350">
        <v>15.577754260000001</v>
      </c>
      <c r="L350">
        <v>12.56713358</v>
      </c>
    </row>
    <row r="351" spans="1:12" x14ac:dyDescent="0.25">
      <c r="A351" t="s">
        <v>20</v>
      </c>
      <c r="B351">
        <v>83.00616599</v>
      </c>
      <c r="C351">
        <v>0.48928778899999997</v>
      </c>
      <c r="G351">
        <v>0</v>
      </c>
      <c r="H351">
        <v>383</v>
      </c>
      <c r="I351" t="s">
        <v>534</v>
      </c>
      <c r="J351">
        <v>3813.2749739999999</v>
      </c>
      <c r="K351">
        <v>20.586038670000001</v>
      </c>
      <c r="L351">
        <v>11.161446919999999</v>
      </c>
    </row>
    <row r="352" spans="1:12" x14ac:dyDescent="0.25">
      <c r="A352" t="s">
        <v>178</v>
      </c>
      <c r="B352">
        <v>268.7114977</v>
      </c>
      <c r="C352">
        <v>2.0205822659999999</v>
      </c>
      <c r="G352">
        <v>0</v>
      </c>
      <c r="H352">
        <v>381</v>
      </c>
      <c r="I352" t="s">
        <v>534</v>
      </c>
      <c r="J352">
        <v>2905.8574269999999</v>
      </c>
      <c r="K352">
        <v>14.896755669999999</v>
      </c>
      <c r="L352">
        <v>9.2662502070000006</v>
      </c>
    </row>
    <row r="353" spans="1:9" x14ac:dyDescent="0.25">
      <c r="A353" t="s">
        <v>198</v>
      </c>
      <c r="B353">
        <v>181.8170198</v>
      </c>
      <c r="C353">
        <v>1.3840517400000001</v>
      </c>
      <c r="D353">
        <v>59.634402909999999</v>
      </c>
      <c r="E353">
        <v>0.25869317800000002</v>
      </c>
      <c r="F353">
        <v>9.2281240120000003</v>
      </c>
      <c r="G353">
        <v>0</v>
      </c>
      <c r="H353">
        <v>378</v>
      </c>
      <c r="I353" t="s">
        <v>532</v>
      </c>
    </row>
    <row r="354" spans="1:9" x14ac:dyDescent="0.25">
      <c r="A354" t="s">
        <v>369</v>
      </c>
      <c r="B354">
        <v>205.51677290000001</v>
      </c>
      <c r="C354">
        <v>1.462037174</v>
      </c>
      <c r="D354">
        <v>56.221532699999997</v>
      </c>
      <c r="E354">
        <v>0.29710974099999998</v>
      </c>
      <c r="F354">
        <v>8.0397061149999995</v>
      </c>
      <c r="G354">
        <v>0</v>
      </c>
      <c r="H354">
        <v>377</v>
      </c>
      <c r="I354" t="s">
        <v>532</v>
      </c>
    </row>
    <row r="355" spans="1:9" x14ac:dyDescent="0.25">
      <c r="A355" t="s">
        <v>188</v>
      </c>
      <c r="D355">
        <v>358.61559920000002</v>
      </c>
      <c r="E355">
        <v>1.475550803</v>
      </c>
      <c r="F355">
        <v>30.84743095</v>
      </c>
      <c r="G355">
        <v>0</v>
      </c>
      <c r="H355">
        <v>373</v>
      </c>
      <c r="I355" t="s">
        <v>533</v>
      </c>
    </row>
    <row r="356" spans="1:9" x14ac:dyDescent="0.25">
      <c r="A356" t="s">
        <v>206</v>
      </c>
      <c r="D356">
        <v>402.60419730000001</v>
      </c>
      <c r="E356">
        <v>1.9732896209999999</v>
      </c>
      <c r="F356">
        <v>27.61791646</v>
      </c>
      <c r="G356">
        <v>0</v>
      </c>
      <c r="H356">
        <v>371</v>
      </c>
      <c r="I356" t="s">
        <v>533</v>
      </c>
    </row>
    <row r="357" spans="1:9" x14ac:dyDescent="0.25">
      <c r="A357" t="s">
        <v>197</v>
      </c>
      <c r="B357">
        <v>241.3840471</v>
      </c>
      <c r="C357">
        <v>1.2929398110000001</v>
      </c>
      <c r="D357">
        <v>62.455426369999998</v>
      </c>
      <c r="E357">
        <v>0.226824369</v>
      </c>
      <c r="F357">
        <v>8.8519136700000001</v>
      </c>
      <c r="G357">
        <v>0</v>
      </c>
      <c r="H357">
        <v>356</v>
      </c>
      <c r="I357" t="s">
        <v>532</v>
      </c>
    </row>
    <row r="358" spans="1:9" x14ac:dyDescent="0.25">
      <c r="A358" t="s">
        <v>150</v>
      </c>
      <c r="B358">
        <v>28.969495389999999</v>
      </c>
      <c r="C358">
        <v>0.27278292500000001</v>
      </c>
      <c r="D358">
        <v>352.6883244</v>
      </c>
      <c r="E358">
        <v>2.43197017</v>
      </c>
      <c r="F358">
        <v>26.531712089999999</v>
      </c>
      <c r="G358">
        <v>0</v>
      </c>
      <c r="H358">
        <v>370</v>
      </c>
      <c r="I358" t="s">
        <v>533</v>
      </c>
    </row>
    <row r="359" spans="1:9" x14ac:dyDescent="0.25">
      <c r="A359" t="s">
        <v>203</v>
      </c>
      <c r="D359">
        <v>326.08514969999999</v>
      </c>
      <c r="E359">
        <v>3.4377677750000002</v>
      </c>
      <c r="F359">
        <v>29.08959424</v>
      </c>
      <c r="G359">
        <v>0</v>
      </c>
      <c r="H359">
        <v>368</v>
      </c>
      <c r="I359" t="s">
        <v>535</v>
      </c>
    </row>
    <row r="360" spans="1:9" x14ac:dyDescent="0.25">
      <c r="A360" t="s">
        <v>202</v>
      </c>
      <c r="B360">
        <v>2.101568587</v>
      </c>
      <c r="C360">
        <v>6.1821480999999998E-2</v>
      </c>
      <c r="D360">
        <v>369.26294089999999</v>
      </c>
      <c r="E360">
        <v>2.458903018</v>
      </c>
      <c r="F360">
        <v>31.36548363</v>
      </c>
      <c r="G360">
        <v>0</v>
      </c>
      <c r="H360">
        <v>367</v>
      </c>
      <c r="I360" t="s">
        <v>535</v>
      </c>
    </row>
    <row r="361" spans="1:9" x14ac:dyDescent="0.25">
      <c r="A361" t="s">
        <v>201</v>
      </c>
      <c r="D361">
        <v>382.07258150000001</v>
      </c>
      <c r="E361">
        <v>3.002779581</v>
      </c>
      <c r="F361">
        <v>33.79459602</v>
      </c>
      <c r="G361">
        <v>0</v>
      </c>
      <c r="H361">
        <v>366</v>
      </c>
      <c r="I361" t="s">
        <v>535</v>
      </c>
    </row>
    <row r="362" spans="1:9" x14ac:dyDescent="0.25">
      <c r="A362" t="s">
        <v>204</v>
      </c>
      <c r="B362">
        <v>29.906396610000002</v>
      </c>
      <c r="C362">
        <v>0.199839873</v>
      </c>
      <c r="D362">
        <v>359.32729289999997</v>
      </c>
      <c r="E362">
        <v>1.780189944</v>
      </c>
      <c r="F362">
        <v>32.454407330000002</v>
      </c>
      <c r="G362">
        <v>0</v>
      </c>
      <c r="H362">
        <v>359</v>
      </c>
      <c r="I362" t="s">
        <v>533</v>
      </c>
    </row>
    <row r="363" spans="1:9" x14ac:dyDescent="0.25">
      <c r="A363" t="s">
        <v>210</v>
      </c>
      <c r="D363">
        <v>420.2535762</v>
      </c>
      <c r="E363">
        <v>1.780295527</v>
      </c>
      <c r="F363">
        <v>32.191592759999999</v>
      </c>
      <c r="G363">
        <v>0</v>
      </c>
      <c r="H363">
        <v>358</v>
      </c>
      <c r="I363" t="s">
        <v>533</v>
      </c>
    </row>
    <row r="364" spans="1:9" x14ac:dyDescent="0.25">
      <c r="A364" t="s">
        <v>623</v>
      </c>
      <c r="B364">
        <v>191.9465313</v>
      </c>
      <c r="C364">
        <v>1.1319182940000001</v>
      </c>
      <c r="D364">
        <v>69.277777459999996</v>
      </c>
      <c r="E364">
        <v>0.298544592</v>
      </c>
      <c r="F364">
        <v>10.51051477</v>
      </c>
      <c r="G364">
        <v>0</v>
      </c>
      <c r="H364">
        <v>357</v>
      </c>
      <c r="I364" t="s">
        <v>532</v>
      </c>
    </row>
    <row r="365" spans="1:9" x14ac:dyDescent="0.25">
      <c r="A365" t="s">
        <v>164</v>
      </c>
      <c r="B365">
        <v>338.73691769999999</v>
      </c>
      <c r="C365">
        <v>2.6793903999999999</v>
      </c>
      <c r="D365">
        <v>93.326489280000004</v>
      </c>
      <c r="E365">
        <v>0.56454516399999999</v>
      </c>
      <c r="F365">
        <v>13.086808980000001</v>
      </c>
      <c r="G365">
        <v>0</v>
      </c>
      <c r="H365">
        <v>325</v>
      </c>
      <c r="I365" t="s">
        <v>532</v>
      </c>
    </row>
    <row r="366" spans="1:9" x14ac:dyDescent="0.25">
      <c r="A366" t="s">
        <v>179</v>
      </c>
      <c r="B366">
        <v>279.18699140000001</v>
      </c>
      <c r="C366">
        <v>2.0497931290000002</v>
      </c>
      <c r="D366">
        <v>138.70676370000001</v>
      </c>
      <c r="E366">
        <v>0.48100562899999999</v>
      </c>
      <c r="F366">
        <v>19.957304629999999</v>
      </c>
      <c r="G366">
        <v>0</v>
      </c>
      <c r="H366">
        <v>322</v>
      </c>
      <c r="I366" t="s">
        <v>532</v>
      </c>
    </row>
    <row r="367" spans="1:9" x14ac:dyDescent="0.25">
      <c r="A367" t="s">
        <v>140</v>
      </c>
      <c r="D367">
        <v>330.3299217</v>
      </c>
      <c r="E367">
        <v>2.2046798440000002</v>
      </c>
      <c r="F367">
        <v>28.187965859999998</v>
      </c>
      <c r="G367">
        <v>0</v>
      </c>
      <c r="H367">
        <v>392</v>
      </c>
      <c r="I367" t="s">
        <v>533</v>
      </c>
    </row>
    <row r="368" spans="1:9" x14ac:dyDescent="0.25">
      <c r="A368" t="s">
        <v>183</v>
      </c>
      <c r="B368">
        <v>327.78586159999998</v>
      </c>
      <c r="C368">
        <v>2.6340486109999999</v>
      </c>
      <c r="D368">
        <v>108.5233824</v>
      </c>
      <c r="E368">
        <v>0.50095229900000005</v>
      </c>
      <c r="F368">
        <v>15.06941222</v>
      </c>
      <c r="G368">
        <v>0</v>
      </c>
      <c r="H368">
        <v>321</v>
      </c>
      <c r="I368" t="s">
        <v>532</v>
      </c>
    </row>
    <row r="369" spans="1:12" x14ac:dyDescent="0.25">
      <c r="A369" t="s">
        <v>452</v>
      </c>
      <c r="D369">
        <v>621.16076599999997</v>
      </c>
      <c r="E369">
        <v>5.020031522</v>
      </c>
      <c r="F369">
        <v>41.811260959999998</v>
      </c>
      <c r="G369">
        <v>0</v>
      </c>
      <c r="H369">
        <v>284</v>
      </c>
      <c r="I369" t="s">
        <v>533</v>
      </c>
    </row>
    <row r="370" spans="1:12" x14ac:dyDescent="0.25">
      <c r="A370" t="s">
        <v>23</v>
      </c>
      <c r="B370">
        <v>162.89434510000001</v>
      </c>
      <c r="C370">
        <v>2.0445339890000001</v>
      </c>
      <c r="G370">
        <v>0</v>
      </c>
      <c r="H370">
        <v>282</v>
      </c>
      <c r="I370" t="s">
        <v>534</v>
      </c>
      <c r="J370">
        <v>3812.2506800000001</v>
      </c>
      <c r="K370">
        <v>20.508465489999999</v>
      </c>
      <c r="L370">
        <v>12.543527689999999</v>
      </c>
    </row>
    <row r="371" spans="1:12" x14ac:dyDescent="0.25">
      <c r="A371" t="s">
        <v>15</v>
      </c>
      <c r="B371">
        <v>486.45426509999999</v>
      </c>
      <c r="C371">
        <v>2.9789552879999999</v>
      </c>
      <c r="G371">
        <v>0</v>
      </c>
      <c r="H371">
        <v>277</v>
      </c>
      <c r="I371" t="s">
        <v>534</v>
      </c>
      <c r="J371">
        <v>3284.9904489999999</v>
      </c>
      <c r="K371">
        <v>14.021176410000001</v>
      </c>
      <c r="L371">
        <v>10.675378520000001</v>
      </c>
    </row>
    <row r="372" spans="1:12" x14ac:dyDescent="0.25">
      <c r="A372" t="s">
        <v>33</v>
      </c>
      <c r="B372">
        <v>267.50821860000002</v>
      </c>
      <c r="C372">
        <v>0.81496349499999998</v>
      </c>
      <c r="G372">
        <v>0</v>
      </c>
      <c r="H372">
        <v>275</v>
      </c>
      <c r="I372" t="s">
        <v>534</v>
      </c>
      <c r="J372">
        <v>3530.0175939999999</v>
      </c>
      <c r="K372">
        <v>20.111568599999998</v>
      </c>
      <c r="L372">
        <v>11.63658468</v>
      </c>
    </row>
    <row r="373" spans="1:12" x14ac:dyDescent="0.25">
      <c r="A373" t="s">
        <v>11</v>
      </c>
      <c r="B373">
        <v>68.192145319999995</v>
      </c>
      <c r="C373">
        <v>0.97853151100000002</v>
      </c>
      <c r="G373">
        <v>0</v>
      </c>
      <c r="H373">
        <v>270</v>
      </c>
      <c r="I373" t="s">
        <v>534</v>
      </c>
      <c r="J373">
        <v>4056.0946260000001</v>
      </c>
      <c r="K373">
        <v>23.142974049999999</v>
      </c>
      <c r="L373">
        <v>12.4294683</v>
      </c>
    </row>
    <row r="374" spans="1:12" x14ac:dyDescent="0.25">
      <c r="A374" t="s">
        <v>192</v>
      </c>
      <c r="B374">
        <v>147.5514689</v>
      </c>
      <c r="C374">
        <v>0.98175669300000001</v>
      </c>
      <c r="D374">
        <v>87.760881229999995</v>
      </c>
      <c r="E374">
        <v>0.42965869400000001</v>
      </c>
      <c r="F374">
        <v>12.432812589999999</v>
      </c>
      <c r="G374">
        <v>0</v>
      </c>
      <c r="H374">
        <v>269</v>
      </c>
      <c r="I374" t="s">
        <v>532</v>
      </c>
    </row>
    <row r="375" spans="1:12" x14ac:dyDescent="0.25">
      <c r="A375" t="s">
        <v>159</v>
      </c>
      <c r="B375">
        <v>340.70981119999999</v>
      </c>
      <c r="C375">
        <v>2.2776768949999999</v>
      </c>
      <c r="D375">
        <v>147.51364319999999</v>
      </c>
      <c r="E375">
        <v>1.4695430220000001</v>
      </c>
      <c r="F375">
        <v>17.2255684</v>
      </c>
      <c r="G375">
        <v>0</v>
      </c>
      <c r="H375">
        <v>265</v>
      </c>
      <c r="I375" t="s">
        <v>532</v>
      </c>
    </row>
    <row r="376" spans="1:12" x14ac:dyDescent="0.25">
      <c r="A376" t="s">
        <v>144</v>
      </c>
      <c r="D376">
        <v>545.86567290000005</v>
      </c>
      <c r="E376">
        <v>2.3573582449999999</v>
      </c>
      <c r="F376">
        <v>48.730633740000002</v>
      </c>
      <c r="G376">
        <v>0</v>
      </c>
      <c r="H376">
        <v>263</v>
      </c>
      <c r="I376" t="s">
        <v>533</v>
      </c>
    </row>
    <row r="377" spans="1:12" x14ac:dyDescent="0.25">
      <c r="A377" t="s">
        <v>163</v>
      </c>
      <c r="D377">
        <v>511.78645799999998</v>
      </c>
      <c r="E377">
        <v>3.913602515</v>
      </c>
      <c r="F377">
        <v>45.34826219</v>
      </c>
      <c r="G377">
        <v>0</v>
      </c>
      <c r="H377">
        <v>260</v>
      </c>
      <c r="I377" t="s">
        <v>535</v>
      </c>
    </row>
    <row r="378" spans="1:12" x14ac:dyDescent="0.25">
      <c r="A378" t="s">
        <v>149</v>
      </c>
      <c r="B378">
        <v>0.72951348199999999</v>
      </c>
      <c r="C378">
        <v>3.2144565999999999E-2</v>
      </c>
      <c r="D378">
        <v>442.33684599999998</v>
      </c>
      <c r="E378">
        <v>3.3075254119999999</v>
      </c>
      <c r="F378">
        <v>49.67327916</v>
      </c>
      <c r="G378">
        <v>0</v>
      </c>
      <c r="H378">
        <v>222</v>
      </c>
      <c r="I378" t="s">
        <v>535</v>
      </c>
    </row>
    <row r="379" spans="1:12" x14ac:dyDescent="0.25">
      <c r="A379" t="s">
        <v>162</v>
      </c>
      <c r="D379">
        <v>437.91182500000002</v>
      </c>
      <c r="E379">
        <v>3.7545394509999999</v>
      </c>
      <c r="F379">
        <v>44.825748879999999</v>
      </c>
      <c r="G379">
        <v>0</v>
      </c>
      <c r="H379">
        <v>221</v>
      </c>
      <c r="I379" t="s">
        <v>535</v>
      </c>
    </row>
    <row r="380" spans="1:12" x14ac:dyDescent="0.25">
      <c r="A380" t="s">
        <v>161</v>
      </c>
      <c r="B380">
        <v>0.62276823599999998</v>
      </c>
      <c r="D380">
        <v>539.24064090000002</v>
      </c>
      <c r="E380">
        <v>2.4968501170000001</v>
      </c>
      <c r="F380">
        <v>49.715437809999997</v>
      </c>
      <c r="G380">
        <v>0</v>
      </c>
      <c r="H380">
        <v>220</v>
      </c>
      <c r="I380" t="s">
        <v>535</v>
      </c>
    </row>
    <row r="381" spans="1:12" x14ac:dyDescent="0.25">
      <c r="A381" t="s">
        <v>160</v>
      </c>
      <c r="B381">
        <v>300.86809140000003</v>
      </c>
      <c r="C381">
        <v>3.2519525389999999</v>
      </c>
      <c r="D381">
        <v>281.80277289999998</v>
      </c>
      <c r="E381">
        <v>2.2661033640000001</v>
      </c>
      <c r="F381">
        <v>30.577893710000001</v>
      </c>
      <c r="G381">
        <v>0</v>
      </c>
      <c r="H381">
        <v>217</v>
      </c>
      <c r="I381" t="s">
        <v>535</v>
      </c>
      <c r="J381">
        <v>80.026979510000004</v>
      </c>
      <c r="K381">
        <v>0.43689453</v>
      </c>
      <c r="L381">
        <v>0.30531790599999997</v>
      </c>
    </row>
    <row r="382" spans="1:12" x14ac:dyDescent="0.25">
      <c r="A382" t="s">
        <v>16</v>
      </c>
      <c r="B382">
        <v>51.167192069999999</v>
      </c>
      <c r="C382">
        <v>1.8281136899999999</v>
      </c>
      <c r="G382">
        <v>0</v>
      </c>
      <c r="H382">
        <v>214</v>
      </c>
      <c r="I382" t="s">
        <v>534</v>
      </c>
      <c r="J382">
        <v>3753.5334859999998</v>
      </c>
      <c r="K382">
        <v>23.136184020000002</v>
      </c>
      <c r="L382">
        <v>10.13020661</v>
      </c>
    </row>
    <row r="383" spans="1:12" x14ac:dyDescent="0.25">
      <c r="A383" t="s">
        <v>30</v>
      </c>
      <c r="B383">
        <v>113.79734740000001</v>
      </c>
      <c r="C383">
        <v>1.034898155</v>
      </c>
      <c r="G383">
        <v>0</v>
      </c>
      <c r="H383">
        <v>212</v>
      </c>
      <c r="I383" t="s">
        <v>534</v>
      </c>
      <c r="J383">
        <v>4025.1765190000001</v>
      </c>
      <c r="K383">
        <v>22.915737289999999</v>
      </c>
      <c r="L383">
        <v>11.97313737</v>
      </c>
    </row>
    <row r="384" spans="1:12" x14ac:dyDescent="0.25">
      <c r="A384" t="s">
        <v>171</v>
      </c>
      <c r="D384">
        <v>672.16754019999996</v>
      </c>
      <c r="E384">
        <v>2.9648013550000001</v>
      </c>
      <c r="F384">
        <v>52.157705499999999</v>
      </c>
      <c r="G384">
        <v>0</v>
      </c>
      <c r="H384">
        <v>211</v>
      </c>
      <c r="I384" t="s">
        <v>533</v>
      </c>
    </row>
    <row r="385" spans="1:12" x14ac:dyDescent="0.25">
      <c r="A385" t="s">
        <v>165</v>
      </c>
      <c r="D385">
        <v>697.64403930000003</v>
      </c>
      <c r="E385">
        <v>4.3607907700000004</v>
      </c>
      <c r="F385">
        <v>57.755182550000001</v>
      </c>
      <c r="G385">
        <v>0</v>
      </c>
      <c r="H385">
        <v>210</v>
      </c>
      <c r="I385" t="s">
        <v>533</v>
      </c>
    </row>
    <row r="386" spans="1:12" x14ac:dyDescent="0.25">
      <c r="A386" t="s">
        <v>166</v>
      </c>
      <c r="B386">
        <v>51.152928410000001</v>
      </c>
      <c r="C386">
        <v>0.392051064</v>
      </c>
      <c r="D386">
        <v>571.40581259999999</v>
      </c>
      <c r="E386">
        <v>1.2637646950000001</v>
      </c>
      <c r="F386">
        <v>62.504884179999998</v>
      </c>
      <c r="G386">
        <v>0</v>
      </c>
      <c r="H386">
        <v>287</v>
      </c>
      <c r="I386" t="s">
        <v>533</v>
      </c>
    </row>
    <row r="387" spans="1:12" x14ac:dyDescent="0.25">
      <c r="A387" t="s">
        <v>167</v>
      </c>
      <c r="B387">
        <v>11.579349779999999</v>
      </c>
      <c r="C387">
        <v>6.9436340999999999E-2</v>
      </c>
      <c r="D387">
        <v>578.95084429999997</v>
      </c>
      <c r="E387">
        <v>2.4956608409999999</v>
      </c>
      <c r="F387">
        <v>58.066012149999999</v>
      </c>
      <c r="G387">
        <v>0</v>
      </c>
      <c r="H387">
        <v>288</v>
      </c>
      <c r="I387" t="s">
        <v>533</v>
      </c>
    </row>
    <row r="388" spans="1:12" x14ac:dyDescent="0.25">
      <c r="A388" t="s">
        <v>141</v>
      </c>
      <c r="B388">
        <v>10.230762329999999</v>
      </c>
      <c r="C388">
        <v>4.3624239000000002E-2</v>
      </c>
      <c r="D388">
        <v>437.92108669999999</v>
      </c>
      <c r="E388">
        <v>2.4142477210000002</v>
      </c>
      <c r="F388">
        <v>37.180961519999997</v>
      </c>
      <c r="G388">
        <v>0</v>
      </c>
      <c r="H388">
        <v>290</v>
      </c>
      <c r="I388" t="s">
        <v>533</v>
      </c>
    </row>
    <row r="389" spans="1:12" x14ac:dyDescent="0.25">
      <c r="A389" t="s">
        <v>146</v>
      </c>
      <c r="B389">
        <v>182.9274379</v>
      </c>
      <c r="C389">
        <v>1.396937769</v>
      </c>
      <c r="D389">
        <v>78.233353109999996</v>
      </c>
      <c r="E389">
        <v>0.513370561</v>
      </c>
      <c r="F389">
        <v>10.291793350000001</v>
      </c>
      <c r="G389">
        <v>0</v>
      </c>
      <c r="H389">
        <v>309</v>
      </c>
      <c r="I389" t="s">
        <v>532</v>
      </c>
    </row>
    <row r="390" spans="1:12" x14ac:dyDescent="0.25">
      <c r="A390" t="s">
        <v>122</v>
      </c>
      <c r="B390">
        <v>200.16003359999999</v>
      </c>
      <c r="C390">
        <v>1.0500381700000001</v>
      </c>
      <c r="D390">
        <v>134.66242600000001</v>
      </c>
      <c r="E390">
        <v>0.77426052899999998</v>
      </c>
      <c r="F390">
        <v>17.13141517</v>
      </c>
      <c r="G390">
        <v>0</v>
      </c>
      <c r="H390">
        <v>320</v>
      </c>
      <c r="I390" t="s">
        <v>532</v>
      </c>
    </row>
    <row r="391" spans="1:12" x14ac:dyDescent="0.25">
      <c r="A391" t="s">
        <v>14</v>
      </c>
      <c r="B391">
        <v>189.396795</v>
      </c>
      <c r="C391">
        <v>1.8263438750000001</v>
      </c>
      <c r="G391">
        <v>0</v>
      </c>
      <c r="H391">
        <v>318</v>
      </c>
      <c r="I391" t="s">
        <v>534</v>
      </c>
      <c r="J391">
        <v>3153.6845130000002</v>
      </c>
      <c r="K391">
        <v>16.811417670000001</v>
      </c>
      <c r="L391">
        <v>12.75008006</v>
      </c>
    </row>
    <row r="392" spans="1:12" x14ac:dyDescent="0.25">
      <c r="A392" t="s">
        <v>177</v>
      </c>
      <c r="B392">
        <v>226.47609700000001</v>
      </c>
      <c r="C392">
        <v>1.4407766360000001</v>
      </c>
      <c r="G392">
        <v>0</v>
      </c>
      <c r="H392">
        <v>316</v>
      </c>
      <c r="I392" t="s">
        <v>534</v>
      </c>
      <c r="J392">
        <v>3503.6205199999999</v>
      </c>
      <c r="K392">
        <v>19.945276329999999</v>
      </c>
      <c r="L392">
        <v>10.12048555</v>
      </c>
    </row>
    <row r="393" spans="1:12" x14ac:dyDescent="0.25">
      <c r="A393" t="s">
        <v>34</v>
      </c>
      <c r="B393">
        <v>161.07863420000001</v>
      </c>
      <c r="C393">
        <v>1.2398660029999999</v>
      </c>
      <c r="G393">
        <v>0</v>
      </c>
      <c r="H393">
        <v>314</v>
      </c>
      <c r="I393" t="s">
        <v>534</v>
      </c>
      <c r="J393">
        <v>3918.4828520000001</v>
      </c>
      <c r="K393">
        <v>23.609087079999998</v>
      </c>
      <c r="L393">
        <v>12.10537236</v>
      </c>
    </row>
    <row r="394" spans="1:12" x14ac:dyDescent="0.25">
      <c r="A394" t="s">
        <v>176</v>
      </c>
      <c r="D394">
        <v>394.4902783</v>
      </c>
      <c r="E394">
        <v>3.175964998</v>
      </c>
      <c r="F394">
        <v>41.483851610000002</v>
      </c>
      <c r="G394">
        <v>0</v>
      </c>
      <c r="H394">
        <v>313</v>
      </c>
      <c r="I394" t="s">
        <v>535</v>
      </c>
    </row>
    <row r="395" spans="1:12" x14ac:dyDescent="0.25">
      <c r="A395" t="s">
        <v>175</v>
      </c>
      <c r="D395">
        <v>456.59925399999997</v>
      </c>
      <c r="E395">
        <v>3.4688065309999998</v>
      </c>
      <c r="F395">
        <v>43.379077180000003</v>
      </c>
      <c r="G395">
        <v>0</v>
      </c>
      <c r="H395">
        <v>312</v>
      </c>
      <c r="I395" t="s">
        <v>535</v>
      </c>
    </row>
    <row r="396" spans="1:12" x14ac:dyDescent="0.25">
      <c r="A396" t="s">
        <v>152</v>
      </c>
      <c r="D396">
        <v>452.99402350000003</v>
      </c>
      <c r="E396">
        <v>1.9278204640000001</v>
      </c>
      <c r="F396">
        <v>45.694405609999997</v>
      </c>
      <c r="G396">
        <v>0</v>
      </c>
      <c r="H396">
        <v>311</v>
      </c>
      <c r="I396" t="s">
        <v>535</v>
      </c>
    </row>
    <row r="397" spans="1:12" x14ac:dyDescent="0.25">
      <c r="A397" t="s">
        <v>148</v>
      </c>
      <c r="B397">
        <v>498.89563479999998</v>
      </c>
      <c r="C397">
        <v>3.2216656769999998</v>
      </c>
      <c r="D397">
        <v>86.14099401</v>
      </c>
      <c r="E397">
        <v>0.50694802699999997</v>
      </c>
      <c r="F397">
        <v>12.757910900000001</v>
      </c>
      <c r="G397">
        <v>0</v>
      </c>
      <c r="H397">
        <v>308</v>
      </c>
      <c r="I397" t="s">
        <v>532</v>
      </c>
    </row>
    <row r="398" spans="1:12" x14ac:dyDescent="0.25">
      <c r="A398" t="s">
        <v>172</v>
      </c>
      <c r="D398">
        <v>603.45197310000003</v>
      </c>
      <c r="E398">
        <v>2.6232154689999998</v>
      </c>
      <c r="F398">
        <v>45.716629849999997</v>
      </c>
      <c r="G398">
        <v>0</v>
      </c>
      <c r="H398">
        <v>294</v>
      </c>
      <c r="I398" t="s">
        <v>533</v>
      </c>
    </row>
    <row r="399" spans="1:12" x14ac:dyDescent="0.25">
      <c r="A399" t="s">
        <v>173</v>
      </c>
      <c r="B399">
        <v>402.99562170000002</v>
      </c>
      <c r="C399">
        <v>2.1754234229999998</v>
      </c>
      <c r="D399">
        <v>147.67484479999999</v>
      </c>
      <c r="E399">
        <v>0.38063940699999999</v>
      </c>
      <c r="F399">
        <v>25.182354109999999</v>
      </c>
      <c r="G399">
        <v>0</v>
      </c>
      <c r="H399">
        <v>307</v>
      </c>
      <c r="I399" t="s">
        <v>532</v>
      </c>
    </row>
    <row r="400" spans="1:12" x14ac:dyDescent="0.25">
      <c r="A400" t="s">
        <v>200</v>
      </c>
      <c r="D400">
        <v>505.2841148</v>
      </c>
      <c r="E400">
        <v>3.6707265530000002</v>
      </c>
      <c r="F400">
        <v>41.69227205</v>
      </c>
      <c r="G400">
        <v>0</v>
      </c>
      <c r="H400">
        <v>306</v>
      </c>
      <c r="I400" t="s">
        <v>533</v>
      </c>
    </row>
    <row r="401" spans="1:12" x14ac:dyDescent="0.25">
      <c r="A401" t="s">
        <v>184</v>
      </c>
      <c r="D401">
        <v>534.88746760000004</v>
      </c>
      <c r="E401">
        <v>3.2799893980000001</v>
      </c>
      <c r="F401">
        <v>43.480784249999999</v>
      </c>
      <c r="G401">
        <v>0</v>
      </c>
      <c r="H401">
        <v>305</v>
      </c>
      <c r="I401" t="s">
        <v>533</v>
      </c>
    </row>
    <row r="402" spans="1:12" x14ac:dyDescent="0.25">
      <c r="A402" t="s">
        <v>181</v>
      </c>
      <c r="D402">
        <v>607.03268149999997</v>
      </c>
      <c r="E402">
        <v>2.163119858</v>
      </c>
      <c r="F402">
        <v>44.334387550000002</v>
      </c>
      <c r="G402">
        <v>0</v>
      </c>
      <c r="H402">
        <v>302</v>
      </c>
      <c r="I402" t="s">
        <v>533</v>
      </c>
    </row>
    <row r="403" spans="1:12" x14ac:dyDescent="0.25">
      <c r="A403" t="s">
        <v>143</v>
      </c>
      <c r="D403">
        <v>574.18526450000002</v>
      </c>
      <c r="E403">
        <v>3.469395064</v>
      </c>
      <c r="F403">
        <v>43.244866340000002</v>
      </c>
      <c r="G403">
        <v>0</v>
      </c>
      <c r="H403">
        <v>301</v>
      </c>
      <c r="I403" t="s">
        <v>533</v>
      </c>
    </row>
    <row r="404" spans="1:12" x14ac:dyDescent="0.25">
      <c r="A404" t="s">
        <v>169</v>
      </c>
      <c r="D404">
        <v>334.71875599999998</v>
      </c>
      <c r="E404">
        <v>2.3139276679999998</v>
      </c>
      <c r="F404">
        <v>34.352079979999999</v>
      </c>
      <c r="G404">
        <v>0</v>
      </c>
      <c r="H404">
        <v>298</v>
      </c>
      <c r="I404" t="s">
        <v>535</v>
      </c>
    </row>
    <row r="405" spans="1:12" x14ac:dyDescent="0.25">
      <c r="A405" t="s">
        <v>170</v>
      </c>
      <c r="D405">
        <v>381.28722820000002</v>
      </c>
      <c r="E405">
        <v>2.2943712060000001</v>
      </c>
      <c r="F405">
        <v>38.573689510000001</v>
      </c>
      <c r="G405">
        <v>0</v>
      </c>
      <c r="H405">
        <v>297</v>
      </c>
      <c r="I405" t="s">
        <v>535</v>
      </c>
    </row>
    <row r="406" spans="1:12" x14ac:dyDescent="0.25">
      <c r="A406" t="s">
        <v>274</v>
      </c>
      <c r="B406">
        <v>25.620575500000001</v>
      </c>
      <c r="C406">
        <v>0.16577434499999999</v>
      </c>
      <c r="D406">
        <v>333.05528900000002</v>
      </c>
      <c r="E406">
        <v>1.2324274829999999</v>
      </c>
      <c r="F406">
        <v>29.86601555</v>
      </c>
      <c r="G406">
        <v>0</v>
      </c>
      <c r="H406">
        <v>391</v>
      </c>
      <c r="I406" t="s">
        <v>533</v>
      </c>
    </row>
    <row r="407" spans="1:12" x14ac:dyDescent="0.25">
      <c r="A407" t="s">
        <v>212</v>
      </c>
      <c r="B407">
        <v>21.927166530000001</v>
      </c>
      <c r="C407">
        <v>0.174787568</v>
      </c>
      <c r="D407">
        <v>324.76775880000002</v>
      </c>
      <c r="E407">
        <v>1.732872432</v>
      </c>
      <c r="F407">
        <v>25.25128982</v>
      </c>
      <c r="G407">
        <v>0</v>
      </c>
      <c r="H407">
        <v>393</v>
      </c>
      <c r="I407" t="s">
        <v>533</v>
      </c>
    </row>
    <row r="408" spans="1:12" x14ac:dyDescent="0.25">
      <c r="A408" t="s">
        <v>255</v>
      </c>
      <c r="D408">
        <v>171.23765929999999</v>
      </c>
      <c r="E408">
        <v>1.1892031540000001</v>
      </c>
      <c r="F408">
        <v>17.779198319999999</v>
      </c>
      <c r="G408">
        <v>0</v>
      </c>
      <c r="H408">
        <v>997</v>
      </c>
      <c r="I408" t="s">
        <v>535</v>
      </c>
    </row>
    <row r="409" spans="1:12" x14ac:dyDescent="0.25">
      <c r="A409" t="s">
        <v>247</v>
      </c>
      <c r="D409">
        <v>222.74113700000001</v>
      </c>
      <c r="E409">
        <v>1.272539525</v>
      </c>
      <c r="F409">
        <v>23.968235539999998</v>
      </c>
      <c r="G409">
        <v>0</v>
      </c>
      <c r="H409">
        <v>460</v>
      </c>
      <c r="I409" t="s">
        <v>535</v>
      </c>
    </row>
    <row r="410" spans="1:12" x14ac:dyDescent="0.25">
      <c r="A410" t="s">
        <v>266</v>
      </c>
      <c r="B410">
        <v>24.585202899999999</v>
      </c>
      <c r="C410">
        <v>0.464527835</v>
      </c>
      <c r="G410">
        <v>0</v>
      </c>
      <c r="H410">
        <v>484</v>
      </c>
      <c r="I410" t="s">
        <v>534</v>
      </c>
      <c r="J410">
        <v>463.01447480000002</v>
      </c>
      <c r="K410">
        <v>2.9201329089999999</v>
      </c>
      <c r="L410">
        <v>1.4784481300000001</v>
      </c>
    </row>
    <row r="411" spans="1:12" x14ac:dyDescent="0.25">
      <c r="A411" t="s">
        <v>265</v>
      </c>
      <c r="B411">
        <v>7.1571992040000003</v>
      </c>
      <c r="C411">
        <v>0.15708129500000001</v>
      </c>
      <c r="G411">
        <v>0</v>
      </c>
      <c r="H411">
        <v>483</v>
      </c>
      <c r="I411" t="s">
        <v>534</v>
      </c>
      <c r="J411">
        <v>540.44055909999997</v>
      </c>
      <c r="K411">
        <v>3.452287546</v>
      </c>
      <c r="L411">
        <v>1.8369737230000001</v>
      </c>
    </row>
    <row r="412" spans="1:12" x14ac:dyDescent="0.25">
      <c r="A412" t="s">
        <v>261</v>
      </c>
      <c r="B412">
        <v>44.799211399999997</v>
      </c>
      <c r="C412">
        <v>0.31943018299999998</v>
      </c>
      <c r="G412">
        <v>0</v>
      </c>
      <c r="H412">
        <v>481</v>
      </c>
      <c r="I412" t="s">
        <v>534</v>
      </c>
      <c r="J412">
        <v>708.9163671</v>
      </c>
      <c r="K412">
        <v>3.7600371080000001</v>
      </c>
      <c r="L412">
        <v>3.0708089260000002</v>
      </c>
    </row>
    <row r="413" spans="1:12" x14ac:dyDescent="0.25">
      <c r="A413" t="s">
        <v>264</v>
      </c>
      <c r="B413">
        <v>27.111312179999999</v>
      </c>
      <c r="C413">
        <v>0.29845778000000001</v>
      </c>
      <c r="G413">
        <v>0</v>
      </c>
      <c r="H413">
        <v>480</v>
      </c>
      <c r="I413" t="s">
        <v>534</v>
      </c>
      <c r="J413">
        <v>482.65658919999998</v>
      </c>
      <c r="K413">
        <v>4.2988217909999999</v>
      </c>
      <c r="L413">
        <v>1.7457520289999999</v>
      </c>
    </row>
    <row r="414" spans="1:12" x14ac:dyDescent="0.25">
      <c r="A414" t="s">
        <v>263</v>
      </c>
      <c r="B414">
        <v>22.925820959999999</v>
      </c>
      <c r="C414">
        <v>0.186487599</v>
      </c>
      <c r="G414">
        <v>0</v>
      </c>
      <c r="H414">
        <v>479</v>
      </c>
      <c r="I414" t="s">
        <v>534</v>
      </c>
      <c r="J414">
        <v>483.08865350000002</v>
      </c>
      <c r="K414">
        <v>2.6553891109999999</v>
      </c>
      <c r="L414">
        <v>1.7782112880000001</v>
      </c>
    </row>
    <row r="415" spans="1:12" x14ac:dyDescent="0.25">
      <c r="A415" t="s">
        <v>262</v>
      </c>
      <c r="B415">
        <v>40.430223519999998</v>
      </c>
      <c r="C415">
        <v>0.55058543000000004</v>
      </c>
      <c r="G415">
        <v>0</v>
      </c>
      <c r="H415">
        <v>478</v>
      </c>
      <c r="I415" t="s">
        <v>534</v>
      </c>
      <c r="J415">
        <v>782.89429180000002</v>
      </c>
      <c r="K415">
        <v>3.2814647950000002</v>
      </c>
      <c r="L415">
        <v>3.042814023</v>
      </c>
    </row>
    <row r="416" spans="1:12" x14ac:dyDescent="0.25">
      <c r="A416" t="s">
        <v>260</v>
      </c>
      <c r="B416">
        <v>35.817189890000002</v>
      </c>
      <c r="C416">
        <v>0.34383598900000001</v>
      </c>
      <c r="G416">
        <v>0</v>
      </c>
      <c r="H416">
        <v>477</v>
      </c>
      <c r="I416" t="s">
        <v>534</v>
      </c>
      <c r="J416">
        <v>1091.810982</v>
      </c>
      <c r="K416">
        <v>4.9474390369999997</v>
      </c>
      <c r="L416">
        <v>4.5062706639999996</v>
      </c>
    </row>
    <row r="417" spans="1:12" x14ac:dyDescent="0.25">
      <c r="A417" t="s">
        <v>257</v>
      </c>
      <c r="D417">
        <v>188.04265280000001</v>
      </c>
      <c r="E417">
        <v>1.456363651</v>
      </c>
      <c r="F417">
        <v>18.757790719999999</v>
      </c>
      <c r="G417">
        <v>0</v>
      </c>
      <c r="H417">
        <v>474</v>
      </c>
      <c r="I417" t="s">
        <v>535</v>
      </c>
    </row>
    <row r="418" spans="1:12" x14ac:dyDescent="0.25">
      <c r="A418" t="s">
        <v>258</v>
      </c>
      <c r="D418">
        <v>192.0747337</v>
      </c>
      <c r="E418">
        <v>1.4000249650000001</v>
      </c>
      <c r="F418">
        <v>19.146781579999999</v>
      </c>
      <c r="G418">
        <v>0</v>
      </c>
      <c r="H418">
        <v>473</v>
      </c>
      <c r="I418" t="s">
        <v>535</v>
      </c>
    </row>
    <row r="419" spans="1:12" x14ac:dyDescent="0.25">
      <c r="A419" t="s">
        <v>291</v>
      </c>
      <c r="D419">
        <v>224.28245580000001</v>
      </c>
      <c r="E419">
        <v>1.557861776</v>
      </c>
      <c r="F419">
        <v>22.860828770000001</v>
      </c>
      <c r="G419">
        <v>0</v>
      </c>
      <c r="H419">
        <v>472</v>
      </c>
      <c r="I419" t="s">
        <v>535</v>
      </c>
    </row>
    <row r="420" spans="1:12" x14ac:dyDescent="0.25">
      <c r="A420" t="s">
        <v>256</v>
      </c>
      <c r="D420">
        <v>198.0046079</v>
      </c>
      <c r="E420">
        <v>1.1895665470000001</v>
      </c>
      <c r="F420">
        <v>19.479108660000001</v>
      </c>
      <c r="G420">
        <v>0</v>
      </c>
      <c r="H420">
        <v>471</v>
      </c>
      <c r="I420" t="s">
        <v>535</v>
      </c>
    </row>
    <row r="421" spans="1:12" x14ac:dyDescent="0.25">
      <c r="A421" t="s">
        <v>254</v>
      </c>
      <c r="D421">
        <v>246.8223035</v>
      </c>
      <c r="E421">
        <v>1.0865240890000001</v>
      </c>
      <c r="F421">
        <v>26.426392580000002</v>
      </c>
      <c r="G421">
        <v>0</v>
      </c>
      <c r="H421">
        <v>470</v>
      </c>
      <c r="I421" t="s">
        <v>535</v>
      </c>
    </row>
    <row r="422" spans="1:12" x14ac:dyDescent="0.25">
      <c r="A422" t="s">
        <v>236</v>
      </c>
      <c r="D422">
        <v>178.83001830000001</v>
      </c>
      <c r="E422">
        <v>0.86677965300000004</v>
      </c>
      <c r="F422">
        <v>21.913933960000001</v>
      </c>
      <c r="G422">
        <v>0</v>
      </c>
      <c r="H422">
        <v>469</v>
      </c>
      <c r="I422" t="s">
        <v>535</v>
      </c>
    </row>
    <row r="423" spans="1:12" x14ac:dyDescent="0.25">
      <c r="A423" t="s">
        <v>251</v>
      </c>
      <c r="D423">
        <v>229.958369</v>
      </c>
      <c r="E423">
        <v>1.780925876</v>
      </c>
      <c r="F423">
        <v>24.173844890000002</v>
      </c>
      <c r="G423">
        <v>0</v>
      </c>
      <c r="H423">
        <v>468</v>
      </c>
      <c r="I423" t="s">
        <v>535</v>
      </c>
    </row>
    <row r="424" spans="1:12" x14ac:dyDescent="0.25">
      <c r="A424" t="s">
        <v>250</v>
      </c>
      <c r="D424">
        <v>266.77148640000001</v>
      </c>
      <c r="E424">
        <v>1.432453354</v>
      </c>
      <c r="F424">
        <v>30.232727919999999</v>
      </c>
      <c r="G424">
        <v>0</v>
      </c>
      <c r="H424">
        <v>467</v>
      </c>
      <c r="I424" t="s">
        <v>535</v>
      </c>
    </row>
    <row r="425" spans="1:12" x14ac:dyDescent="0.25">
      <c r="A425" t="s">
        <v>252</v>
      </c>
      <c r="D425">
        <v>265.26696240000001</v>
      </c>
      <c r="E425">
        <v>2.3507269759999998</v>
      </c>
      <c r="F425">
        <v>25.865615290000001</v>
      </c>
      <c r="G425">
        <v>0</v>
      </c>
      <c r="H425">
        <v>466</v>
      </c>
      <c r="I425" t="s">
        <v>535</v>
      </c>
    </row>
    <row r="426" spans="1:12" x14ac:dyDescent="0.25">
      <c r="A426" t="s">
        <v>249</v>
      </c>
      <c r="D426">
        <v>289.03964480000002</v>
      </c>
      <c r="E426">
        <v>2.3002960130000001</v>
      </c>
      <c r="F426">
        <v>28.451507169999999</v>
      </c>
      <c r="G426">
        <v>0</v>
      </c>
      <c r="H426">
        <v>465</v>
      </c>
      <c r="I426" t="s">
        <v>535</v>
      </c>
    </row>
    <row r="427" spans="1:12" x14ac:dyDescent="0.25">
      <c r="A427" t="s">
        <v>267</v>
      </c>
      <c r="B427">
        <v>70.242853170000004</v>
      </c>
      <c r="C427">
        <v>0.52825976399999997</v>
      </c>
      <c r="G427">
        <v>0</v>
      </c>
      <c r="H427">
        <v>485</v>
      </c>
      <c r="I427" t="s">
        <v>534</v>
      </c>
      <c r="J427">
        <v>486.8876214</v>
      </c>
      <c r="K427">
        <v>1.858809843</v>
      </c>
      <c r="L427">
        <v>1.89649179</v>
      </c>
    </row>
    <row r="428" spans="1:12" x14ac:dyDescent="0.25">
      <c r="A428" t="s">
        <v>268</v>
      </c>
      <c r="B428">
        <v>41.078357189999998</v>
      </c>
      <c r="C428">
        <v>0.94063226200000005</v>
      </c>
      <c r="G428">
        <v>0</v>
      </c>
      <c r="H428">
        <v>486</v>
      </c>
      <c r="I428" t="s">
        <v>534</v>
      </c>
      <c r="J428">
        <v>470.95052440000001</v>
      </c>
      <c r="K428">
        <v>3.0462216830000002</v>
      </c>
      <c r="L428">
        <v>1.8734583149999999</v>
      </c>
    </row>
    <row r="429" spans="1:12" x14ac:dyDescent="0.25">
      <c r="A429" t="s">
        <v>259</v>
      </c>
      <c r="B429">
        <v>24.79281787</v>
      </c>
      <c r="C429">
        <v>0.203498123</v>
      </c>
      <c r="G429">
        <v>0</v>
      </c>
      <c r="H429">
        <v>487</v>
      </c>
      <c r="I429" t="s">
        <v>534</v>
      </c>
      <c r="J429">
        <v>481.77171019999997</v>
      </c>
      <c r="K429">
        <v>2.4007292329999999</v>
      </c>
      <c r="L429">
        <v>1.877629956</v>
      </c>
    </row>
    <row r="430" spans="1:12" x14ac:dyDescent="0.25">
      <c r="A430" t="s">
        <v>280</v>
      </c>
      <c r="B430">
        <v>16.124611519999998</v>
      </c>
      <c r="C430">
        <v>9.9454131000000001E-2</v>
      </c>
      <c r="D430">
        <v>238.8880212</v>
      </c>
      <c r="E430">
        <v>1.0513589640000001</v>
      </c>
      <c r="F430">
        <v>18.521683339999999</v>
      </c>
      <c r="G430">
        <v>0</v>
      </c>
      <c r="H430">
        <v>989</v>
      </c>
      <c r="I430" t="s">
        <v>533</v>
      </c>
    </row>
    <row r="431" spans="1:12" x14ac:dyDescent="0.25">
      <c r="A431" t="s">
        <v>305</v>
      </c>
      <c r="D431">
        <v>168.77234329999999</v>
      </c>
      <c r="E431">
        <v>1.5250584979999999</v>
      </c>
      <c r="F431">
        <v>16.31129022</v>
      </c>
      <c r="G431">
        <v>0</v>
      </c>
      <c r="H431">
        <v>996</v>
      </c>
      <c r="I431" t="s">
        <v>535</v>
      </c>
    </row>
    <row r="432" spans="1:12" x14ac:dyDescent="0.25">
      <c r="A432" t="s">
        <v>323</v>
      </c>
      <c r="D432">
        <v>218.53313929999999</v>
      </c>
      <c r="E432">
        <v>0.90057610099999996</v>
      </c>
      <c r="F432">
        <v>17.440493450000002</v>
      </c>
      <c r="G432">
        <v>0</v>
      </c>
      <c r="H432">
        <v>995</v>
      </c>
      <c r="I432" t="s">
        <v>533</v>
      </c>
    </row>
    <row r="433" spans="1:9" x14ac:dyDescent="0.25">
      <c r="A433" t="s">
        <v>276</v>
      </c>
      <c r="D433">
        <v>215.8327506</v>
      </c>
      <c r="E433">
        <v>1.731927376</v>
      </c>
      <c r="F433">
        <v>14.83710892</v>
      </c>
      <c r="G433">
        <v>0</v>
      </c>
      <c r="H433">
        <v>994</v>
      </c>
      <c r="I433" t="s">
        <v>533</v>
      </c>
    </row>
    <row r="434" spans="1:9" x14ac:dyDescent="0.25">
      <c r="A434" t="s">
        <v>494</v>
      </c>
      <c r="D434">
        <v>221.15067550000001</v>
      </c>
      <c r="E434">
        <v>1.5349752560000001</v>
      </c>
      <c r="F434">
        <v>17.30303</v>
      </c>
      <c r="G434">
        <v>0</v>
      </c>
      <c r="H434">
        <v>993</v>
      </c>
      <c r="I434" t="s">
        <v>533</v>
      </c>
    </row>
    <row r="435" spans="1:9" x14ac:dyDescent="0.25">
      <c r="A435" t="s">
        <v>448</v>
      </c>
      <c r="D435">
        <v>221.12026800000001</v>
      </c>
      <c r="E435">
        <v>1.427071634</v>
      </c>
      <c r="F435">
        <v>18.07140704</v>
      </c>
      <c r="G435">
        <v>0</v>
      </c>
      <c r="H435">
        <v>992</v>
      </c>
      <c r="I435" t="s">
        <v>533</v>
      </c>
    </row>
    <row r="436" spans="1:9" x14ac:dyDescent="0.25">
      <c r="A436" t="s">
        <v>289</v>
      </c>
      <c r="D436">
        <v>222.73061290000001</v>
      </c>
      <c r="E436">
        <v>1.652291875</v>
      </c>
      <c r="F436">
        <v>16.762453579999999</v>
      </c>
      <c r="G436">
        <v>0</v>
      </c>
      <c r="H436">
        <v>991</v>
      </c>
      <c r="I436" t="s">
        <v>533</v>
      </c>
    </row>
    <row r="437" spans="1:9" x14ac:dyDescent="0.25">
      <c r="A437" t="s">
        <v>287</v>
      </c>
      <c r="D437">
        <v>246.19096450000001</v>
      </c>
      <c r="E437">
        <v>1.277773386</v>
      </c>
      <c r="F437">
        <v>17.477638030000001</v>
      </c>
      <c r="G437">
        <v>0</v>
      </c>
      <c r="H437">
        <v>990</v>
      </c>
      <c r="I437" t="s">
        <v>533</v>
      </c>
    </row>
    <row r="438" spans="1:9" x14ac:dyDescent="0.25">
      <c r="A438" t="s">
        <v>283</v>
      </c>
      <c r="D438">
        <v>228.74137469999999</v>
      </c>
      <c r="E438">
        <v>1.537963083</v>
      </c>
      <c r="F438">
        <v>20.233473450000002</v>
      </c>
      <c r="G438">
        <v>0</v>
      </c>
      <c r="H438">
        <v>988</v>
      </c>
      <c r="I438" t="s">
        <v>533</v>
      </c>
    </row>
    <row r="439" spans="1:9" x14ac:dyDescent="0.25">
      <c r="A439" t="s">
        <v>269</v>
      </c>
      <c r="D439">
        <v>318.60201360000002</v>
      </c>
      <c r="E439">
        <v>1.6775248199999999</v>
      </c>
      <c r="F439">
        <v>24.814561789999999</v>
      </c>
      <c r="G439">
        <v>0</v>
      </c>
      <c r="H439">
        <v>980</v>
      </c>
      <c r="I439" t="s">
        <v>533</v>
      </c>
    </row>
    <row r="440" spans="1:9" x14ac:dyDescent="0.25">
      <c r="A440" t="s">
        <v>271</v>
      </c>
      <c r="B440">
        <v>12.22141804</v>
      </c>
      <c r="C440">
        <v>0.12330629999999999</v>
      </c>
      <c r="D440">
        <v>264.96234980000003</v>
      </c>
      <c r="E440">
        <v>1.331621707</v>
      </c>
      <c r="F440">
        <v>19.68132473</v>
      </c>
      <c r="G440">
        <v>0</v>
      </c>
      <c r="H440">
        <v>987</v>
      </c>
      <c r="I440" t="s">
        <v>533</v>
      </c>
    </row>
    <row r="441" spans="1:9" x14ac:dyDescent="0.25">
      <c r="A441" t="s">
        <v>272</v>
      </c>
      <c r="D441">
        <v>266.34596599999998</v>
      </c>
      <c r="E441">
        <v>1.5437586130000001</v>
      </c>
      <c r="F441">
        <v>20.94031283</v>
      </c>
      <c r="G441">
        <v>0</v>
      </c>
      <c r="H441">
        <v>986</v>
      </c>
      <c r="I441" t="s">
        <v>533</v>
      </c>
    </row>
    <row r="442" spans="1:9" x14ac:dyDescent="0.25">
      <c r="A442" t="s">
        <v>270</v>
      </c>
      <c r="B442">
        <v>22.062681189999999</v>
      </c>
      <c r="C442">
        <v>0.15187133</v>
      </c>
      <c r="D442">
        <v>284.83565979999997</v>
      </c>
      <c r="E442">
        <v>1.1011555980000001</v>
      </c>
      <c r="F442">
        <v>20.574671559999999</v>
      </c>
      <c r="G442">
        <v>0</v>
      </c>
      <c r="H442">
        <v>985</v>
      </c>
      <c r="I442" t="s">
        <v>533</v>
      </c>
    </row>
    <row r="443" spans="1:9" x14ac:dyDescent="0.25">
      <c r="A443" t="s">
        <v>346</v>
      </c>
      <c r="D443">
        <v>280.74106519999998</v>
      </c>
      <c r="E443">
        <v>1.2476899379999999</v>
      </c>
      <c r="F443">
        <v>23.591956750000001</v>
      </c>
      <c r="G443">
        <v>0</v>
      </c>
      <c r="H443">
        <v>984</v>
      </c>
      <c r="I443" t="s">
        <v>533</v>
      </c>
    </row>
    <row r="444" spans="1:9" x14ac:dyDescent="0.25">
      <c r="A444" t="s">
        <v>224</v>
      </c>
      <c r="B444">
        <v>59.661229290000001</v>
      </c>
      <c r="C444">
        <v>0.40861542000000001</v>
      </c>
      <c r="D444">
        <v>229.6389021</v>
      </c>
      <c r="E444">
        <v>1.597759953</v>
      </c>
      <c r="F444">
        <v>18.4032117</v>
      </c>
      <c r="G444">
        <v>0</v>
      </c>
      <c r="H444">
        <v>983</v>
      </c>
      <c r="I444" t="s">
        <v>533</v>
      </c>
    </row>
    <row r="445" spans="1:9" x14ac:dyDescent="0.25">
      <c r="A445" t="s">
        <v>496</v>
      </c>
      <c r="B445">
        <v>53.780253250000001</v>
      </c>
      <c r="C445">
        <v>0.378816704</v>
      </c>
      <c r="D445">
        <v>277.56340419999998</v>
      </c>
      <c r="E445">
        <v>1.055370269</v>
      </c>
      <c r="F445">
        <v>21.012666899999999</v>
      </c>
      <c r="G445">
        <v>0</v>
      </c>
      <c r="H445">
        <v>982</v>
      </c>
      <c r="I445" t="s">
        <v>533</v>
      </c>
    </row>
    <row r="446" spans="1:9" x14ac:dyDescent="0.25">
      <c r="A446" t="s">
        <v>273</v>
      </c>
      <c r="D446">
        <v>337.23782640000002</v>
      </c>
      <c r="E446">
        <v>1.2847924850000001</v>
      </c>
      <c r="F446">
        <v>25.531808600000002</v>
      </c>
      <c r="G446">
        <v>0</v>
      </c>
      <c r="H446">
        <v>981</v>
      </c>
      <c r="I446" t="s">
        <v>533</v>
      </c>
    </row>
    <row r="447" spans="1:9" x14ac:dyDescent="0.25">
      <c r="A447" t="s">
        <v>248</v>
      </c>
      <c r="D447">
        <v>319.8141</v>
      </c>
      <c r="E447">
        <v>1.388927206</v>
      </c>
      <c r="F447">
        <v>30.79316992</v>
      </c>
      <c r="G447">
        <v>0</v>
      </c>
      <c r="H447">
        <v>461</v>
      </c>
      <c r="I447" t="s">
        <v>535</v>
      </c>
    </row>
    <row r="448" spans="1:9" x14ac:dyDescent="0.25">
      <c r="A448" t="s">
        <v>329</v>
      </c>
      <c r="B448">
        <v>107.20299230000001</v>
      </c>
      <c r="C448">
        <v>0.82013428300000002</v>
      </c>
      <c r="D448">
        <v>29.12341326</v>
      </c>
      <c r="E448">
        <v>0.16786284200000001</v>
      </c>
      <c r="F448">
        <v>4.1011617090000003</v>
      </c>
      <c r="G448">
        <v>0</v>
      </c>
      <c r="H448">
        <v>459</v>
      </c>
      <c r="I448" t="s">
        <v>532</v>
      </c>
    </row>
    <row r="449" spans="1:12" x14ac:dyDescent="0.25">
      <c r="A449" t="s">
        <v>211</v>
      </c>
      <c r="D449">
        <v>325.4520253</v>
      </c>
      <c r="E449">
        <v>2.2673323239999998</v>
      </c>
      <c r="F449">
        <v>25.696143769999999</v>
      </c>
      <c r="G449">
        <v>0</v>
      </c>
      <c r="H449">
        <v>394</v>
      </c>
      <c r="I449" t="s">
        <v>533</v>
      </c>
    </row>
    <row r="450" spans="1:12" x14ac:dyDescent="0.25">
      <c r="A450" t="s">
        <v>353</v>
      </c>
      <c r="B450">
        <v>134.89175510000001</v>
      </c>
      <c r="C450">
        <v>0.86524978200000002</v>
      </c>
      <c r="D450">
        <v>15.91350031</v>
      </c>
      <c r="E450">
        <v>0.11038347</v>
      </c>
      <c r="F450">
        <v>2.1993151590000002</v>
      </c>
      <c r="G450">
        <v>0</v>
      </c>
      <c r="H450">
        <v>458</v>
      </c>
      <c r="I450" t="s">
        <v>532</v>
      </c>
    </row>
    <row r="451" spans="1:12" x14ac:dyDescent="0.25">
      <c r="A451" t="s">
        <v>9</v>
      </c>
      <c r="B451">
        <v>180.36373259999999</v>
      </c>
      <c r="C451">
        <v>2.4149513310000001</v>
      </c>
      <c r="G451">
        <v>0</v>
      </c>
      <c r="H451">
        <v>423</v>
      </c>
      <c r="I451" t="s">
        <v>534</v>
      </c>
      <c r="J451">
        <v>3127.1638910000001</v>
      </c>
      <c r="K451">
        <v>17.0504389</v>
      </c>
      <c r="L451">
        <v>12.60124042</v>
      </c>
    </row>
    <row r="452" spans="1:12" x14ac:dyDescent="0.25">
      <c r="A452" t="s">
        <v>213</v>
      </c>
      <c r="B452">
        <v>28.429699620000001</v>
      </c>
      <c r="C452">
        <v>0.31539519700000002</v>
      </c>
      <c r="D452">
        <v>265.68543920000002</v>
      </c>
      <c r="E452">
        <v>2.1809720050000001</v>
      </c>
      <c r="F452">
        <v>21.525697139999998</v>
      </c>
      <c r="G452">
        <v>0</v>
      </c>
      <c r="H452">
        <v>422</v>
      </c>
      <c r="I452" t="s">
        <v>533</v>
      </c>
    </row>
    <row r="453" spans="1:12" x14ac:dyDescent="0.25">
      <c r="A453" t="s">
        <v>186</v>
      </c>
      <c r="D453">
        <v>309.4201142</v>
      </c>
      <c r="E453">
        <v>1.953508636</v>
      </c>
      <c r="F453">
        <v>26.554466340000001</v>
      </c>
      <c r="G453">
        <v>0</v>
      </c>
      <c r="H453">
        <v>420</v>
      </c>
      <c r="I453" t="s">
        <v>533</v>
      </c>
    </row>
    <row r="454" spans="1:12" x14ac:dyDescent="0.25">
      <c r="A454" t="s">
        <v>238</v>
      </c>
      <c r="D454">
        <v>309.28920479999999</v>
      </c>
      <c r="E454">
        <v>2.907893778</v>
      </c>
      <c r="F454">
        <v>30.1398817</v>
      </c>
      <c r="G454">
        <v>0</v>
      </c>
      <c r="H454">
        <v>419</v>
      </c>
      <c r="I454" t="s">
        <v>535</v>
      </c>
    </row>
    <row r="455" spans="1:12" x14ac:dyDescent="0.25">
      <c r="A455" t="s">
        <v>253</v>
      </c>
      <c r="D455">
        <v>361.02310940000001</v>
      </c>
      <c r="E455">
        <v>2.0584108099999998</v>
      </c>
      <c r="F455">
        <v>34.577948990000003</v>
      </c>
      <c r="G455">
        <v>0</v>
      </c>
      <c r="H455">
        <v>418</v>
      </c>
      <c r="I455" t="s">
        <v>535</v>
      </c>
    </row>
    <row r="456" spans="1:12" x14ac:dyDescent="0.25">
      <c r="A456" t="s">
        <v>222</v>
      </c>
      <c r="D456">
        <v>319.1212395</v>
      </c>
      <c r="E456">
        <v>2.6012797619999999</v>
      </c>
      <c r="F456">
        <v>32.262120189999997</v>
      </c>
      <c r="G456">
        <v>0</v>
      </c>
      <c r="H456">
        <v>417</v>
      </c>
      <c r="I456" t="s">
        <v>535</v>
      </c>
    </row>
    <row r="457" spans="1:12" x14ac:dyDescent="0.25">
      <c r="A457" t="s">
        <v>154</v>
      </c>
      <c r="D457">
        <v>324.39804789999999</v>
      </c>
      <c r="E457">
        <v>1.6831501900000001</v>
      </c>
      <c r="F457">
        <v>32.217311109999997</v>
      </c>
      <c r="G457">
        <v>0</v>
      </c>
      <c r="H457">
        <v>416</v>
      </c>
      <c r="I457" t="s">
        <v>535</v>
      </c>
    </row>
    <row r="458" spans="1:12" x14ac:dyDescent="0.25">
      <c r="A458" t="s">
        <v>220</v>
      </c>
      <c r="D458">
        <v>349.9881934</v>
      </c>
      <c r="E458">
        <v>2.027574574</v>
      </c>
      <c r="F458">
        <v>35.92818801</v>
      </c>
      <c r="G458">
        <v>0</v>
      </c>
      <c r="H458">
        <v>413</v>
      </c>
      <c r="I458" t="s">
        <v>535</v>
      </c>
    </row>
    <row r="459" spans="1:12" x14ac:dyDescent="0.25">
      <c r="A459" t="s">
        <v>225</v>
      </c>
      <c r="D459">
        <v>325.42398659999998</v>
      </c>
      <c r="E459">
        <v>2.093218781</v>
      </c>
      <c r="F459">
        <v>24.677578279999999</v>
      </c>
      <c r="G459">
        <v>0</v>
      </c>
      <c r="H459">
        <v>407</v>
      </c>
      <c r="I459" t="s">
        <v>533</v>
      </c>
    </row>
    <row r="460" spans="1:12" x14ac:dyDescent="0.25">
      <c r="A460" t="s">
        <v>229</v>
      </c>
      <c r="B460">
        <v>124.8424615</v>
      </c>
      <c r="C460">
        <v>1.0846591560000001</v>
      </c>
      <c r="D460">
        <v>47.162280979999998</v>
      </c>
      <c r="E460">
        <v>0.20241636299999999</v>
      </c>
      <c r="F460">
        <v>6.093592396</v>
      </c>
      <c r="G460">
        <v>0</v>
      </c>
      <c r="H460">
        <v>406</v>
      </c>
      <c r="I460" t="s">
        <v>532</v>
      </c>
    </row>
    <row r="461" spans="1:12" x14ac:dyDescent="0.25">
      <c r="A461" t="s">
        <v>228</v>
      </c>
      <c r="B461">
        <v>116.0815107</v>
      </c>
      <c r="C461">
        <v>0.844482603</v>
      </c>
      <c r="D461">
        <v>57.50340619</v>
      </c>
      <c r="E461">
        <v>0.322576686</v>
      </c>
      <c r="F461">
        <v>8.1786831590000002</v>
      </c>
      <c r="G461">
        <v>0</v>
      </c>
      <c r="H461">
        <v>405</v>
      </c>
      <c r="I461" t="s">
        <v>532</v>
      </c>
    </row>
    <row r="462" spans="1:12" x14ac:dyDescent="0.25">
      <c r="A462" t="s">
        <v>153</v>
      </c>
      <c r="B462">
        <v>175.68663280000001</v>
      </c>
      <c r="C462">
        <v>0.75585682200000004</v>
      </c>
      <c r="D462">
        <v>55.454737559999998</v>
      </c>
      <c r="E462">
        <v>0.31204059699999998</v>
      </c>
      <c r="F462">
        <v>8.0392219839999992</v>
      </c>
      <c r="G462">
        <v>0</v>
      </c>
      <c r="H462">
        <v>404</v>
      </c>
      <c r="I462" t="s">
        <v>532</v>
      </c>
    </row>
    <row r="463" spans="1:12" x14ac:dyDescent="0.25">
      <c r="A463" t="s">
        <v>218</v>
      </c>
      <c r="B463">
        <v>130.02925279999999</v>
      </c>
      <c r="C463">
        <v>0.92867893999999995</v>
      </c>
      <c r="D463">
        <v>60.88628808</v>
      </c>
      <c r="E463">
        <v>0.29236693499999999</v>
      </c>
      <c r="F463">
        <v>8.6568323570000008</v>
      </c>
      <c r="G463">
        <v>0</v>
      </c>
      <c r="H463">
        <v>403</v>
      </c>
      <c r="I463" t="s">
        <v>532</v>
      </c>
    </row>
    <row r="464" spans="1:12" x14ac:dyDescent="0.25">
      <c r="A464" t="s">
        <v>214</v>
      </c>
      <c r="B464">
        <v>103.10648089999999</v>
      </c>
      <c r="C464">
        <v>0.62151288599999999</v>
      </c>
      <c r="D464">
        <v>94.198550449999999</v>
      </c>
      <c r="E464">
        <v>0.41910503599999999</v>
      </c>
      <c r="F464">
        <v>13.022138330000001</v>
      </c>
      <c r="G464">
        <v>0</v>
      </c>
      <c r="H464">
        <v>400</v>
      </c>
      <c r="I464" t="s">
        <v>532</v>
      </c>
    </row>
    <row r="465" spans="1:12" x14ac:dyDescent="0.25">
      <c r="A465" t="s">
        <v>401</v>
      </c>
      <c r="B465">
        <v>115.3557706</v>
      </c>
      <c r="C465">
        <v>0.63918578299999995</v>
      </c>
      <c r="D465">
        <v>82.423524549999996</v>
      </c>
      <c r="E465">
        <v>0.35698797199999999</v>
      </c>
      <c r="F465">
        <v>11.650798910000001</v>
      </c>
      <c r="G465">
        <v>0</v>
      </c>
      <c r="H465">
        <v>399</v>
      </c>
      <c r="I465" t="s">
        <v>532</v>
      </c>
    </row>
    <row r="466" spans="1:12" x14ac:dyDescent="0.25">
      <c r="A466" t="s">
        <v>234</v>
      </c>
      <c r="B466">
        <v>196.37596919999999</v>
      </c>
      <c r="C466">
        <v>1.629401943</v>
      </c>
      <c r="D466">
        <v>40.638663080000001</v>
      </c>
      <c r="E466">
        <v>0.25349841299999998</v>
      </c>
      <c r="F466">
        <v>5.5566164569999996</v>
      </c>
      <c r="G466">
        <v>0</v>
      </c>
      <c r="H466">
        <v>398</v>
      </c>
      <c r="I466" t="s">
        <v>532</v>
      </c>
    </row>
    <row r="467" spans="1:12" x14ac:dyDescent="0.25">
      <c r="A467" t="s">
        <v>297</v>
      </c>
      <c r="D467">
        <v>363.80433249999999</v>
      </c>
      <c r="E467">
        <v>1.6541518900000001</v>
      </c>
      <c r="F467">
        <v>24.335156560000001</v>
      </c>
      <c r="G467">
        <v>0</v>
      </c>
      <c r="H467">
        <v>396</v>
      </c>
      <c r="I467" t="s">
        <v>533</v>
      </c>
    </row>
    <row r="468" spans="1:12" x14ac:dyDescent="0.25">
      <c r="A468" t="s">
        <v>227</v>
      </c>
      <c r="B468">
        <v>43.963116079999999</v>
      </c>
      <c r="C468">
        <v>0.453927319</v>
      </c>
      <c r="G468">
        <v>0</v>
      </c>
      <c r="H468">
        <v>430</v>
      </c>
      <c r="I468" t="s">
        <v>534</v>
      </c>
      <c r="J468">
        <v>673.39858600000002</v>
      </c>
      <c r="K468">
        <v>2.9734223989999999</v>
      </c>
      <c r="L468">
        <v>2.3371350899999999</v>
      </c>
    </row>
    <row r="469" spans="1:12" x14ac:dyDescent="0.25">
      <c r="A469" t="s">
        <v>235</v>
      </c>
      <c r="B469">
        <v>216.8349044</v>
      </c>
      <c r="C469">
        <v>1.208556368</v>
      </c>
      <c r="G469">
        <v>0</v>
      </c>
      <c r="H469">
        <v>431</v>
      </c>
      <c r="I469" t="s">
        <v>534</v>
      </c>
      <c r="J469">
        <v>851.03435239999999</v>
      </c>
      <c r="K469">
        <v>4.5432916250000002</v>
      </c>
      <c r="L469">
        <v>3.460064177</v>
      </c>
    </row>
    <row r="470" spans="1:12" x14ac:dyDescent="0.25">
      <c r="A470" t="s">
        <v>352</v>
      </c>
      <c r="B470">
        <v>157.8664407</v>
      </c>
      <c r="C470">
        <v>1.097332492</v>
      </c>
      <c r="D470">
        <v>29.489939379999999</v>
      </c>
      <c r="E470">
        <v>0.16454501399999999</v>
      </c>
      <c r="F470">
        <v>4.2434745190000003</v>
      </c>
      <c r="G470">
        <v>0</v>
      </c>
      <c r="H470">
        <v>432</v>
      </c>
      <c r="I470" t="s">
        <v>532</v>
      </c>
    </row>
    <row r="471" spans="1:12" x14ac:dyDescent="0.25">
      <c r="A471" t="s">
        <v>237</v>
      </c>
      <c r="D471">
        <v>297.59445460000001</v>
      </c>
      <c r="E471">
        <v>2.1546464219999999</v>
      </c>
      <c r="F471">
        <v>31.62992118</v>
      </c>
      <c r="G471">
        <v>0</v>
      </c>
      <c r="H471">
        <v>444</v>
      </c>
      <c r="I471" t="s">
        <v>535</v>
      </c>
    </row>
    <row r="472" spans="1:12" x14ac:dyDescent="0.25">
      <c r="A472" t="s">
        <v>246</v>
      </c>
      <c r="B472">
        <v>62.28965942</v>
      </c>
      <c r="C472">
        <v>0.33581804500000001</v>
      </c>
      <c r="D472">
        <v>59.677648050000002</v>
      </c>
      <c r="E472">
        <v>0.26856574</v>
      </c>
      <c r="F472">
        <v>8.4683550160000003</v>
      </c>
      <c r="G472">
        <v>0</v>
      </c>
      <c r="H472">
        <v>457</v>
      </c>
      <c r="I472" t="s">
        <v>532</v>
      </c>
    </row>
    <row r="473" spans="1:12" x14ac:dyDescent="0.25">
      <c r="A473" t="s">
        <v>243</v>
      </c>
      <c r="B473">
        <v>35.0409583</v>
      </c>
      <c r="C473">
        <v>0.60786859599999998</v>
      </c>
      <c r="G473">
        <v>0</v>
      </c>
      <c r="H473">
        <v>456</v>
      </c>
      <c r="I473" t="s">
        <v>534</v>
      </c>
      <c r="J473">
        <v>498.02099220000002</v>
      </c>
      <c r="K473">
        <v>3.622313621</v>
      </c>
      <c r="L473">
        <v>1.8805266629999999</v>
      </c>
    </row>
    <row r="474" spans="1:12" x14ac:dyDescent="0.25">
      <c r="A474" t="s">
        <v>242</v>
      </c>
      <c r="B474">
        <v>18.257963700000001</v>
      </c>
      <c r="C474">
        <v>0.19273789299999999</v>
      </c>
      <c r="G474">
        <v>0</v>
      </c>
      <c r="H474">
        <v>455</v>
      </c>
      <c r="I474" t="s">
        <v>534</v>
      </c>
      <c r="J474">
        <v>434.3348742</v>
      </c>
      <c r="K474">
        <v>2.2374438090000002</v>
      </c>
      <c r="L474">
        <v>1.5634059060000001</v>
      </c>
    </row>
    <row r="475" spans="1:12" x14ac:dyDescent="0.25">
      <c r="A475" t="s">
        <v>241</v>
      </c>
      <c r="B475">
        <v>39.04501638</v>
      </c>
      <c r="C475">
        <v>0.18217599800000001</v>
      </c>
      <c r="G475">
        <v>0</v>
      </c>
      <c r="H475">
        <v>453</v>
      </c>
      <c r="I475" t="s">
        <v>534</v>
      </c>
      <c r="J475">
        <v>445.50528709999998</v>
      </c>
      <c r="K475">
        <v>3.4163379549999999</v>
      </c>
      <c r="L475">
        <v>1.784055712</v>
      </c>
    </row>
    <row r="476" spans="1:12" x14ac:dyDescent="0.25">
      <c r="A476" t="s">
        <v>240</v>
      </c>
      <c r="B476">
        <v>57.019462779999998</v>
      </c>
      <c r="C476">
        <v>0.73003209400000002</v>
      </c>
      <c r="G476">
        <v>0</v>
      </c>
      <c r="H476">
        <v>452</v>
      </c>
      <c r="I476" t="s">
        <v>534</v>
      </c>
      <c r="J476">
        <v>707.57499359999997</v>
      </c>
      <c r="K476">
        <v>4.2747364640000001</v>
      </c>
      <c r="L476">
        <v>2.7354253370000001</v>
      </c>
    </row>
    <row r="477" spans="1:12" x14ac:dyDescent="0.25">
      <c r="A477" t="s">
        <v>454</v>
      </c>
      <c r="B477">
        <v>15.360693380000001</v>
      </c>
      <c r="C477">
        <v>0.18874587700000001</v>
      </c>
      <c r="G477">
        <v>0</v>
      </c>
      <c r="H477">
        <v>450</v>
      </c>
      <c r="I477" t="s">
        <v>534</v>
      </c>
      <c r="J477">
        <v>470.29901860000001</v>
      </c>
      <c r="K477">
        <v>3.5516003469999999</v>
      </c>
      <c r="L477">
        <v>1.8625164999999999</v>
      </c>
    </row>
    <row r="478" spans="1:12" x14ac:dyDescent="0.25">
      <c r="A478" t="s">
        <v>239</v>
      </c>
      <c r="D478">
        <v>281.93883779999999</v>
      </c>
      <c r="E478">
        <v>1.3035416559999999</v>
      </c>
      <c r="F478">
        <v>27.064213599999999</v>
      </c>
      <c r="G478">
        <v>0</v>
      </c>
      <c r="H478">
        <v>446</v>
      </c>
      <c r="I478" t="s">
        <v>535</v>
      </c>
    </row>
    <row r="479" spans="1:12" x14ac:dyDescent="0.25">
      <c r="A479" t="s">
        <v>223</v>
      </c>
      <c r="D479">
        <v>328.65930420000001</v>
      </c>
      <c r="E479">
        <v>1.431966099</v>
      </c>
      <c r="F479">
        <v>29.230093490000002</v>
      </c>
      <c r="G479">
        <v>0</v>
      </c>
      <c r="H479">
        <v>443</v>
      </c>
      <c r="I479" t="s">
        <v>535</v>
      </c>
    </row>
    <row r="480" spans="1:12" x14ac:dyDescent="0.25">
      <c r="A480" t="s">
        <v>217</v>
      </c>
      <c r="B480">
        <v>80.999819009999996</v>
      </c>
      <c r="C480">
        <v>0.46898519999999999</v>
      </c>
      <c r="D480">
        <v>74.666644259999998</v>
      </c>
      <c r="E480">
        <v>0.314220045</v>
      </c>
      <c r="F480">
        <v>10.099625400000001</v>
      </c>
      <c r="G480">
        <v>0</v>
      </c>
      <c r="H480">
        <v>433</v>
      </c>
      <c r="I480" t="s">
        <v>532</v>
      </c>
    </row>
    <row r="481" spans="1:12" x14ac:dyDescent="0.25">
      <c r="A481" t="s">
        <v>221</v>
      </c>
      <c r="B481">
        <v>1.8260879830000001</v>
      </c>
      <c r="C481">
        <v>2.2009404E-2</v>
      </c>
      <c r="D481">
        <v>255.20634340000001</v>
      </c>
      <c r="E481">
        <v>2.0086856740000001</v>
      </c>
      <c r="F481">
        <v>27.388944739999999</v>
      </c>
      <c r="G481">
        <v>0</v>
      </c>
      <c r="H481">
        <v>442</v>
      </c>
      <c r="I481" t="s">
        <v>535</v>
      </c>
    </row>
    <row r="482" spans="1:12" x14ac:dyDescent="0.25">
      <c r="A482" t="s">
        <v>226</v>
      </c>
      <c r="B482">
        <v>74.575300170000006</v>
      </c>
      <c r="C482">
        <v>1.3605332320000001</v>
      </c>
      <c r="G482">
        <v>0</v>
      </c>
      <c r="H482">
        <v>441</v>
      </c>
      <c r="I482" t="s">
        <v>534</v>
      </c>
      <c r="J482">
        <v>1921.867506</v>
      </c>
      <c r="K482">
        <v>9.0022678000000003</v>
      </c>
      <c r="L482">
        <v>6.4729977959999996</v>
      </c>
    </row>
    <row r="483" spans="1:12" x14ac:dyDescent="0.25">
      <c r="A483" t="s">
        <v>244</v>
      </c>
      <c r="B483">
        <v>116.6741662</v>
      </c>
      <c r="C483">
        <v>0.87777852700000003</v>
      </c>
      <c r="D483">
        <v>30.103319410000001</v>
      </c>
      <c r="E483">
        <v>0.12631429199999999</v>
      </c>
      <c r="F483">
        <v>4.3117649809999996</v>
      </c>
      <c r="G483">
        <v>0</v>
      </c>
      <c r="H483">
        <v>439</v>
      </c>
      <c r="I483" t="s">
        <v>532</v>
      </c>
    </row>
    <row r="484" spans="1:12" x14ac:dyDescent="0.25">
      <c r="A484" t="s">
        <v>219</v>
      </c>
      <c r="B484">
        <v>145.2251478</v>
      </c>
      <c r="C484">
        <v>0.78908621999999995</v>
      </c>
      <c r="D484">
        <v>27.009182089999999</v>
      </c>
      <c r="E484">
        <v>0.15855531</v>
      </c>
      <c r="F484">
        <v>3.8366240920000001</v>
      </c>
      <c r="G484">
        <v>0</v>
      </c>
      <c r="H484">
        <v>438</v>
      </c>
      <c r="I484" t="s">
        <v>532</v>
      </c>
    </row>
    <row r="485" spans="1:12" x14ac:dyDescent="0.25">
      <c r="A485" t="s">
        <v>233</v>
      </c>
      <c r="B485">
        <v>118.40586810000001</v>
      </c>
      <c r="C485">
        <v>0.93239846900000001</v>
      </c>
      <c r="D485">
        <v>30.16401918</v>
      </c>
      <c r="E485">
        <v>0.19681315699999999</v>
      </c>
      <c r="F485">
        <v>4.3284063210000001</v>
      </c>
      <c r="G485">
        <v>0</v>
      </c>
      <c r="H485">
        <v>437</v>
      </c>
      <c r="I485" t="s">
        <v>532</v>
      </c>
    </row>
    <row r="486" spans="1:12" x14ac:dyDescent="0.25">
      <c r="A486" t="s">
        <v>450</v>
      </c>
      <c r="B486">
        <v>70.840259669999995</v>
      </c>
      <c r="C486">
        <v>0.516137925</v>
      </c>
      <c r="D486">
        <v>61.975513769999999</v>
      </c>
      <c r="E486">
        <v>0.26115651299999998</v>
      </c>
      <c r="F486">
        <v>8.3139574330000006</v>
      </c>
      <c r="G486">
        <v>0</v>
      </c>
      <c r="H486">
        <v>436</v>
      </c>
      <c r="I486" t="s">
        <v>532</v>
      </c>
    </row>
    <row r="487" spans="1:12" x14ac:dyDescent="0.25">
      <c r="A487" t="s">
        <v>232</v>
      </c>
      <c r="B487">
        <v>19.75789623</v>
      </c>
      <c r="C487">
        <v>0.220888479</v>
      </c>
      <c r="D487">
        <v>88.285214010000004</v>
      </c>
      <c r="E487">
        <v>0.80667243300000002</v>
      </c>
      <c r="F487">
        <v>11.759892499999999</v>
      </c>
      <c r="G487">
        <v>0</v>
      </c>
      <c r="H487">
        <v>434</v>
      </c>
      <c r="I487" t="s">
        <v>532</v>
      </c>
    </row>
    <row r="488" spans="1:12" x14ac:dyDescent="0.25">
      <c r="A488" t="s">
        <v>408</v>
      </c>
      <c r="G488">
        <v>0</v>
      </c>
      <c r="H488">
        <v>1370</v>
      </c>
      <c r="I488" t="s">
        <v>533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</vt:lpstr>
      <vt:lpstr>Scoring</vt:lpstr>
      <vt:lpstr>Checks</vt:lpstr>
      <vt:lpstr>Combined (Pivot Source)</vt:lpstr>
      <vt:lpstr>DK Over Unders</vt:lpstr>
      <vt:lpstr>ESPN Projections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Viola</dc:creator>
  <cp:lastModifiedBy>Frank Viola</cp:lastModifiedBy>
  <dcterms:created xsi:type="dcterms:W3CDTF">2024-08-23T02:25:59Z</dcterms:created>
  <dcterms:modified xsi:type="dcterms:W3CDTF">2024-09-04T14:56:13Z</dcterms:modified>
</cp:coreProperties>
</file>