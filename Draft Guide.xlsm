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ranc\OneDrive\Documents\Fantasy Football\"/>
    </mc:Choice>
  </mc:AlternateContent>
  <xr:revisionPtr revIDLastSave="0" documentId="13_ncr:1_{E03FAD41-CED0-448E-A011-368DCF21DD4C}" xr6:coauthVersionLast="47" xr6:coauthVersionMax="47" xr10:uidLastSave="{00000000-0000-0000-0000-000000000000}"/>
  <bookViews>
    <workbookView xWindow="-120" yWindow="-120" windowWidth="29040" windowHeight="15720" xr2:uid="{E89413D6-9EBE-4652-A600-9ACD37314876}"/>
  </bookViews>
  <sheets>
    <sheet name="Pivots" sheetId="7" r:id="rId1"/>
    <sheet name="Checks" sheetId="5" r:id="rId2"/>
    <sheet name="Combined (Pivot Source)" sheetId="6" r:id="rId3"/>
    <sheet name="DK Over Unders" sheetId="1" r:id="rId4"/>
    <sheet name="ESPN Projections" sheetId="2" r:id="rId5"/>
    <sheet name="Scoring" sheetId="3" r:id="rId6"/>
  </sheets>
  <functionGroups builtInGroupCount="19"/>
  <definedNames>
    <definedName name="_xlnm._FilterDatabase" localSheetId="2" hidden="1">'Combined (Pivot Source)'!$A$1:$AI$21</definedName>
    <definedName name="_xlnm._FilterDatabase" localSheetId="3" hidden="1">'DK Over Unders'!$A$1:$L$91</definedName>
    <definedName name="_xlnm._FilterDatabase" localSheetId="4" hidden="1">'ESPN Projections'!$A$1:$L$582</definedName>
    <definedName name="_xlpm.acc" hidden="1" xlm="1">#NAME?</definedName>
    <definedName name="_xlpm.acccol_name" hidden="1" xlm="1">#NAME?</definedName>
    <definedName name="_xlpm.accol_name" hidden="1" xlm="1">#NAME?</definedName>
    <definedName name="_xlpm.acol_name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l_" hidden="1" xlm="1">#NAME?</definedName>
    <definedName name="_xlpm.col_array" hidden="1" xlm="1">#NAME?</definedName>
    <definedName name="_xlpm.col_n" hidden="1" xlm="1">#NAME?</definedName>
    <definedName name="_xlpm.col_na" hidden="1" xlm="1">#NAME?</definedName>
    <definedName name="_xlpm.col_nam" hidden="1" xlm="1">#NAME?</definedName>
    <definedName name="_xlpm.col_name" hidden="1" xlm="1">#NAME?</definedName>
    <definedName name="_xlpm.col_name_name" hidden="1" xlm="1">#NAME?</definedName>
    <definedName name="_xlpm.col_nameame" hidden="1" xlm="1">#NAME?</definedName>
    <definedName name="_xlpm.col_namecol_name" hidden="1" xlm="1">#NAME?</definedName>
    <definedName name="_xlpm.col_namee" hidden="1" xlm="1">#NAME?</definedName>
    <definedName name="_xlpm.col_namel_name" hidden="1" xlm="1">#NAME?</definedName>
    <definedName name="_xlpm.col_nameme" hidden="1" xlm="1">#NAME?</definedName>
    <definedName name="_xlpm.col_namename" hidden="1" xlm="1">#NAME?</definedName>
    <definedName name="_xlpm.col_nameol_name" hidden="1" xlm="1">#NAME?</definedName>
    <definedName name="_xlpm.col_names" hidden="1" xlm="1">#NAME?</definedName>
    <definedName name="_xlpm.ext" hidden="1" xlm="1">#NAME?</definedName>
    <definedName name="_xlpm.i" hidden="1" xlm="1">#NAME?</definedName>
    <definedName name="_xlpm.in" hidden="1" xlm="1">#NAME?</definedName>
    <definedName name="_xlpm.int" hidden="1" xlm="1">#NAME?</definedName>
    <definedName name="_xlpm.int_" hidden="1" xlm="1">#NAME?</definedName>
    <definedName name="_xlpm.int_E" hidden="1" xlm="1">#NAME?</definedName>
    <definedName name="_xlpm.int_ES" hidden="1" xlm="1">#NAME?</definedName>
    <definedName name="_xlpm.int_ESP" hidden="1" xlm="1">#NAME?</definedName>
    <definedName name="_xlpm.int_ESPN" hidden="1" xlm="1">#NAME?</definedName>
    <definedName name="_xlpm.scol_name" hidden="1" xlm="1">#NAME?</definedName>
    <definedName name="_xlpm.stcol_name" hidden="1" xlm="1">#NAME?</definedName>
    <definedName name="_xlpm.str" hidden="1" xlm="1">#NAME?</definedName>
    <definedName name="_xlpm.strcol_name" hidden="1" xlm="1">#NAME?</definedName>
    <definedName name="_xlpm.t" hidden="1" xlm="1">#NAME?</definedName>
    <definedName name="_xlpm.to" hidden="1" xlm="1">#NAME?</definedName>
    <definedName name="_xlpm.tot" hidden="1" xlm="1">#NAME?</definedName>
    <definedName name="_xlpm.tota" hidden="1" xlm="1">#NAME?</definedName>
    <definedName name="_xlpm.total" hidden="1" xlm="1">#NAME?</definedName>
    <definedName name="_xlpm.vacol_name" hidden="1" xlm="1">#NAME?</definedName>
    <definedName name="_xlpm.val" hidden="1" xlm="1">#NAME?</definedName>
    <definedName name="_xlpm.valcol_name" hidden="1" xlm="1">#NAME?</definedName>
    <definedName name="_xlpm.vcol_name" hidden="1" xlm="1">#NAME?</definedName>
    <definedName name="aCols">{"int","passing_td","passing_yards","rec","rec_td","rec_yards","rush_td","rush_yards"}</definedName>
    <definedName name="fColTotal">_xlfn.LAMBDA(_xlpm.col_name,_xlpm.ext,fScoreVal(_xlpm.col_name)*fColVal(_xlpm.col_name&amp;"_"&amp;_xlpm.ext))</definedName>
    <definedName name="fColVal">_xlfn.LAMBDA(_xlpm.col_name,OFFSET('Combined (Pivot Source)'!$A$1,ROW()-1,MATCH(_xlpm.col_name,'Combined (Pivot Source)'!$1:$1,0)-1))</definedName>
    <definedName name="fScore_Total">_xlfn.LAMBDA(_xlpm.ext,_xlpm.col_array,_xlfn.REDUCE(0,_xlpm.col_array,_xlfn.LAMBDA(_xlpm.total,_xlpm.col_name,_xlpm.total+fColTotal(_xlpm.col_name,_xlpm.ext))))</definedName>
    <definedName name="fScoreVal">_xlfn.LAMBDA(_xlpm.col_name,VLOOKUP(_xlpm.col_name,rScoring,2,0))</definedName>
    <definedName name="rDK">OFFSET('DK Over Unders'!$A$1,0,0,COUNTA('DK Over Unders'!$A:$A),COUNTA('DK Over Unders'!$1:$1))</definedName>
    <definedName name="rDK_OPOY">OFFSET('DK Over Unders'!$A$1,0,MATCH("OPOY",'DK Over Unders'!$1:$1,0)-1,COUNTA('DK Over Unders'!$A:$A))</definedName>
    <definedName name="rDK_OROY">OFFSET('DK Over Unders'!$A$1,0,MATCH("OROY",'DK Over Unders'!$1:$1,0)-1,COUNTA('DK Over Unders'!$A:$A))</definedName>
    <definedName name="rDK_Players">OFFSET('DK Over Unders'!$A$1,0,MATCH("Player",'DK Over Unders'!$1:$1,0)-1,COUNTA('DK Over Unders'!$A:$A))</definedName>
    <definedName name="rESPN">OFFSET('ESPN Projections'!$A$1,0,0,COUNTA('ESPN Projections'!$A:$A),COUNTA('ESPN Projections'!$1:$1))</definedName>
    <definedName name="rESPN_Players">OFFSET('ESPN Projections'!$A$1,0,MATCH("Player",'ESPN Projections'!$1:$1,0)-1,COUNTA('ESPN Projections'!$A:$A))</definedName>
    <definedName name="rPivotSource">OFFSET('Combined (Pivot Source)'!$A$1,0,0,COUNTA('Combined (Pivot Source)'!$A:$A),COUNTA('Combined (Pivot Source)'!$1:$1))</definedName>
    <definedName name="rScoring">OFFSET(Scoring!$A$1,0,0,COUNTA(Scoring!$A:$A),COUNTA(Scoring!$1:$1))</definedName>
  </definedNames>
  <calcPr calcId="191029"/>
  <pivotCaches>
    <pivotCache cacheId="1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48" i="6" l="1" a="1"/>
  <c r="AG548" i="6" s="1"/>
  <c r="AF548" i="6" a="1"/>
  <c r="AF548" i="6" s="1"/>
  <c r="AG547" i="6" a="1"/>
  <c r="AG547" i="6" s="1"/>
  <c r="AF547" i="6" a="1"/>
  <c r="AF547" i="6" s="1"/>
  <c r="AG546" i="6" a="1"/>
  <c r="AG546" i="6" s="1"/>
  <c r="AF546" i="6" a="1"/>
  <c r="AF546" i="6" s="1"/>
  <c r="AG545" i="6" a="1"/>
  <c r="AG545" i="6" s="1"/>
  <c r="AF545" i="6" a="1"/>
  <c r="AF545" i="6" s="1"/>
  <c r="AG544" i="6" a="1"/>
  <c r="AG544" i="6" s="1"/>
  <c r="AF544" i="6" a="1"/>
  <c r="AF544" i="6" s="1"/>
  <c r="AG543" i="6" a="1"/>
  <c r="AG543" i="6" s="1"/>
  <c r="AF543" i="6" a="1"/>
  <c r="AF543" i="6" s="1"/>
  <c r="AG542" i="6" a="1"/>
  <c r="AG542" i="6" s="1"/>
  <c r="AF542" i="6" a="1"/>
  <c r="AF542" i="6" s="1"/>
  <c r="AG541" i="6" a="1"/>
  <c r="AG541" i="6" s="1"/>
  <c r="AF541" i="6" a="1"/>
  <c r="AF541" i="6" s="1"/>
  <c r="AG540" i="6" a="1"/>
  <c r="AG540" i="6" s="1"/>
  <c r="AF540" i="6" a="1"/>
  <c r="AF540" i="6" s="1"/>
  <c r="AG539" i="6" a="1"/>
  <c r="AG539" i="6" s="1"/>
  <c r="AF539" i="6" a="1"/>
  <c r="AF539" i="6" s="1"/>
  <c r="AG538" i="6" a="1"/>
  <c r="AG538" i="6" s="1"/>
  <c r="AF538" i="6" a="1"/>
  <c r="AF538" i="6" s="1"/>
  <c r="AG537" i="6" a="1"/>
  <c r="AG537" i="6" s="1"/>
  <c r="AF537" i="6" a="1"/>
  <c r="AF537" i="6" s="1"/>
  <c r="AG536" i="6" a="1"/>
  <c r="AG536" i="6" s="1"/>
  <c r="AF536" i="6" a="1"/>
  <c r="AF536" i="6" s="1"/>
  <c r="AG535" i="6" a="1"/>
  <c r="AG535" i="6" s="1"/>
  <c r="AF535" i="6" a="1"/>
  <c r="AF535" i="6" s="1"/>
  <c r="AG534" i="6" a="1"/>
  <c r="AG534" i="6" s="1"/>
  <c r="AF534" i="6" a="1"/>
  <c r="AF534" i="6" s="1"/>
  <c r="AG533" i="6" a="1"/>
  <c r="AG533" i="6" s="1"/>
  <c r="AF533" i="6" a="1"/>
  <c r="AF533" i="6" s="1"/>
  <c r="AG532" i="6" a="1"/>
  <c r="AG532" i="6" s="1"/>
  <c r="AF532" i="6" a="1"/>
  <c r="AF532" i="6" s="1"/>
  <c r="AG531" i="6" a="1"/>
  <c r="AG531" i="6" s="1"/>
  <c r="AF531" i="6" a="1"/>
  <c r="AF531" i="6" s="1"/>
  <c r="AG530" i="6" a="1"/>
  <c r="AG530" i="6" s="1"/>
  <c r="AF530" i="6" a="1"/>
  <c r="AF530" i="6" s="1"/>
  <c r="AG529" i="6" a="1"/>
  <c r="AG529" i="6" s="1"/>
  <c r="AF529" i="6" a="1"/>
  <c r="AF529" i="6" s="1"/>
  <c r="AG528" i="6" a="1"/>
  <c r="AG528" i="6" s="1"/>
  <c r="AF528" i="6" a="1"/>
  <c r="AF528" i="6" s="1"/>
  <c r="AG527" i="6" a="1"/>
  <c r="AG527" i="6" s="1"/>
  <c r="AF527" i="6" a="1"/>
  <c r="AF527" i="6" s="1"/>
  <c r="AG526" i="6" a="1"/>
  <c r="AG526" i="6" s="1"/>
  <c r="AF526" i="6" a="1"/>
  <c r="AF526" i="6" s="1"/>
  <c r="AG525" i="6" a="1"/>
  <c r="AG525" i="6" s="1"/>
  <c r="AF525" i="6" a="1"/>
  <c r="AF525" i="6" s="1"/>
  <c r="AG524" i="6" a="1"/>
  <c r="AG524" i="6" s="1"/>
  <c r="AF524" i="6" a="1"/>
  <c r="AF524" i="6" s="1"/>
  <c r="AG523" i="6" a="1"/>
  <c r="AG523" i="6" s="1"/>
  <c r="AF523" i="6" a="1"/>
  <c r="AF523" i="6" s="1"/>
  <c r="AG522" i="6" a="1"/>
  <c r="AG522" i="6" s="1"/>
  <c r="AF522" i="6" a="1"/>
  <c r="AF522" i="6" s="1"/>
  <c r="AG521" i="6" a="1"/>
  <c r="AG521" i="6" s="1"/>
  <c r="AF521" i="6" a="1"/>
  <c r="AF521" i="6" s="1"/>
  <c r="AG520" i="6" a="1"/>
  <c r="AG520" i="6" s="1"/>
  <c r="AF520" i="6" a="1"/>
  <c r="AF520" i="6" s="1"/>
  <c r="AG519" i="6" a="1"/>
  <c r="AG519" i="6" s="1"/>
  <c r="AF519" i="6" a="1"/>
  <c r="AF519" i="6" s="1"/>
  <c r="AG518" i="6" a="1"/>
  <c r="AG518" i="6" s="1"/>
  <c r="AF518" i="6" a="1"/>
  <c r="AF518" i="6" s="1"/>
  <c r="AG517" i="6" a="1"/>
  <c r="AG517" i="6" s="1"/>
  <c r="AF517" i="6" a="1"/>
  <c r="AF517" i="6" s="1"/>
  <c r="AG516" i="6" a="1"/>
  <c r="AG516" i="6" s="1"/>
  <c r="AF516" i="6" a="1"/>
  <c r="AF516" i="6" s="1"/>
  <c r="AG515" i="6" a="1"/>
  <c r="AG515" i="6" s="1"/>
  <c r="AF515" i="6" a="1"/>
  <c r="AF515" i="6" s="1"/>
  <c r="AG514" i="6" a="1"/>
  <c r="AG514" i="6" s="1"/>
  <c r="AF514" i="6" a="1"/>
  <c r="AF514" i="6" s="1"/>
  <c r="AG513" i="6" a="1"/>
  <c r="AG513" i="6" s="1"/>
  <c r="AF513" i="6" a="1"/>
  <c r="AF513" i="6" s="1"/>
  <c r="AG512" i="6" a="1"/>
  <c r="AG512" i="6" s="1"/>
  <c r="AF512" i="6" a="1"/>
  <c r="AF512" i="6" s="1"/>
  <c r="AG511" i="6" a="1"/>
  <c r="AG511" i="6" s="1"/>
  <c r="AF511" i="6" a="1"/>
  <c r="AF511" i="6" s="1"/>
  <c r="AG510" i="6" a="1"/>
  <c r="AG510" i="6" s="1"/>
  <c r="AF510" i="6" a="1"/>
  <c r="AF510" i="6" s="1"/>
  <c r="AG509" i="6" a="1"/>
  <c r="AG509" i="6" s="1"/>
  <c r="AF509" i="6" a="1"/>
  <c r="AF509" i="6" s="1"/>
  <c r="AG508" i="6" a="1"/>
  <c r="AG508" i="6" s="1"/>
  <c r="AF508" i="6" a="1"/>
  <c r="AF508" i="6" s="1"/>
  <c r="AG507" i="6" a="1"/>
  <c r="AG507" i="6" s="1"/>
  <c r="AF507" i="6" a="1"/>
  <c r="AF507" i="6" s="1"/>
  <c r="AG506" i="6" a="1"/>
  <c r="AG506" i="6" s="1"/>
  <c r="AF506" i="6" a="1"/>
  <c r="AF506" i="6" s="1"/>
  <c r="AG505" i="6" a="1"/>
  <c r="AG505" i="6" s="1"/>
  <c r="AF505" i="6" a="1"/>
  <c r="AF505" i="6" s="1"/>
  <c r="AG504" i="6" a="1"/>
  <c r="AG504" i="6" s="1"/>
  <c r="AF504" i="6" a="1"/>
  <c r="AF504" i="6" s="1"/>
  <c r="AG503" i="6" a="1"/>
  <c r="AG503" i="6" s="1"/>
  <c r="AF503" i="6" a="1"/>
  <c r="AF503" i="6" s="1"/>
  <c r="AG502" i="6" a="1"/>
  <c r="AG502" i="6" s="1"/>
  <c r="AF502" i="6" a="1"/>
  <c r="AF502" i="6" s="1"/>
  <c r="AG501" i="6" a="1"/>
  <c r="AG501" i="6" s="1"/>
  <c r="AF501" i="6" a="1"/>
  <c r="AF501" i="6" s="1"/>
  <c r="AG500" i="6" a="1"/>
  <c r="AG500" i="6" s="1"/>
  <c r="AF500" i="6" a="1"/>
  <c r="AF500" i="6" s="1"/>
  <c r="AG499" i="6" a="1"/>
  <c r="AG499" i="6" s="1"/>
  <c r="AF499" i="6" a="1"/>
  <c r="AF499" i="6" s="1"/>
  <c r="AG498" i="6" a="1"/>
  <c r="AG498" i="6" s="1"/>
  <c r="AF498" i="6" a="1"/>
  <c r="AF498" i="6" s="1"/>
  <c r="AG497" i="6" a="1"/>
  <c r="AG497" i="6" s="1"/>
  <c r="AF497" i="6" a="1"/>
  <c r="AF497" i="6" s="1"/>
  <c r="AG496" i="6" a="1"/>
  <c r="AG496" i="6" s="1"/>
  <c r="AF496" i="6" a="1"/>
  <c r="AF496" i="6" s="1"/>
  <c r="AG495" i="6" a="1"/>
  <c r="AG495" i="6" s="1"/>
  <c r="AF495" i="6" a="1"/>
  <c r="AF495" i="6" s="1"/>
  <c r="AG494" i="6" a="1"/>
  <c r="AG494" i="6" s="1"/>
  <c r="AF494" i="6" a="1"/>
  <c r="AF494" i="6" s="1"/>
  <c r="AG493" i="6" a="1"/>
  <c r="AG493" i="6" s="1"/>
  <c r="AF493" i="6" a="1"/>
  <c r="AF493" i="6" s="1"/>
  <c r="AG492" i="6" a="1"/>
  <c r="AG492" i="6" s="1"/>
  <c r="AF492" i="6" a="1"/>
  <c r="AF492" i="6" s="1"/>
  <c r="AG491" i="6" a="1"/>
  <c r="AG491" i="6" s="1"/>
  <c r="AF491" i="6" a="1"/>
  <c r="AF491" i="6" s="1"/>
  <c r="AG490" i="6" a="1"/>
  <c r="AG490" i="6" s="1"/>
  <c r="AF490" i="6" a="1"/>
  <c r="AF490" i="6" s="1"/>
  <c r="AG489" i="6" a="1"/>
  <c r="AG489" i="6" s="1"/>
  <c r="AF489" i="6" a="1"/>
  <c r="AF489" i="6" s="1"/>
  <c r="AG488" i="6" a="1"/>
  <c r="AG488" i="6" s="1"/>
  <c r="AF488" i="6" a="1"/>
  <c r="AF488" i="6" s="1"/>
  <c r="AG487" i="6" a="1"/>
  <c r="AG487" i="6" s="1"/>
  <c r="AF487" i="6" a="1"/>
  <c r="AF487" i="6" s="1"/>
  <c r="AG486" i="6" a="1"/>
  <c r="AG486" i="6" s="1"/>
  <c r="AF486" i="6" a="1"/>
  <c r="AF486" i="6" s="1"/>
  <c r="AG485" i="6" a="1"/>
  <c r="AG485" i="6" s="1"/>
  <c r="AF485" i="6" a="1"/>
  <c r="AF485" i="6" s="1"/>
  <c r="AG484" i="6" a="1"/>
  <c r="AG484" i="6" s="1"/>
  <c r="AF484" i="6" a="1"/>
  <c r="AF484" i="6" s="1"/>
  <c r="AG483" i="6" a="1"/>
  <c r="AG483" i="6" s="1"/>
  <c r="AF483" i="6" a="1"/>
  <c r="AF483" i="6" s="1"/>
  <c r="AG482" i="6" a="1"/>
  <c r="AG482" i="6" s="1"/>
  <c r="AF482" i="6" a="1"/>
  <c r="AF482" i="6" s="1"/>
  <c r="AG481" i="6" a="1"/>
  <c r="AG481" i="6" s="1"/>
  <c r="AF481" i="6" a="1"/>
  <c r="AF481" i="6" s="1"/>
  <c r="AG480" i="6" a="1"/>
  <c r="AG480" i="6" s="1"/>
  <c r="AF480" i="6" a="1"/>
  <c r="AF480" i="6" s="1"/>
  <c r="AG479" i="6" a="1"/>
  <c r="AG479" i="6" s="1"/>
  <c r="AF479" i="6" a="1"/>
  <c r="AF479" i="6" s="1"/>
  <c r="AG478" i="6" a="1"/>
  <c r="AG478" i="6" s="1"/>
  <c r="AF478" i="6" a="1"/>
  <c r="AF478" i="6" s="1"/>
  <c r="AG477" i="6" a="1"/>
  <c r="AG477" i="6" s="1"/>
  <c r="AF477" i="6" a="1"/>
  <c r="AF477" i="6" s="1"/>
  <c r="AG476" i="6" a="1"/>
  <c r="AG476" i="6" s="1"/>
  <c r="AF476" i="6" a="1"/>
  <c r="AF476" i="6" s="1"/>
  <c r="AG475" i="6" a="1"/>
  <c r="AG475" i="6" s="1"/>
  <c r="AF475" i="6" a="1"/>
  <c r="AF475" i="6" s="1"/>
  <c r="AG474" i="6" a="1"/>
  <c r="AG474" i="6" s="1"/>
  <c r="AF474" i="6" a="1"/>
  <c r="AF474" i="6" s="1"/>
  <c r="AG473" i="6" a="1"/>
  <c r="AG473" i="6" s="1"/>
  <c r="AF473" i="6" a="1"/>
  <c r="AF473" i="6" s="1"/>
  <c r="AG472" i="6" a="1"/>
  <c r="AG472" i="6" s="1"/>
  <c r="AF472" i="6" a="1"/>
  <c r="AF472" i="6" s="1"/>
  <c r="AG471" i="6" a="1"/>
  <c r="AG471" i="6" s="1"/>
  <c r="AF471" i="6" a="1"/>
  <c r="AF471" i="6" s="1"/>
  <c r="AG470" i="6" a="1"/>
  <c r="AG470" i="6" s="1"/>
  <c r="AF470" i="6" a="1"/>
  <c r="AF470" i="6" s="1"/>
  <c r="AG469" i="6" a="1"/>
  <c r="AG469" i="6" s="1"/>
  <c r="AF469" i="6" a="1"/>
  <c r="AF469" i="6" s="1"/>
  <c r="AG468" i="6" a="1"/>
  <c r="AG468" i="6" s="1"/>
  <c r="AF468" i="6" a="1"/>
  <c r="AF468" i="6" s="1"/>
  <c r="AG467" i="6" a="1"/>
  <c r="AG467" i="6" s="1"/>
  <c r="AF467" i="6" a="1"/>
  <c r="AF467" i="6" s="1"/>
  <c r="AG466" i="6" a="1"/>
  <c r="AG466" i="6" s="1"/>
  <c r="AF466" i="6" a="1"/>
  <c r="AF466" i="6" s="1"/>
  <c r="AG465" i="6" a="1"/>
  <c r="AG465" i="6" s="1"/>
  <c r="AF465" i="6" a="1"/>
  <c r="AF465" i="6" s="1"/>
  <c r="AG464" i="6" a="1"/>
  <c r="AG464" i="6" s="1"/>
  <c r="AF464" i="6" a="1"/>
  <c r="AF464" i="6" s="1"/>
  <c r="AG463" i="6" a="1"/>
  <c r="AG463" i="6" s="1"/>
  <c r="AF463" i="6" a="1"/>
  <c r="AF463" i="6" s="1"/>
  <c r="AG462" i="6" a="1"/>
  <c r="AG462" i="6" s="1"/>
  <c r="AF462" i="6" a="1"/>
  <c r="AF462" i="6" s="1"/>
  <c r="AG461" i="6" a="1"/>
  <c r="AG461" i="6" s="1"/>
  <c r="AF461" i="6" a="1"/>
  <c r="AF461" i="6" s="1"/>
  <c r="AG460" i="6" a="1"/>
  <c r="AG460" i="6" s="1"/>
  <c r="AF460" i="6" a="1"/>
  <c r="AF460" i="6" s="1"/>
  <c r="AG459" i="6" a="1"/>
  <c r="AG459" i="6" s="1"/>
  <c r="AF459" i="6" a="1"/>
  <c r="AF459" i="6" s="1"/>
  <c r="AG458" i="6" a="1"/>
  <c r="AG458" i="6" s="1"/>
  <c r="AF458" i="6" a="1"/>
  <c r="AF458" i="6" s="1"/>
  <c r="AG457" i="6" a="1"/>
  <c r="AG457" i="6" s="1"/>
  <c r="AF457" i="6" a="1"/>
  <c r="AF457" i="6" s="1"/>
  <c r="AG456" i="6" a="1"/>
  <c r="AG456" i="6" s="1"/>
  <c r="AF456" i="6" a="1"/>
  <c r="AF456" i="6" s="1"/>
  <c r="AG455" i="6" a="1"/>
  <c r="AG455" i="6" s="1"/>
  <c r="AF455" i="6" a="1"/>
  <c r="AF455" i="6" s="1"/>
  <c r="AG454" i="6" a="1"/>
  <c r="AG454" i="6" s="1"/>
  <c r="AF454" i="6" a="1"/>
  <c r="AF454" i="6" s="1"/>
  <c r="AG453" i="6" a="1"/>
  <c r="AG453" i="6" s="1"/>
  <c r="AF453" i="6" a="1"/>
  <c r="AF453" i="6" s="1"/>
  <c r="AG452" i="6" a="1"/>
  <c r="AG452" i="6" s="1"/>
  <c r="AF452" i="6" a="1"/>
  <c r="AF452" i="6" s="1"/>
  <c r="AG451" i="6" a="1"/>
  <c r="AG451" i="6" s="1"/>
  <c r="AF451" i="6" a="1"/>
  <c r="AF451" i="6" s="1"/>
  <c r="AG450" i="6" a="1"/>
  <c r="AG450" i="6" s="1"/>
  <c r="AF450" i="6" a="1"/>
  <c r="AF450" i="6" s="1"/>
  <c r="AG449" i="6" a="1"/>
  <c r="AG449" i="6" s="1"/>
  <c r="AF449" i="6" a="1"/>
  <c r="AF449" i="6" s="1"/>
  <c r="AG448" i="6" a="1"/>
  <c r="AG448" i="6" s="1"/>
  <c r="AF448" i="6" a="1"/>
  <c r="AF448" i="6" s="1"/>
  <c r="AG447" i="6" a="1"/>
  <c r="AG447" i="6" s="1"/>
  <c r="AF447" i="6" a="1"/>
  <c r="AF447" i="6" s="1"/>
  <c r="AG446" i="6" a="1"/>
  <c r="AG446" i="6" s="1"/>
  <c r="AF446" i="6" a="1"/>
  <c r="AF446" i="6" s="1"/>
  <c r="AG445" i="6" a="1"/>
  <c r="AG445" i="6" s="1"/>
  <c r="AF445" i="6" a="1"/>
  <c r="AF445" i="6" s="1"/>
  <c r="AG444" i="6" a="1"/>
  <c r="AG444" i="6" s="1"/>
  <c r="AF444" i="6" a="1"/>
  <c r="AF444" i="6" s="1"/>
  <c r="AG443" i="6" a="1"/>
  <c r="AG443" i="6" s="1"/>
  <c r="AF443" i="6" a="1"/>
  <c r="AF443" i="6" s="1"/>
  <c r="AG442" i="6" a="1"/>
  <c r="AG442" i="6" s="1"/>
  <c r="AF442" i="6" a="1"/>
  <c r="AF442" i="6" s="1"/>
  <c r="AG441" i="6" a="1"/>
  <c r="AG441" i="6" s="1"/>
  <c r="AF441" i="6" a="1"/>
  <c r="AF441" i="6" s="1"/>
  <c r="AG440" i="6" a="1"/>
  <c r="AG440" i="6" s="1"/>
  <c r="AF440" i="6" a="1"/>
  <c r="AF440" i="6" s="1"/>
  <c r="AG439" i="6" a="1"/>
  <c r="AG439" i="6" s="1"/>
  <c r="AF439" i="6" a="1"/>
  <c r="AF439" i="6" s="1"/>
  <c r="AG438" i="6" a="1"/>
  <c r="AG438" i="6" s="1"/>
  <c r="AF438" i="6" a="1"/>
  <c r="AF438" i="6" s="1"/>
  <c r="AG437" i="6" a="1"/>
  <c r="AG437" i="6" s="1"/>
  <c r="AF437" i="6" a="1"/>
  <c r="AF437" i="6" s="1"/>
  <c r="AG436" i="6" a="1"/>
  <c r="AG436" i="6" s="1"/>
  <c r="AF436" i="6" a="1"/>
  <c r="AF436" i="6" s="1"/>
  <c r="AG435" i="6" a="1"/>
  <c r="AG435" i="6" s="1"/>
  <c r="AF435" i="6" a="1"/>
  <c r="AF435" i="6" s="1"/>
  <c r="AG434" i="6" a="1"/>
  <c r="AG434" i="6" s="1"/>
  <c r="AF434" i="6" a="1"/>
  <c r="AF434" i="6" s="1"/>
  <c r="AG433" i="6" a="1"/>
  <c r="AG433" i="6" s="1"/>
  <c r="AF433" i="6" a="1"/>
  <c r="AF433" i="6" s="1"/>
  <c r="AG432" i="6" a="1"/>
  <c r="AG432" i="6" s="1"/>
  <c r="AF432" i="6" a="1"/>
  <c r="AF432" i="6" s="1"/>
  <c r="AG431" i="6" a="1"/>
  <c r="AG431" i="6" s="1"/>
  <c r="AF431" i="6" a="1"/>
  <c r="AF431" i="6" s="1"/>
  <c r="AG430" i="6" a="1"/>
  <c r="AG430" i="6" s="1"/>
  <c r="AF430" i="6" a="1"/>
  <c r="AF430" i="6" s="1"/>
  <c r="AG429" i="6" a="1"/>
  <c r="AG429" i="6" s="1"/>
  <c r="AF429" i="6" a="1"/>
  <c r="AF429" i="6" s="1"/>
  <c r="AG428" i="6" a="1"/>
  <c r="AG428" i="6" s="1"/>
  <c r="AF428" i="6" a="1"/>
  <c r="AF428" i="6" s="1"/>
  <c r="AG427" i="6" a="1"/>
  <c r="AG427" i="6" s="1"/>
  <c r="AF427" i="6" a="1"/>
  <c r="AF427" i="6" s="1"/>
  <c r="AG426" i="6" a="1"/>
  <c r="AG426" i="6" s="1"/>
  <c r="AF426" i="6" a="1"/>
  <c r="AF426" i="6" s="1"/>
  <c r="AG425" i="6" a="1"/>
  <c r="AG425" i="6" s="1"/>
  <c r="AF425" i="6" a="1"/>
  <c r="AF425" i="6" s="1"/>
  <c r="AG424" i="6" a="1"/>
  <c r="AG424" i="6" s="1"/>
  <c r="AF424" i="6" a="1"/>
  <c r="AF424" i="6" s="1"/>
  <c r="AG423" i="6" a="1"/>
  <c r="AG423" i="6" s="1"/>
  <c r="AF423" i="6" a="1"/>
  <c r="AF423" i="6" s="1"/>
  <c r="AG422" i="6" a="1"/>
  <c r="AG422" i="6" s="1"/>
  <c r="AF422" i="6" a="1"/>
  <c r="AF422" i="6" s="1"/>
  <c r="AG421" i="6" a="1"/>
  <c r="AG421" i="6" s="1"/>
  <c r="AF421" i="6" a="1"/>
  <c r="AF421" i="6" s="1"/>
  <c r="AG420" i="6" a="1"/>
  <c r="AG420" i="6" s="1"/>
  <c r="AF420" i="6" a="1"/>
  <c r="AF420" i="6" s="1"/>
  <c r="AG419" i="6" a="1"/>
  <c r="AG419" i="6" s="1"/>
  <c r="AF419" i="6" a="1"/>
  <c r="AF419" i="6" s="1"/>
  <c r="AG418" i="6" a="1"/>
  <c r="AG418" i="6" s="1"/>
  <c r="AF418" i="6" a="1"/>
  <c r="AF418" i="6" s="1"/>
  <c r="AG417" i="6" a="1"/>
  <c r="AG417" i="6" s="1"/>
  <c r="AF417" i="6" a="1"/>
  <c r="AF417" i="6" s="1"/>
  <c r="AG416" i="6" a="1"/>
  <c r="AG416" i="6" s="1"/>
  <c r="AF416" i="6" a="1"/>
  <c r="AF416" i="6" s="1"/>
  <c r="AG415" i="6" a="1"/>
  <c r="AG415" i="6" s="1"/>
  <c r="AF415" i="6" a="1"/>
  <c r="AF415" i="6" s="1"/>
  <c r="AG414" i="6" a="1"/>
  <c r="AG414" i="6" s="1"/>
  <c r="AF414" i="6" a="1"/>
  <c r="AF414" i="6" s="1"/>
  <c r="AG413" i="6" a="1"/>
  <c r="AG413" i="6" s="1"/>
  <c r="AF413" i="6" a="1"/>
  <c r="AF413" i="6" s="1"/>
  <c r="AG412" i="6" a="1"/>
  <c r="AG412" i="6" s="1"/>
  <c r="AF412" i="6" a="1"/>
  <c r="AF412" i="6" s="1"/>
  <c r="AG411" i="6" a="1"/>
  <c r="AG411" i="6" s="1"/>
  <c r="AF411" i="6" a="1"/>
  <c r="AF411" i="6" s="1"/>
  <c r="AG410" i="6" a="1"/>
  <c r="AG410" i="6" s="1"/>
  <c r="AF410" i="6" a="1"/>
  <c r="AF410" i="6" s="1"/>
  <c r="AG409" i="6" a="1"/>
  <c r="AG409" i="6" s="1"/>
  <c r="AF409" i="6" a="1"/>
  <c r="AF409" i="6" s="1"/>
  <c r="AG408" i="6" a="1"/>
  <c r="AG408" i="6" s="1"/>
  <c r="AF408" i="6" a="1"/>
  <c r="AF408" i="6" s="1"/>
  <c r="AG407" i="6" a="1"/>
  <c r="AG407" i="6" s="1"/>
  <c r="AF407" i="6" a="1"/>
  <c r="AF407" i="6" s="1"/>
  <c r="AG406" i="6" a="1"/>
  <c r="AG406" i="6" s="1"/>
  <c r="AF406" i="6" a="1"/>
  <c r="AF406" i="6" s="1"/>
  <c r="AG405" i="6" a="1"/>
  <c r="AG405" i="6" s="1"/>
  <c r="AF405" i="6" a="1"/>
  <c r="AF405" i="6" s="1"/>
  <c r="AG404" i="6" a="1"/>
  <c r="AG404" i="6" s="1"/>
  <c r="AF404" i="6" a="1"/>
  <c r="AF404" i="6" s="1"/>
  <c r="AG403" i="6" a="1"/>
  <c r="AG403" i="6" s="1"/>
  <c r="AF403" i="6" a="1"/>
  <c r="AF403" i="6" s="1"/>
  <c r="AG402" i="6" a="1"/>
  <c r="AG402" i="6" s="1"/>
  <c r="AF402" i="6" a="1"/>
  <c r="AF402" i="6" s="1"/>
  <c r="AG401" i="6" a="1"/>
  <c r="AG401" i="6" s="1"/>
  <c r="AF401" i="6" a="1"/>
  <c r="AF401" i="6" s="1"/>
  <c r="AG400" i="6" a="1"/>
  <c r="AG400" i="6" s="1"/>
  <c r="AF400" i="6" a="1"/>
  <c r="AF400" i="6" s="1"/>
  <c r="AG399" i="6" a="1"/>
  <c r="AG399" i="6" s="1"/>
  <c r="AF399" i="6" a="1"/>
  <c r="AF399" i="6" s="1"/>
  <c r="AG398" i="6" a="1"/>
  <c r="AG398" i="6" s="1"/>
  <c r="AF398" i="6" a="1"/>
  <c r="AF398" i="6" s="1"/>
  <c r="AG397" i="6" a="1"/>
  <c r="AG397" i="6" s="1"/>
  <c r="AF397" i="6" a="1"/>
  <c r="AF397" i="6" s="1"/>
  <c r="AG396" i="6" a="1"/>
  <c r="AG396" i="6" s="1"/>
  <c r="AF396" i="6" a="1"/>
  <c r="AF396" i="6" s="1"/>
  <c r="AG395" i="6" a="1"/>
  <c r="AG395" i="6" s="1"/>
  <c r="AF395" i="6" a="1"/>
  <c r="AF395" i="6" s="1"/>
  <c r="AG394" i="6" a="1"/>
  <c r="AG394" i="6" s="1"/>
  <c r="AF394" i="6" a="1"/>
  <c r="AF394" i="6" s="1"/>
  <c r="AG393" i="6" a="1"/>
  <c r="AG393" i="6" s="1"/>
  <c r="AF393" i="6" a="1"/>
  <c r="AF393" i="6" s="1"/>
  <c r="AG392" i="6" a="1"/>
  <c r="AG392" i="6" s="1"/>
  <c r="AF392" i="6" a="1"/>
  <c r="AF392" i="6" s="1"/>
  <c r="AG391" i="6" a="1"/>
  <c r="AG391" i="6" s="1"/>
  <c r="AF391" i="6" a="1"/>
  <c r="AF391" i="6" s="1"/>
  <c r="AG390" i="6" a="1"/>
  <c r="AG390" i="6" s="1"/>
  <c r="AF390" i="6" a="1"/>
  <c r="AF390" i="6" s="1"/>
  <c r="AG389" i="6" a="1"/>
  <c r="AG389" i="6" s="1"/>
  <c r="AF389" i="6" a="1"/>
  <c r="AF389" i="6" s="1"/>
  <c r="AG388" i="6" a="1"/>
  <c r="AG388" i="6" s="1"/>
  <c r="AF388" i="6" a="1"/>
  <c r="AF388" i="6" s="1"/>
  <c r="AG387" i="6" a="1"/>
  <c r="AG387" i="6" s="1"/>
  <c r="AF387" i="6" a="1"/>
  <c r="AF387" i="6" s="1"/>
  <c r="AG386" i="6" a="1"/>
  <c r="AG386" i="6" s="1"/>
  <c r="AF386" i="6" a="1"/>
  <c r="AF386" i="6" s="1"/>
  <c r="AG385" i="6" a="1"/>
  <c r="AG385" i="6" s="1"/>
  <c r="AF385" i="6" a="1"/>
  <c r="AF385" i="6" s="1"/>
  <c r="AG384" i="6" a="1"/>
  <c r="AG384" i="6" s="1"/>
  <c r="AF384" i="6" a="1"/>
  <c r="AF384" i="6" s="1"/>
  <c r="AG383" i="6" a="1"/>
  <c r="AG383" i="6" s="1"/>
  <c r="AF383" i="6" a="1"/>
  <c r="AF383" i="6" s="1"/>
  <c r="AG382" i="6" a="1"/>
  <c r="AG382" i="6" s="1"/>
  <c r="AF382" i="6" a="1"/>
  <c r="AF382" i="6" s="1"/>
  <c r="AG381" i="6" a="1"/>
  <c r="AG381" i="6" s="1"/>
  <c r="AF381" i="6" a="1"/>
  <c r="AF381" i="6" s="1"/>
  <c r="AG380" i="6" a="1"/>
  <c r="AG380" i="6" s="1"/>
  <c r="AF380" i="6" a="1"/>
  <c r="AF380" i="6" s="1"/>
  <c r="AG379" i="6" a="1"/>
  <c r="AG379" i="6" s="1"/>
  <c r="AF379" i="6" a="1"/>
  <c r="AF379" i="6" s="1"/>
  <c r="AG378" i="6" a="1"/>
  <c r="AG378" i="6" s="1"/>
  <c r="AF378" i="6" a="1"/>
  <c r="AF378" i="6" s="1"/>
  <c r="AG377" i="6" a="1"/>
  <c r="AG377" i="6" s="1"/>
  <c r="AF377" i="6" a="1"/>
  <c r="AF377" i="6" s="1"/>
  <c r="AG376" i="6" a="1"/>
  <c r="AG376" i="6" s="1"/>
  <c r="AF376" i="6" a="1"/>
  <c r="AF376" i="6" s="1"/>
  <c r="AG375" i="6" a="1"/>
  <c r="AG375" i="6" s="1"/>
  <c r="AF375" i="6" a="1"/>
  <c r="AF375" i="6" s="1"/>
  <c r="AG374" i="6" a="1"/>
  <c r="AG374" i="6" s="1"/>
  <c r="AF374" i="6" a="1"/>
  <c r="AF374" i="6" s="1"/>
  <c r="AG373" i="6" a="1"/>
  <c r="AG373" i="6" s="1"/>
  <c r="AF373" i="6" a="1"/>
  <c r="AF373" i="6" s="1"/>
  <c r="AG372" i="6" a="1"/>
  <c r="AG372" i="6" s="1"/>
  <c r="AF372" i="6" a="1"/>
  <c r="AF372" i="6" s="1"/>
  <c r="AG371" i="6" a="1"/>
  <c r="AG371" i="6" s="1"/>
  <c r="AF371" i="6" a="1"/>
  <c r="AF371" i="6" s="1"/>
  <c r="AG370" i="6" a="1"/>
  <c r="AG370" i="6" s="1"/>
  <c r="AF370" i="6" a="1"/>
  <c r="AF370" i="6" s="1"/>
  <c r="AG369" i="6" a="1"/>
  <c r="AG369" i="6" s="1"/>
  <c r="AF369" i="6" a="1"/>
  <c r="AF369" i="6" s="1"/>
  <c r="AG368" i="6" a="1"/>
  <c r="AG368" i="6" s="1"/>
  <c r="AF368" i="6" a="1"/>
  <c r="AF368" i="6" s="1"/>
  <c r="AG367" i="6" a="1"/>
  <c r="AG367" i="6" s="1"/>
  <c r="AF367" i="6" a="1"/>
  <c r="AF367" i="6" s="1"/>
  <c r="AG366" i="6" a="1"/>
  <c r="AG366" i="6" s="1"/>
  <c r="AF366" i="6" a="1"/>
  <c r="AF366" i="6" s="1"/>
  <c r="AG365" i="6" a="1"/>
  <c r="AG365" i="6" s="1"/>
  <c r="AF365" i="6" a="1"/>
  <c r="AF365" i="6" s="1"/>
  <c r="AG364" i="6" a="1"/>
  <c r="AG364" i="6" s="1"/>
  <c r="AF364" i="6" a="1"/>
  <c r="AF364" i="6" s="1"/>
  <c r="AG363" i="6" a="1"/>
  <c r="AG363" i="6" s="1"/>
  <c r="AF363" i="6" a="1"/>
  <c r="AF363" i="6" s="1"/>
  <c r="AG362" i="6" a="1"/>
  <c r="AG362" i="6" s="1"/>
  <c r="AF362" i="6" a="1"/>
  <c r="AF362" i="6" s="1"/>
  <c r="AG361" i="6" a="1"/>
  <c r="AG361" i="6" s="1"/>
  <c r="AF361" i="6" a="1"/>
  <c r="AF361" i="6" s="1"/>
  <c r="AG360" i="6" a="1"/>
  <c r="AG360" i="6" s="1"/>
  <c r="AF360" i="6" a="1"/>
  <c r="AF360" i="6" s="1"/>
  <c r="AG359" i="6" a="1"/>
  <c r="AG359" i="6" s="1"/>
  <c r="AF359" i="6" a="1"/>
  <c r="AF359" i="6" s="1"/>
  <c r="AG358" i="6" a="1"/>
  <c r="AG358" i="6" s="1"/>
  <c r="AF358" i="6" a="1"/>
  <c r="AF358" i="6" s="1"/>
  <c r="AG357" i="6" a="1"/>
  <c r="AG357" i="6" s="1"/>
  <c r="AF357" i="6" a="1"/>
  <c r="AF357" i="6" s="1"/>
  <c r="AG356" i="6" a="1"/>
  <c r="AG356" i="6" s="1"/>
  <c r="AF356" i="6" a="1"/>
  <c r="AF356" i="6" s="1"/>
  <c r="AG355" i="6" a="1"/>
  <c r="AG355" i="6" s="1"/>
  <c r="AF355" i="6" a="1"/>
  <c r="AF355" i="6" s="1"/>
  <c r="AG354" i="6" a="1"/>
  <c r="AG354" i="6" s="1"/>
  <c r="AF354" i="6" a="1"/>
  <c r="AF354" i="6" s="1"/>
  <c r="AG353" i="6" a="1"/>
  <c r="AG353" i="6" s="1"/>
  <c r="AF353" i="6" a="1"/>
  <c r="AF353" i="6" s="1"/>
  <c r="AG352" i="6" a="1"/>
  <c r="AG352" i="6" s="1"/>
  <c r="AF352" i="6" a="1"/>
  <c r="AF352" i="6" s="1"/>
  <c r="AG351" i="6" a="1"/>
  <c r="AG351" i="6" s="1"/>
  <c r="AF351" i="6" a="1"/>
  <c r="AF351" i="6" s="1"/>
  <c r="AG350" i="6" a="1"/>
  <c r="AG350" i="6" s="1"/>
  <c r="AF350" i="6" a="1"/>
  <c r="AF350" i="6" s="1"/>
  <c r="AG349" i="6" a="1"/>
  <c r="AG349" i="6" s="1"/>
  <c r="AF349" i="6" a="1"/>
  <c r="AF349" i="6" s="1"/>
  <c r="AG348" i="6" a="1"/>
  <c r="AG348" i="6" s="1"/>
  <c r="AF348" i="6" a="1"/>
  <c r="AF348" i="6" s="1"/>
  <c r="AG347" i="6" a="1"/>
  <c r="AG347" i="6" s="1"/>
  <c r="AF347" i="6" a="1"/>
  <c r="AF347" i="6" s="1"/>
  <c r="AG346" i="6" a="1"/>
  <c r="AG346" i="6" s="1"/>
  <c r="AF346" i="6" a="1"/>
  <c r="AF346" i="6" s="1"/>
  <c r="AG345" i="6" a="1"/>
  <c r="AG345" i="6" s="1"/>
  <c r="AF345" i="6" a="1"/>
  <c r="AF345" i="6" s="1"/>
  <c r="AG344" i="6" a="1"/>
  <c r="AG344" i="6" s="1"/>
  <c r="AF344" i="6" a="1"/>
  <c r="AF344" i="6" s="1"/>
  <c r="AG343" i="6" a="1"/>
  <c r="AG343" i="6" s="1"/>
  <c r="AF343" i="6" a="1"/>
  <c r="AF343" i="6" s="1"/>
  <c r="AG342" i="6" a="1"/>
  <c r="AG342" i="6" s="1"/>
  <c r="AF342" i="6" a="1"/>
  <c r="AF342" i="6" s="1"/>
  <c r="AG341" i="6" a="1"/>
  <c r="AG341" i="6" s="1"/>
  <c r="AF341" i="6" a="1"/>
  <c r="AF341" i="6" s="1"/>
  <c r="AG340" i="6" a="1"/>
  <c r="AG340" i="6" s="1"/>
  <c r="AF340" i="6" a="1"/>
  <c r="AF340" i="6" s="1"/>
  <c r="AG339" i="6" a="1"/>
  <c r="AG339" i="6" s="1"/>
  <c r="AF339" i="6" a="1"/>
  <c r="AF339" i="6" s="1"/>
  <c r="AG338" i="6" a="1"/>
  <c r="AG338" i="6" s="1"/>
  <c r="AF338" i="6" a="1"/>
  <c r="AF338" i="6" s="1"/>
  <c r="AG337" i="6" a="1"/>
  <c r="AG337" i="6" s="1"/>
  <c r="AF337" i="6" a="1"/>
  <c r="AF337" i="6" s="1"/>
  <c r="AG336" i="6" a="1"/>
  <c r="AG336" i="6" s="1"/>
  <c r="AF336" i="6" a="1"/>
  <c r="AF336" i="6" s="1"/>
  <c r="AG335" i="6" a="1"/>
  <c r="AG335" i="6" s="1"/>
  <c r="AF335" i="6" a="1"/>
  <c r="AF335" i="6" s="1"/>
  <c r="AG334" i="6" a="1"/>
  <c r="AG334" i="6" s="1"/>
  <c r="AF334" i="6" a="1"/>
  <c r="AF334" i="6" s="1"/>
  <c r="AG333" i="6" a="1"/>
  <c r="AG333" i="6" s="1"/>
  <c r="AF333" i="6" a="1"/>
  <c r="AF333" i="6" s="1"/>
  <c r="AG332" i="6" a="1"/>
  <c r="AG332" i="6" s="1"/>
  <c r="AF332" i="6" a="1"/>
  <c r="AF332" i="6" s="1"/>
  <c r="AG331" i="6" a="1"/>
  <c r="AG331" i="6" s="1"/>
  <c r="AF331" i="6" a="1"/>
  <c r="AF331" i="6" s="1"/>
  <c r="AG330" i="6" a="1"/>
  <c r="AG330" i="6" s="1"/>
  <c r="AF330" i="6" a="1"/>
  <c r="AF330" i="6" s="1"/>
  <c r="AG329" i="6" a="1"/>
  <c r="AG329" i="6" s="1"/>
  <c r="AF329" i="6" a="1"/>
  <c r="AF329" i="6" s="1"/>
  <c r="AG328" i="6" a="1"/>
  <c r="AG328" i="6" s="1"/>
  <c r="AF328" i="6" a="1"/>
  <c r="AF328" i="6" s="1"/>
  <c r="AG327" i="6" a="1"/>
  <c r="AG327" i="6" s="1"/>
  <c r="AF327" i="6" a="1"/>
  <c r="AF327" i="6" s="1"/>
  <c r="AG326" i="6" a="1"/>
  <c r="AG326" i="6" s="1"/>
  <c r="AF326" i="6" a="1"/>
  <c r="AF326" i="6" s="1"/>
  <c r="AG325" i="6" a="1"/>
  <c r="AG325" i="6" s="1"/>
  <c r="AF325" i="6" a="1"/>
  <c r="AF325" i="6" s="1"/>
  <c r="AG324" i="6" a="1"/>
  <c r="AG324" i="6" s="1"/>
  <c r="AF324" i="6" a="1"/>
  <c r="AF324" i="6" s="1"/>
  <c r="AG323" i="6" a="1"/>
  <c r="AG323" i="6" s="1"/>
  <c r="AF323" i="6" a="1"/>
  <c r="AF323" i="6" s="1"/>
  <c r="AG322" i="6" a="1"/>
  <c r="AG322" i="6" s="1"/>
  <c r="AF322" i="6" a="1"/>
  <c r="AF322" i="6" s="1"/>
  <c r="AG321" i="6" a="1"/>
  <c r="AG321" i="6" s="1"/>
  <c r="AF321" i="6" a="1"/>
  <c r="AF321" i="6" s="1"/>
  <c r="AG320" i="6" a="1"/>
  <c r="AG320" i="6" s="1"/>
  <c r="AF320" i="6" a="1"/>
  <c r="AF320" i="6" s="1"/>
  <c r="AG319" i="6" a="1"/>
  <c r="AG319" i="6" s="1"/>
  <c r="AF319" i="6" a="1"/>
  <c r="AF319" i="6" s="1"/>
  <c r="AG318" i="6" a="1"/>
  <c r="AG318" i="6" s="1"/>
  <c r="AF318" i="6" a="1"/>
  <c r="AF318" i="6" s="1"/>
  <c r="AG317" i="6" a="1"/>
  <c r="AG317" i="6" s="1"/>
  <c r="AF317" i="6" a="1"/>
  <c r="AF317" i="6" s="1"/>
  <c r="AG316" i="6" a="1"/>
  <c r="AG316" i="6" s="1"/>
  <c r="AF316" i="6" a="1"/>
  <c r="AF316" i="6" s="1"/>
  <c r="AG315" i="6" a="1"/>
  <c r="AG315" i="6" s="1"/>
  <c r="AF315" i="6" a="1"/>
  <c r="AF315" i="6" s="1"/>
  <c r="AG314" i="6" a="1"/>
  <c r="AG314" i="6" s="1"/>
  <c r="AF314" i="6" a="1"/>
  <c r="AF314" i="6" s="1"/>
  <c r="AG313" i="6" a="1"/>
  <c r="AG313" i="6" s="1"/>
  <c r="AF313" i="6" a="1"/>
  <c r="AF313" i="6" s="1"/>
  <c r="AG312" i="6" a="1"/>
  <c r="AG312" i="6" s="1"/>
  <c r="AF312" i="6" a="1"/>
  <c r="AF312" i="6" s="1"/>
  <c r="AG311" i="6" a="1"/>
  <c r="AG311" i="6" s="1"/>
  <c r="AF311" i="6" a="1"/>
  <c r="AF311" i="6" s="1"/>
  <c r="AG310" i="6" a="1"/>
  <c r="AG310" i="6" s="1"/>
  <c r="AF310" i="6" a="1"/>
  <c r="AF310" i="6" s="1"/>
  <c r="AG309" i="6" a="1"/>
  <c r="AG309" i="6" s="1"/>
  <c r="AF309" i="6" a="1"/>
  <c r="AF309" i="6" s="1"/>
  <c r="AG308" i="6" a="1"/>
  <c r="AG308" i="6" s="1"/>
  <c r="AF308" i="6" a="1"/>
  <c r="AF308" i="6" s="1"/>
  <c r="AG307" i="6" a="1"/>
  <c r="AG307" i="6" s="1"/>
  <c r="AF307" i="6" a="1"/>
  <c r="AF307" i="6" s="1"/>
  <c r="AG306" i="6" a="1"/>
  <c r="AG306" i="6" s="1"/>
  <c r="AF306" i="6" a="1"/>
  <c r="AF306" i="6" s="1"/>
  <c r="AG305" i="6" a="1"/>
  <c r="AG305" i="6" s="1"/>
  <c r="AF305" i="6" a="1"/>
  <c r="AF305" i="6" s="1"/>
  <c r="AG304" i="6" a="1"/>
  <c r="AG304" i="6" s="1"/>
  <c r="AF304" i="6" a="1"/>
  <c r="AF304" i="6" s="1"/>
  <c r="AG303" i="6" a="1"/>
  <c r="AG303" i="6" s="1"/>
  <c r="AF303" i="6" a="1"/>
  <c r="AF303" i="6" s="1"/>
  <c r="AG302" i="6" a="1"/>
  <c r="AG302" i="6" s="1"/>
  <c r="AF302" i="6" a="1"/>
  <c r="AF302" i="6" s="1"/>
  <c r="AG301" i="6" a="1"/>
  <c r="AG301" i="6" s="1"/>
  <c r="AF301" i="6" a="1"/>
  <c r="AF301" i="6" s="1"/>
  <c r="AG300" i="6" a="1"/>
  <c r="AG300" i="6" s="1"/>
  <c r="AF300" i="6" a="1"/>
  <c r="AF300" i="6" s="1"/>
  <c r="AG299" i="6" a="1"/>
  <c r="AG299" i="6" s="1"/>
  <c r="AF299" i="6" a="1"/>
  <c r="AF299" i="6" s="1"/>
  <c r="AG298" i="6" a="1"/>
  <c r="AG298" i="6" s="1"/>
  <c r="AF298" i="6" a="1"/>
  <c r="AF298" i="6" s="1"/>
  <c r="AG297" i="6" a="1"/>
  <c r="AG297" i="6" s="1"/>
  <c r="AF297" i="6" a="1"/>
  <c r="AF297" i="6" s="1"/>
  <c r="AG296" i="6" a="1"/>
  <c r="AG296" i="6" s="1"/>
  <c r="AF296" i="6" a="1"/>
  <c r="AF296" i="6" s="1"/>
  <c r="AG295" i="6" a="1"/>
  <c r="AG295" i="6" s="1"/>
  <c r="AF295" i="6" a="1"/>
  <c r="AF295" i="6" s="1"/>
  <c r="AG294" i="6" a="1"/>
  <c r="AG294" i="6" s="1"/>
  <c r="AF294" i="6" a="1"/>
  <c r="AF294" i="6" s="1"/>
  <c r="AG293" i="6" a="1"/>
  <c r="AG293" i="6" s="1"/>
  <c r="AF293" i="6" a="1"/>
  <c r="AF293" i="6" s="1"/>
  <c r="AG292" i="6" a="1"/>
  <c r="AG292" i="6" s="1"/>
  <c r="AF292" i="6" a="1"/>
  <c r="AF292" i="6" s="1"/>
  <c r="AG291" i="6" a="1"/>
  <c r="AG291" i="6" s="1"/>
  <c r="AF291" i="6" a="1"/>
  <c r="AF291" i="6" s="1"/>
  <c r="AG290" i="6" a="1"/>
  <c r="AG290" i="6" s="1"/>
  <c r="AF290" i="6" a="1"/>
  <c r="AF290" i="6" s="1"/>
  <c r="AG289" i="6" a="1"/>
  <c r="AG289" i="6" s="1"/>
  <c r="AF289" i="6" a="1"/>
  <c r="AF289" i="6" s="1"/>
  <c r="AG288" i="6" a="1"/>
  <c r="AG288" i="6" s="1"/>
  <c r="AF288" i="6" a="1"/>
  <c r="AF288" i="6" s="1"/>
  <c r="AG287" i="6" a="1"/>
  <c r="AG287" i="6" s="1"/>
  <c r="AF287" i="6" a="1"/>
  <c r="AF287" i="6" s="1"/>
  <c r="AG286" i="6" a="1"/>
  <c r="AG286" i="6" s="1"/>
  <c r="AF286" i="6" a="1"/>
  <c r="AF286" i="6" s="1"/>
  <c r="AG285" i="6" a="1"/>
  <c r="AG285" i="6" s="1"/>
  <c r="AF285" i="6" a="1"/>
  <c r="AF285" i="6" s="1"/>
  <c r="AG284" i="6" a="1"/>
  <c r="AG284" i="6" s="1"/>
  <c r="AF284" i="6" a="1"/>
  <c r="AF284" i="6" s="1"/>
  <c r="AG283" i="6" a="1"/>
  <c r="AG283" i="6" s="1"/>
  <c r="AF283" i="6" a="1"/>
  <c r="AF283" i="6" s="1"/>
  <c r="AG282" i="6" a="1"/>
  <c r="AG282" i="6" s="1"/>
  <c r="AF282" i="6" a="1"/>
  <c r="AF282" i="6" s="1"/>
  <c r="AG281" i="6" a="1"/>
  <c r="AG281" i="6" s="1"/>
  <c r="AF281" i="6" a="1"/>
  <c r="AF281" i="6" s="1"/>
  <c r="AG280" i="6" a="1"/>
  <c r="AG280" i="6" s="1"/>
  <c r="AF280" i="6" a="1"/>
  <c r="AF280" i="6" s="1"/>
  <c r="AG279" i="6" a="1"/>
  <c r="AG279" i="6" s="1"/>
  <c r="AF279" i="6" a="1"/>
  <c r="AF279" i="6" s="1"/>
  <c r="AG278" i="6" a="1"/>
  <c r="AG278" i="6" s="1"/>
  <c r="AF278" i="6" a="1"/>
  <c r="AF278" i="6" s="1"/>
  <c r="AG277" i="6" a="1"/>
  <c r="AG277" i="6" s="1"/>
  <c r="AF277" i="6" a="1"/>
  <c r="AF277" i="6" s="1"/>
  <c r="AG276" i="6" a="1"/>
  <c r="AG276" i="6" s="1"/>
  <c r="AF276" i="6" a="1"/>
  <c r="AF276" i="6" s="1"/>
  <c r="AG275" i="6" a="1"/>
  <c r="AG275" i="6" s="1"/>
  <c r="AF275" i="6" a="1"/>
  <c r="AF275" i="6" s="1"/>
  <c r="AG274" i="6" a="1"/>
  <c r="AG274" i="6" s="1"/>
  <c r="AF274" i="6" a="1"/>
  <c r="AF274" i="6" s="1"/>
  <c r="AG273" i="6" a="1"/>
  <c r="AG273" i="6" s="1"/>
  <c r="AF273" i="6" a="1"/>
  <c r="AF273" i="6" s="1"/>
  <c r="AG272" i="6" a="1"/>
  <c r="AG272" i="6" s="1"/>
  <c r="AF272" i="6" a="1"/>
  <c r="AF272" i="6" s="1"/>
  <c r="AG271" i="6" a="1"/>
  <c r="AG271" i="6" s="1"/>
  <c r="AF271" i="6" a="1"/>
  <c r="AF271" i="6" s="1"/>
  <c r="AG270" i="6" a="1"/>
  <c r="AG270" i="6" s="1"/>
  <c r="AF270" i="6" a="1"/>
  <c r="AF270" i="6" s="1"/>
  <c r="AG269" i="6" a="1"/>
  <c r="AG269" i="6" s="1"/>
  <c r="AF269" i="6" a="1"/>
  <c r="AF269" i="6" s="1"/>
  <c r="AG268" i="6" a="1"/>
  <c r="AG268" i="6" s="1"/>
  <c r="AF268" i="6" a="1"/>
  <c r="AF268" i="6" s="1"/>
  <c r="AG267" i="6" a="1"/>
  <c r="AG267" i="6" s="1"/>
  <c r="AF267" i="6" a="1"/>
  <c r="AF267" i="6" s="1"/>
  <c r="AG266" i="6" a="1"/>
  <c r="AG266" i="6" s="1"/>
  <c r="AF266" i="6" a="1"/>
  <c r="AF266" i="6" s="1"/>
  <c r="AG265" i="6" a="1"/>
  <c r="AG265" i="6" s="1"/>
  <c r="AF265" i="6" a="1"/>
  <c r="AF265" i="6" s="1"/>
  <c r="AG264" i="6" a="1"/>
  <c r="AG264" i="6" s="1"/>
  <c r="AF264" i="6" a="1"/>
  <c r="AF264" i="6" s="1"/>
  <c r="AG263" i="6" a="1"/>
  <c r="AG263" i="6" s="1"/>
  <c r="AF263" i="6" a="1"/>
  <c r="AF263" i="6" s="1"/>
  <c r="AG262" i="6" a="1"/>
  <c r="AG262" i="6" s="1"/>
  <c r="AF262" i="6" a="1"/>
  <c r="AF262" i="6" s="1"/>
  <c r="AG261" i="6" a="1"/>
  <c r="AG261" i="6" s="1"/>
  <c r="AF261" i="6" a="1"/>
  <c r="AF261" i="6" s="1"/>
  <c r="AG260" i="6" a="1"/>
  <c r="AG260" i="6" s="1"/>
  <c r="AF260" i="6" a="1"/>
  <c r="AF260" i="6" s="1"/>
  <c r="AG259" i="6" a="1"/>
  <c r="AG259" i="6" s="1"/>
  <c r="AF259" i="6" a="1"/>
  <c r="AF259" i="6" s="1"/>
  <c r="AG258" i="6" a="1"/>
  <c r="AG258" i="6" s="1"/>
  <c r="AF258" i="6" a="1"/>
  <c r="AF258" i="6" s="1"/>
  <c r="AG257" i="6" a="1"/>
  <c r="AG257" i="6" s="1"/>
  <c r="AF257" i="6" a="1"/>
  <c r="AF257" i="6" s="1"/>
  <c r="AG256" i="6" a="1"/>
  <c r="AG256" i="6" s="1"/>
  <c r="AF256" i="6" a="1"/>
  <c r="AF256" i="6" s="1"/>
  <c r="AG255" i="6" a="1"/>
  <c r="AG255" i="6" s="1"/>
  <c r="AF255" i="6" a="1"/>
  <c r="AF255" i="6" s="1"/>
  <c r="AG254" i="6" a="1"/>
  <c r="AG254" i="6" s="1"/>
  <c r="AF254" i="6" a="1"/>
  <c r="AF254" i="6" s="1"/>
  <c r="AG253" i="6" a="1"/>
  <c r="AG253" i="6" s="1"/>
  <c r="AF253" i="6" a="1"/>
  <c r="AF253" i="6" s="1"/>
  <c r="AG252" i="6" a="1"/>
  <c r="AG252" i="6" s="1"/>
  <c r="AF252" i="6" a="1"/>
  <c r="AF252" i="6" s="1"/>
  <c r="AG251" i="6" a="1"/>
  <c r="AG251" i="6" s="1"/>
  <c r="AF251" i="6" a="1"/>
  <c r="AF251" i="6" s="1"/>
  <c r="AG250" i="6" a="1"/>
  <c r="AG250" i="6" s="1"/>
  <c r="AF250" i="6" a="1"/>
  <c r="AF250" i="6" s="1"/>
  <c r="AG249" i="6" a="1"/>
  <c r="AG249" i="6" s="1"/>
  <c r="AF249" i="6" a="1"/>
  <c r="AF249" i="6" s="1"/>
  <c r="AG248" i="6" a="1"/>
  <c r="AG248" i="6" s="1"/>
  <c r="AF248" i="6" a="1"/>
  <c r="AF248" i="6" s="1"/>
  <c r="AG247" i="6" a="1"/>
  <c r="AG247" i="6" s="1"/>
  <c r="AF247" i="6" a="1"/>
  <c r="AF247" i="6" s="1"/>
  <c r="AG246" i="6" a="1"/>
  <c r="AG246" i="6" s="1"/>
  <c r="AF246" i="6" a="1"/>
  <c r="AF246" i="6" s="1"/>
  <c r="AG245" i="6" a="1"/>
  <c r="AG245" i="6" s="1"/>
  <c r="AF245" i="6" a="1"/>
  <c r="AF245" i="6" s="1"/>
  <c r="AG244" i="6" a="1"/>
  <c r="AG244" i="6" s="1"/>
  <c r="AF244" i="6" a="1"/>
  <c r="AF244" i="6" s="1"/>
  <c r="AG243" i="6" a="1"/>
  <c r="AG243" i="6" s="1"/>
  <c r="AF243" i="6" a="1"/>
  <c r="AF243" i="6" s="1"/>
  <c r="AG242" i="6" a="1"/>
  <c r="AG242" i="6" s="1"/>
  <c r="AF242" i="6" a="1"/>
  <c r="AF242" i="6" s="1"/>
  <c r="AG241" i="6" a="1"/>
  <c r="AG241" i="6" s="1"/>
  <c r="AF241" i="6" a="1"/>
  <c r="AF241" i="6" s="1"/>
  <c r="AG240" i="6" a="1"/>
  <c r="AG240" i="6" s="1"/>
  <c r="AF240" i="6" a="1"/>
  <c r="AF240" i="6" s="1"/>
  <c r="AG239" i="6" a="1"/>
  <c r="AG239" i="6" s="1"/>
  <c r="AF239" i="6" a="1"/>
  <c r="AF239" i="6" s="1"/>
  <c r="AG238" i="6" a="1"/>
  <c r="AG238" i="6" s="1"/>
  <c r="AF238" i="6" a="1"/>
  <c r="AF238" i="6" s="1"/>
  <c r="AG237" i="6" a="1"/>
  <c r="AG237" i="6" s="1"/>
  <c r="AF237" i="6" a="1"/>
  <c r="AF237" i="6" s="1"/>
  <c r="AG236" i="6" a="1"/>
  <c r="AG236" i="6" s="1"/>
  <c r="AF236" i="6" a="1"/>
  <c r="AF236" i="6" s="1"/>
  <c r="AG235" i="6" a="1"/>
  <c r="AG235" i="6" s="1"/>
  <c r="AF235" i="6" a="1"/>
  <c r="AF235" i="6" s="1"/>
  <c r="AG234" i="6" a="1"/>
  <c r="AG234" i="6" s="1"/>
  <c r="AF234" i="6" a="1"/>
  <c r="AF234" i="6" s="1"/>
  <c r="AG233" i="6" a="1"/>
  <c r="AG233" i="6" s="1"/>
  <c r="AF233" i="6" a="1"/>
  <c r="AF233" i="6" s="1"/>
  <c r="AG232" i="6" a="1"/>
  <c r="AG232" i="6" s="1"/>
  <c r="AF232" i="6" a="1"/>
  <c r="AF232" i="6" s="1"/>
  <c r="AG231" i="6" a="1"/>
  <c r="AG231" i="6" s="1"/>
  <c r="AF231" i="6" a="1"/>
  <c r="AF231" i="6" s="1"/>
  <c r="AG230" i="6" a="1"/>
  <c r="AG230" i="6" s="1"/>
  <c r="AF230" i="6" a="1"/>
  <c r="AF230" i="6" s="1"/>
  <c r="AG229" i="6" a="1"/>
  <c r="AG229" i="6" s="1"/>
  <c r="AF229" i="6" a="1"/>
  <c r="AF229" i="6" s="1"/>
  <c r="AG228" i="6" a="1"/>
  <c r="AG228" i="6" s="1"/>
  <c r="AF228" i="6" a="1"/>
  <c r="AF228" i="6" s="1"/>
  <c r="AG227" i="6" a="1"/>
  <c r="AG227" i="6" s="1"/>
  <c r="AF227" i="6" a="1"/>
  <c r="AF227" i="6" s="1"/>
  <c r="AG226" i="6" a="1"/>
  <c r="AG226" i="6" s="1"/>
  <c r="AF226" i="6" a="1"/>
  <c r="AF226" i="6" s="1"/>
  <c r="AG225" i="6" a="1"/>
  <c r="AG225" i="6" s="1"/>
  <c r="AF225" i="6" a="1"/>
  <c r="AF225" i="6" s="1"/>
  <c r="AG224" i="6" a="1"/>
  <c r="AG224" i="6" s="1"/>
  <c r="AF224" i="6" a="1"/>
  <c r="AF224" i="6" s="1"/>
  <c r="AG223" i="6" a="1"/>
  <c r="AG223" i="6" s="1"/>
  <c r="AF223" i="6" a="1"/>
  <c r="AF223" i="6" s="1"/>
  <c r="AG222" i="6" a="1"/>
  <c r="AG222" i="6" s="1"/>
  <c r="AF222" i="6" a="1"/>
  <c r="AF222" i="6" s="1"/>
  <c r="AG221" i="6" a="1"/>
  <c r="AG221" i="6" s="1"/>
  <c r="AF221" i="6" a="1"/>
  <c r="AF221" i="6" s="1"/>
  <c r="AG220" i="6" a="1"/>
  <c r="AG220" i="6" s="1"/>
  <c r="AF220" i="6" a="1"/>
  <c r="AF220" i="6" s="1"/>
  <c r="AG219" i="6" a="1"/>
  <c r="AG219" i="6" s="1"/>
  <c r="AF219" i="6" a="1"/>
  <c r="AF219" i="6" s="1"/>
  <c r="AG218" i="6" a="1"/>
  <c r="AG218" i="6" s="1"/>
  <c r="AF218" i="6" a="1"/>
  <c r="AF218" i="6" s="1"/>
  <c r="AG217" i="6" a="1"/>
  <c r="AG217" i="6" s="1"/>
  <c r="AF217" i="6" a="1"/>
  <c r="AF217" i="6" s="1"/>
  <c r="AG216" i="6" a="1"/>
  <c r="AG216" i="6" s="1"/>
  <c r="AF216" i="6" a="1"/>
  <c r="AF216" i="6" s="1"/>
  <c r="AG215" i="6" a="1"/>
  <c r="AG215" i="6" s="1"/>
  <c r="AF215" i="6" a="1"/>
  <c r="AF215" i="6" s="1"/>
  <c r="AG214" i="6" a="1"/>
  <c r="AG214" i="6" s="1"/>
  <c r="AF214" i="6" a="1"/>
  <c r="AF214" i="6" s="1"/>
  <c r="AG213" i="6" a="1"/>
  <c r="AG213" i="6" s="1"/>
  <c r="AF213" i="6" a="1"/>
  <c r="AF213" i="6" s="1"/>
  <c r="AG212" i="6" a="1"/>
  <c r="AG212" i="6" s="1"/>
  <c r="AF212" i="6" a="1"/>
  <c r="AF212" i="6" s="1"/>
  <c r="AG211" i="6" a="1"/>
  <c r="AG211" i="6" s="1"/>
  <c r="AF211" i="6" a="1"/>
  <c r="AF211" i="6" s="1"/>
  <c r="AG210" i="6" a="1"/>
  <c r="AG210" i="6" s="1"/>
  <c r="AF210" i="6" a="1"/>
  <c r="AF210" i="6" s="1"/>
  <c r="AG209" i="6" a="1"/>
  <c r="AG209" i="6" s="1"/>
  <c r="AF209" i="6" a="1"/>
  <c r="AF209" i="6" s="1"/>
  <c r="AG208" i="6" a="1"/>
  <c r="AG208" i="6" s="1"/>
  <c r="AF208" i="6" a="1"/>
  <c r="AF208" i="6" s="1"/>
  <c r="AG207" i="6" a="1"/>
  <c r="AG207" i="6" s="1"/>
  <c r="AF207" i="6" a="1"/>
  <c r="AF207" i="6" s="1"/>
  <c r="AG206" i="6" a="1"/>
  <c r="AG206" i="6" s="1"/>
  <c r="AF206" i="6" a="1"/>
  <c r="AF206" i="6" s="1"/>
  <c r="AG205" i="6" a="1"/>
  <c r="AG205" i="6" s="1"/>
  <c r="AF205" i="6" a="1"/>
  <c r="AF205" i="6" s="1"/>
  <c r="AG204" i="6" a="1"/>
  <c r="AG204" i="6" s="1"/>
  <c r="AF204" i="6" a="1"/>
  <c r="AF204" i="6" s="1"/>
  <c r="AG203" i="6" a="1"/>
  <c r="AG203" i="6" s="1"/>
  <c r="AF203" i="6" a="1"/>
  <c r="AF203" i="6" s="1"/>
  <c r="AG202" i="6" a="1"/>
  <c r="AG202" i="6" s="1"/>
  <c r="AF202" i="6" a="1"/>
  <c r="AF202" i="6" s="1"/>
  <c r="AG201" i="6" a="1"/>
  <c r="AG201" i="6" s="1"/>
  <c r="AF201" i="6" a="1"/>
  <c r="AF201" i="6" s="1"/>
  <c r="AG200" i="6" a="1"/>
  <c r="AG200" i="6" s="1"/>
  <c r="AF200" i="6" a="1"/>
  <c r="AF200" i="6" s="1"/>
  <c r="AG199" i="6" a="1"/>
  <c r="AG199" i="6" s="1"/>
  <c r="AF199" i="6" a="1"/>
  <c r="AF199" i="6" s="1"/>
  <c r="AG198" i="6" a="1"/>
  <c r="AG198" i="6" s="1"/>
  <c r="AF198" i="6" a="1"/>
  <c r="AF198" i="6" s="1"/>
  <c r="AG197" i="6" a="1"/>
  <c r="AG197" i="6" s="1"/>
  <c r="AF197" i="6" a="1"/>
  <c r="AF197" i="6" s="1"/>
  <c r="AG196" i="6" a="1"/>
  <c r="AG196" i="6" s="1"/>
  <c r="AF196" i="6" a="1"/>
  <c r="AF196" i="6" s="1"/>
  <c r="AG195" i="6" a="1"/>
  <c r="AG195" i="6" s="1"/>
  <c r="AF195" i="6" a="1"/>
  <c r="AF195" i="6" s="1"/>
  <c r="AG194" i="6" a="1"/>
  <c r="AG194" i="6" s="1"/>
  <c r="AF194" i="6" a="1"/>
  <c r="AF194" i="6" s="1"/>
  <c r="AG193" i="6" a="1"/>
  <c r="AG193" i="6" s="1"/>
  <c r="AF193" i="6" a="1"/>
  <c r="AF193" i="6" s="1"/>
  <c r="AG192" i="6" a="1"/>
  <c r="AG192" i="6" s="1"/>
  <c r="AF192" i="6" a="1"/>
  <c r="AF192" i="6" s="1"/>
  <c r="AG191" i="6" a="1"/>
  <c r="AG191" i="6" s="1"/>
  <c r="AF191" i="6" a="1"/>
  <c r="AF191" i="6" s="1"/>
  <c r="AG190" i="6" a="1"/>
  <c r="AG190" i="6" s="1"/>
  <c r="AF190" i="6" a="1"/>
  <c r="AF190" i="6" s="1"/>
  <c r="AG189" i="6" a="1"/>
  <c r="AG189" i="6" s="1"/>
  <c r="AF189" i="6" a="1"/>
  <c r="AF189" i="6" s="1"/>
  <c r="AG188" i="6" a="1"/>
  <c r="AG188" i="6" s="1"/>
  <c r="AF188" i="6" a="1"/>
  <c r="AF188" i="6" s="1"/>
  <c r="AG187" i="6" a="1"/>
  <c r="AG187" i="6" s="1"/>
  <c r="AF187" i="6" a="1"/>
  <c r="AF187" i="6" s="1"/>
  <c r="AG186" i="6" a="1"/>
  <c r="AG186" i="6" s="1"/>
  <c r="AF186" i="6" a="1"/>
  <c r="AF186" i="6" s="1"/>
  <c r="AG185" i="6" a="1"/>
  <c r="AG185" i="6" s="1"/>
  <c r="AF185" i="6" a="1"/>
  <c r="AF185" i="6" s="1"/>
  <c r="AG184" i="6" a="1"/>
  <c r="AG184" i="6" s="1"/>
  <c r="AF184" i="6" a="1"/>
  <c r="AF184" i="6" s="1"/>
  <c r="AG183" i="6" a="1"/>
  <c r="AG183" i="6" s="1"/>
  <c r="AF183" i="6" a="1"/>
  <c r="AF183" i="6" s="1"/>
  <c r="AG182" i="6" a="1"/>
  <c r="AG182" i="6" s="1"/>
  <c r="AF182" i="6" a="1"/>
  <c r="AF182" i="6" s="1"/>
  <c r="AG181" i="6" a="1"/>
  <c r="AG181" i="6" s="1"/>
  <c r="AF181" i="6" a="1"/>
  <c r="AF181" i="6" s="1"/>
  <c r="AG180" i="6" a="1"/>
  <c r="AG180" i="6" s="1"/>
  <c r="AF180" i="6" a="1"/>
  <c r="AF180" i="6" s="1"/>
  <c r="AG179" i="6" a="1"/>
  <c r="AG179" i="6" s="1"/>
  <c r="AF179" i="6" a="1"/>
  <c r="AF179" i="6" s="1"/>
  <c r="AG178" i="6" a="1"/>
  <c r="AG178" i="6" s="1"/>
  <c r="AF178" i="6" a="1"/>
  <c r="AF178" i="6" s="1"/>
  <c r="AG177" i="6" a="1"/>
  <c r="AG177" i="6" s="1"/>
  <c r="AF177" i="6" a="1"/>
  <c r="AF177" i="6" s="1"/>
  <c r="AG176" i="6" a="1"/>
  <c r="AG176" i="6" s="1"/>
  <c r="AF176" i="6" a="1"/>
  <c r="AF176" i="6" s="1"/>
  <c r="AG175" i="6" a="1"/>
  <c r="AG175" i="6" s="1"/>
  <c r="AF175" i="6" a="1"/>
  <c r="AF175" i="6" s="1"/>
  <c r="AG174" i="6" a="1"/>
  <c r="AG174" i="6" s="1"/>
  <c r="AF174" i="6" a="1"/>
  <c r="AF174" i="6" s="1"/>
  <c r="AG173" i="6" a="1"/>
  <c r="AG173" i="6" s="1"/>
  <c r="AF173" i="6" a="1"/>
  <c r="AF173" i="6" s="1"/>
  <c r="AG172" i="6" a="1"/>
  <c r="AG172" i="6" s="1"/>
  <c r="AF172" i="6" a="1"/>
  <c r="AF172" i="6" s="1"/>
  <c r="AG171" i="6" a="1"/>
  <c r="AG171" i="6" s="1"/>
  <c r="AF171" i="6" a="1"/>
  <c r="AF171" i="6" s="1"/>
  <c r="AG170" i="6" a="1"/>
  <c r="AG170" i="6" s="1"/>
  <c r="AF170" i="6" a="1"/>
  <c r="AF170" i="6" s="1"/>
  <c r="AG169" i="6" a="1"/>
  <c r="AG169" i="6" s="1"/>
  <c r="AF169" i="6" a="1"/>
  <c r="AF169" i="6" s="1"/>
  <c r="AG168" i="6" a="1"/>
  <c r="AG168" i="6" s="1"/>
  <c r="AF168" i="6" a="1"/>
  <c r="AF168" i="6" s="1"/>
  <c r="AG167" i="6" a="1"/>
  <c r="AG167" i="6" s="1"/>
  <c r="AF167" i="6" a="1"/>
  <c r="AF167" i="6" s="1"/>
  <c r="AG166" i="6" a="1"/>
  <c r="AG166" i="6" s="1"/>
  <c r="AF166" i="6" a="1"/>
  <c r="AF166" i="6" s="1"/>
  <c r="AG165" i="6" a="1"/>
  <c r="AG165" i="6" s="1"/>
  <c r="AF165" i="6" a="1"/>
  <c r="AF165" i="6" s="1"/>
  <c r="AG164" i="6" a="1"/>
  <c r="AG164" i="6" s="1"/>
  <c r="AF164" i="6" a="1"/>
  <c r="AF164" i="6" s="1"/>
  <c r="AG163" i="6" a="1"/>
  <c r="AG163" i="6" s="1"/>
  <c r="AF163" i="6" a="1"/>
  <c r="AF163" i="6" s="1"/>
  <c r="AG162" i="6" a="1"/>
  <c r="AG162" i="6" s="1"/>
  <c r="AF162" i="6" a="1"/>
  <c r="AF162" i="6" s="1"/>
  <c r="AG161" i="6" a="1"/>
  <c r="AG161" i="6" s="1"/>
  <c r="AF161" i="6" a="1"/>
  <c r="AF161" i="6" s="1"/>
  <c r="AG160" i="6" a="1"/>
  <c r="AG160" i="6" s="1"/>
  <c r="AF160" i="6" a="1"/>
  <c r="AF160" i="6" s="1"/>
  <c r="AG159" i="6" a="1"/>
  <c r="AG159" i="6" s="1"/>
  <c r="AF159" i="6" a="1"/>
  <c r="AF159" i="6" s="1"/>
  <c r="AG158" i="6" a="1"/>
  <c r="AG158" i="6" s="1"/>
  <c r="AF158" i="6" a="1"/>
  <c r="AF158" i="6" s="1"/>
  <c r="AG157" i="6" a="1"/>
  <c r="AG157" i="6" s="1"/>
  <c r="AF157" i="6" a="1"/>
  <c r="AF157" i="6" s="1"/>
  <c r="AG156" i="6" a="1"/>
  <c r="AG156" i="6" s="1"/>
  <c r="AF156" i="6" a="1"/>
  <c r="AF156" i="6" s="1"/>
  <c r="AG155" i="6" a="1"/>
  <c r="AG155" i="6" s="1"/>
  <c r="AF155" i="6" a="1"/>
  <c r="AF155" i="6" s="1"/>
  <c r="AG154" i="6" a="1"/>
  <c r="AG154" i="6" s="1"/>
  <c r="AF154" i="6" a="1"/>
  <c r="AF154" i="6" s="1"/>
  <c r="AG153" i="6" a="1"/>
  <c r="AG153" i="6" s="1"/>
  <c r="AF153" i="6" a="1"/>
  <c r="AF153" i="6" s="1"/>
  <c r="AG152" i="6" a="1"/>
  <c r="AG152" i="6" s="1"/>
  <c r="AF152" i="6" a="1"/>
  <c r="AF152" i="6" s="1"/>
  <c r="AG151" i="6" a="1"/>
  <c r="AG151" i="6" s="1"/>
  <c r="AF151" i="6" a="1"/>
  <c r="AF151" i="6" s="1"/>
  <c r="AG150" i="6" a="1"/>
  <c r="AG150" i="6" s="1"/>
  <c r="AF150" i="6" a="1"/>
  <c r="AF150" i="6" s="1"/>
  <c r="AG149" i="6" a="1"/>
  <c r="AG149" i="6" s="1"/>
  <c r="AF149" i="6" a="1"/>
  <c r="AF149" i="6" s="1"/>
  <c r="AG148" i="6" a="1"/>
  <c r="AG148" i="6" s="1"/>
  <c r="AF148" i="6" a="1"/>
  <c r="AF148" i="6" s="1"/>
  <c r="AG147" i="6" a="1"/>
  <c r="AG147" i="6" s="1"/>
  <c r="AF147" i="6" a="1"/>
  <c r="AF147" i="6" s="1"/>
  <c r="AG146" i="6" a="1"/>
  <c r="AG146" i="6" s="1"/>
  <c r="AF146" i="6" a="1"/>
  <c r="AF146" i="6" s="1"/>
  <c r="AG145" i="6" a="1"/>
  <c r="AG145" i="6" s="1"/>
  <c r="AF145" i="6" a="1"/>
  <c r="AF145" i="6" s="1"/>
  <c r="AG144" i="6" a="1"/>
  <c r="AG144" i="6" s="1"/>
  <c r="AF144" i="6" a="1"/>
  <c r="AF144" i="6" s="1"/>
  <c r="AG143" i="6" a="1"/>
  <c r="AG143" i="6" s="1"/>
  <c r="AF143" i="6" a="1"/>
  <c r="AF143" i="6" s="1"/>
  <c r="AG142" i="6" a="1"/>
  <c r="AG142" i="6" s="1"/>
  <c r="AF142" i="6" a="1"/>
  <c r="AF142" i="6" s="1"/>
  <c r="AG141" i="6" a="1"/>
  <c r="AG141" i="6" s="1"/>
  <c r="AF141" i="6" a="1"/>
  <c r="AF141" i="6" s="1"/>
  <c r="AG140" i="6" a="1"/>
  <c r="AG140" i="6" s="1"/>
  <c r="AF140" i="6" a="1"/>
  <c r="AF140" i="6" s="1"/>
  <c r="AG139" i="6" a="1"/>
  <c r="AG139" i="6" s="1"/>
  <c r="AF139" i="6" a="1"/>
  <c r="AF139" i="6" s="1"/>
  <c r="AG138" i="6" a="1"/>
  <c r="AG138" i="6" s="1"/>
  <c r="AF138" i="6" a="1"/>
  <c r="AF138" i="6" s="1"/>
  <c r="AG137" i="6" a="1"/>
  <c r="AG137" i="6" s="1"/>
  <c r="AF137" i="6" a="1"/>
  <c r="AF137" i="6" s="1"/>
  <c r="AG136" i="6" a="1"/>
  <c r="AG136" i="6" s="1"/>
  <c r="AF136" i="6" a="1"/>
  <c r="AF136" i="6" s="1"/>
  <c r="AG135" i="6" a="1"/>
  <c r="AG135" i="6" s="1"/>
  <c r="AF135" i="6" a="1"/>
  <c r="AF135" i="6" s="1"/>
  <c r="AG134" i="6" a="1"/>
  <c r="AG134" i="6" s="1"/>
  <c r="AF134" i="6" a="1"/>
  <c r="AF134" i="6" s="1"/>
  <c r="AG133" i="6" a="1"/>
  <c r="AG133" i="6" s="1"/>
  <c r="AF133" i="6" a="1"/>
  <c r="AF133" i="6" s="1"/>
  <c r="AG132" i="6" a="1"/>
  <c r="AG132" i="6" s="1"/>
  <c r="AF132" i="6" a="1"/>
  <c r="AF132" i="6" s="1"/>
  <c r="AG131" i="6" a="1"/>
  <c r="AG131" i="6" s="1"/>
  <c r="AF131" i="6" a="1"/>
  <c r="AF131" i="6" s="1"/>
  <c r="AG130" i="6" a="1"/>
  <c r="AG130" i="6" s="1"/>
  <c r="AF130" i="6" a="1"/>
  <c r="AF130" i="6" s="1"/>
  <c r="AG129" i="6" a="1"/>
  <c r="AG129" i="6" s="1"/>
  <c r="AF129" i="6" a="1"/>
  <c r="AF129" i="6" s="1"/>
  <c r="AG128" i="6" a="1"/>
  <c r="AG128" i="6" s="1"/>
  <c r="AF128" i="6" a="1"/>
  <c r="AF128" i="6" s="1"/>
  <c r="AG127" i="6" a="1"/>
  <c r="AG127" i="6" s="1"/>
  <c r="AF127" i="6" a="1"/>
  <c r="AF127" i="6" s="1"/>
  <c r="AG126" i="6" a="1"/>
  <c r="AG126" i="6" s="1"/>
  <c r="AF126" i="6" a="1"/>
  <c r="AF126" i="6" s="1"/>
  <c r="AG125" i="6" a="1"/>
  <c r="AG125" i="6" s="1"/>
  <c r="AF125" i="6" a="1"/>
  <c r="AF125" i="6" s="1"/>
  <c r="AG124" i="6" a="1"/>
  <c r="AG124" i="6" s="1"/>
  <c r="AF124" i="6" a="1"/>
  <c r="AF124" i="6" s="1"/>
  <c r="AG123" i="6" a="1"/>
  <c r="AG123" i="6" s="1"/>
  <c r="AF123" i="6" a="1"/>
  <c r="AF123" i="6" s="1"/>
  <c r="AG122" i="6" a="1"/>
  <c r="AG122" i="6" s="1"/>
  <c r="AF122" i="6" a="1"/>
  <c r="AF122" i="6" s="1"/>
  <c r="AG121" i="6" a="1"/>
  <c r="AG121" i="6" s="1"/>
  <c r="AF121" i="6" a="1"/>
  <c r="AF121" i="6" s="1"/>
  <c r="AG120" i="6" a="1"/>
  <c r="AG120" i="6" s="1"/>
  <c r="AF120" i="6" a="1"/>
  <c r="AF120" i="6" s="1"/>
  <c r="AG119" i="6" a="1"/>
  <c r="AG119" i="6" s="1"/>
  <c r="AF119" i="6" a="1"/>
  <c r="AF119" i="6" s="1"/>
  <c r="AG118" i="6" a="1"/>
  <c r="AG118" i="6" s="1"/>
  <c r="AF118" i="6" a="1"/>
  <c r="AF118" i="6" s="1"/>
  <c r="AG117" i="6" a="1"/>
  <c r="AG117" i="6" s="1"/>
  <c r="AF117" i="6" a="1"/>
  <c r="AF117" i="6" s="1"/>
  <c r="AG116" i="6" a="1"/>
  <c r="AG116" i="6" s="1"/>
  <c r="AF116" i="6" a="1"/>
  <c r="AF116" i="6" s="1"/>
  <c r="AG115" i="6" a="1"/>
  <c r="AG115" i="6" s="1"/>
  <c r="AF115" i="6" a="1"/>
  <c r="AF115" i="6" s="1"/>
  <c r="AG114" i="6" a="1"/>
  <c r="AG114" i="6" s="1"/>
  <c r="AF114" i="6" a="1"/>
  <c r="AF114" i="6" s="1"/>
  <c r="AG113" i="6" a="1"/>
  <c r="AG113" i="6" s="1"/>
  <c r="AF113" i="6" a="1"/>
  <c r="AF113" i="6" s="1"/>
  <c r="AG112" i="6" a="1"/>
  <c r="AG112" i="6" s="1"/>
  <c r="AF112" i="6" a="1"/>
  <c r="AF112" i="6" s="1"/>
  <c r="AG111" i="6" a="1"/>
  <c r="AG111" i="6" s="1"/>
  <c r="AF111" i="6" a="1"/>
  <c r="AF111" i="6" s="1"/>
  <c r="AG110" i="6" a="1"/>
  <c r="AG110" i="6" s="1"/>
  <c r="AF110" i="6" a="1"/>
  <c r="AF110" i="6" s="1"/>
  <c r="AG109" i="6" a="1"/>
  <c r="AG109" i="6" s="1"/>
  <c r="AF109" i="6" a="1"/>
  <c r="AF109" i="6" s="1"/>
  <c r="AG108" i="6" a="1"/>
  <c r="AG108" i="6" s="1"/>
  <c r="AF108" i="6" a="1"/>
  <c r="AF108" i="6" s="1"/>
  <c r="AG107" i="6" a="1"/>
  <c r="AG107" i="6" s="1"/>
  <c r="AF107" i="6" a="1"/>
  <c r="AF107" i="6" s="1"/>
  <c r="AG106" i="6" a="1"/>
  <c r="AG106" i="6" s="1"/>
  <c r="AF106" i="6" a="1"/>
  <c r="AF106" i="6" s="1"/>
  <c r="AG105" i="6" a="1"/>
  <c r="AG105" i="6" s="1"/>
  <c r="AF105" i="6" a="1"/>
  <c r="AF105" i="6" s="1"/>
  <c r="AG104" i="6" a="1"/>
  <c r="AG104" i="6" s="1"/>
  <c r="AF104" i="6" a="1"/>
  <c r="AF104" i="6" s="1"/>
  <c r="AG103" i="6" a="1"/>
  <c r="AG103" i="6" s="1"/>
  <c r="AF103" i="6" a="1"/>
  <c r="AF103" i="6" s="1"/>
  <c r="AG102" i="6" a="1"/>
  <c r="AG102" i="6" s="1"/>
  <c r="AF102" i="6" a="1"/>
  <c r="AF102" i="6" s="1"/>
  <c r="AG101" i="6" a="1"/>
  <c r="AG101" i="6" s="1"/>
  <c r="AF101" i="6" a="1"/>
  <c r="AF101" i="6" s="1"/>
  <c r="AG100" i="6" a="1"/>
  <c r="AG100" i="6" s="1"/>
  <c r="AF100" i="6" a="1"/>
  <c r="AF100" i="6" s="1"/>
  <c r="AG99" i="6" a="1"/>
  <c r="AG99" i="6" s="1"/>
  <c r="AF99" i="6" a="1"/>
  <c r="AF99" i="6" s="1"/>
  <c r="AG98" i="6" a="1"/>
  <c r="AG98" i="6" s="1"/>
  <c r="AF98" i="6" a="1"/>
  <c r="AF98" i="6" s="1"/>
  <c r="AG97" i="6" a="1"/>
  <c r="AG97" i="6" s="1"/>
  <c r="AF97" i="6" a="1"/>
  <c r="AF97" i="6" s="1"/>
  <c r="AG96" i="6" a="1"/>
  <c r="AG96" i="6" s="1"/>
  <c r="AF96" i="6" a="1"/>
  <c r="AF96" i="6" s="1"/>
  <c r="AG95" i="6" a="1"/>
  <c r="AG95" i="6" s="1"/>
  <c r="AF95" i="6" a="1"/>
  <c r="AF95" i="6" s="1"/>
  <c r="AG94" i="6" a="1"/>
  <c r="AG94" i="6" s="1"/>
  <c r="AF94" i="6" a="1"/>
  <c r="AF94" i="6" s="1"/>
  <c r="AG93" i="6" a="1"/>
  <c r="AG93" i="6" s="1"/>
  <c r="AF93" i="6" a="1"/>
  <c r="AF93" i="6" s="1"/>
  <c r="AG92" i="6" a="1"/>
  <c r="AG92" i="6" s="1"/>
  <c r="AF92" i="6" a="1"/>
  <c r="AF92" i="6" s="1"/>
  <c r="AG91" i="6" a="1"/>
  <c r="AG91" i="6" s="1"/>
  <c r="AF91" i="6" a="1"/>
  <c r="AF91" i="6" s="1"/>
  <c r="AG90" i="6" a="1"/>
  <c r="AG90" i="6" s="1"/>
  <c r="AF90" i="6" a="1"/>
  <c r="AF90" i="6" s="1"/>
  <c r="AG89" i="6" a="1"/>
  <c r="AG89" i="6" s="1"/>
  <c r="AF89" i="6" a="1"/>
  <c r="AF89" i="6" s="1"/>
  <c r="AG88" i="6" a="1"/>
  <c r="AG88" i="6" s="1"/>
  <c r="AF88" i="6" a="1"/>
  <c r="AF88" i="6" s="1"/>
  <c r="AG87" i="6" a="1"/>
  <c r="AG87" i="6" s="1"/>
  <c r="AF87" i="6" a="1"/>
  <c r="AF87" i="6" s="1"/>
  <c r="AG86" i="6" a="1"/>
  <c r="AG86" i="6" s="1"/>
  <c r="AF86" i="6" a="1"/>
  <c r="AF86" i="6" s="1"/>
  <c r="AG85" i="6" a="1"/>
  <c r="AG85" i="6" s="1"/>
  <c r="AF85" i="6" a="1"/>
  <c r="AF85" i="6" s="1"/>
  <c r="AG84" i="6" a="1"/>
  <c r="AG84" i="6" s="1"/>
  <c r="AF84" i="6" a="1"/>
  <c r="AF84" i="6" s="1"/>
  <c r="AG83" i="6" a="1"/>
  <c r="AG83" i="6" s="1"/>
  <c r="AF83" i="6" a="1"/>
  <c r="AF83" i="6" s="1"/>
  <c r="AG82" i="6" a="1"/>
  <c r="AG82" i="6" s="1"/>
  <c r="AF82" i="6" a="1"/>
  <c r="AF82" i="6" s="1"/>
  <c r="AG81" i="6" a="1"/>
  <c r="AG81" i="6" s="1"/>
  <c r="AF81" i="6" a="1"/>
  <c r="AF81" i="6" s="1"/>
  <c r="AG80" i="6" a="1"/>
  <c r="AG80" i="6" s="1"/>
  <c r="AF80" i="6" a="1"/>
  <c r="AF80" i="6" s="1"/>
  <c r="AG79" i="6" a="1"/>
  <c r="AG79" i="6" s="1"/>
  <c r="AF79" i="6" a="1"/>
  <c r="AF79" i="6" s="1"/>
  <c r="AG78" i="6" a="1"/>
  <c r="AG78" i="6" s="1"/>
  <c r="AF78" i="6" a="1"/>
  <c r="AF78" i="6" s="1"/>
  <c r="AG77" i="6" a="1"/>
  <c r="AG77" i="6" s="1"/>
  <c r="AF77" i="6" a="1"/>
  <c r="AF77" i="6" s="1"/>
  <c r="AG76" i="6" a="1"/>
  <c r="AG76" i="6" s="1"/>
  <c r="AF76" i="6" a="1"/>
  <c r="AF76" i="6" s="1"/>
  <c r="AG75" i="6" a="1"/>
  <c r="AG75" i="6" s="1"/>
  <c r="AF75" i="6" a="1"/>
  <c r="AF75" i="6" s="1"/>
  <c r="AG74" i="6" a="1"/>
  <c r="AG74" i="6" s="1"/>
  <c r="AF74" i="6" a="1"/>
  <c r="AF74" i="6" s="1"/>
  <c r="AG73" i="6" a="1"/>
  <c r="AG73" i="6" s="1"/>
  <c r="AF73" i="6" a="1"/>
  <c r="AF73" i="6" s="1"/>
  <c r="AG72" i="6" a="1"/>
  <c r="AG72" i="6" s="1"/>
  <c r="AF72" i="6" a="1"/>
  <c r="AF72" i="6" s="1"/>
  <c r="AG71" i="6" a="1"/>
  <c r="AG71" i="6" s="1"/>
  <c r="AF71" i="6" a="1"/>
  <c r="AF71" i="6" s="1"/>
  <c r="AG70" i="6" a="1"/>
  <c r="AG70" i="6" s="1"/>
  <c r="AF70" i="6" a="1"/>
  <c r="AF70" i="6" s="1"/>
  <c r="AG69" i="6" a="1"/>
  <c r="AG69" i="6" s="1"/>
  <c r="AF69" i="6" a="1"/>
  <c r="AF69" i="6" s="1"/>
  <c r="AG68" i="6" a="1"/>
  <c r="AG68" i="6" s="1"/>
  <c r="AF68" i="6" a="1"/>
  <c r="AF68" i="6" s="1"/>
  <c r="AG67" i="6" a="1"/>
  <c r="AG67" i="6" s="1"/>
  <c r="AF67" i="6" a="1"/>
  <c r="AF67" i="6" s="1"/>
  <c r="AG66" i="6" a="1"/>
  <c r="AG66" i="6" s="1"/>
  <c r="AF66" i="6" a="1"/>
  <c r="AF66" i="6" s="1"/>
  <c r="AG65" i="6" a="1"/>
  <c r="AG65" i="6" s="1"/>
  <c r="AF65" i="6" a="1"/>
  <c r="AF65" i="6" s="1"/>
  <c r="AG64" i="6" a="1"/>
  <c r="AG64" i="6" s="1"/>
  <c r="AF64" i="6" a="1"/>
  <c r="AF64" i="6" s="1"/>
  <c r="AG63" i="6" a="1"/>
  <c r="AG63" i="6" s="1"/>
  <c r="AF63" i="6" a="1"/>
  <c r="AF63" i="6" s="1"/>
  <c r="AG62" i="6" a="1"/>
  <c r="AG62" i="6" s="1"/>
  <c r="AF62" i="6" a="1"/>
  <c r="AF62" i="6" s="1"/>
  <c r="AG61" i="6" a="1"/>
  <c r="AG61" i="6" s="1"/>
  <c r="AF61" i="6" a="1"/>
  <c r="AF61" i="6" s="1"/>
  <c r="AG60" i="6" a="1"/>
  <c r="AG60" i="6" s="1"/>
  <c r="AF60" i="6" a="1"/>
  <c r="AF60" i="6" s="1"/>
  <c r="AG59" i="6" a="1"/>
  <c r="AG59" i="6" s="1"/>
  <c r="AF59" i="6" a="1"/>
  <c r="AF59" i="6" s="1"/>
  <c r="AG58" i="6" a="1"/>
  <c r="AG58" i="6" s="1"/>
  <c r="AF58" i="6" a="1"/>
  <c r="AF58" i="6" s="1"/>
  <c r="AG57" i="6" a="1"/>
  <c r="AG57" i="6" s="1"/>
  <c r="AF57" i="6" a="1"/>
  <c r="AF57" i="6" s="1"/>
  <c r="AG56" i="6" a="1"/>
  <c r="AG56" i="6" s="1"/>
  <c r="AF56" i="6" a="1"/>
  <c r="AF56" i="6" s="1"/>
  <c r="AG55" i="6" a="1"/>
  <c r="AG55" i="6" s="1"/>
  <c r="AF55" i="6" a="1"/>
  <c r="AF55" i="6" s="1"/>
  <c r="AG54" i="6" a="1"/>
  <c r="AG54" i="6" s="1"/>
  <c r="AF54" i="6" a="1"/>
  <c r="AF54" i="6" s="1"/>
  <c r="AG53" i="6" a="1"/>
  <c r="AG53" i="6" s="1"/>
  <c r="AF53" i="6" a="1"/>
  <c r="AF53" i="6" s="1"/>
  <c r="AG52" i="6" a="1"/>
  <c r="AG52" i="6" s="1"/>
  <c r="AF52" i="6" a="1"/>
  <c r="AF52" i="6" s="1"/>
  <c r="AG51" i="6" a="1"/>
  <c r="AG51" i="6" s="1"/>
  <c r="AF51" i="6" a="1"/>
  <c r="AF51" i="6" s="1"/>
  <c r="AG50" i="6" a="1"/>
  <c r="AG50" i="6" s="1"/>
  <c r="AF50" i="6" a="1"/>
  <c r="AF50" i="6" s="1"/>
  <c r="AG49" i="6" a="1"/>
  <c r="AG49" i="6" s="1"/>
  <c r="AF49" i="6" a="1"/>
  <c r="AF49" i="6" s="1"/>
  <c r="AG48" i="6" a="1"/>
  <c r="AG48" i="6" s="1"/>
  <c r="AF48" i="6" a="1"/>
  <c r="AF48" i="6" s="1"/>
  <c r="AG47" i="6" a="1"/>
  <c r="AG47" i="6" s="1"/>
  <c r="AF47" i="6" a="1"/>
  <c r="AF47" i="6" s="1"/>
  <c r="AG46" i="6" a="1"/>
  <c r="AG46" i="6" s="1"/>
  <c r="AF46" i="6" a="1"/>
  <c r="AF46" i="6" s="1"/>
  <c r="AG45" i="6" a="1"/>
  <c r="AG45" i="6" s="1"/>
  <c r="AF45" i="6" a="1"/>
  <c r="AF45" i="6" s="1"/>
  <c r="AG44" i="6" a="1"/>
  <c r="AG44" i="6" s="1"/>
  <c r="AF44" i="6" a="1"/>
  <c r="AF44" i="6" s="1"/>
  <c r="AG43" i="6" a="1"/>
  <c r="AG43" i="6" s="1"/>
  <c r="AF43" i="6" a="1"/>
  <c r="AF43" i="6" s="1"/>
  <c r="AG42" i="6" a="1"/>
  <c r="AG42" i="6" s="1"/>
  <c r="AF42" i="6" a="1"/>
  <c r="AF42" i="6" s="1"/>
  <c r="AG41" i="6" a="1"/>
  <c r="AG41" i="6" s="1"/>
  <c r="AF41" i="6" a="1"/>
  <c r="AF41" i="6" s="1"/>
  <c r="AG40" i="6" a="1"/>
  <c r="AG40" i="6" s="1"/>
  <c r="AF40" i="6" a="1"/>
  <c r="AF40" i="6" s="1"/>
  <c r="AG39" i="6" a="1"/>
  <c r="AG39" i="6" s="1"/>
  <c r="AF39" i="6" a="1"/>
  <c r="AF39" i="6" s="1"/>
  <c r="AG38" i="6" a="1"/>
  <c r="AG38" i="6" s="1"/>
  <c r="AF38" i="6" a="1"/>
  <c r="AF38" i="6" s="1"/>
  <c r="AG37" i="6" a="1"/>
  <c r="AG37" i="6" s="1"/>
  <c r="AF37" i="6" a="1"/>
  <c r="AF37" i="6" s="1"/>
  <c r="AG36" i="6" a="1"/>
  <c r="AG36" i="6" s="1"/>
  <c r="AF36" i="6" a="1"/>
  <c r="AF36" i="6" s="1"/>
  <c r="AG35" i="6" a="1"/>
  <c r="AG35" i="6" s="1"/>
  <c r="AF35" i="6" a="1"/>
  <c r="AF35" i="6" s="1"/>
  <c r="AG34" i="6" a="1"/>
  <c r="AG34" i="6" s="1"/>
  <c r="AF34" i="6" a="1"/>
  <c r="AF34" i="6" s="1"/>
  <c r="AG33" i="6" a="1"/>
  <c r="AG33" i="6" s="1"/>
  <c r="AF33" i="6" a="1"/>
  <c r="AF33" i="6" s="1"/>
  <c r="AG32" i="6" a="1"/>
  <c r="AG32" i="6" s="1"/>
  <c r="AF32" i="6" a="1"/>
  <c r="AF32" i="6" s="1"/>
  <c r="AG31" i="6" a="1"/>
  <c r="AG31" i="6" s="1"/>
  <c r="AF31" i="6" a="1"/>
  <c r="AF31" i="6" s="1"/>
  <c r="AG30" i="6" a="1"/>
  <c r="AG30" i="6" s="1"/>
  <c r="AF30" i="6" a="1"/>
  <c r="AF30" i="6" s="1"/>
  <c r="AG29" i="6" a="1"/>
  <c r="AG29" i="6" s="1"/>
  <c r="AF29" i="6" a="1"/>
  <c r="AF29" i="6" s="1"/>
  <c r="AG28" i="6" a="1"/>
  <c r="AG28" i="6" s="1"/>
  <c r="AF28" i="6" a="1"/>
  <c r="AF28" i="6" s="1"/>
  <c r="AG27" i="6" a="1"/>
  <c r="AG27" i="6" s="1"/>
  <c r="AF27" i="6" a="1"/>
  <c r="AF27" i="6" s="1"/>
  <c r="AG26" i="6" a="1"/>
  <c r="AG26" i="6" s="1"/>
  <c r="AF26" i="6" a="1"/>
  <c r="AF26" i="6" s="1"/>
  <c r="AG25" i="6" a="1"/>
  <c r="AG25" i="6" s="1"/>
  <c r="AF25" i="6" a="1"/>
  <c r="AF25" i="6" s="1"/>
  <c r="AG24" i="6" a="1"/>
  <c r="AG24" i="6" s="1"/>
  <c r="AF24" i="6" a="1"/>
  <c r="AF24" i="6" s="1"/>
  <c r="AG23" i="6" a="1"/>
  <c r="AG23" i="6" s="1"/>
  <c r="AF23" i="6" a="1"/>
  <c r="AF23" i="6" s="1"/>
  <c r="AG22" i="6" a="1"/>
  <c r="AG22" i="6" s="1"/>
  <c r="AF22" i="6" a="1"/>
  <c r="AF22" i="6" s="1"/>
  <c r="AG21" i="6" a="1"/>
  <c r="AG21" i="6" s="1"/>
  <c r="AF21" i="6" a="1"/>
  <c r="AF21" i="6" s="1"/>
  <c r="AG20" i="6" a="1"/>
  <c r="AG20" i="6" s="1"/>
  <c r="AF20" i="6" a="1"/>
  <c r="AF20" i="6" s="1"/>
  <c r="AG19" i="6" a="1"/>
  <c r="AG19" i="6" s="1"/>
  <c r="AF19" i="6" a="1"/>
  <c r="AF19" i="6" s="1"/>
  <c r="AG18" i="6" a="1"/>
  <c r="AG18" i="6" s="1"/>
  <c r="AF18" i="6" a="1"/>
  <c r="AF18" i="6" s="1"/>
  <c r="AG17" i="6" a="1"/>
  <c r="AG17" i="6" s="1"/>
  <c r="AF17" i="6" a="1"/>
  <c r="AF17" i="6" s="1"/>
  <c r="AG16" i="6" a="1"/>
  <c r="AG16" i="6" s="1"/>
  <c r="AF16" i="6" a="1"/>
  <c r="AF16" i="6" s="1"/>
  <c r="AG15" i="6" a="1"/>
  <c r="AG15" i="6" s="1"/>
  <c r="AF15" i="6" a="1"/>
  <c r="AF15" i="6" s="1"/>
  <c r="AG14" i="6" a="1"/>
  <c r="AG14" i="6" s="1"/>
  <c r="AF14" i="6" a="1"/>
  <c r="AF14" i="6" s="1"/>
  <c r="AG13" i="6" a="1"/>
  <c r="AG13" i="6" s="1"/>
  <c r="AF13" i="6" a="1"/>
  <c r="AF13" i="6" s="1"/>
  <c r="AG12" i="6" a="1"/>
  <c r="AG12" i="6" s="1"/>
  <c r="AF12" i="6" a="1"/>
  <c r="AF12" i="6" s="1"/>
  <c r="AG11" i="6" a="1"/>
  <c r="AG11" i="6" s="1"/>
  <c r="AF11" i="6" a="1"/>
  <c r="AF11" i="6" s="1"/>
  <c r="AG10" i="6" a="1"/>
  <c r="AG10" i="6" s="1"/>
  <c r="AF10" i="6" a="1"/>
  <c r="AF10" i="6" s="1"/>
  <c r="AG9" i="6" a="1"/>
  <c r="AG9" i="6" s="1"/>
  <c r="AF9" i="6" a="1"/>
  <c r="AF9" i="6" s="1"/>
  <c r="AG8" i="6" a="1"/>
  <c r="AG8" i="6" s="1"/>
  <c r="AF8" i="6" a="1"/>
  <c r="AF8" i="6" s="1"/>
  <c r="AG7" i="6" a="1"/>
  <c r="AG7" i="6" s="1"/>
  <c r="AF7" i="6" a="1"/>
  <c r="AF7" i="6" s="1"/>
  <c r="AG6" i="6" a="1"/>
  <c r="AG6" i="6" s="1"/>
  <c r="AF6" i="6" a="1"/>
  <c r="AF6" i="6" s="1"/>
  <c r="AG5" i="6" a="1"/>
  <c r="AG5" i="6" s="1"/>
  <c r="AF5" i="6" a="1"/>
  <c r="AF5" i="6" s="1"/>
  <c r="AG4" i="6" a="1"/>
  <c r="AG4" i="6" s="1"/>
  <c r="AF4" i="6" a="1"/>
  <c r="AF4" i="6" s="1"/>
  <c r="AG3" i="6" a="1"/>
  <c r="AG3" i="6" s="1"/>
  <c r="AF3" i="6" a="1"/>
  <c r="AF3" i="6" s="1"/>
  <c r="AF2" i="6" a="1"/>
  <c r="AF2" i="6" s="1"/>
  <c r="AG2" i="6" a="1"/>
  <c r="AG2" i="6" s="1"/>
  <c r="C9" i="5" a="1"/>
  <c r="C9" i="5" s="1"/>
  <c r="B9" i="3"/>
  <c r="AH521" i="6" l="1"/>
  <c r="AH529" i="6"/>
  <c r="AH291" i="6"/>
  <c r="AH315" i="6"/>
  <c r="AH52" i="6"/>
  <c r="AH51" i="6"/>
  <c r="AH492" i="6"/>
  <c r="AH284" i="6"/>
  <c r="AH468" i="6"/>
  <c r="AH434" i="6"/>
  <c r="AH401" i="6"/>
  <c r="AH372" i="6"/>
  <c r="AH350" i="6"/>
  <c r="AH354" i="6"/>
  <c r="AH358" i="6"/>
  <c r="AH74" i="6"/>
  <c r="AH82" i="6"/>
  <c r="AH255" i="6"/>
  <c r="AH27" i="6"/>
  <c r="AH156" i="6"/>
  <c r="AH335" i="6"/>
  <c r="AH494" i="6"/>
  <c r="AH498" i="6"/>
  <c r="AH242" i="6"/>
  <c r="AH246" i="6"/>
  <c r="AH250" i="6"/>
  <c r="AH308" i="6"/>
  <c r="AH362" i="6"/>
  <c r="AH204" i="6"/>
  <c r="AH76" i="6"/>
  <c r="AH110" i="6"/>
  <c r="AH117" i="6"/>
  <c r="AH147" i="6"/>
  <c r="AH205" i="6"/>
  <c r="AH247" i="6"/>
  <c r="AH337" i="6"/>
  <c r="AH352" i="6"/>
  <c r="AH356" i="6"/>
  <c r="AH275" i="6"/>
  <c r="AH398" i="6"/>
  <c r="AH457" i="6"/>
  <c r="AH288" i="6"/>
  <c r="AH379" i="6"/>
  <c r="AH236" i="6"/>
  <c r="AH369" i="6"/>
  <c r="AH31" i="6"/>
  <c r="AH59" i="6"/>
  <c r="AH67" i="6"/>
  <c r="AH222" i="6"/>
  <c r="AH252" i="6"/>
  <c r="AH390" i="6"/>
  <c r="AH534" i="6"/>
  <c r="AH542" i="6"/>
  <c r="AH101" i="6"/>
  <c r="AH118" i="6"/>
  <c r="AH130" i="6"/>
  <c r="AH257" i="6"/>
  <c r="AH340" i="6"/>
  <c r="AH347" i="6"/>
  <c r="AH366" i="6"/>
  <c r="AH387" i="6"/>
  <c r="AH98" i="6"/>
  <c r="AH108" i="6"/>
  <c r="AH115" i="6"/>
  <c r="AH141" i="6"/>
  <c r="AH182" i="6"/>
  <c r="AH197" i="6"/>
  <c r="AH409" i="6"/>
  <c r="AH474" i="6"/>
  <c r="AH547" i="6"/>
  <c r="AH64" i="6"/>
  <c r="AH324" i="6"/>
  <c r="AH43" i="6"/>
  <c r="AH131" i="6"/>
  <c r="AH146" i="6"/>
  <c r="AH176" i="6"/>
  <c r="AH187" i="6"/>
  <c r="AH235" i="6"/>
  <c r="AH243" i="6"/>
  <c r="AH321" i="6"/>
  <c r="AH395" i="6"/>
  <c r="AH410" i="6"/>
  <c r="AH414" i="6"/>
  <c r="AH99" i="6"/>
  <c r="AH124" i="6"/>
  <c r="AH169" i="6"/>
  <c r="AH213" i="6"/>
  <c r="AH251" i="6"/>
  <c r="AH279" i="6"/>
  <c r="AH353" i="6"/>
  <c r="AH357" i="6"/>
  <c r="AH382" i="6"/>
  <c r="AH396" i="6"/>
  <c r="AH418" i="6"/>
  <c r="AH482" i="6"/>
  <c r="AH505" i="6"/>
  <c r="AH509" i="6"/>
  <c r="AH513" i="6"/>
  <c r="AH517" i="6"/>
  <c r="AH162" i="6"/>
  <c r="AH363" i="6"/>
  <c r="AH153" i="6"/>
  <c r="AH225" i="6"/>
  <c r="AH327" i="6"/>
  <c r="AH467" i="6"/>
  <c r="AH491" i="6"/>
  <c r="AH49" i="6"/>
  <c r="AH211" i="6"/>
  <c r="AH37" i="6"/>
  <c r="AH172" i="6"/>
  <c r="AH215" i="6"/>
  <c r="AH336" i="6"/>
  <c r="AH348" i="6"/>
  <c r="AH361" i="6"/>
  <c r="AH228" i="6"/>
  <c r="AH40" i="6"/>
  <c r="AH50" i="6"/>
  <c r="AH68" i="6"/>
  <c r="AH75" i="6"/>
  <c r="AH86" i="6"/>
  <c r="AH92" i="6"/>
  <c r="AH107" i="6"/>
  <c r="AH125" i="6"/>
  <c r="AH129" i="6"/>
  <c r="AH138" i="6"/>
  <c r="AH142" i="6"/>
  <c r="AH202" i="6"/>
  <c r="AH263" i="6"/>
  <c r="AH331" i="6"/>
  <c r="AH458" i="6"/>
  <c r="AH531" i="6"/>
  <c r="AH56" i="6"/>
  <c r="AH58" i="6"/>
  <c r="AH149" i="6"/>
  <c r="AH163" i="6"/>
  <c r="AH167" i="6"/>
  <c r="AH190" i="6"/>
  <c r="AH196" i="6"/>
  <c r="AH298" i="6"/>
  <c r="AH305" i="6"/>
  <c r="AH320" i="6"/>
  <c r="AH328" i="6"/>
  <c r="AH346" i="6"/>
  <c r="AH45" i="6"/>
  <c r="AH136" i="6"/>
  <c r="AH200" i="6"/>
  <c r="AH207" i="6"/>
  <c r="AH35" i="6"/>
  <c r="AH48" i="6"/>
  <c r="AH73" i="6"/>
  <c r="AH97" i="6"/>
  <c r="AH106" i="6"/>
  <c r="AH139" i="6"/>
  <c r="AH152" i="6"/>
  <c r="AH164" i="6"/>
  <c r="AH223" i="6"/>
  <c r="AH241" i="6"/>
  <c r="AH244" i="6"/>
  <c r="AH289" i="6"/>
  <c r="AH292" i="6"/>
  <c r="AH303" i="6"/>
  <c r="AH386" i="6"/>
  <c r="AH405" i="6"/>
  <c r="AH446" i="6"/>
  <c r="AH32" i="6"/>
  <c r="AH62" i="6"/>
  <c r="AH93" i="6"/>
  <c r="AH109" i="6"/>
  <c r="AH123" i="6"/>
  <c r="AH155" i="6"/>
  <c r="AH158" i="6"/>
  <c r="AH168" i="6"/>
  <c r="AH171" i="6"/>
  <c r="AH175" i="6"/>
  <c r="AH185" i="6"/>
  <c r="AH214" i="6"/>
  <c r="AH217" i="6"/>
  <c r="AH224" i="6"/>
  <c r="AH245" i="6"/>
  <c r="AH249" i="6"/>
  <c r="AH268" i="6"/>
  <c r="AH312" i="6"/>
  <c r="AH345" i="6"/>
  <c r="AH360" i="6"/>
  <c r="AH402" i="6"/>
  <c r="AH426" i="6"/>
  <c r="AH440" i="6"/>
  <c r="AH463" i="6"/>
  <c r="AH466" i="6"/>
  <c r="AH493" i="6"/>
  <c r="AH198" i="6"/>
  <c r="AH281" i="6"/>
  <c r="AH342" i="6"/>
  <c r="AH430" i="6"/>
  <c r="AH453" i="6"/>
  <c r="AH470" i="6"/>
  <c r="AH523" i="6"/>
  <c r="AH533" i="6"/>
  <c r="AH541" i="6"/>
  <c r="AH114" i="6"/>
  <c r="AH96" i="6"/>
  <c r="AH113" i="6"/>
  <c r="AH122" i="6"/>
  <c r="AH128" i="6"/>
  <c r="AH65" i="6"/>
  <c r="AH33" i="6"/>
  <c r="AH88" i="6"/>
  <c r="AH25" i="6"/>
  <c r="AH38" i="6"/>
  <c r="AH41" i="6"/>
  <c r="AH46" i="6"/>
  <c r="AH57" i="6"/>
  <c r="AH63" i="6"/>
  <c r="AH85" i="6"/>
  <c r="AH121" i="6"/>
  <c r="AH145" i="6"/>
  <c r="AH295" i="6"/>
  <c r="AH313" i="6"/>
  <c r="AH80" i="6"/>
  <c r="AH539" i="6"/>
  <c r="AH36" i="6"/>
  <c r="AH39" i="6"/>
  <c r="AH44" i="6"/>
  <c r="AH55" i="6"/>
  <c r="AH60" i="6"/>
  <c r="AH126" i="6"/>
  <c r="AH23" i="6"/>
  <c r="AH28" i="6"/>
  <c r="AH34" i="6"/>
  <c r="AH66" i="6"/>
  <c r="AH69" i="6"/>
  <c r="AH72" i="6"/>
  <c r="AH77" i="6"/>
  <c r="AH83" i="6"/>
  <c r="AH91" i="6"/>
  <c r="AH105" i="6"/>
  <c r="AH112" i="6"/>
  <c r="AH116" i="6"/>
  <c r="AH271" i="6"/>
  <c r="AH371" i="6"/>
  <c r="AH515" i="6"/>
  <c r="AH81" i="6"/>
  <c r="AH103" i="6"/>
  <c r="AH179" i="6"/>
  <c r="AH24" i="6"/>
  <c r="AH26" i="6"/>
  <c r="AH29" i="6"/>
  <c r="AH78" i="6"/>
  <c r="AH84" i="6"/>
  <c r="AH120" i="6"/>
  <c r="AH186" i="6"/>
  <c r="AH265" i="6"/>
  <c r="AH165" i="6"/>
  <c r="AH170" i="6"/>
  <c r="AH173" i="6"/>
  <c r="AH184" i="6"/>
  <c r="AH192" i="6"/>
  <c r="AH194" i="6"/>
  <c r="AH199" i="6"/>
  <c r="AH210" i="6"/>
  <c r="AH218" i="6"/>
  <c r="AH221" i="6"/>
  <c r="AH226" i="6"/>
  <c r="AH237" i="6"/>
  <c r="AH240" i="6"/>
  <c r="AH248" i="6"/>
  <c r="AH260" i="6"/>
  <c r="AH274" i="6"/>
  <c r="AH280" i="6"/>
  <c r="AH287" i="6"/>
  <c r="AH304" i="6"/>
  <c r="AH311" i="6"/>
  <c r="AH316" i="6"/>
  <c r="AH319" i="6"/>
  <c r="AH334" i="6"/>
  <c r="AH339" i="6"/>
  <c r="AH344" i="6"/>
  <c r="AH355" i="6"/>
  <c r="AH374" i="6"/>
  <c r="AH377" i="6"/>
  <c r="AH385" i="6"/>
  <c r="AH393" i="6"/>
  <c r="AH413" i="6"/>
  <c r="AH419" i="6"/>
  <c r="AH422" i="6"/>
  <c r="AH451" i="6"/>
  <c r="AH454" i="6"/>
  <c r="AH471" i="6"/>
  <c r="AH485" i="6"/>
  <c r="AH535" i="6"/>
  <c r="AH543" i="6"/>
  <c r="AH540" i="6"/>
  <c r="AH150" i="6"/>
  <c r="AH157" i="6"/>
  <c r="AH161" i="6"/>
  <c r="AH195" i="6"/>
  <c r="AH227" i="6"/>
  <c r="AH232" i="6"/>
  <c r="AH234" i="6"/>
  <c r="AH238" i="6"/>
  <c r="AH256" i="6"/>
  <c r="AH282" i="6"/>
  <c r="AH285" i="6"/>
  <c r="AH300" i="6"/>
  <c r="AH306" i="6"/>
  <c r="AH309" i="6"/>
  <c r="AH364" i="6"/>
  <c r="AH367" i="6"/>
  <c r="AH391" i="6"/>
  <c r="AH394" i="6"/>
  <c r="AH411" i="6"/>
  <c r="AH443" i="6"/>
  <c r="AH483" i="6"/>
  <c r="AH512" i="6"/>
  <c r="AH514" i="6"/>
  <c r="AH520" i="6"/>
  <c r="AH522" i="6"/>
  <c r="AH528" i="6"/>
  <c r="AH530" i="6"/>
  <c r="AH532" i="6"/>
  <c r="AH297" i="6"/>
  <c r="AH432" i="6"/>
  <c r="AH472" i="6"/>
  <c r="AH536" i="6"/>
  <c r="AH538" i="6"/>
  <c r="AH544" i="6"/>
  <c r="AH546" i="6"/>
  <c r="AH133" i="6"/>
  <c r="AH137" i="6"/>
  <c r="AH144" i="6"/>
  <c r="AH180" i="6"/>
  <c r="AH203" i="6"/>
  <c r="AH219" i="6"/>
  <c r="AH230" i="6"/>
  <c r="AH258" i="6"/>
  <c r="AH264" i="6"/>
  <c r="AH276" i="6"/>
  <c r="AH290" i="6"/>
  <c r="AH293" i="6"/>
  <c r="AH314" i="6"/>
  <c r="AH332" i="6"/>
  <c r="AH370" i="6"/>
  <c r="AH378" i="6"/>
  <c r="AH403" i="6"/>
  <c r="AH406" i="6"/>
  <c r="AH435" i="6"/>
  <c r="AH438" i="6"/>
  <c r="AH464" i="6"/>
  <c r="AH487" i="6"/>
  <c r="AH504" i="6"/>
  <c r="AH506" i="6"/>
  <c r="AH134" i="6"/>
  <c r="AH148" i="6"/>
  <c r="AH154" i="6"/>
  <c r="AH159" i="6"/>
  <c r="AH174" i="6"/>
  <c r="AH183" i="6"/>
  <c r="AH188" i="6"/>
  <c r="AH191" i="6"/>
  <c r="AH206" i="6"/>
  <c r="AH220" i="6"/>
  <c r="AH239" i="6"/>
  <c r="AH269" i="6"/>
  <c r="AH273" i="6"/>
  <c r="AH322" i="6"/>
  <c r="AH325" i="6"/>
  <c r="AH329" i="6"/>
  <c r="AH338" i="6"/>
  <c r="AH343" i="6"/>
  <c r="AH365" i="6"/>
  <c r="AH424" i="6"/>
  <c r="AH456" i="6"/>
  <c r="AH475" i="6"/>
  <c r="AH478" i="6"/>
  <c r="AH481" i="6"/>
  <c r="AH484" i="6"/>
  <c r="AH496" i="6"/>
  <c r="AH507" i="6"/>
  <c r="AH510" i="6"/>
  <c r="AH518" i="6"/>
  <c r="AH526" i="6"/>
  <c r="AH177" i="6"/>
  <c r="AH193" i="6"/>
  <c r="AH259" i="6"/>
  <c r="AH266" i="6"/>
  <c r="AH296" i="6"/>
  <c r="AH341" i="6"/>
  <c r="AH427" i="6"/>
  <c r="AH548" i="6"/>
  <c r="AH160" i="6"/>
  <c r="AH178" i="6"/>
  <c r="AH231" i="6"/>
  <c r="AH267" i="6"/>
  <c r="AH272" i="6"/>
  <c r="AH277" i="6"/>
  <c r="AH326" i="6"/>
  <c r="AH351" i="6"/>
  <c r="AH416" i="6"/>
  <c r="AH448" i="6"/>
  <c r="AH450" i="6"/>
  <c r="AH459" i="6"/>
  <c r="AH462" i="6"/>
  <c r="AH479" i="6"/>
  <c r="AH488" i="6"/>
  <c r="AH490" i="6"/>
  <c r="AH499" i="6"/>
  <c r="AH502" i="6"/>
  <c r="AH511" i="6"/>
  <c r="AH527" i="6"/>
  <c r="AH42" i="6"/>
  <c r="AH61" i="6"/>
  <c r="AH95" i="6"/>
  <c r="AH53" i="6"/>
  <c r="AH79" i="6"/>
  <c r="AH90" i="6"/>
  <c r="AH71" i="6"/>
  <c r="AH94" i="6"/>
  <c r="AH100" i="6"/>
  <c r="AH140" i="6"/>
  <c r="AH143" i="6"/>
  <c r="AH119" i="6"/>
  <c r="AH127" i="6"/>
  <c r="AH104" i="6"/>
  <c r="AH151" i="6"/>
  <c r="AH166" i="6"/>
  <c r="AH22" i="6"/>
  <c r="AH70" i="6"/>
  <c r="AH132" i="6"/>
  <c r="AH135" i="6"/>
  <c r="AH47" i="6"/>
  <c r="AH87" i="6"/>
  <c r="AH89" i="6"/>
  <c r="AH111" i="6"/>
  <c r="AH209" i="6"/>
  <c r="AH233" i="6"/>
  <c r="AH30" i="6"/>
  <c r="AH54" i="6"/>
  <c r="AH102" i="6"/>
  <c r="AH201" i="6"/>
  <c r="AH212" i="6"/>
  <c r="AH253" i="6"/>
  <c r="AH262" i="6"/>
  <c r="AH299" i="6"/>
  <c r="AH408" i="6"/>
  <c r="AH524" i="6"/>
  <c r="AH302" i="6"/>
  <c r="AH181" i="6"/>
  <c r="AH208" i="6"/>
  <c r="AH278" i="6"/>
  <c r="AH318" i="6"/>
  <c r="AH254" i="6"/>
  <c r="AH216" i="6"/>
  <c r="AH229" i="6"/>
  <c r="AH294" i="6"/>
  <c r="AH333" i="6"/>
  <c r="AH461" i="6"/>
  <c r="AH261" i="6"/>
  <c r="AH270" i="6"/>
  <c r="AH307" i="6"/>
  <c r="AH323" i="6"/>
  <c r="AH330" i="6"/>
  <c r="AH283" i="6"/>
  <c r="AH301" i="6"/>
  <c r="AH310" i="6"/>
  <c r="AH189" i="6"/>
  <c r="AH286" i="6"/>
  <c r="AH317" i="6"/>
  <c r="AH442" i="6"/>
  <c r="AH381" i="6"/>
  <c r="AH384" i="6"/>
  <c r="AH388" i="6"/>
  <c r="AH421" i="6"/>
  <c r="AH429" i="6"/>
  <c r="AH437" i="6"/>
  <c r="AH445" i="6"/>
  <c r="AH473" i="6"/>
  <c r="AH501" i="6"/>
  <c r="AH349" i="6"/>
  <c r="AH465" i="6"/>
  <c r="AH476" i="6"/>
  <c r="AH525" i="6"/>
  <c r="AH368" i="6"/>
  <c r="AH375" i="6"/>
  <c r="AH399" i="6"/>
  <c r="AH389" i="6"/>
  <c r="AH392" i="6"/>
  <c r="AH404" i="6"/>
  <c r="AH407" i="6"/>
  <c r="AH417" i="6"/>
  <c r="AH425" i="6"/>
  <c r="AH433" i="6"/>
  <c r="AH441" i="6"/>
  <c r="AH449" i="6"/>
  <c r="AH455" i="6"/>
  <c r="AH460" i="6"/>
  <c r="AH480" i="6"/>
  <c r="AH359" i="6"/>
  <c r="AH412" i="6"/>
  <c r="AH415" i="6"/>
  <c r="AH423" i="6"/>
  <c r="AH431" i="6"/>
  <c r="AH439" i="6"/>
  <c r="AH447" i="6"/>
  <c r="AH452" i="6"/>
  <c r="AH477" i="6"/>
  <c r="AH486" i="6"/>
  <c r="AH497" i="6"/>
  <c r="AH503" i="6"/>
  <c r="AH508" i="6"/>
  <c r="AH519" i="6"/>
  <c r="AH373" i="6"/>
  <c r="AH376" i="6"/>
  <c r="AH380" i="6"/>
  <c r="AH383" i="6"/>
  <c r="AH397" i="6"/>
  <c r="AH400" i="6"/>
  <c r="AH420" i="6"/>
  <c r="AH428" i="6"/>
  <c r="AH436" i="6"/>
  <c r="AH444" i="6"/>
  <c r="AH469" i="6"/>
  <c r="AH489" i="6"/>
  <c r="AH495" i="6"/>
  <c r="AH500" i="6"/>
  <c r="AH516" i="6"/>
  <c r="AH537" i="6"/>
  <c r="AH545" i="6"/>
  <c r="AH16" i="6"/>
  <c r="AH10" i="6"/>
  <c r="AH14" i="6"/>
  <c r="AH18" i="6"/>
  <c r="AH11" i="6"/>
  <c r="AH3" i="6"/>
  <c r="AH8" i="6"/>
  <c r="AH9" i="6"/>
  <c r="AH6" i="6"/>
  <c r="AH13" i="6"/>
  <c r="AH17" i="6"/>
  <c r="AH5" i="6"/>
  <c r="AH19" i="6"/>
  <c r="AH21" i="6"/>
  <c r="AH4" i="6"/>
  <c r="AH12" i="6"/>
  <c r="AH20" i="6"/>
  <c r="AH7" i="6"/>
  <c r="AH15" i="6"/>
  <c r="AH2" i="6"/>
  <c r="C10" i="5" l="1" a="1"/>
  <c r="C10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<sst xmlns="http://schemas.openxmlformats.org/spreadsheetml/2006/main" count="4871" uniqueCount="664">
  <si>
    <t>Player</t>
  </si>
  <si>
    <t>passing_yards</t>
  </si>
  <si>
    <t>passing_td</t>
  </si>
  <si>
    <t>int</t>
  </si>
  <si>
    <t>rush_yards</t>
  </si>
  <si>
    <t>rush_td</t>
  </si>
  <si>
    <t>rec_yards</t>
  </si>
  <si>
    <t>rec_td</t>
  </si>
  <si>
    <t>rec</t>
  </si>
  <si>
    <t>Sam Darnold</t>
  </si>
  <si>
    <t>Gardner Minshew</t>
  </si>
  <si>
    <t>Matthew Stafford</t>
  </si>
  <si>
    <t>Anthony Richardson</t>
  </si>
  <si>
    <t>Kyler Murray</t>
  </si>
  <si>
    <t>Bo Nix</t>
  </si>
  <si>
    <t>Daniel Jones</t>
  </si>
  <si>
    <t>Jared Goff</t>
  </si>
  <si>
    <t>Jayden Daniels</t>
  </si>
  <si>
    <t>Josh Allen</t>
  </si>
  <si>
    <t>Lamar Jackson</t>
  </si>
  <si>
    <t>Derek Carr</t>
  </si>
  <si>
    <t>Aaron Rodgers</t>
  </si>
  <si>
    <t>Jalen Hurts</t>
  </si>
  <si>
    <t>Will Levis</t>
  </si>
  <si>
    <t>Deshaun Watson</t>
  </si>
  <si>
    <t>Jordan Love</t>
  </si>
  <si>
    <t>Trevor Lawrence</t>
  </si>
  <si>
    <t>Kirk Cousins</t>
  </si>
  <si>
    <t>Brock Purdy</t>
  </si>
  <si>
    <t>Dak Prescott</t>
  </si>
  <si>
    <t>Tua Tagovailoa</t>
  </si>
  <si>
    <t>Caleb Williams</t>
  </si>
  <si>
    <t>Joe Burrow</t>
  </si>
  <si>
    <t>Bryce Young</t>
  </si>
  <si>
    <t>Baker Mayfield</t>
  </si>
  <si>
    <t>Patrick Mahomes</t>
  </si>
  <si>
    <t>David Njoku</t>
  </si>
  <si>
    <t>Jayden Reed</t>
  </si>
  <si>
    <t>Terry McLaurin</t>
  </si>
  <si>
    <t>Tyler Lockett</t>
  </si>
  <si>
    <t>Chris Godwin</t>
  </si>
  <si>
    <t>Jake Ferguson</t>
  </si>
  <si>
    <t>Pat Freiermuth</t>
  </si>
  <si>
    <t>Tank Dell</t>
  </si>
  <si>
    <t>Jaxon Smith-Njigba</t>
  </si>
  <si>
    <t>Kyle Pitts</t>
  </si>
  <si>
    <t>Dalton Kincaid</t>
  </si>
  <si>
    <t>Christian Watson</t>
  </si>
  <si>
    <t>Christian Kirk</t>
  </si>
  <si>
    <t>Mike Williams</t>
  </si>
  <si>
    <t>Tee Higgins</t>
  </si>
  <si>
    <t>Adam Thielen</t>
  </si>
  <si>
    <t>Keenan Allen</t>
  </si>
  <si>
    <t>Deebo Samuel</t>
  </si>
  <si>
    <t>George Kittle</t>
  </si>
  <si>
    <t>Amari Cooper</t>
  </si>
  <si>
    <t>Dalton Schultz</t>
  </si>
  <si>
    <t>Courtland Sutton</t>
  </si>
  <si>
    <t>Joshua Palmer</t>
  </si>
  <si>
    <t>Jaylen Waddle</t>
  </si>
  <si>
    <t>Chris Olave</t>
  </si>
  <si>
    <t>Nico Collins</t>
  </si>
  <si>
    <t>Zay Flowers</t>
  </si>
  <si>
    <t>Garrett Wilson</t>
  </si>
  <si>
    <t>Tyreek Hill</t>
  </si>
  <si>
    <t>Stefon Diggs</t>
  </si>
  <si>
    <t>Justin Jefferson</t>
  </si>
  <si>
    <t>Rome Odunze</t>
  </si>
  <si>
    <t>Sam LaPorta</t>
  </si>
  <si>
    <t>Amon-Ra St Brown</t>
  </si>
  <si>
    <t>Brock Bowers</t>
  </si>
  <si>
    <t>Drake London</t>
  </si>
  <si>
    <t>Travis Kelce</t>
  </si>
  <si>
    <t>Ladd McConkey</t>
  </si>
  <si>
    <t>Ja'Marr Chase</t>
  </si>
  <si>
    <t>Davante Adams</t>
  </si>
  <si>
    <t>Cooper Kupp</t>
  </si>
  <si>
    <t>Xavier Worthy</t>
  </si>
  <si>
    <t>CeeDee Lamb</t>
  </si>
  <si>
    <t>Puka Nacua</t>
  </si>
  <si>
    <t>Keon Coleman</t>
  </si>
  <si>
    <t>DJ Moore</t>
  </si>
  <si>
    <t>Mike Evans</t>
  </si>
  <si>
    <t>George Pickens</t>
  </si>
  <si>
    <t>Xavier Legette</t>
  </si>
  <si>
    <t>Mark Andrews</t>
  </si>
  <si>
    <t>Diontae Johnson</t>
  </si>
  <si>
    <t>Calvin Ridley</t>
  </si>
  <si>
    <t>Christian McCaffrey</t>
  </si>
  <si>
    <t>Jerry Jeudy</t>
  </si>
  <si>
    <t>Raheem Mostert</t>
  </si>
  <si>
    <t>Devin Singletary</t>
  </si>
  <si>
    <t>Breece Hall</t>
  </si>
  <si>
    <t>Isiah Pacheco</t>
  </si>
  <si>
    <t>James Cook</t>
  </si>
  <si>
    <t>Rachaad White</t>
  </si>
  <si>
    <t>Bijan Robinson</t>
  </si>
  <si>
    <t>Zamir White</t>
  </si>
  <si>
    <t>De'Von Achane</t>
  </si>
  <si>
    <t>Joe Mixon</t>
  </si>
  <si>
    <t>Aaron Jones</t>
  </si>
  <si>
    <t>Ezekiel Elliott</t>
  </si>
  <si>
    <t>Alvin Kamara</t>
  </si>
  <si>
    <t>Jonathan Taylor</t>
  </si>
  <si>
    <t>Saquon Barkley</t>
  </si>
  <si>
    <t>Josh Jacobs</t>
  </si>
  <si>
    <t>Derrick Henry</t>
  </si>
  <si>
    <t>D'Andre Swift</t>
  </si>
  <si>
    <t>Tony Pollard</t>
  </si>
  <si>
    <t>Zack Moss</t>
  </si>
  <si>
    <t>Khalil Shakir</t>
  </si>
  <si>
    <t>auction_val</t>
  </si>
  <si>
    <t>ppr_rank</t>
  </si>
  <si>
    <t>Blake Corum</t>
  </si>
  <si>
    <t>Jameson Williams</t>
  </si>
  <si>
    <t>Trey Benson</t>
  </si>
  <si>
    <t>Nick Chubb</t>
  </si>
  <si>
    <t>Zach Charbonnet</t>
  </si>
  <si>
    <t>Jerome Ford</t>
  </si>
  <si>
    <t>Gus Edwards</t>
  </si>
  <si>
    <t>Chase Brown</t>
  </si>
  <si>
    <t>Rashid Shaheed</t>
  </si>
  <si>
    <t>Kendre Miller</t>
  </si>
  <si>
    <t>Curtis Samuel</t>
  </si>
  <si>
    <t>Tyler Allgeier</t>
  </si>
  <si>
    <t>MarShawn Lloyd</t>
  </si>
  <si>
    <t>Darnell Mooney</t>
  </si>
  <si>
    <t>Jakobi Meyers</t>
  </si>
  <si>
    <t>Ty Chandler</t>
  </si>
  <si>
    <t>DeMario Douglas</t>
  </si>
  <si>
    <t>Antonio Gibson</t>
  </si>
  <si>
    <t>Adonai Mitchell</t>
  </si>
  <si>
    <t>Jaleel McLaughlin</t>
  </si>
  <si>
    <t>Dallas Goedert</t>
  </si>
  <si>
    <t>Rico Dowdle</t>
  </si>
  <si>
    <t>Jaylen Wright</t>
  </si>
  <si>
    <t>Romeo Doubs</t>
  </si>
  <si>
    <t>Brandin Cooks</t>
  </si>
  <si>
    <t>Gabe Davis</t>
  </si>
  <si>
    <t>Elijah Mitchell</t>
  </si>
  <si>
    <t>Dontayvion Wicks</t>
  </si>
  <si>
    <t>Jahan Dotson</t>
  </si>
  <si>
    <t>Kendrick Bourne</t>
  </si>
  <si>
    <t>Chuba Hubbard</t>
  </si>
  <si>
    <t>Jalen Tolbert</t>
  </si>
  <si>
    <t>Josh Downs</t>
  </si>
  <si>
    <t>Ray Davis</t>
  </si>
  <si>
    <t>Keaton Mitchell</t>
  </si>
  <si>
    <t>Ja'Lynn Polk</t>
  </si>
  <si>
    <t>Alexander Mattison</t>
  </si>
  <si>
    <t>Cole Kmet</t>
  </si>
  <si>
    <t>Ricky Pearsall</t>
  </si>
  <si>
    <t>Justin Herbert</t>
  </si>
  <si>
    <t>Noah Fant</t>
  </si>
  <si>
    <t>Kimani Vidal</t>
  </si>
  <si>
    <t>Ben Sinnott</t>
  </si>
  <si>
    <t>Tyler Conklin</t>
  </si>
  <si>
    <t>Michael Wilson</t>
  </si>
  <si>
    <t>Miles Sanders</t>
  </si>
  <si>
    <t>Khalil Herbert</t>
  </si>
  <si>
    <t>Clyde Edwards-Helaire</t>
  </si>
  <si>
    <t>Taysom Hill</t>
  </si>
  <si>
    <t>Chigoziem Okonkwo</t>
  </si>
  <si>
    <t>Hunter Henry</t>
  </si>
  <si>
    <t>Juwan Johnson</t>
  </si>
  <si>
    <t>Braelon Allen</t>
  </si>
  <si>
    <t>Demarcus Robinson</t>
  </si>
  <si>
    <t>Wan'Dale Robinson</t>
  </si>
  <si>
    <t>Tyler Boyd</t>
  </si>
  <si>
    <t>Tre Tucker</t>
  </si>
  <si>
    <t>Tucker Kraft</t>
  </si>
  <si>
    <t>Luke Musgrave</t>
  </si>
  <si>
    <t>Jalin Hyatt</t>
  </si>
  <si>
    <t>Rashod Bateman</t>
  </si>
  <si>
    <t>Jamaal Williams</t>
  </si>
  <si>
    <t>Tank Bigsby</t>
  </si>
  <si>
    <t>Cade Otton</t>
  </si>
  <si>
    <t>Hayden Hurst</t>
  </si>
  <si>
    <t>Geno Smith</t>
  </si>
  <si>
    <t>Russell Wilson</t>
  </si>
  <si>
    <t>Kenneth Gainwell</t>
  </si>
  <si>
    <t>Bucky Irving</t>
  </si>
  <si>
    <t>Darius Slayton</t>
  </si>
  <si>
    <t>Justice Hill</t>
  </si>
  <si>
    <t>D'Onta Foreman</t>
  </si>
  <si>
    <t>Tim Patrick</t>
  </si>
  <si>
    <t>Jalen McMillan</t>
  </si>
  <si>
    <t>Zay Jones</t>
  </si>
  <si>
    <t>Jermaine Burton</t>
  </si>
  <si>
    <t>Quentin Johnston</t>
  </si>
  <si>
    <t>Luke McCaffrey</t>
  </si>
  <si>
    <t>Malachi Corley</t>
  </si>
  <si>
    <t>Dameon Pierce</t>
  </si>
  <si>
    <t>Ty Johnson</t>
  </si>
  <si>
    <t>Samaje Perine</t>
  </si>
  <si>
    <t>Chase Edmonds</t>
  </si>
  <si>
    <t>Roschon Johnson</t>
  </si>
  <si>
    <t>Eric Gray</t>
  </si>
  <si>
    <t>Isaiah Davis</t>
  </si>
  <si>
    <t>Nyheim Hines</t>
  </si>
  <si>
    <t>Michael Carter</t>
  </si>
  <si>
    <t>Trey Sermon</t>
  </si>
  <si>
    <t>Royce Freeman</t>
  </si>
  <si>
    <t>D'Ernest Johnson</t>
  </si>
  <si>
    <t>Trayveon Williams</t>
  </si>
  <si>
    <t>Trey Palmer</t>
  </si>
  <si>
    <t>Josh Reynolds</t>
  </si>
  <si>
    <t>Isaiah Likely</t>
  </si>
  <si>
    <t>Jonnu Smith</t>
  </si>
  <si>
    <t>Dawson Knox</t>
  </si>
  <si>
    <t>Kalif Raymond</t>
  </si>
  <si>
    <t>Andrei Iosivas</t>
  </si>
  <si>
    <t>Van Jefferson</t>
  </si>
  <si>
    <t>Evan Hull</t>
  </si>
  <si>
    <t>AJ Dillon</t>
  </si>
  <si>
    <t>Drake Maye</t>
  </si>
  <si>
    <t>Cedric Tillman</t>
  </si>
  <si>
    <t>Jonathan Mingo</t>
  </si>
  <si>
    <t>Nelson Agholor</t>
  </si>
  <si>
    <t>Elijah Moore</t>
  </si>
  <si>
    <t>Xavier Gipson</t>
  </si>
  <si>
    <t>Ameer Abdullah</t>
  </si>
  <si>
    <t>Audric Estime</t>
  </si>
  <si>
    <t>Cordarrelle Patterson</t>
  </si>
  <si>
    <t>Dare Ogunbowale</t>
  </si>
  <si>
    <t>Julius Chestnut</t>
  </si>
  <si>
    <t>Will Shipley</t>
  </si>
  <si>
    <t>Theo Johnson</t>
  </si>
  <si>
    <t>Gerald Everett</t>
  </si>
  <si>
    <t>Colby Parkinson</t>
  </si>
  <si>
    <t>Greg Dulcich</t>
  </si>
  <si>
    <t>KaVontae Turpin</t>
  </si>
  <si>
    <t>KhaDarel Hodge</t>
  </si>
  <si>
    <t>Aidan O'Connell</t>
  </si>
  <si>
    <t>Jacoby Brissett</t>
  </si>
  <si>
    <t>Kenny McIntosh</t>
  </si>
  <si>
    <t>Craig Reynolds</t>
  </si>
  <si>
    <t>Jordan Mason</t>
  </si>
  <si>
    <t>JaMycal Hasty</t>
  </si>
  <si>
    <t>Kyle Juszczyk</t>
  </si>
  <si>
    <t>Jase McClellan</t>
  </si>
  <si>
    <t>Isaac Guerendo</t>
  </si>
  <si>
    <t>Justin Fields</t>
  </si>
  <si>
    <t>Daniel Bellinger</t>
  </si>
  <si>
    <t>Zach Ertz</t>
  </si>
  <si>
    <t>Mike Gesicki</t>
  </si>
  <si>
    <t>Michael Mayer</t>
  </si>
  <si>
    <t>Sam Howell</t>
  </si>
  <si>
    <t>Tyrod Taylor</t>
  </si>
  <si>
    <t>Joe Flacco</t>
  </si>
  <si>
    <t>Jake Browning</t>
  </si>
  <si>
    <t>Ronnie Rivers</t>
  </si>
  <si>
    <t>Deuce Vaughn</t>
  </si>
  <si>
    <t>Dylan Laube</t>
  </si>
  <si>
    <t>Johnny Mundt</t>
  </si>
  <si>
    <t>Tyler Higbee</t>
  </si>
  <si>
    <t>Noah Gray</t>
  </si>
  <si>
    <t>Will Dissly</t>
  </si>
  <si>
    <t>Jeremy Ruckert</t>
  </si>
  <si>
    <t>Tommy Tremble</t>
  </si>
  <si>
    <t>Kylen Granson</t>
  </si>
  <si>
    <t>Austin Hooper</t>
  </si>
  <si>
    <t>Connor Heyward</t>
  </si>
  <si>
    <t>Ja'Tavion Sanders</t>
  </si>
  <si>
    <t>Adam Trautman</t>
  </si>
  <si>
    <t>Josh Oliver</t>
  </si>
  <si>
    <t>Jameis Winston</t>
  </si>
  <si>
    <t>Nick Mullens</t>
  </si>
  <si>
    <t>Jarrett Stidham</t>
  </si>
  <si>
    <t>Drew Lock</t>
  </si>
  <si>
    <t>Mason Rudolph</t>
  </si>
  <si>
    <t>Carson Wentz</t>
  </si>
  <si>
    <t>Jimmy Garoppolo</t>
  </si>
  <si>
    <t>Kenny Pickett</t>
  </si>
  <si>
    <t>Marcus Mariota</t>
  </si>
  <si>
    <t>Mitchell Trubisky</t>
  </si>
  <si>
    <t>Roman Wilson</t>
  </si>
  <si>
    <t>Treylon Burks</t>
  </si>
  <si>
    <t>Tutu Atwell</t>
  </si>
  <si>
    <t>Jauan Jennings</t>
  </si>
  <si>
    <t>Noah Brown</t>
  </si>
  <si>
    <t>Greg Dortch</t>
  </si>
  <si>
    <t>Brandon Powell</t>
  </si>
  <si>
    <t>Justin Watson</t>
  </si>
  <si>
    <t>Jake Bobo</t>
  </si>
  <si>
    <t>Drew Ogletree</t>
  </si>
  <si>
    <t>Devontez Walker</t>
  </si>
  <si>
    <t>Tyquan Thornton</t>
  </si>
  <si>
    <t>Troy Franklin</t>
  </si>
  <si>
    <t>Foster Moreau</t>
  </si>
  <si>
    <t>Trenton Irwin</t>
  </si>
  <si>
    <t>Josh Whyle</t>
  </si>
  <si>
    <t>Parris Campbell</t>
  </si>
  <si>
    <t>Brock Wright</t>
  </si>
  <si>
    <t>Bub Means</t>
  </si>
  <si>
    <t>Alec Pierce</t>
  </si>
  <si>
    <t>Mo Alie-Cox</t>
  </si>
  <si>
    <t>Allen Lazard</t>
  </si>
  <si>
    <t>Durham Smythe</t>
  </si>
  <si>
    <t>Jordan Akins</t>
  </si>
  <si>
    <t>Ryan Flournoy</t>
  </si>
  <si>
    <t>Elijah Higgins</t>
  </si>
  <si>
    <t>Ian Thomas</t>
  </si>
  <si>
    <t>Cooper Rush</t>
  </si>
  <si>
    <t>Darnell Washington</t>
  </si>
  <si>
    <t>Dyami Brown</t>
  </si>
  <si>
    <t>Joshua Dobbs</t>
  </si>
  <si>
    <t>Tyson Bagent</t>
  </si>
  <si>
    <t>Sean Clifford</t>
  </si>
  <si>
    <t>Devin Duvernay</t>
  </si>
  <si>
    <t>Josh Johnson</t>
  </si>
  <si>
    <t>Jamison Crowder</t>
  </si>
  <si>
    <t>Derius Davis</t>
  </si>
  <si>
    <t>Case Keenum</t>
  </si>
  <si>
    <t>Kyle Trask</t>
  </si>
  <si>
    <t>Luke Schoonmaker</t>
  </si>
  <si>
    <t>Davis Allen</t>
  </si>
  <si>
    <t>Mac Jones</t>
  </si>
  <si>
    <t>Desmond Ridder</t>
  </si>
  <si>
    <t>Easton Stick</t>
  </si>
  <si>
    <t>Hendon Hooker</t>
  </si>
  <si>
    <t>Brevin Jordan</t>
  </si>
  <si>
    <t>Casey Washington</t>
  </si>
  <si>
    <t>Spencer Rattler</t>
  </si>
  <si>
    <t>Malik Washington</t>
  </si>
  <si>
    <t>Drew Sample</t>
  </si>
  <si>
    <t>Isaiah McKenzie</t>
  </si>
  <si>
    <t>Brenton Strange</t>
  </si>
  <si>
    <t>Andy Dalton</t>
  </si>
  <si>
    <t>Tanner Hudson</t>
  </si>
  <si>
    <t>Jordan Whittington</t>
  </si>
  <si>
    <t>Skyy Moore</t>
  </si>
  <si>
    <t>Bo Melton</t>
  </si>
  <si>
    <t>Pharaoh Brown</t>
  </si>
  <si>
    <t>Kadarius Toney</t>
  </si>
  <si>
    <t>Mack Hollins</t>
  </si>
  <si>
    <t>Stone Smartt</t>
  </si>
  <si>
    <t>Jalen Nailor</t>
  </si>
  <si>
    <t>David Moore</t>
  </si>
  <si>
    <t>Johnny Wilson</t>
  </si>
  <si>
    <t>Alec Ingold</t>
  </si>
  <si>
    <t>Javon Baker</t>
  </si>
  <si>
    <t>Payne Durham</t>
  </si>
  <si>
    <t>Israel Abanikanda</t>
  </si>
  <si>
    <t>AJ Barner</t>
  </si>
  <si>
    <t>Nick Westbrook-Ikhine</t>
  </si>
  <si>
    <t>Donovan Peoples-Jones</t>
  </si>
  <si>
    <t>Carson Steele</t>
  </si>
  <si>
    <t>Peyton Hendershot</t>
  </si>
  <si>
    <t>Charlie Woerner</t>
  </si>
  <si>
    <t>Chris Blair</t>
  </si>
  <si>
    <t>Luke Farrell</t>
  </si>
  <si>
    <t>Ko Kieft</t>
  </si>
  <si>
    <t>Marquez Valdes-Scantling</t>
  </si>
  <si>
    <t>Lucas Krull</t>
  </si>
  <si>
    <t>Brenden Rice</t>
  </si>
  <si>
    <t>Anthony Gould</t>
  </si>
  <si>
    <t>Tip Reiman</t>
  </si>
  <si>
    <t>Grant Calcaterra</t>
  </si>
  <si>
    <t>John Bates</t>
  </si>
  <si>
    <t>Ainias Smith</t>
  </si>
  <si>
    <t>Myles Gaskin</t>
  </si>
  <si>
    <t>Rasheen Ali</t>
  </si>
  <si>
    <t>Jaret Patterson</t>
  </si>
  <si>
    <t>Olamide Zaccheaus</t>
  </si>
  <si>
    <t>Braxton Berrios</t>
  </si>
  <si>
    <t>Tyler Scott</t>
  </si>
  <si>
    <t>David Bell</t>
  </si>
  <si>
    <t>Scotty Miller</t>
  </si>
  <si>
    <t>Chris Brooks</t>
  </si>
  <si>
    <t>Jalen Brooks</t>
  </si>
  <si>
    <t>Sean Tucker</t>
  </si>
  <si>
    <t>Cam Akers</t>
  </si>
  <si>
    <t>Raheem Blackshear</t>
  </si>
  <si>
    <t>La'Mical Perine</t>
  </si>
  <si>
    <t>Kene Nwangwu</t>
  </si>
  <si>
    <t>Ihmir Smith-Marsette</t>
  </si>
  <si>
    <t>DeeJay Dallas</t>
  </si>
  <si>
    <t>Sterling Shepard</t>
  </si>
  <si>
    <t>Avery Williams</t>
  </si>
  <si>
    <t>Darrynton Evans</t>
  </si>
  <si>
    <t>Michael Burton</t>
  </si>
  <si>
    <t>DJ Turner</t>
  </si>
  <si>
    <t>Dante Miller</t>
  </si>
  <si>
    <t>Sione Vaki</t>
  </si>
  <si>
    <t>Hunter Luepke</t>
  </si>
  <si>
    <t>Charlie Jones</t>
  </si>
  <si>
    <t>Kevin Harris</t>
  </si>
  <si>
    <t>Andrew Beck</t>
  </si>
  <si>
    <t>Adam Prentice</t>
  </si>
  <si>
    <t>Deneric Prince</t>
  </si>
  <si>
    <t>Jared Wiley</t>
  </si>
  <si>
    <t>Deonte Harty</t>
  </si>
  <si>
    <t>Ross Dwelley</t>
  </si>
  <si>
    <t>Cade Stover</t>
  </si>
  <si>
    <t>Dallin Holker</t>
  </si>
  <si>
    <t>Jason Brownlee</t>
  </si>
  <si>
    <t>Kenny Yeboah</t>
  </si>
  <si>
    <t>Harrison Bryant</t>
  </si>
  <si>
    <t>Quintin Morris</t>
  </si>
  <si>
    <t>Tyler Goodson</t>
  </si>
  <si>
    <t>Robert Tonyan</t>
  </si>
  <si>
    <t>James Mitchell</t>
  </si>
  <si>
    <t>Dee Eskridge</t>
  </si>
  <si>
    <t>Marcedes Lewis</t>
  </si>
  <si>
    <t>Josiah Deguara</t>
  </si>
  <si>
    <t>Malik Heath</t>
  </si>
  <si>
    <t>Julian Hill</t>
  </si>
  <si>
    <t>Tyler Johnson</t>
  </si>
  <si>
    <t>Nick Vannett</t>
  </si>
  <si>
    <t>Chris Manhertz</t>
  </si>
  <si>
    <t>MyCole Pruitt</t>
  </si>
  <si>
    <t>Justin Shorter</t>
  </si>
  <si>
    <t>Maurice Alexander</t>
  </si>
  <si>
    <t>Parker Washington</t>
  </si>
  <si>
    <t>Britain Covey</t>
  </si>
  <si>
    <t>Jordan Matthews</t>
  </si>
  <si>
    <t>Mecole Hardman</t>
  </si>
  <si>
    <t>Eric Saubert</t>
  </si>
  <si>
    <t>Jalen Reagor</t>
  </si>
  <si>
    <t>Brayden Willis</t>
  </si>
  <si>
    <t>Jacob Cowing</t>
  </si>
  <si>
    <t>Blake Whiteheart</t>
  </si>
  <si>
    <t>Isaiah Hodgins</t>
  </si>
  <si>
    <t>Quez Watkins</t>
  </si>
  <si>
    <t>Jaheim Bell</t>
  </si>
  <si>
    <t>Jamari Thrash</t>
  </si>
  <si>
    <t>Nate Adkins</t>
  </si>
  <si>
    <t>Chris Moore</t>
  </si>
  <si>
    <t>Charlie Kolar</t>
  </si>
  <si>
    <t>Tim Jones</t>
  </si>
  <si>
    <t>Kristian Wilkerson</t>
  </si>
  <si>
    <t>Brandon Johnson</t>
  </si>
  <si>
    <t>Will Mallory</t>
  </si>
  <si>
    <t>Ashton Dulin</t>
  </si>
  <si>
    <t>Patrick Ricard</t>
  </si>
  <si>
    <t>Xavier Hutchinson</t>
  </si>
  <si>
    <t>Travis Homer</t>
  </si>
  <si>
    <t>Hassan Haskins</t>
  </si>
  <si>
    <t>Devin Culp</t>
  </si>
  <si>
    <t>Ben Sims</t>
  </si>
  <si>
    <t>Tyler Davis</t>
  </si>
  <si>
    <t>River Cracraft</t>
  </si>
  <si>
    <t>Brady Russell</t>
  </si>
  <si>
    <t>Tom Kennedy</t>
  </si>
  <si>
    <t>Rakim Jarrett</t>
  </si>
  <si>
    <t>Kyle Philips</t>
  </si>
  <si>
    <t>Cameron Latu</t>
  </si>
  <si>
    <t>Cole Turner</t>
  </si>
  <si>
    <t>Danny Gray</t>
  </si>
  <si>
    <t>Jalen Guyton</t>
  </si>
  <si>
    <t>Zach Gentry</t>
  </si>
  <si>
    <t>Khari Blasingame</t>
  </si>
  <si>
    <t>Hunter Long</t>
  </si>
  <si>
    <t>Tyrion Davis-Price</t>
  </si>
  <si>
    <t>Jordan Mims</t>
  </si>
  <si>
    <t>Jeremy McNichols</t>
  </si>
  <si>
    <t>Ronnie Bell</t>
  </si>
  <si>
    <t>Jha'Quan Jackson</t>
  </si>
  <si>
    <t>DeAndre Carter</t>
  </si>
  <si>
    <t>Gunner Olszewski</t>
  </si>
  <si>
    <t>Keilan Robinson</t>
  </si>
  <si>
    <t>Tylan Wallace</t>
  </si>
  <si>
    <t>Samori Toure</t>
  </si>
  <si>
    <t>Devaughn Vele</t>
  </si>
  <si>
    <t>Dante Pettis</t>
  </si>
  <si>
    <t>Steven Sims</t>
  </si>
  <si>
    <t>Chris Evans</t>
  </si>
  <si>
    <t>Montrell Washington</t>
  </si>
  <si>
    <t>Jahmyr Gibbs</t>
  </si>
  <si>
    <t>Kyren Williams</t>
  </si>
  <si>
    <t>DK Metcalf</t>
  </si>
  <si>
    <t>Brandon Aiyuk</t>
  </si>
  <si>
    <t>DeVonta Smith</t>
  </si>
  <si>
    <t>Malik Nabers</t>
  </si>
  <si>
    <t>Rhamondre Stevenson</t>
  </si>
  <si>
    <t>Trey McBride</t>
  </si>
  <si>
    <t>Jonathon Brooks</t>
  </si>
  <si>
    <t>David Montgomery</t>
  </si>
  <si>
    <t>James Conner</t>
  </si>
  <si>
    <t>Evan Engram</t>
  </si>
  <si>
    <t>Jaylen Warren</t>
  </si>
  <si>
    <t>Najee Harris</t>
  </si>
  <si>
    <t>Rashee Rice</t>
  </si>
  <si>
    <t>Tyjae Spears</t>
  </si>
  <si>
    <t>Javonte Williams</t>
  </si>
  <si>
    <t>DeAndre Hopkins</t>
  </si>
  <si>
    <t>Marquise Brown</t>
  </si>
  <si>
    <t>Jordan Addison</t>
  </si>
  <si>
    <t>Austin Ekeler</t>
  </si>
  <si>
    <t>CJ Stroud</t>
  </si>
  <si>
    <t>AJ Brown</t>
  </si>
  <si>
    <t>JK Dobbins</t>
  </si>
  <si>
    <t>TJ Hockenson</t>
  </si>
  <si>
    <t>KJ Osborn</t>
  </si>
  <si>
    <t>AT Perry</t>
  </si>
  <si>
    <t>Equanimeous St Brown</t>
  </si>
  <si>
    <t>CJ Ham</t>
  </si>
  <si>
    <t>Odell Beckham</t>
  </si>
  <si>
    <t>Marvin Harrison</t>
  </si>
  <si>
    <t>Brian Thomas</t>
  </si>
  <si>
    <t>Michael Pittman</t>
  </si>
  <si>
    <t>Travis Etienne</t>
  </si>
  <si>
    <t>Brian Robinson</t>
  </si>
  <si>
    <t>Marvin Mims</t>
  </si>
  <si>
    <t>Laviska Shenault</t>
  </si>
  <si>
    <t>Erick All</t>
  </si>
  <si>
    <t>Trent Sherfield</t>
  </si>
  <si>
    <t>Irv Smith</t>
  </si>
  <si>
    <t>Cedrick Wilson</t>
  </si>
  <si>
    <t>Velus Jones</t>
  </si>
  <si>
    <t>Albert Okwuegbunam</t>
  </si>
  <si>
    <t>Pierre Strong</t>
  </si>
  <si>
    <t>James Proche</t>
  </si>
  <si>
    <t>Donald Parham</t>
  </si>
  <si>
    <t>John Stephens</t>
  </si>
  <si>
    <t>DJ Chark</t>
  </si>
  <si>
    <t>Tyrone Tracy</t>
  </si>
  <si>
    <t>Michael Penix</t>
  </si>
  <si>
    <t>Chris Rodriguez</t>
  </si>
  <si>
    <t>Category</t>
  </si>
  <si>
    <t>Pts</t>
  </si>
  <si>
    <t>DK Players are mapped</t>
  </si>
  <si>
    <t>Desc</t>
  </si>
  <si>
    <t>Checks</t>
  </si>
  <si>
    <t>Status</t>
  </si>
  <si>
    <t>OPOY</t>
  </si>
  <si>
    <t>OROY</t>
  </si>
  <si>
    <t>Michael Pratt</t>
  </si>
  <si>
    <t>Kendall Milton</t>
  </si>
  <si>
    <t>Sam Hartman</t>
  </si>
  <si>
    <t>Cody Schrader</t>
  </si>
  <si>
    <t>Marcus Rosemy-Jacksaint</t>
  </si>
  <si>
    <t>Dillon Johnson</t>
  </si>
  <si>
    <t>Daijun Edwards</t>
  </si>
  <si>
    <t>Cornelius Johnson</t>
  </si>
  <si>
    <t>Joshua Cephus</t>
  </si>
  <si>
    <t>Jordan Travis</t>
  </si>
  <si>
    <t>Jawhar Jordan</t>
  </si>
  <si>
    <t>Tahj Washington</t>
  </si>
  <si>
    <t>Jalen Coker</t>
  </si>
  <si>
    <t>Miyan Williams</t>
  </si>
  <si>
    <t>Deshaun Fenwick</t>
  </si>
  <si>
    <t>Tanner McLachlan</t>
  </si>
  <si>
    <t>Taulia Tagovailoa</t>
  </si>
  <si>
    <t>Amarius Mims</t>
  </si>
  <si>
    <t>Olumuyiwa Fashanu</t>
  </si>
  <si>
    <t>Frank Gore</t>
  </si>
  <si>
    <t>Tyler Guyton</t>
  </si>
  <si>
    <t>Troy Fautanu</t>
  </si>
  <si>
    <t>Joe Alt</t>
  </si>
  <si>
    <t>JC Latham</t>
  </si>
  <si>
    <t>Taliese Fuaga</t>
  </si>
  <si>
    <t>Austin Reed</t>
  </si>
  <si>
    <t>Kareem Hunt</t>
  </si>
  <si>
    <t>Michael Gallup</t>
  </si>
  <si>
    <t>Dalvin Cook</t>
  </si>
  <si>
    <t>JuJu Smith-Schuster</t>
  </si>
  <si>
    <t>Kenneth Walker</t>
  </si>
  <si>
    <t>John Metchie</t>
  </si>
  <si>
    <t>Ray-Ray McCloud</t>
  </si>
  <si>
    <t>Calvin Austin</t>
  </si>
  <si>
    <t>int_DK</t>
  </si>
  <si>
    <t>int_ESPN</t>
  </si>
  <si>
    <t>int_diff</t>
  </si>
  <si>
    <t>passing_td_DK</t>
  </si>
  <si>
    <t>passing_td_ESPN</t>
  </si>
  <si>
    <t>passing_td_diff</t>
  </si>
  <si>
    <t>passing_yards_DK</t>
  </si>
  <si>
    <t>passing_yards_ESPN</t>
  </si>
  <si>
    <t>passing_yards_diff</t>
  </si>
  <si>
    <t>rec_DK</t>
  </si>
  <si>
    <t>rec_ESPN</t>
  </si>
  <si>
    <t>rec_td_DK</t>
  </si>
  <si>
    <t>rec_td_ESPN</t>
  </si>
  <si>
    <t>rec_td_diff</t>
  </si>
  <si>
    <t>rec_yards_DK</t>
  </si>
  <si>
    <t>rec_yards_ESPN</t>
  </si>
  <si>
    <t>rec_yards_diff</t>
  </si>
  <si>
    <t>rec_diff</t>
  </si>
  <si>
    <t>rush_td_DK</t>
  </si>
  <si>
    <t>rush_td_ESPN</t>
  </si>
  <si>
    <t>rush_td_diff</t>
  </si>
  <si>
    <t>rush_yards_DK</t>
  </si>
  <si>
    <t>rush_yards_ESPN</t>
  </si>
  <si>
    <t>rush_yards_diff</t>
  </si>
  <si>
    <t>comment</t>
  </si>
  <si>
    <t>score_diff</t>
  </si>
  <si>
    <t>Joe Milton</t>
  </si>
  <si>
    <t>passing_yards overestimated by 383</t>
  </si>
  <si>
    <t>passing_td overestimated by 8</t>
  </si>
  <si>
    <t>passing_td overestimated by 3</t>
  </si>
  <si>
    <t>passing_yards overestimated by 295</t>
  </si>
  <si>
    <t>passing_td overestimated by 4</t>
  </si>
  <si>
    <t>passing_yards overestimated by 175</t>
  </si>
  <si>
    <t>passing_td overestimated by 2</t>
  </si>
  <si>
    <t>passing_td overestimated by 1</t>
  </si>
  <si>
    <t>rec_td overestimated by 1</t>
  </si>
  <si>
    <t>rush_td overestimated by 0</t>
  </si>
  <si>
    <t>position</t>
  </si>
  <si>
    <t>RB</t>
  </si>
  <si>
    <t>WR</t>
  </si>
  <si>
    <t>QB</t>
  </si>
  <si>
    <t>TE</t>
  </si>
  <si>
    <t>Grand Total</t>
  </si>
  <si>
    <t>(blank)</t>
  </si>
  <si>
    <t>passing_yards underestimated by 468</t>
  </si>
  <si>
    <t>passing_yards underestimated by 483</t>
  </si>
  <si>
    <t>rec_yards underestimated by 120</t>
  </si>
  <si>
    <t>rec_yards underestimated by 114</t>
  </si>
  <si>
    <t>rec_yards underestimated by 108</t>
  </si>
  <si>
    <t>rec_td underestimated by 2</t>
  </si>
  <si>
    <t>rec_td underestimated by 1</t>
  </si>
  <si>
    <t>rec_yards underestimated by 158</t>
  </si>
  <si>
    <t>rec_yards underestimated by 155</t>
  </si>
  <si>
    <t>rec underestimated by 13</t>
  </si>
  <si>
    <t>rec_yards underestimated by 122</t>
  </si>
  <si>
    <t>rec_yards underestimated by 92</t>
  </si>
  <si>
    <t>rec_yards underestimated by 236</t>
  </si>
  <si>
    <t>rec_yards underestimated by 139</t>
  </si>
  <si>
    <t>rec_yards underestimated by 129</t>
  </si>
  <si>
    <t>rec_yards underestimated by 64</t>
  </si>
  <si>
    <t>rec_yards underestimated by 96</t>
  </si>
  <si>
    <t>rec_yards underestimated by 140</t>
  </si>
  <si>
    <t>rec_yards underestimated by 97</t>
  </si>
  <si>
    <t>rec_yards underestimated by 165</t>
  </si>
  <si>
    <t>rec_yards underestimated by 124</t>
  </si>
  <si>
    <t>rec_yards underestimated by 160</t>
  </si>
  <si>
    <t>rec_yards underestimated by 219</t>
  </si>
  <si>
    <t>rush_td underestimated by 1</t>
  </si>
  <si>
    <t>rush_yards underestimated by 175</t>
  </si>
  <si>
    <t>rush_yards underestimated by 124</t>
  </si>
  <si>
    <t>rush_yards underestimated by 104</t>
  </si>
  <si>
    <t>rush_yards underestimated by 83</t>
  </si>
  <si>
    <t>Total</t>
  </si>
  <si>
    <t>Sum of abs_diff</t>
  </si>
  <si>
    <t>Sum of OROY</t>
  </si>
  <si>
    <t>Values</t>
  </si>
  <si>
    <t>Scoring Diff</t>
  </si>
  <si>
    <t>Sum of OPOY</t>
  </si>
  <si>
    <t>Hide</t>
  </si>
  <si>
    <t>Sum of auction_val</t>
  </si>
  <si>
    <t>total_score_ESPN</t>
  </si>
  <si>
    <t>total_score_DK</t>
  </si>
  <si>
    <t>Sum of total_score_DK</t>
  </si>
  <si>
    <t>Error Formulas</t>
  </si>
  <si>
    <t>Skylar Thompson</t>
  </si>
  <si>
    <t>Zach Evans</t>
  </si>
  <si>
    <t>Zach Pascal</t>
  </si>
  <si>
    <t>passing_yards underestimated by 409</t>
  </si>
  <si>
    <t>passing_yards underestimated by 323</t>
  </si>
  <si>
    <t>passing_yards underestimated by 344</t>
  </si>
  <si>
    <t>passing_yards overestimated by 318</t>
  </si>
  <si>
    <t>rec_yards underestimated by 113</t>
  </si>
  <si>
    <t>rec_yards underestimated by 62</t>
  </si>
  <si>
    <t>rec_yards underestimated by 134</t>
  </si>
  <si>
    <t>rush_yards underestimated by 64</t>
  </si>
  <si>
    <t>TODO</t>
  </si>
  <si>
    <t>Create single player analytics page</t>
  </si>
  <si>
    <t>Move ipynb to xlwings so everything runs on one file (currently copy and paste)</t>
  </si>
  <si>
    <t>Add additional sources to get more accurate projections and over/unders</t>
  </si>
  <si>
    <t>Hotkeys</t>
  </si>
  <si>
    <t>ctrl + e</t>
  </si>
  <si>
    <t>Removes player from all pivots. Cell holding player must be active within pivot 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</si>
</sst>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BDDE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6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3" borderId="3" xfId="0" applyFill="1" applyBorder="1"/>
    <xf numFmtId="0" fontId="0" fillId="3" borderId="5" xfId="0" applyFill="1" applyBorder="1"/>
    <xf numFmtId="0" fontId="2" fillId="2" borderId="4" xfId="2" applyBorder="1"/>
    <xf numFmtId="3" fontId="0" fillId="0" borderId="0" xfId="0" applyNumberFormat="1"/>
    <xf numFmtId="0" fontId="0" fillId="4" borderId="0" xfId="0" applyFill="1"/>
    <xf numFmtId="164" fontId="0" fillId="4" borderId="0" xfId="1" applyNumberFormat="1" applyFont="1" applyFill="1"/>
    <xf numFmtId="0" fontId="0" fillId="0" borderId="0" xfId="0" pivotButton="1"/>
    <xf numFmtId="0" fontId="3" fillId="0" borderId="0" xfId="0" applyFont="1"/>
    <xf numFmtId="38" fontId="0" fillId="0" borderId="0" xfId="0" applyNumberFormat="1"/>
    <xf numFmtId="0" fontId="4" fillId="0" borderId="0" xfId="0" applyFont="1"/>
    <xf numFmtId="0" fontId="2" fillId="2" borderId="6" xfId="2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0" borderId="1" xfId="0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0" xfId="0" applyNumberFormat="1"/>
  </cellXfs>
  <cellStyles count="3">
    <cellStyle name="Comma" xfId="1" builtinId="3"/>
    <cellStyle name="Good" xfId="2" builtinId="26"/>
    <cellStyle name="Normal" xfId="0" builtinId="0"/>
  </cellStyles>
  <dxfs count="7">
    <dxf>
      <font>
        <color auto="1"/>
      </font>
    </dxf>
    <dxf>
      <numFmt numFmtId="6" formatCode="#,##0_);[Red]\(#,##0\)"/>
    </dxf>
    <dxf>
      <numFmt numFmtId="3" formatCode="#,##0"/>
    </dxf>
    <dxf>
      <font>
        <b/>
        <i val="0"/>
        <color rgb="FFC00000"/>
      </font>
      <fill>
        <patternFill>
          <bgColor rgb="FFFFCCCC"/>
        </patternFill>
      </fill>
    </dxf>
    <dxf>
      <numFmt numFmtId="3" formatCode="#,##0"/>
    </dxf>
    <dxf>
      <numFmt numFmtId="6" formatCode="#,##0_);[Red]\(#,##0\)"/>
    </dxf>
    <dxf>
      <font>
        <color auto="1"/>
      </font>
    </dxf>
  </dxfs>
  <tableStyles count="0" defaultTableStyle="TableStyleMedium2" defaultPivotStyle="PivotStyleLight16"/>
  <colors>
    <mruColors>
      <color rgb="FFBDDEFF"/>
      <color rgb="FFCCECFF"/>
      <color rgb="FFCCFF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k Viola" refreshedDate="45530.409612962962" createdVersion="8" refreshedVersion="8" minRefreshableVersion="3" recordCount="547" xr:uid="{F4F83CB7-5BC3-4552-9073-76F38785BFA0}">
  <cacheSource type="worksheet">
    <worksheetSource name="rPivotSource"/>
  </cacheSource>
  <cacheFields count="37">
    <cacheField name="Player" numFmtId="0">
      <sharedItems count="551">
        <s v="Sam Darnold"/>
        <s v="Gardner Minshew"/>
        <s v="Matthew Stafford"/>
        <s v="Anthony Richardson"/>
        <s v="Kyler Murray"/>
        <s v="Bo Nix"/>
        <s v="Daniel Jones"/>
        <s v="Jared Goff"/>
        <s v="Jayden Daniels"/>
        <s v="Josh Allen"/>
        <s v="Lamar Jackson"/>
        <s v="Derek Carr"/>
        <s v="Aaron Rodgers"/>
        <s v="Jalen Hurts"/>
        <s v="Will Levis"/>
        <s v="Deshaun Watson"/>
        <s v="Jordan Love"/>
        <s v="Trevor Lawrence"/>
        <s v="Kirk Cousins"/>
        <s v="Brock Purdy"/>
        <s v="Dak Prescott"/>
        <s v="Tua Tagovailoa"/>
        <s v="Caleb Williams"/>
        <s v="Joe Burrow"/>
        <s v="Bryce Young"/>
        <s v="CJ Stroud"/>
        <s v="Baker Mayfield"/>
        <s v="Patrick Mahomes"/>
        <s v="David Njoku"/>
        <s v="Jayden Reed"/>
        <s v="Terry McLaurin"/>
        <s v="Tyler Lockett"/>
        <s v="Chris Godwin"/>
        <s v="Jake Ferguson"/>
        <s v="Pat Freiermuth"/>
        <s v="Tank Dell"/>
        <s v="Jaxon Smith-Njigba"/>
        <s v="Kyle Pitts"/>
        <s v="Dalton Kincaid"/>
        <s v="Christian Watson"/>
        <s v="Christian Kirk"/>
        <s v="Mike Williams"/>
        <s v="Tee Higgins"/>
        <s v="Adam Thielen"/>
        <s v="Odell Beckham"/>
        <s v="Keenan Allen"/>
        <s v="Deebo Samuel"/>
        <s v="George Kittle"/>
        <s v="Amari Cooper"/>
        <s v="Dalton Schultz"/>
        <s v="Courtland Sutton"/>
        <s v="Joshua Palmer"/>
        <s v="Jaylen Waddle"/>
        <s v="Chris Olave"/>
        <s v="Nico Collins"/>
        <s v="AJ Brown"/>
        <s v="Marvin Harrison"/>
        <s v="Zay Flowers"/>
        <s v="Garrett Wilson"/>
        <s v="Tyreek Hill"/>
        <s v="Stefon Diggs"/>
        <s v="Justin Jefferson"/>
        <s v="Rome Odunze"/>
        <s v="Sam LaPorta"/>
        <s v="DeVonta Smith"/>
        <s v="Amon-Ra St Brown"/>
        <s v="Brock Bowers"/>
        <s v="Drake London"/>
        <s v="Travis Kelce"/>
        <s v="Ladd McConkey"/>
        <s v="Ja'Marr Chase"/>
        <s v="Brian Thomas"/>
        <s v="Davante Adams"/>
        <s v="Cooper Kupp"/>
        <s v="Xavier Worthy"/>
        <s v="CeeDee Lamb"/>
        <s v="Puka Nacua"/>
        <s v="Keon Coleman"/>
        <s v="DJ Moore"/>
        <s v="DK Metcalf"/>
        <s v="Mike Evans"/>
        <s v="George Pickens"/>
        <s v="Xavier Legette"/>
        <s v="Mark Andrews"/>
        <s v="Michael Pittman"/>
        <s v="Diontae Johnson"/>
        <s v="Calvin Ridley"/>
        <s v="Christian McCaffrey"/>
        <s v="Jerry Jeudy"/>
        <s v="Raheem Mostert"/>
        <s v="Devin Singletary"/>
        <s v="Breece Hall"/>
        <s v="Isiah Pacheco"/>
        <s v="James Cook"/>
        <s v="Travis Etienne"/>
        <s v="Rachaad White"/>
        <s v="Bijan Robinson"/>
        <s v="Zamir White"/>
        <s v="De'Von Achane"/>
        <s v="Joe Mixon"/>
        <s v="Aaron Jones"/>
        <s v="Ezekiel Elliott"/>
        <s v="Alvin Kamara"/>
        <s v="Jonathan Taylor"/>
        <s v="Saquon Barkley"/>
        <s v="Josh Jacobs"/>
        <s v="Derrick Henry"/>
        <s v="D'Andre Swift"/>
        <s v="Tony Pollard"/>
        <s v="Zack Moss"/>
        <s v="Khalil Shakir"/>
        <s v="Drake Maye"/>
        <s v="Malik Nabers"/>
        <s v="Adonai Mitchell"/>
        <s v="Ricky Pearsall"/>
        <s v="Malachi Corley"/>
        <s v="Trey Benson"/>
        <s v="Jermaine Burton"/>
        <s v="Blake Corum"/>
        <s v="Ja'Lynn Polk"/>
        <s v="Michael Penix"/>
        <s v="MarShawn Lloyd"/>
        <s v="Jonathon Brooks"/>
        <s v="Braelon Allen"/>
        <s v="Jaylen Wright"/>
        <s v="Troy Franklin"/>
        <s v="Audric Estime"/>
        <s v="Spencer Rattler"/>
        <s v="Roman Wilson"/>
        <s v="Jalen McMillan"/>
        <s v="Isaac Guerendo"/>
        <s v="Devontez Walker"/>
        <s v="Will Shipley"/>
        <s v="Bucky Irving"/>
        <s v="Joe Milton"/>
        <s v="Ben Sinnott"/>
        <s v="Rasheen Ali"/>
        <s v="Jaheim Bell"/>
        <s v="Michael Pratt"/>
        <s v="Kendall Milton"/>
        <s v="Theo Johnson"/>
        <s v="Sam Hartman"/>
        <s v="Ainias Smith"/>
        <s v="Cody Schrader"/>
        <s v="Ray Davis"/>
        <s v="Isaiah Davis"/>
        <s v="Dylan Laube"/>
        <s v="Marcus Rosemy-Jacksaint"/>
        <s v="Dillon Johnson"/>
        <s v="Luke McCaffrey"/>
        <s v="Dallin Holker"/>
        <s v="Daijun Edwards"/>
        <s v="Kimani Vidal"/>
        <s v="Cornelius Johnson"/>
        <s v="Carson Steele"/>
        <s v="Joshua Cephus"/>
        <s v="Cade Stover"/>
        <s v="Jordan Travis"/>
        <s v="Johnny Wilson"/>
        <s v="Brenden Rice"/>
        <s v="Jawhar Jordan"/>
        <s v="Tahj Washington"/>
        <s v="Ja'Tavion Sanders"/>
        <s v="Jase McClellan"/>
        <s v="AJ Barner"/>
        <s v="Jared Wiley"/>
        <s v="Jamari Thrash"/>
        <s v="Jalen Coker"/>
        <s v="Miyan Williams"/>
        <s v="Erick All"/>
        <s v="Malik Washington"/>
        <s v="Deshaun Fenwick"/>
        <s v="Tyrone Tracy"/>
        <s v="Tip Reiman"/>
        <s v="Tanner McLachlan"/>
        <s v="Taulia Tagovailoa"/>
        <s v="Amarius Mims"/>
        <s v="Olumuyiwa Fashanu"/>
        <s v="Frank Gore"/>
        <s v="Tyler Guyton"/>
        <s v="Troy Fautanu"/>
        <s v="Joe Alt"/>
        <s v="JC Latham"/>
        <s v="Taliese Fuaga"/>
        <s v="Austin Reed"/>
        <s v="Jahmyr Gibbs"/>
        <s v="Kyren Williams"/>
        <s v="Kenneth Walker"/>
        <s v="Justin Herbert"/>
        <s v="Rashee Rice"/>
        <s v="Austin Ekeler"/>
        <s v="Tyjae Spears"/>
        <s v="Brian Robinson"/>
        <s v="Brandon Aiyuk"/>
        <s v="David Montgomery"/>
        <s v="Keaton Mitchell"/>
        <s v="Gus Edwards"/>
        <s v="Justin Fields"/>
        <s v="Geno Smith"/>
        <s v="Josh Downs"/>
        <s v="TJ Hockenson"/>
        <s v="Jaylen Warren"/>
        <s v="Rhamondre Stevenson"/>
        <s v="James Conner"/>
        <s v="Nick Chubb"/>
        <s v="Najee Harris"/>
        <s v="JK Dobbins"/>
        <s v="Chuba Hubbard"/>
        <s v="Gabe Davis"/>
        <s v="Taysom Hill"/>
        <s v="Jerome Ford"/>
        <s v="Sam Howell"/>
        <s v="Russell Wilson"/>
        <s v="Javonte Williams"/>
        <s v="DeAndre Hopkins"/>
        <s v="Jakobi Meyers"/>
        <s v="Ty Chandler"/>
        <s v="Kareem Hunt"/>
        <s v="Trey McBride"/>
        <s v="Cole Kmet"/>
        <s v="Marquise Brown"/>
        <s v="Evan Engram"/>
        <s v="Mac Jones"/>
        <s v="Jimmy Garoppolo"/>
        <s v="Zach Charbonnet"/>
        <s v="Tyler Boyd"/>
        <s v="Rashid Shaheed"/>
        <s v="Romeo Doubs"/>
        <s v="Miles Sanders"/>
        <s v="Jauan Jennings"/>
        <s v="Jameson Williams"/>
        <s v="Dontayvion Wicks"/>
        <s v="Brandin Cooks"/>
        <s v="Kenny Pickett"/>
        <s v="Michael Gallup"/>
        <s v="AJ Dillon"/>
        <s v="Jordan Addison"/>
        <s v="Tyler Higbee"/>
        <s v="Roschon Johnson"/>
        <s v="Dallas Goedert"/>
        <s v="Quentin Johnston"/>
        <s v="Jamaal Williams"/>
        <s v="Khalil Herbert"/>
        <s v="Jalin Hyatt"/>
        <s v="Dameon Pierce"/>
        <s v="Dalvin Cook"/>
        <s v="Antonio Gibson"/>
        <s v="JuJu Smith-Schuster"/>
        <s v="Michael Mayer"/>
        <s v="Chase Brown"/>
        <s v="Kendre Miller"/>
        <s v="Jaleel McLaughlin"/>
        <s v="Michael Wilson"/>
        <s v="Alexander Mattison"/>
        <s v="Elijah Mitchell"/>
        <s v="Clyde Edwards-Helaire"/>
        <s v="Tyler Allgeier"/>
        <s v="Darnell Mooney"/>
        <s v="Curtis Samuel"/>
        <s v="DeMario Douglas"/>
        <s v="Tyler Conklin"/>
        <s v="Jaret Patterson"/>
        <s v="John Bates"/>
        <s v="David Bell"/>
        <s v="Tyler Scott"/>
        <s v="Braxton Berrios"/>
        <s v="Chris Moore"/>
        <s v="Grant Calcaterra"/>
        <s v="Myles Gaskin"/>
        <s v="Luke Farrell"/>
        <s v="Anthony Gould"/>
        <s v="Lucas Krull"/>
        <s v="Sean Tucker"/>
        <s v="Marquez Valdes-Scantling"/>
        <s v="Ko Kieft"/>
        <s v="Chris Brooks"/>
        <s v="Chris Blair"/>
        <s v="Scotty Miller"/>
        <s v="DeeJay Dallas"/>
        <s v="Trent Sherfield"/>
        <s v="Darrynton Evans"/>
        <s v="Parris Campbell"/>
        <s v="Kevin Harris"/>
        <s v="Charlie Jones"/>
        <s v="Hunter Luepke"/>
        <s v="Sione Vaki"/>
        <s v="Dante Miller"/>
        <s v="DJ Turner"/>
        <s v="Michael Burton"/>
        <s v="Avery Williams"/>
        <s v="Jalen Brooks"/>
        <s v="Sterling Shepard"/>
        <s v="Charlie Woerner"/>
        <s v="John Metchie"/>
        <s v="Ihmir Smith-Marsette"/>
        <s v="Kene Nwangwu"/>
        <s v="La'Mical Perine"/>
        <s v="Raheem Blackshear"/>
        <s v="Cam Akers"/>
        <s v="KJ Osborn"/>
        <s v="Irv Smith"/>
        <s v="Andy Dalton"/>
        <s v="Brenton Strange"/>
        <s v="Isaiah McKenzie"/>
        <s v="Drew Sample"/>
        <s v="Casey Washington"/>
        <s v="Brevin Jordan"/>
        <s v="Hendon Hooker"/>
        <s v="Easton Stick"/>
        <s v="Desmond Ridder"/>
        <s v="Davis Allen"/>
        <s v="Luke Schoonmaker"/>
        <s v="Kyle Trask"/>
        <s v="Case Keenum"/>
        <s v="Derius Davis"/>
        <s v="Josh Johnson"/>
        <s v="Adam Prentice"/>
        <s v="Tanner Hudson"/>
        <s v="Mo Alie-Cox"/>
        <s v="Jordan Whittington"/>
        <s v="Javon Baker"/>
        <s v="Peyton Hendershot"/>
        <s v="Donovan Peoples-Jones"/>
        <s v="Nick Westbrook-Ikhine"/>
        <s v="Laviska Shenault"/>
        <s v="Israel Abanikanda"/>
        <s v="Payne Durham"/>
        <s v="Alec Ingold"/>
        <s v="Skyy Moore"/>
        <s v="Skylar Thompson"/>
        <s v="David Moore"/>
        <s v="Jalen Nailor"/>
        <s v="Kadarius Toney"/>
        <s v="Stone Smartt"/>
        <s v="Mack Hollins"/>
        <s v="Pharaoh Brown"/>
        <s v="Bo Melton"/>
        <s v="Andrew Beck"/>
        <s v="Britain Covey"/>
        <s v="Deneric Prince"/>
        <s v="Tim Jones"/>
        <s v="Cole Turner"/>
        <s v="Danny Gray"/>
        <s v="Cameron Latu"/>
        <s v="Tom Kennedy"/>
        <s v="Kyle Philips"/>
        <s v="Rakim Jarrett"/>
        <s v="River Cracraft"/>
        <s v="Brady Russell"/>
        <s v="Tyler Davis"/>
        <s v="Ben Sims"/>
        <s v="Zach Evans"/>
        <s v="Devin Culp"/>
        <s v="Hassan Haskins"/>
        <s v="Travis Homer"/>
        <s v="Xavier Hutchinson"/>
        <s v="Velus Jones"/>
        <s v="Patrick Ricard"/>
        <s v="Ashton Dulin"/>
        <s v="Brandon Johnson"/>
        <s v="Jalen Guyton"/>
        <s v="Zach Gentry"/>
        <s v="Khari Blasingame"/>
        <s v="Sean Clifford"/>
        <s v="Chris Evans"/>
        <s v="Steven Sims"/>
        <s v="Dante Pettis"/>
        <s v="Devaughn Vele"/>
        <s v="Samori Toure"/>
        <s v="Tylan Wallace"/>
        <s v="Pierre Strong"/>
        <s v="Keilan Robinson"/>
        <s v="James Proche"/>
        <s v="Hunter Long"/>
        <s v="Gunner Olszewski"/>
        <s v="DeAndre Carter"/>
        <s v="Jha'Quan Jackson"/>
        <s v="Ronnie Bell"/>
        <s v="Zach Pascal"/>
        <s v="Jeremy McNichols"/>
        <s v="Jordan Mims"/>
        <s v="Tyrion Davis-Price"/>
        <s v="Kristian Wilkerson"/>
        <s v="Charlie Kolar"/>
        <s v="John Stephens"/>
        <s v="Nate Adkins"/>
        <s v="Malik Heath"/>
        <s v="Josiah Deguara"/>
        <s v="Marcedes Lewis"/>
        <s v="Dee Eskridge"/>
        <s v="James Mitchell"/>
        <s v="CJ Ham"/>
        <s v="Robert Tonyan"/>
        <s v="Tyler Goodson"/>
        <s v="Quintin Morris"/>
        <s v="Harrison Bryant"/>
        <s v="Kenny Yeboah"/>
        <s v="Jason Brownlee"/>
        <s v="Donald Parham"/>
        <s v="Ross Dwelley"/>
        <s v="AT Perry"/>
        <s v="Deonte Harty"/>
        <s v="Albert Okwuegbunam"/>
        <s v="Julian Hill"/>
        <s v="Tyler Johnson"/>
        <s v="Jalen Reagor"/>
        <s v="Quez Watkins"/>
        <s v="Isaiah Hodgins"/>
        <s v="Jacob Cowing"/>
        <s v="Blake Whiteheart"/>
        <s v="Brayden Willis"/>
        <s v="Eric Saubert"/>
        <s v="Nick Vannett"/>
        <s v="Mecole Hardman"/>
        <s v="Jordan Matthews"/>
        <s v="Equanimeous St Brown"/>
        <s v="Parker Washington"/>
        <s v="Maurice Alexander"/>
        <s v="Justin Shorter"/>
        <s v="Chris Manhertz"/>
        <s v="MyCole Pruitt"/>
        <s v="Devin Duvernay"/>
        <s v="Jahan Dotson"/>
        <s v="Tyson Bagent"/>
        <s v="Marvin Mims"/>
        <s v="Kalif Raymond"/>
        <s v="Trayveon Williams"/>
        <s v="D'Ernest Johnson"/>
        <s v="Royce Freeman"/>
        <s v="Trey Sermon"/>
        <s v="Michael Carter"/>
        <s v="Nyheim Hines"/>
        <s v="Eric Gray"/>
        <s v="Samaje Perine"/>
        <s v="Chase Edmonds"/>
        <s v="Ty Johnson"/>
        <s v="Josh Reynolds"/>
        <s v="Trey Palmer"/>
        <s v="Andrei Iosivas"/>
        <s v="Isaiah Likely"/>
        <s v="Jonnu Smith"/>
        <s v="Ameer Abdullah"/>
        <s v="Chris Rodriguez"/>
        <s v="Xavier Gipson"/>
        <s v="Elijah Moore"/>
        <s v="Nelson Agholor"/>
        <s v="Jonathan Mingo"/>
        <s v="Cedric Tillman"/>
        <s v="Dawson Knox"/>
        <s v="Evan Hull"/>
        <s v="Van Jefferson"/>
        <s v="Dyami Brown"/>
        <s v="Ray-Ray McCloud"/>
        <s v="Zay Jones"/>
        <s v="Will Mallory"/>
        <s v="D'Onta Foreman"/>
        <s v="DJ Chark"/>
        <s v="Wan'Dale Robinson"/>
        <s v="Rico Dowdle"/>
        <s v="Kendrick Bourne"/>
        <s v="Juwan Johnson"/>
        <s v="Hunter Henry"/>
        <s v="Chigoziem Okonkwo"/>
        <s v="Demarcus Robinson"/>
        <s v="Tre Tucker"/>
        <s v="Rashod Bateman"/>
        <s v="Tucker Kraft"/>
        <s v="Hayden Hurst"/>
        <s v="Justice Hill"/>
        <s v="Kenneth Gainwell"/>
        <s v="Cade Otton"/>
        <s v="Luke Musgrave"/>
        <s v="Noah Fant"/>
        <s v="Tank Bigsby"/>
        <s v="Tim Patrick"/>
        <s v="Darius Slayton"/>
        <s v="Jalen Tolbert"/>
        <s v="Cordarrelle Patterson"/>
        <s v="Dare Ogunbowale"/>
        <s v="Julius Chestnut"/>
        <s v="Allen Lazard"/>
        <s v="Cedrick Wilson"/>
        <s v="Noah Brown"/>
        <s v="Tutu Atwell"/>
        <s v="Treylon Burks"/>
        <s v="KhaDarel Hodge"/>
        <s v="KaVontae Turpin"/>
        <s v="Calvin Austin"/>
        <s v="Mitchell Trubisky"/>
        <s v="Marcus Mariota"/>
        <s v="Carson Wentz"/>
        <s v="Mason Rudolph"/>
        <s v="Drew Lock"/>
        <s v="Jarrett Stidham"/>
        <s v="Nick Mullens"/>
        <s v="Brandon Powell"/>
        <s v="Justin Watson"/>
        <s v="Jake Bobo"/>
        <s v="Durham Smythe"/>
        <s v="Joshua Dobbs"/>
        <s v="Darnell Washington"/>
        <s v="Drew Ogletree"/>
        <s v="Cooper Rush"/>
        <s v="Ian Thomas"/>
        <s v="Elijah Higgins"/>
        <s v="Ryan Flournoy"/>
        <s v="Jordan Akins"/>
        <s v="Alec Pierce"/>
        <s v="Bub Means"/>
        <s v="Brock Wright"/>
        <s v="Josh Whyle"/>
        <s v="Jamison Crowder"/>
        <s v="Trenton Irwin"/>
        <s v="Foster Moreau"/>
        <s v="Tyquan Thornton"/>
        <s v="Jameis Winston"/>
        <s v="Josh Oliver"/>
        <s v="Adam Trautman"/>
        <s v="Aidan O'Connell"/>
        <s v="Kyle Juszczyk"/>
        <s v="JaMycal Hasty"/>
        <s v="Jordan Mason"/>
        <s v="Craig Reynolds"/>
        <s v="Jacoby Brissett"/>
        <s v="Kylen Granson"/>
        <s v="Greg Dortch"/>
        <s v="Greg Dulcich"/>
        <s v="Colby Parkinson"/>
        <s v="Gerald Everett"/>
        <s v="Olamide Zaccheaus"/>
        <s v="Kenny McIntosh"/>
        <s v="Zach Ertz"/>
        <s v="Johnny Mundt"/>
        <s v="Connor Heyward"/>
        <s v="Austin Hooper"/>
        <s v="Daniel Bellinger"/>
        <s v="Tommy Tremble"/>
        <s v="Jeremy Ruckert"/>
        <s v="Will Dissly"/>
        <s v="Noah Gray"/>
        <s v="Mike Gesicki"/>
        <s v="Deuce Vaughn"/>
        <s v="Ronnie Rivers"/>
        <s v="Jake Browning"/>
        <s v="Joe Flacco"/>
        <s v="Tyrod Taylor"/>
        <s v="Montrell Washington"/>
        <s v="Giovanni Ricci" u="1"/>
        <s v="Mike White" u="1"/>
        <s v="Jelani Woods" u="1"/>
        <s v="Boston Scott" u="1"/>
      </sharedItems>
    </cacheField>
    <cacheField name="position" numFmtId="164">
      <sharedItems containsMixedTypes="1" containsNumber="1" containsInteger="1" minValue="0" maxValue="0" count="5">
        <s v="QB"/>
        <s v="TE"/>
        <s v="WR"/>
        <s v="RB"/>
        <n v="0"/>
      </sharedItems>
    </cacheField>
    <cacheField name="int_DK" numFmtId="164">
      <sharedItems containsSemiMixedTypes="0" containsString="0" containsNumber="1" minValue="0" maxValue="12.5"/>
    </cacheField>
    <cacheField name="int_ESPN" numFmtId="164">
      <sharedItems containsSemiMixedTypes="0" containsString="0" containsNumber="1" minValue="0" maxValue="13.537195150000001"/>
    </cacheField>
    <cacheField name="int_diff" numFmtId="164">
      <sharedItems containsSemiMixedTypes="0" containsString="0" containsNumber="1" minValue="-3.6433934099999998" maxValue="0.35199575999999899"/>
    </cacheField>
    <cacheField name="passing_td_DK" numFmtId="164">
      <sharedItems containsSemiMixedTypes="0" containsString="0" containsNumber="1" minValue="0" maxValue="34.5"/>
    </cacheField>
    <cacheField name="passing_td_ESPN" numFmtId="164">
      <sharedItems containsSemiMixedTypes="0" containsString="0" containsNumber="1" minValue="0" maxValue="33.194442860000002"/>
    </cacheField>
    <cacheField name="passing_td_diff" numFmtId="164">
      <sharedItems containsSemiMixedTypes="0" containsString="0" containsNumber="1" minValue="-1.57967333999999" maxValue="8.8594052570000006"/>
    </cacheField>
    <cacheField name="passing_yards_DK" numFmtId="164">
      <sharedItems containsSemiMixedTypes="0" containsString="0" containsNumber="1" minValue="0" maxValue="4350.5"/>
    </cacheField>
    <cacheField name="passing_yards_ESPN" numFmtId="164">
      <sharedItems containsSemiMixedTypes="0" containsString="0" containsNumber="1" minValue="0" maxValue="4130.3192289999997"/>
    </cacheField>
    <cacheField name="passing_yards_diff" numFmtId="164">
      <sharedItems containsSemiMixedTypes="0" containsString="0" containsNumber="1" minValue="-483.93614299999899" maxValue="761.73733300000004"/>
    </cacheField>
    <cacheField name="rec_DK" numFmtId="164">
      <sharedItems containsSemiMixedTypes="0" containsString="0" containsNumber="1" minValue="0" maxValue="105.5"/>
    </cacheField>
    <cacheField name="rec_ESPN" numFmtId="164">
      <sharedItems containsSemiMixedTypes="0" containsString="0" containsNumber="1" minValue="0" maxValue="112.86428100000001"/>
    </cacheField>
    <cacheField name="rec_td_DK" numFmtId="164">
      <sharedItems containsSemiMixedTypes="0" containsString="0" containsNumber="1" minValue="0" maxValue="9.5"/>
    </cacheField>
    <cacheField name="rec_td_ESPN" numFmtId="164">
      <sharedItems containsSemiMixedTypes="0" containsString="0" containsNumber="1" minValue="0" maxValue="9.0647368480000008"/>
    </cacheField>
    <cacheField name="rec_td_diff" numFmtId="164">
      <sharedItems containsSemiMixedTypes="0" containsString="0" containsNumber="1" minValue="-2.839005947" maxValue="1.86663329299999"/>
    </cacheField>
    <cacheField name="rec_yards_DK" numFmtId="164">
      <sharedItems containsSemiMixedTypes="0" containsString="0" containsNumber="1" minValue="0" maxValue="1375.5"/>
    </cacheField>
    <cacheField name="rec_yards_ESPN" numFmtId="164">
      <sharedItems containsSemiMixedTypes="0" containsString="0" containsNumber="1" minValue="0" maxValue="1422.6027919999999"/>
    </cacheField>
    <cacheField name="rec_yards_diff" numFmtId="164">
      <sharedItems containsSemiMixedTypes="0" containsString="0" containsNumber="1" minValue="-236.63588799999999" maxValue="62.730619699999998"/>
    </cacheField>
    <cacheField name="rec_diff" numFmtId="164">
      <sharedItems containsSemiMixedTypes="0" containsString="0" containsNumber="1" minValue="-13.255134819999901" maxValue="10.00019706"/>
    </cacheField>
    <cacheField name="rush_td_DK" numFmtId="164">
      <sharedItems containsSemiMixedTypes="0" containsString="0" containsNumber="1" minValue="0" maxValue="10.5"/>
    </cacheField>
    <cacheField name="rush_td_ESPN" numFmtId="164">
      <sharedItems containsSemiMixedTypes="0" containsString="0" containsNumber="1" minValue="0" maxValue="11.869118009999999"/>
    </cacheField>
    <cacheField name="rush_td_diff" numFmtId="164">
      <sharedItems containsSemiMixedTypes="0" containsString="0" containsNumber="1" minValue="-1.639850891" maxValue="1.54172939"/>
    </cacheField>
    <cacheField name="rush_yards_DK" numFmtId="164">
      <sharedItems containsSemiMixedTypes="0" containsString="0" containsNumber="1" minValue="0" maxValue="1150.5"/>
    </cacheField>
    <cacheField name="rush_yards_ESPN" numFmtId="164">
      <sharedItems containsSemiMixedTypes="0" containsString="0" containsNumber="1" minValue="0" maxValue="1220.6525429999999"/>
    </cacheField>
    <cacheField name="rush_yards_diff" numFmtId="164">
      <sharedItems containsSemiMixedTypes="0" containsString="0" containsNumber="1" minValue="-175.89517520000001" maxValue="53.684298499999898"/>
    </cacheField>
    <cacheField name="ppr_rank" numFmtId="164">
      <sharedItems containsSemiMixedTypes="0" containsString="0" containsNumber="1" containsInteger="1" minValue="0" maxValue="1712"/>
    </cacheField>
    <cacheField name="auction_val" numFmtId="164">
      <sharedItems containsSemiMixedTypes="0" containsString="0" containsNumber="1" containsInteger="1" minValue="0" maxValue="57"/>
    </cacheField>
    <cacheField name="OPOY" numFmtId="164">
      <sharedItems containsSemiMixedTypes="0" containsString="0" containsNumber="1" containsInteger="1" minValue="0" maxValue="50000"/>
    </cacheField>
    <cacheField name="OROY" numFmtId="0">
      <sharedItems containsSemiMixedTypes="0" containsString="0" containsNumber="1" containsInteger="1" minValue="0" maxValue="50000"/>
    </cacheField>
    <cacheField name="comment" numFmtId="0">
      <sharedItems containsBlank="1" count="91">
        <s v="passing_yards overestimated by 383"/>
        <s v="passing_td overestimated by 8"/>
        <m/>
        <s v="passing_td overestimated by 3"/>
        <s v="passing_yards overestimated by 295"/>
        <s v="passing_td overestimated by 4"/>
        <s v="passing_yards underestimated by 468"/>
        <s v="passing_yards underestimated by 409"/>
        <s v="passing_yards underestimated by 483"/>
        <s v="passing_yards overestimated by 175"/>
        <s v="passing_td overestimated by 2"/>
        <s v="passing_yards underestimated by 323"/>
        <s v="passing_td overestimated by 1"/>
        <s v="passing_yards underestimated by 344"/>
        <s v="passing_yards overestimated by 318"/>
        <s v="rec_yards underestimated by 120"/>
        <s v="rec_yards underestimated by 113"/>
        <s v="rec_yards underestimated by 108"/>
        <s v="rec_yards underestimated by 114"/>
        <s v="rec_td overestimated by 1"/>
        <s v="rec_td underestimated by 2"/>
        <s v="rec_td underestimated by 1"/>
        <s v="rec_yards underestimated by 158"/>
        <s v="rec_yards underestimated by 155"/>
        <s v="rec_yards underestimated by 62"/>
        <s v="rec underestimated by 13"/>
        <s v="rec_yards underestimated by 122"/>
        <s v="rec_yards underestimated by 92"/>
        <s v="rec_yards underestimated by 96"/>
        <s v="rec_yards underestimated by 236"/>
        <s v="rec_yards underestimated by 139"/>
        <s v="rec_yards underestimated by 129"/>
        <s v="rec_yards underestimated by 64"/>
        <s v="rec_yards underestimated by 140"/>
        <s v="rec_yards underestimated by 97"/>
        <s v="rec_yards underestimated by 165"/>
        <s v="rec_yards underestimated by 124"/>
        <s v="rec_yards underestimated by 134"/>
        <s v="rec_yards underestimated by 160"/>
        <s v="rec_yards underestimated by 219"/>
        <s v="rush_td underestimated by 1"/>
        <s v="rush_yards underestimated by 64"/>
        <s v="rush_yards underestimated by 175"/>
        <s v="rush_yards underestimated by 124"/>
        <s v="rush_yards underestimated by 104"/>
        <s v="rush_yards underestimated by 83"/>
        <s v="rush_td overestimated by 0"/>
        <s v="" u="1"/>
        <s v="passing_yards underestimated by 410" u="1"/>
        <s v="passing_yards underestimated by 324" u="1"/>
        <s v="passing_yards underestimated by 343" u="1"/>
        <s v="passing_yards overestimated by 319" u="1"/>
        <s v="rec_yards underestimated by 67" u="1"/>
        <s v="rec_yards underestimated by 98" u="1"/>
        <s v="rec_yards underestimated by 133" u="1"/>
        <s v="rush_yards underestimated by 65" u="1"/>
        <s v="passing_yards underestimated by -468" u="1"/>
        <s v="passing_yards underestimated by -410" u="1"/>
        <s v="passing_yards underestimated by -483" u="1"/>
        <s v="passing_yards underestimated by -324" u="1"/>
        <s v="passing_yards underestimated by -343" u="1"/>
        <s v="rec_yards underestimated by -120" u="1"/>
        <s v="rec_yards underestimated by -114" u="1"/>
        <s v="rec_yards underestimated by -108" u="1"/>
        <s v="rec_td underestimated by -2" u="1"/>
        <s v="rec_td underestimated by -1" u="1"/>
        <s v="rec_yards underestimated by -158" u="1"/>
        <s v="rec_yards underestimated by -155" u="1"/>
        <s v="rec_yards underestimated by -67" u="1"/>
        <s v="rec underestimated by -13" u="1"/>
        <s v="rec_yards underestimated by -122" u="1"/>
        <s v="rec_yards underestimated by -92" u="1"/>
        <s v="rec_yards underestimated by -98" u="1"/>
        <s v="rec_yards underestimated by -236" u="1"/>
        <s v="rec_yards underestimated by -139" u="1"/>
        <s v="rec_yards underestimated by -129" u="1"/>
        <s v="rec_yards underestimated by -64" u="1"/>
        <s v="rec_yards underestimated by -96" u="1"/>
        <s v="rec_yards underestimated by -140" u="1"/>
        <s v="rec_yards underestimated by -97" u="1"/>
        <s v="rec_yards underestimated by -165" u="1"/>
        <s v="rec_yards underestimated by -124" u="1"/>
        <s v="rec_yards underestimated by -133" u="1"/>
        <s v="rec_yards underestimated by -160" u="1"/>
        <s v="rec_yards underestimated by -219" u="1"/>
        <s v="rush_td underestimated by -1" u="1"/>
        <s v="rush_yards underestimated by -65" u="1"/>
        <s v="rush_yards underestimated by -175" u="1"/>
        <s v="rush_yards underestimated by -124" u="1"/>
        <s v="rush_yards underestimated by -104" u="1"/>
        <s v="rush_yards underestimated by -83" u="1"/>
      </sharedItems>
    </cacheField>
    <cacheField name="total_score_ESPN" numFmtId="164">
      <sharedItems containsSemiMixedTypes="0" containsString="0" containsNumber="1" minValue="0" maxValue="319.11704550400003"/>
    </cacheField>
    <cacheField name="score_diff" numFmtId="164">
      <sharedItems containsSemiMixedTypes="0" containsString="0" containsNumber="1" minValue="-65.907114348000007" maxValue="29.452990331999999"/>
    </cacheField>
    <cacheField name="total_score_DK" numFmtId="164">
      <sharedItems containsSemiMixedTypes="0" containsString="0" containsNumber="1" minValue="0" maxValue="318.75712321200001"/>
    </cacheField>
    <cacheField name="Hide" numFmtId="164">
      <sharedItems containsNonDate="0" containsBlank="1" count="2">
        <m/>
        <b v="1" u="1"/>
      </sharedItems>
    </cacheField>
    <cacheField name="abs_diff" numFmtId="0" formula=" ABS(score_diff)" databaseField="0"/>
    <cacheField name="comment_" numFmtId="0" formula=" IF(comment,comment,&quot;&quot;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7">
  <r>
    <x v="0"/>
    <x v="0"/>
    <n v="0"/>
    <n v="12.615416400000001"/>
    <n v="0"/>
    <n v="19.5"/>
    <n v="17.017514760000001"/>
    <n v="2.4824852399999902"/>
    <n v="3500.5"/>
    <n v="3117.3386770000002"/>
    <n v="383.16132299999902"/>
    <n v="0"/>
    <n v="0"/>
    <n v="0"/>
    <n v="0"/>
    <n v="0"/>
    <n v="0"/>
    <n v="0"/>
    <n v="0"/>
    <n v="0"/>
    <n v="0"/>
    <n v="2.4386921500000001"/>
    <n v="0"/>
    <n v="0"/>
    <n v="180.24176259999999"/>
    <n v="0"/>
    <n v="388"/>
    <n v="0"/>
    <n v="0"/>
    <n v="0"/>
    <x v="0"/>
    <n v="200.18910248"/>
    <n v="-25.256393879999919"/>
    <n v="174.93270860000007"/>
    <x v="0"/>
  </r>
  <r>
    <x v="1"/>
    <x v="0"/>
    <n v="0"/>
    <n v="6.7179459430000001"/>
    <n v="0"/>
    <n v="18.5"/>
    <n v="9.6405947429999994"/>
    <n v="8.8594052570000006"/>
    <n v="2925.5"/>
    <n v="2163.762667"/>
    <n v="761.73733300000004"/>
    <n v="0"/>
    <n v="0"/>
    <n v="0"/>
    <n v="0"/>
    <n v="0"/>
    <n v="0"/>
    <n v="0"/>
    <n v="0"/>
    <n v="0"/>
    <n v="0"/>
    <n v="1.5445585020000001"/>
    <n v="0"/>
    <n v="0"/>
    <n v="99.942700830000007"/>
    <n v="0"/>
    <n v="423"/>
    <n v="0"/>
    <n v="20000"/>
    <n v="0"/>
    <x v="1"/>
    <n v="130.93861486099999"/>
    <n v="-65.907114348000007"/>
    <n v="65.031500512999983"/>
    <x v="0"/>
  </r>
  <r>
    <x v="2"/>
    <x v="0"/>
    <n v="10.5"/>
    <n v="12.42492549"/>
    <n v="-1.9249254899999899"/>
    <n v="22.5"/>
    <n v="23.20573568"/>
    <n v="-0.70573567999999998"/>
    <n v="3900.5"/>
    <n v="4054.0975119999998"/>
    <n v="-153.597511999999"/>
    <n v="0"/>
    <n v="0"/>
    <n v="0"/>
    <n v="0"/>
    <n v="0"/>
    <n v="0"/>
    <n v="0"/>
    <n v="0"/>
    <n v="0"/>
    <n v="0"/>
    <n v="0.97455119999999995"/>
    <n v="0"/>
    <n v="0"/>
    <n v="68.241202999999999"/>
    <n v="0"/>
    <n v="270"/>
    <n v="0"/>
    <n v="20000"/>
    <n v="0"/>
    <x v="2"/>
    <n v="242.80841971999999"/>
    <n v="5.1169922199999807"/>
    <n v="247.92541193999998"/>
    <x v="0"/>
  </r>
  <r>
    <x v="3"/>
    <x v="0"/>
    <n v="9.5"/>
    <n v="11.757093019999999"/>
    <n v="-2.2570930199999899"/>
    <n v="18.5"/>
    <n v="15.935090600000001"/>
    <n v="2.5649093999999901"/>
    <n v="3200.5"/>
    <n v="3375.1021260000002"/>
    <n v="-174.602126"/>
    <n v="0"/>
    <n v="0"/>
    <n v="0"/>
    <n v="0"/>
    <n v="0"/>
    <n v="0"/>
    <n v="0"/>
    <n v="0"/>
    <n v="0"/>
    <n v="7.5"/>
    <n v="9.0343390489999997"/>
    <n v="-1.53433904899999"/>
    <n v="550.5"/>
    <n v="545.58439290000001"/>
    <n v="4.9156070999999804"/>
    <n v="62"/>
    <n v="9"/>
    <n v="5000"/>
    <n v="0"/>
    <x v="2"/>
    <n v="283.99473498400005"/>
    <n v="0.92473498400000231"/>
    <n v="284.91946996800004"/>
    <x v="0"/>
  </r>
  <r>
    <x v="4"/>
    <x v="0"/>
    <n v="9.5"/>
    <n v="11.569807539999999"/>
    <n v="-2.06980753999999"/>
    <n v="21.5"/>
    <n v="17.504058350000001"/>
    <n v="3.99594164999999"/>
    <n v="3400.5"/>
    <n v="3556.3353900000002"/>
    <n v="-155.83538999999999"/>
    <n v="0"/>
    <n v="0"/>
    <n v="0"/>
    <n v="0"/>
    <n v="0"/>
    <n v="0"/>
    <n v="0"/>
    <n v="0"/>
    <n v="0"/>
    <n v="0"/>
    <n v="5.2891343700000002"/>
    <n v="0"/>
    <n v="475.5"/>
    <n v="488.08208480000002"/>
    <n v="-12.582084800000001"/>
    <n v="105"/>
    <n v="3"/>
    <n v="10000"/>
    <n v="0"/>
    <x v="3"/>
    <n v="269.67304862000003"/>
    <n v="-12.63175759999994"/>
    <n v="257.04129102000007"/>
    <x v="0"/>
  </r>
  <r>
    <x v="5"/>
    <x v="0"/>
    <n v="0"/>
    <n v="12.75093115"/>
    <n v="0"/>
    <n v="18.5"/>
    <n v="16.811417670000001"/>
    <n v="1.68858232999999"/>
    <n v="3100.5"/>
    <n v="3152.3953759999999"/>
    <n v="-51.895375999999899"/>
    <n v="0"/>
    <n v="0"/>
    <n v="0"/>
    <n v="0"/>
    <n v="0"/>
    <n v="0"/>
    <n v="0"/>
    <n v="0"/>
    <n v="0"/>
    <n v="0"/>
    <n v="1.8235555640000001"/>
    <n v="0"/>
    <n v="0"/>
    <n v="189.6033534"/>
    <n v="0"/>
    <n v="381"/>
    <n v="0"/>
    <n v="20000"/>
    <n v="1000"/>
    <x v="2"/>
    <n v="197.741292144"/>
    <n v="-4.6785142799999644"/>
    <n v="193.06277786400003"/>
    <x v="0"/>
  </r>
  <r>
    <x v="6"/>
    <x v="0"/>
    <n v="8.5"/>
    <n v="10.643959150000001"/>
    <n v="-2.1439591500000001"/>
    <n v="16.5"/>
    <n v="14.05152835"/>
    <n v="2.4484716500000001"/>
    <n v="2800.5"/>
    <n v="3274.9527429999998"/>
    <n v="-474.45274299999897"/>
    <n v="0"/>
    <n v="0"/>
    <n v="0"/>
    <n v="0"/>
    <n v="0"/>
    <n v="0"/>
    <n v="0"/>
    <n v="0"/>
    <n v="0"/>
    <n v="0"/>
    <n v="2.962614657"/>
    <n v="0"/>
    <n v="0"/>
    <n v="486.68024830000002"/>
    <n v="0"/>
    <n v="277"/>
    <n v="0"/>
    <n v="20000"/>
    <n v="0"/>
    <x v="2"/>
    <n v="232.36001759199999"/>
    <n v="4.8963048199999584"/>
    <n v="237.25632241199995"/>
    <x v="0"/>
  </r>
  <r>
    <x v="7"/>
    <x v="0"/>
    <n v="10.5"/>
    <n v="10.148004240000001"/>
    <n v="0.35199575999999899"/>
    <n v="25.5"/>
    <n v="23.136184020000002"/>
    <n v="2.3638159799999898"/>
    <n v="4050.5"/>
    <n v="3755.0218530000002"/>
    <n v="295.47814699999901"/>
    <n v="0"/>
    <n v="0"/>
    <n v="0"/>
    <n v="0"/>
    <n v="0"/>
    <n v="0"/>
    <n v="0"/>
    <n v="0"/>
    <n v="0"/>
    <n v="0"/>
    <n v="1.8280933960000001"/>
    <n v="0"/>
    <n v="0"/>
    <n v="51.208321210000001"/>
    <n v="0"/>
    <n v="214"/>
    <n v="0"/>
    <n v="15000"/>
    <n v="0"/>
    <x v="4"/>
    <n v="238.53899421700004"/>
    <n v="-20.570398279999921"/>
    <n v="217.96859593700012"/>
    <x v="0"/>
  </r>
  <r>
    <x v="8"/>
    <x v="0"/>
    <n v="12.5"/>
    <n v="13.537195150000001"/>
    <n v="-1.0371951500000001"/>
    <n v="18.5"/>
    <n v="15.192087190000001"/>
    <n v="3.3079128099999902"/>
    <n v="3150.5"/>
    <n v="3451.718104"/>
    <n v="-301.21810399999998"/>
    <n v="0"/>
    <n v="0"/>
    <n v="0"/>
    <n v="0"/>
    <n v="0"/>
    <n v="0"/>
    <n v="0"/>
    <n v="0"/>
    <n v="0"/>
    <n v="5.5"/>
    <n v="5.05104679"/>
    <n v="0.44895320999999999"/>
    <n v="550.5"/>
    <n v="586.83268940000005"/>
    <n v="-36.3326894"/>
    <n v="117"/>
    <n v="2"/>
    <n v="12000"/>
    <n v="500"/>
    <x v="2"/>
    <n v="260.75223230000006"/>
    <n v="-2.3177676999999606"/>
    <n v="258.43446460000013"/>
    <x v="0"/>
  </r>
  <r>
    <x v="9"/>
    <x v="0"/>
    <n v="12.5"/>
    <n v="12.45991341"/>
    <n v="4.0086589999999499E-2"/>
    <n v="27.5"/>
    <n v="23.054531539999999"/>
    <n v="4.4454684599999998"/>
    <n v="3750.5"/>
    <n v="3747.244702"/>
    <n v="3.25529800000003"/>
    <n v="0"/>
    <n v="0"/>
    <n v="0"/>
    <n v="0"/>
    <n v="0"/>
    <n v="0"/>
    <n v="0"/>
    <n v="0"/>
    <n v="0"/>
    <n v="9.5"/>
    <n v="8.5729280019999994"/>
    <n v="0.92707199799999995"/>
    <n v="480.5"/>
    <n v="496.12603460000003"/>
    <n v="-15.626034600000001"/>
    <n v="35"/>
    <n v="22"/>
    <n v="6500"/>
    <n v="0"/>
    <x v="5"/>
    <n v="318.23825889199998"/>
    <n v="-21.831741108000003"/>
    <n v="296.40651778399996"/>
    <x v="0"/>
  </r>
  <r>
    <x v="10"/>
    <x v="0"/>
    <n v="7.5"/>
    <n v="11.14339341"/>
    <n v="-3.6433934099999998"/>
    <n v="22.5"/>
    <n v="21.979898540000001"/>
    <n v="0.52010145999999902"/>
    <n v="3250.5"/>
    <n v="3394.5702200000001"/>
    <n v="-144.07022000000001"/>
    <n v="0"/>
    <n v="0"/>
    <n v="0"/>
    <n v="0"/>
    <n v="0"/>
    <n v="0"/>
    <n v="0"/>
    <n v="0"/>
    <n v="0"/>
    <n v="4.5"/>
    <n v="5.6741160710000003"/>
    <n v="-1.174116071"/>
    <n v="675.5"/>
    <n v="737.03249040000003"/>
    <n v="-61.5324904"/>
    <n v="51"/>
    <n v="13"/>
    <n v="7000"/>
    <n v="0"/>
    <x v="2"/>
    <n v="309.16356160600003"/>
    <n v="9.5935616060000051"/>
    <n v="318.75712321200001"/>
    <x v="0"/>
  </r>
  <r>
    <x v="11"/>
    <x v="0"/>
    <n v="11.5"/>
    <n v="11.157614710000001"/>
    <n v="0.34238528999999901"/>
    <n v="21.5"/>
    <n v="20.552749030000001"/>
    <n v="0.94725096999999803"/>
    <n v="3350.5"/>
    <n v="3819.2550219999998"/>
    <n v="-468.75502199999897"/>
    <n v="0"/>
    <n v="0"/>
    <n v="0"/>
    <n v="0"/>
    <n v="0"/>
    <n v="0"/>
    <n v="0"/>
    <n v="0"/>
    <n v="0"/>
    <n v="0"/>
    <n v="0.49104021199999998"/>
    <n v="0"/>
    <n v="0"/>
    <n v="82.994067360000003"/>
    <n v="0"/>
    <n v="383"/>
    <n v="0"/>
    <n v="20000"/>
    <n v="0"/>
    <x v="6"/>
    <n v="223.91161558800002"/>
    <n v="15.645967579999965"/>
    <n v="239.55758316799998"/>
    <x v="0"/>
  </r>
  <r>
    <x v="12"/>
    <x v="0"/>
    <n v="7.5"/>
    <n v="9.0516506349999997"/>
    <n v="-1.5516506349999899"/>
    <n v="26.5"/>
    <n v="27.244305610000001"/>
    <n v="-0.74430561000000095"/>
    <n v="3650.5"/>
    <n v="3851.726388"/>
    <n v="-201.22638799999999"/>
    <n v="0"/>
    <n v="0"/>
    <n v="0"/>
    <n v="0"/>
    <n v="0"/>
    <n v="0"/>
    <n v="0"/>
    <n v="0"/>
    <n v="0"/>
    <n v="0"/>
    <n v="2.0749149349999998"/>
    <n v="0"/>
    <n v="0"/>
    <n v="109.6104425"/>
    <n v="0"/>
    <n v="144"/>
    <n v="2"/>
    <n v="10000"/>
    <n v="0"/>
    <x v="2"/>
    <n v="268.35351055000001"/>
    <n v="7.9229766900000236"/>
    <n v="276.27648724000005"/>
    <x v="0"/>
  </r>
  <r>
    <x v="13"/>
    <x v="0"/>
    <n v="10.5"/>
    <n v="11.260558440000001"/>
    <n v="-0.76055843999999995"/>
    <n v="22.5"/>
    <n v="20.92282239"/>
    <n v="1.5771776099999899"/>
    <n v="3600.5"/>
    <n v="3619.1769800000002"/>
    <n v="-18.6769800000001"/>
    <n v="0"/>
    <n v="0"/>
    <n v="0"/>
    <n v="0"/>
    <n v="0"/>
    <n v="0"/>
    <n v="0"/>
    <n v="0"/>
    <n v="0"/>
    <n v="9.5"/>
    <n v="9.9353529690000002"/>
    <n v="-0.43535296899999998"/>
    <n v="550.5"/>
    <n v="535.67675810000003"/>
    <n v="14.8232418999999"/>
    <n v="39"/>
    <n v="21"/>
    <n v="6000"/>
    <n v="0"/>
    <x v="2"/>
    <n v="319.11704550400003"/>
    <n v="-5.9529544959999461"/>
    <n v="313.16409100800007"/>
    <x v="0"/>
  </r>
  <r>
    <x v="14"/>
    <x v="0"/>
    <n v="12.5"/>
    <n v="12.54226723"/>
    <n v="-4.2267230000000197E-2"/>
    <n v="20.5"/>
    <n v="20.440559459999999"/>
    <n v="5.9440540000000597E-2"/>
    <n v="3400.5"/>
    <n v="3809.8686029999999"/>
    <n v="-409.36860299999898"/>
    <n v="0"/>
    <n v="0"/>
    <n v="0"/>
    <n v="0"/>
    <n v="0"/>
    <n v="0"/>
    <n v="0"/>
    <n v="0"/>
    <n v="0"/>
    <n v="0"/>
    <n v="2.038321158"/>
    <n v="0"/>
    <n v="0"/>
    <n v="162.6591191"/>
    <n v="0"/>
    <n v="316"/>
    <n v="0"/>
    <n v="20000"/>
    <n v="0"/>
    <x v="7"/>
    <n v="237.56828635800002"/>
    <n v="16.052447499999957"/>
    <n v="253.62073385799999"/>
    <x v="0"/>
  </r>
  <r>
    <x v="15"/>
    <x v="0"/>
    <n v="9.5"/>
    <n v="10.60587653"/>
    <n v="-1.10587652999999"/>
    <n v="19.5"/>
    <n v="20.653771410000001"/>
    <n v="-1.1537714100000001"/>
    <n v="3300.5"/>
    <n v="3784.4361429999999"/>
    <n v="-483.93614299999899"/>
    <n v="0"/>
    <n v="0"/>
    <n v="0"/>
    <n v="0"/>
    <n v="0"/>
    <n v="0"/>
    <n v="0"/>
    <n v="0"/>
    <n v="0"/>
    <n v="0"/>
    <n v="2.5316861049999999"/>
    <n v="0"/>
    <n v="0"/>
    <n v="361.71458510000002"/>
    <n v="0"/>
    <n v="166"/>
    <n v="1"/>
    <n v="15000"/>
    <n v="0"/>
    <x v="8"/>
    <n v="264.14235344000002"/>
    <n v="21.760778299999977"/>
    <n v="285.90313173999999"/>
    <x v="0"/>
  </r>
  <r>
    <x v="16"/>
    <x v="0"/>
    <n v="10.5"/>
    <n v="12.66991018"/>
    <n v="-2.16991018"/>
    <n v="27.5"/>
    <n v="26.43086885"/>
    <n v="1.06913115"/>
    <n v="3900.5"/>
    <n v="3725.477386"/>
    <n v="175.02261399999901"/>
    <n v="0"/>
    <n v="0"/>
    <n v="0"/>
    <n v="0"/>
    <n v="0"/>
    <n v="0"/>
    <n v="0"/>
    <n v="0"/>
    <n v="0"/>
    <n v="0"/>
    <n v="2.5439695539999998"/>
    <n v="0"/>
    <n v="0"/>
    <n v="209.35444409999999"/>
    <n v="0"/>
    <n v="107"/>
    <n v="3"/>
    <n v="7500"/>
    <n v="0"/>
    <x v="9"/>
    <n v="265.60201221400001"/>
    <n v="-15.617249519999959"/>
    <n v="249.98476269400004"/>
    <x v="0"/>
  </r>
  <r>
    <x v="17"/>
    <x v="0"/>
    <n v="12.5"/>
    <n v="12.45066362"/>
    <n v="4.9336379999999701E-2"/>
    <n v="22.5"/>
    <n v="20.43247684"/>
    <n v="2.0675231599999999"/>
    <n v="3800.5"/>
    <n v="3769.61222"/>
    <n v="30.887779999999999"/>
    <n v="0"/>
    <n v="0"/>
    <n v="0"/>
    <n v="0"/>
    <n v="0"/>
    <n v="0"/>
    <n v="0"/>
    <n v="0"/>
    <n v="0"/>
    <n v="0"/>
    <n v="3.157387221"/>
    <n v="0"/>
    <n v="0"/>
    <n v="281.29285499999997"/>
    <n v="0"/>
    <n v="168"/>
    <n v="1"/>
    <n v="15000"/>
    <n v="0"/>
    <x v="2"/>
    <n v="254.68667774599999"/>
    <n v="-9.4069310799999997"/>
    <n v="245.27974666599999"/>
    <x v="0"/>
  </r>
  <r>
    <x v="18"/>
    <x v="0"/>
    <n v="8.5"/>
    <n v="11.020053389999999"/>
    <n v="-2.52005338999999"/>
    <n v="27.5"/>
    <n v="24.85774893"/>
    <n v="2.6422510699999999"/>
    <n v="3800.5"/>
    <n v="3957.7152999999998"/>
    <n v="-157.21529999999899"/>
    <n v="0"/>
    <n v="0"/>
    <n v="0"/>
    <n v="0"/>
    <n v="0"/>
    <n v="0"/>
    <n v="0"/>
    <n v="0"/>
    <n v="0"/>
    <n v="0"/>
    <n v="1.5867126279999999"/>
    <n v="0"/>
    <n v="0"/>
    <n v="117.95995189999999"/>
    <n v="0"/>
    <n v="149"/>
    <n v="2"/>
    <n v="10000"/>
    <n v="0"/>
    <x v="2"/>
    <n v="257.01577189800003"/>
    <n v="-9.320499060000019"/>
    <n v="247.69527283799999"/>
    <x v="0"/>
  </r>
  <r>
    <x v="19"/>
    <x v="0"/>
    <n v="9.5"/>
    <n v="10.77857273"/>
    <n v="-1.27857273"/>
    <n v="28.5"/>
    <n v="24.265741970000001"/>
    <n v="4.2342580299999897"/>
    <n v="3900.5"/>
    <n v="3908.1661979999999"/>
    <n v="-7.6661979999998904"/>
    <n v="0"/>
    <n v="0"/>
    <n v="0"/>
    <n v="0"/>
    <n v="0"/>
    <n v="0"/>
    <n v="0"/>
    <n v="0"/>
    <n v="0"/>
    <n v="0"/>
    <n v="2.302152628"/>
    <n v="0"/>
    <n v="0"/>
    <n v="173.46362629999999"/>
    <n v="0"/>
    <n v="109"/>
    <n v="3"/>
    <n v="10000"/>
    <n v="0"/>
    <x v="5"/>
    <n v="262.99174873800001"/>
    <n v="-19.187529659999964"/>
    <n v="243.80421907800005"/>
    <x v="0"/>
  </r>
  <r>
    <x v="20"/>
    <x v="0"/>
    <n v="9.5"/>
    <n v="12.26798636"/>
    <n v="-2.7679863600000001"/>
    <n v="30.5"/>
    <n v="26.580700950000001"/>
    <n v="3.91929904999999"/>
    <n v="4100.5"/>
    <n v="4073.8812739999998"/>
    <n v="26.618726000000098"/>
    <n v="0"/>
    <n v="0"/>
    <n v="0"/>
    <n v="0"/>
    <n v="0"/>
    <n v="0"/>
    <n v="0"/>
    <n v="0"/>
    <n v="0"/>
    <n v="0"/>
    <n v="2.0527631629999998"/>
    <n v="0"/>
    <n v="0"/>
    <n v="226.93954830000001"/>
    <n v="0"/>
    <n v="69"/>
    <n v="8"/>
    <n v="10000"/>
    <n v="0"/>
    <x v="3"/>
    <n v="279.752615848"/>
    <n v="-22.277917959999961"/>
    <n v="257.47469788800004"/>
    <x v="0"/>
  </r>
  <r>
    <x v="21"/>
    <x v="0"/>
    <n v="10.5"/>
    <n v="11.978905230000001"/>
    <n v="-1.4789052300000001"/>
    <n v="25.5"/>
    <n v="22.946089229999998"/>
    <n v="2.5539107699999999"/>
    <n v="4100.5"/>
    <n v="4033.4185910000001"/>
    <n v="67.081408999999894"/>
    <n v="0"/>
    <n v="0"/>
    <n v="0"/>
    <n v="0"/>
    <n v="0"/>
    <n v="0"/>
    <n v="0"/>
    <n v="0"/>
    <n v="0"/>
    <n v="0"/>
    <n v="1.0374659580000001"/>
    <n v="0"/>
    <n v="0"/>
    <n v="113.9709167"/>
    <n v="0"/>
    <n v="212"/>
    <n v="0"/>
    <n v="15000"/>
    <n v="0"/>
    <x v="10"/>
    <n v="246.78517751799998"/>
    <n v="-15.856709899999997"/>
    <n v="230.92846761799998"/>
    <x v="0"/>
  </r>
  <r>
    <x v="22"/>
    <x v="0"/>
    <n v="11.5"/>
    <n v="13.19149275"/>
    <n v="-1.6914927500000001"/>
    <n v="23.5"/>
    <n v="22.93127629"/>
    <n v="0.56872370999999999"/>
    <n v="3500.5"/>
    <n v="3537.0434500000001"/>
    <n v="-36.543450000000099"/>
    <n v="0"/>
    <n v="0"/>
    <n v="0"/>
    <n v="0"/>
    <n v="0"/>
    <n v="0"/>
    <n v="0"/>
    <n v="0"/>
    <n v="0"/>
    <n v="0"/>
    <n v="3.1688380230000002"/>
    <n v="0"/>
    <n v="0"/>
    <n v="310.91460790000002"/>
    <n v="0"/>
    <n v="164"/>
    <n v="1"/>
    <n v="7500"/>
    <n v="135"/>
    <x v="2"/>
    <n v="256.92834658800001"/>
    <n v="-4.1961423399999962"/>
    <n v="252.73220424800002"/>
    <x v="0"/>
  </r>
  <r>
    <x v="23"/>
    <x v="0"/>
    <n v="9.5"/>
    <n v="11.369328940000001"/>
    <n v="-1.8693289399999999"/>
    <n v="28.5"/>
    <n v="26.767267329999999"/>
    <n v="1.7327326700000001"/>
    <n v="4000.5"/>
    <n v="4130.3192289999997"/>
    <n v="-129.81922899999901"/>
    <n v="0"/>
    <n v="0"/>
    <n v="0"/>
    <n v="0"/>
    <n v="0"/>
    <n v="0"/>
    <n v="0"/>
    <n v="0"/>
    <n v="0"/>
    <n v="0"/>
    <n v="2.5750457440000001"/>
    <n v="0"/>
    <n v="0"/>
    <n v="174.03755169999999"/>
    <n v="0"/>
    <n v="66"/>
    <n v="9"/>
    <n v="7500"/>
    <n v="0"/>
    <x v="2"/>
    <n v="282.397210234"/>
    <n v="-5.4768194000000401"/>
    <n v="276.92039083399993"/>
    <x v="0"/>
  </r>
  <r>
    <x v="24"/>
    <x v="0"/>
    <n v="10.5"/>
    <n v="11.611844720000001"/>
    <n v="-1.1118447199999999"/>
    <n v="18.5"/>
    <n v="20.079673339999999"/>
    <n v="-1.57967333999999"/>
    <n v="3200.5"/>
    <n v="3524.1027560000002"/>
    <n v="-323.602756"/>
    <n v="0"/>
    <n v="0"/>
    <n v="0"/>
    <n v="0"/>
    <n v="0"/>
    <n v="0"/>
    <n v="0"/>
    <n v="0"/>
    <n v="0"/>
    <n v="0"/>
    <n v="0.80513721299999996"/>
    <n v="0"/>
    <n v="0"/>
    <n v="267.37417060000001"/>
    <n v="0"/>
    <n v="275"/>
    <n v="0"/>
    <n v="20000"/>
    <n v="0"/>
    <x v="11"/>
    <n v="229.62735449800005"/>
    <n v="17.039114159999961"/>
    <n v="246.66646865800001"/>
    <x v="0"/>
  </r>
  <r>
    <x v="25"/>
    <x v="0"/>
    <n v="9.5"/>
    <n v="10.770464309999999"/>
    <n v="-1.2704643099999899"/>
    <n v="28.5"/>
    <n v="26.803849339999999"/>
    <n v="1.69615066"/>
    <n v="4150.5"/>
    <n v="4058.5111510000002"/>
    <n v="91.988848999999803"/>
    <n v="0"/>
    <n v="0"/>
    <n v="0"/>
    <n v="0"/>
    <n v="0"/>
    <n v="0"/>
    <n v="0"/>
    <n v="0"/>
    <n v="0"/>
    <n v="0"/>
    <n v="2.5206543780000001"/>
    <n v="0"/>
    <n v="0"/>
    <n v="181.7172583"/>
    <n v="0"/>
    <n v="64"/>
    <n v="9"/>
    <n v="6500"/>
    <n v="0"/>
    <x v="12"/>
    <n v="281.31056687800003"/>
    <n v="-13.005085219999973"/>
    <n v="268.30548165800008"/>
    <x v="0"/>
  </r>
  <r>
    <x v="26"/>
    <x v="0"/>
    <n v="11.5"/>
    <n v="12.06805593"/>
    <n v="-0.56805592999999899"/>
    <n v="23.5"/>
    <n v="23.609087079999998"/>
    <n v="-0.109087079999998"/>
    <n v="3550.5"/>
    <n v="3894.7198440000002"/>
    <n v="-344.21984400000002"/>
    <n v="0"/>
    <n v="0"/>
    <n v="0"/>
    <n v="0"/>
    <n v="0"/>
    <n v="0"/>
    <n v="0"/>
    <n v="0"/>
    <n v="0"/>
    <n v="0"/>
    <n v="1.2711889540000001"/>
    <n v="0"/>
    <n v="0"/>
    <n v="161.17104620000001"/>
    <n v="0"/>
    <n v="281"/>
    <n v="0"/>
    <n v="25000"/>
    <n v="0"/>
    <x v="13"/>
    <n v="249.83326856399998"/>
    <n v="13.069030219999995"/>
    <n v="262.90229878399998"/>
    <x v="0"/>
  </r>
  <r>
    <x v="27"/>
    <x v="0"/>
    <n v="9.5"/>
    <n v="10.928672130000001"/>
    <n v="-1.42867213"/>
    <n v="34.5"/>
    <n v="33.194442860000002"/>
    <n v="1.3055571399999899"/>
    <n v="4350.5"/>
    <n v="4032.3495050000001"/>
    <n v="318.15049499999901"/>
    <n v="0"/>
    <n v="0"/>
    <n v="0"/>
    <n v="0"/>
    <n v="0"/>
    <n v="0"/>
    <n v="0"/>
    <n v="0"/>
    <n v="0"/>
    <n v="0"/>
    <n v="0.97287195000000004"/>
    <n v="0"/>
    <n v="0"/>
    <n v="336.97565370000001"/>
    <n v="0"/>
    <n v="53"/>
    <n v="13"/>
    <n v="5500"/>
    <n v="0"/>
    <x v="14"/>
    <n v="311.74920445000004"/>
    <n v="-20.805592619999921"/>
    <n v="290.94361183000012"/>
    <x v="0"/>
  </r>
  <r>
    <x v="28"/>
    <x v="1"/>
    <n v="0"/>
    <n v="0"/>
    <n v="0"/>
    <n v="0"/>
    <n v="0"/>
    <n v="0"/>
    <n v="0"/>
    <n v="0"/>
    <n v="0"/>
    <n v="65.5"/>
    <n v="63.88748983"/>
    <n v="5.5"/>
    <n v="5.303603668"/>
    <n v="0.19639633199999901"/>
    <n v="725.5"/>
    <n v="752.00707869999997"/>
    <n v="-26.507078699999902"/>
    <n v="1.61251017"/>
    <n v="0"/>
    <n v="0"/>
    <n v="0"/>
    <n v="0"/>
    <n v="0"/>
    <n v="0"/>
    <n v="120"/>
    <n v="2"/>
    <n v="20000"/>
    <n v="0"/>
    <x v="2"/>
    <n v="138.96607479300002"/>
    <n v="0.66607479299999639"/>
    <n v="139.63214958600003"/>
    <x v="0"/>
  </r>
  <r>
    <x v="29"/>
    <x v="2"/>
    <n v="0"/>
    <n v="0"/>
    <n v="0"/>
    <n v="0"/>
    <n v="0"/>
    <n v="0"/>
    <n v="0"/>
    <n v="0"/>
    <n v="0"/>
    <n v="0"/>
    <n v="62.999240489999998"/>
    <n v="4.5"/>
    <n v="5.0930408969999998"/>
    <n v="-0.59304089699999896"/>
    <n v="775.5"/>
    <n v="769.35787270000003"/>
    <n v="6.1421272999999701"/>
    <n v="0"/>
    <n v="0"/>
    <n v="0.57494494299999999"/>
    <n v="0"/>
    <n v="0"/>
    <n v="85.878354520000002"/>
    <n v="0"/>
    <n v="95"/>
    <n v="4"/>
    <n v="12000"/>
    <n v="0"/>
    <x v="2"/>
    <n v="151.03115800700002"/>
    <n v="2.9440326519999966"/>
    <n v="153.97519065900002"/>
    <x v="0"/>
  </r>
  <r>
    <x v="30"/>
    <x v="2"/>
    <n v="0"/>
    <n v="0"/>
    <n v="0"/>
    <n v="0"/>
    <n v="0"/>
    <n v="0"/>
    <n v="0"/>
    <n v="0"/>
    <n v="0"/>
    <n v="0"/>
    <n v="74.489447839999997"/>
    <n v="4.5"/>
    <n v="3.2468120100000002"/>
    <n v="1.25318798999999"/>
    <n v="925.5"/>
    <n v="1011.543823"/>
    <n v="-86.043822999999904"/>
    <n v="0"/>
    <n v="0"/>
    <n v="0"/>
    <n v="0"/>
    <n v="0"/>
    <n v="0"/>
    <n v="0"/>
    <n v="81"/>
    <n v="6"/>
    <n v="12000"/>
    <n v="0"/>
    <x v="2"/>
    <n v="157.87997828000002"/>
    <n v="1.0852543600000502"/>
    <n v="158.96523264000007"/>
    <x v="0"/>
  </r>
  <r>
    <x v="31"/>
    <x v="2"/>
    <n v="0"/>
    <n v="0"/>
    <n v="0"/>
    <n v="0"/>
    <n v="0"/>
    <n v="0"/>
    <n v="0"/>
    <n v="0"/>
    <n v="0"/>
    <n v="0"/>
    <n v="69.349069630000002"/>
    <n v="4.5"/>
    <n v="4.1917175970000002"/>
    <n v="0.30828240299999898"/>
    <n v="775.5"/>
    <n v="767.56895139999995"/>
    <n v="7.9310486000000502"/>
    <n v="0"/>
    <n v="0"/>
    <n v="0"/>
    <n v="0"/>
    <n v="0"/>
    <n v="0"/>
    <n v="0"/>
    <n v="130"/>
    <n v="2"/>
    <n v="15000"/>
    <n v="0"/>
    <x v="2"/>
    <n v="136.58173553699999"/>
    <n v="-2.6427992779999991"/>
    <n v="133.93893625899997"/>
    <x v="0"/>
  </r>
  <r>
    <x v="32"/>
    <x v="2"/>
    <n v="0"/>
    <n v="0"/>
    <n v="0"/>
    <n v="0"/>
    <n v="0"/>
    <n v="0"/>
    <n v="0"/>
    <n v="0"/>
    <n v="0"/>
    <n v="0"/>
    <n v="81.093073000000004"/>
    <n v="4.5"/>
    <n v="5.3350817079999997"/>
    <n v="-0.83508170799999903"/>
    <n v="850.5"/>
    <n v="970.78677860000005"/>
    <n v="-120.28677860000001"/>
    <n v="0"/>
    <n v="0"/>
    <n v="0.26533890100000002"/>
    <n v="0"/>
    <n v="0"/>
    <n v="24.471901840000001"/>
    <n v="0"/>
    <n v="57"/>
    <n v="11"/>
    <n v="15000"/>
    <n v="0"/>
    <x v="15"/>
    <n v="173.67492819800003"/>
    <n v="17.039168107999998"/>
    <n v="190.71409630600004"/>
    <x v="0"/>
  </r>
  <r>
    <x v="33"/>
    <x v="1"/>
    <n v="0"/>
    <n v="0"/>
    <n v="0"/>
    <n v="0"/>
    <n v="0"/>
    <n v="0"/>
    <n v="0"/>
    <n v="0"/>
    <n v="0"/>
    <n v="0"/>
    <n v="65.433150499999996"/>
    <n v="5.5"/>
    <n v="5.446368433"/>
    <n v="5.3631566999999998E-2"/>
    <n v="675.5"/>
    <n v="675.17861400000004"/>
    <n v="0.32138599999996098"/>
    <n v="0"/>
    <n v="0"/>
    <n v="0"/>
    <n v="0"/>
    <n v="0"/>
    <n v="0"/>
    <n v="0"/>
    <n v="121"/>
    <n v="2"/>
    <n v="25000"/>
    <n v="0"/>
    <x v="2"/>
    <n v="132.91264724799998"/>
    <n v="-0.35392800199999608"/>
    <n v="132.55871924599998"/>
    <x v="0"/>
  </r>
  <r>
    <x v="34"/>
    <x v="1"/>
    <n v="0"/>
    <n v="0"/>
    <n v="0"/>
    <n v="0"/>
    <n v="0"/>
    <n v="0"/>
    <n v="0"/>
    <n v="0"/>
    <n v="0"/>
    <n v="0"/>
    <n v="56.849223979999998"/>
    <n v="3.5"/>
    <n v="3.895257344"/>
    <n v="-0.39525734400000001"/>
    <n v="475.5"/>
    <n v="589.48764449999999"/>
    <n v="-113.98764449999901"/>
    <n v="0"/>
    <n v="0"/>
    <n v="0"/>
    <n v="0"/>
    <n v="0"/>
    <n v="0"/>
    <n v="0"/>
    <n v="172"/>
    <n v="1"/>
    <n v="0"/>
    <n v="0"/>
    <x v="16"/>
    <n v="110.74492050399999"/>
    <n v="13.770308513999902"/>
    <n v="124.5152290179999"/>
    <x v="0"/>
  </r>
  <r>
    <x v="35"/>
    <x v="2"/>
    <n v="0"/>
    <n v="0"/>
    <n v="0"/>
    <n v="0"/>
    <n v="0"/>
    <n v="0"/>
    <n v="0"/>
    <n v="0"/>
    <n v="0"/>
    <n v="0"/>
    <n v="69.998140430000007"/>
    <n v="4.5"/>
    <n v="5.7749164620000002"/>
    <n v="-1.274916462"/>
    <n v="825.5"/>
    <n v="934.40560140000002"/>
    <n v="-108.90560139999999"/>
    <n v="0"/>
    <n v="0"/>
    <n v="0.58121464199999995"/>
    <n v="0"/>
    <n v="0"/>
    <n v="92.871733649999996"/>
    <n v="0"/>
    <n v="58"/>
    <n v="10"/>
    <n v="15000"/>
    <n v="0"/>
    <x v="17"/>
    <n v="175.86359034400002"/>
    <n v="18.540058911999999"/>
    <n v="194.40364925600002"/>
    <x v="0"/>
  </r>
  <r>
    <x v="36"/>
    <x v="2"/>
    <n v="0"/>
    <n v="0"/>
    <n v="0"/>
    <n v="0"/>
    <n v="0"/>
    <n v="0"/>
    <n v="0"/>
    <n v="0"/>
    <n v="0"/>
    <n v="64.5"/>
    <n v="75.880725190000007"/>
    <n v="4.5"/>
    <n v="4.7369666649999997"/>
    <n v="-0.23696666499999899"/>
    <n v="775.5"/>
    <n v="889.89120979999996"/>
    <n v="-114.391209799999"/>
    <n v="-11.38072519"/>
    <n v="0"/>
    <n v="0"/>
    <n v="0"/>
    <n v="0"/>
    <n v="0"/>
    <n v="0"/>
    <n v="82"/>
    <n v="6"/>
    <n v="15000"/>
    <n v="0"/>
    <x v="18"/>
    <n v="155.35128356499999"/>
    <n v="18.551283564999896"/>
    <n v="173.90256712999988"/>
    <x v="0"/>
  </r>
  <r>
    <x v="37"/>
    <x v="1"/>
    <n v="0"/>
    <n v="0"/>
    <n v="0"/>
    <n v="0"/>
    <n v="0"/>
    <n v="0"/>
    <n v="0"/>
    <n v="0"/>
    <n v="0"/>
    <n v="0"/>
    <n v="59.869593950000002"/>
    <n v="4.5"/>
    <n v="4.1564297400000001"/>
    <n v="0.34357025999999902"/>
    <n v="750.5"/>
    <n v="822.40531559999999"/>
    <n v="-71.905315599999994"/>
    <n v="0"/>
    <n v="0"/>
    <n v="0"/>
    <n v="0"/>
    <n v="0"/>
    <n v="0"/>
    <n v="0"/>
    <n v="87"/>
    <n v="5"/>
    <n v="25000"/>
    <n v="0"/>
    <x v="2"/>
    <n v="137.11390697500002"/>
    <n v="5.1291100000000061"/>
    <n v="142.24301697500002"/>
    <x v="0"/>
  </r>
  <r>
    <x v="38"/>
    <x v="1"/>
    <n v="0"/>
    <n v="0"/>
    <n v="0"/>
    <n v="0"/>
    <n v="0"/>
    <n v="0"/>
    <n v="0"/>
    <n v="0"/>
    <n v="0"/>
    <n v="80.5"/>
    <n v="75.299602160000006"/>
    <n v="5.5"/>
    <n v="3.9829925369999999"/>
    <n v="1.5170074629999999"/>
    <n v="750.5"/>
    <n v="735.89584000000002"/>
    <n v="14.604159999999901"/>
    <n v="5.2003978399999902"/>
    <n v="0"/>
    <n v="0"/>
    <n v="0"/>
    <n v="0"/>
    <n v="0"/>
    <n v="0"/>
    <n v="84"/>
    <n v="5"/>
    <n v="25000"/>
    <n v="0"/>
    <x v="19"/>
    <n v="135.13734030200001"/>
    <n v="-13.162659697999985"/>
    <n v="121.97468060400003"/>
    <x v="0"/>
  </r>
  <r>
    <x v="39"/>
    <x v="2"/>
    <n v="0"/>
    <n v="0"/>
    <n v="0"/>
    <n v="0"/>
    <n v="0"/>
    <n v="0"/>
    <n v="0"/>
    <n v="0"/>
    <n v="0"/>
    <n v="0"/>
    <n v="55.11509272"/>
    <n v="5.5"/>
    <n v="7.6207586120000004"/>
    <n v="-2.1207586119999999"/>
    <n v="750.5"/>
    <n v="843.62873149999996"/>
    <n v="-93.128731499999901"/>
    <n v="0"/>
    <n v="0"/>
    <n v="0.30349522600000001"/>
    <n v="0"/>
    <n v="0"/>
    <n v="38.080010850000001"/>
    <n v="0"/>
    <n v="94"/>
    <n v="4"/>
    <n v="15000"/>
    <n v="0"/>
    <x v="20"/>
    <n v="163.27394362300001"/>
    <n v="22.037424821999991"/>
    <n v="185.311368445"/>
    <x v="0"/>
  </r>
  <r>
    <x v="40"/>
    <x v="2"/>
    <n v="0"/>
    <n v="0"/>
    <n v="0"/>
    <n v="0"/>
    <n v="0"/>
    <n v="0"/>
    <n v="0"/>
    <n v="0"/>
    <n v="0"/>
    <n v="0"/>
    <n v="83.523048790000004"/>
    <n v="4.5"/>
    <n v="4.3990983320000003"/>
    <n v="0.100901667999999"/>
    <n v="900.5"/>
    <n v="951.53746960000001"/>
    <n v="-51.037469600000001"/>
    <n v="0"/>
    <n v="0"/>
    <n v="7.8538625000000001E-2"/>
    <n v="0"/>
    <n v="0"/>
    <n v="11.88468042"/>
    <n v="0"/>
    <n v="80"/>
    <n v="6"/>
    <n v="25000"/>
    <n v="0"/>
    <x v="2"/>
    <n v="164.96956113900001"/>
    <n v="4.4983369520000061"/>
    <n v="169.46789809100002"/>
    <x v="0"/>
  </r>
  <r>
    <x v="41"/>
    <x v="2"/>
    <n v="0"/>
    <n v="0"/>
    <n v="0"/>
    <n v="0"/>
    <n v="0"/>
    <n v="0"/>
    <n v="0"/>
    <n v="0"/>
    <n v="0"/>
    <n v="0"/>
    <n v="56.661382070000002"/>
    <n v="4.5"/>
    <n v="5.7389248909999999"/>
    <n v="-1.2389248909999999"/>
    <n v="725.5"/>
    <n v="770.03043909999997"/>
    <n v="-44.530439099999903"/>
    <n v="0"/>
    <n v="0"/>
    <n v="0"/>
    <n v="0"/>
    <n v="0"/>
    <n v="0"/>
    <n v="0"/>
    <n v="116"/>
    <n v="2"/>
    <n v="15000"/>
    <n v="0"/>
    <x v="21"/>
    <n v="139.76728429100001"/>
    <n v="11.886593255999991"/>
    <n v="151.65387754700001"/>
    <x v="0"/>
  </r>
  <r>
    <x v="42"/>
    <x v="2"/>
    <n v="0"/>
    <n v="0"/>
    <n v="0"/>
    <n v="0"/>
    <n v="0"/>
    <n v="0"/>
    <n v="0"/>
    <n v="0"/>
    <n v="0"/>
    <n v="65.5"/>
    <n v="70.047208319999996"/>
    <n v="5.5"/>
    <n v="7.2050037900000001"/>
    <n v="-1.7050037899999999"/>
    <n v="875.5"/>
    <n v="1034.0981569999999"/>
    <n v="-158.59815699999899"/>
    <n v="-4.5472083199999904"/>
    <n v="0"/>
    <n v="0"/>
    <n v="0"/>
    <n v="0"/>
    <n v="0"/>
    <n v="0"/>
    <n v="50"/>
    <n v="14"/>
    <n v="10000"/>
    <n v="0"/>
    <x v="22"/>
    <n v="181.6634426"/>
    <n v="28.363442599999892"/>
    <n v="210.0268851999999"/>
    <x v="0"/>
  </r>
  <r>
    <x v="43"/>
    <x v="2"/>
    <n v="0"/>
    <n v="0"/>
    <n v="0"/>
    <n v="0"/>
    <n v="0"/>
    <n v="0"/>
    <n v="0"/>
    <n v="0"/>
    <n v="0"/>
    <n v="0"/>
    <n v="73.883090999999993"/>
    <n v="3.5"/>
    <n v="4.5947180689999998"/>
    <n v="-1.09471806899999"/>
    <n v="550.5"/>
    <n v="706.26333499999998"/>
    <n v="-155.76333499999899"/>
    <n v="0"/>
    <n v="0"/>
    <n v="0"/>
    <n v="0"/>
    <n v="0"/>
    <n v="0"/>
    <n v="0"/>
    <n v="159"/>
    <n v="1"/>
    <n v="25000"/>
    <n v="0"/>
    <x v="23"/>
    <n v="135.13618741400001"/>
    <n v="22.144641913999841"/>
    <n v="157.28082932799984"/>
    <x v="0"/>
  </r>
  <r>
    <x v="44"/>
    <x v="2"/>
    <n v="0"/>
    <n v="0"/>
    <n v="0"/>
    <n v="0"/>
    <n v="0"/>
    <n v="0"/>
    <n v="0"/>
    <n v="0"/>
    <n v="0"/>
    <n v="0"/>
    <n v="31.78767264"/>
    <n v="2.5"/>
    <n v="3.4779033269999999"/>
    <n v="-0.97790332699999905"/>
    <n v="400.5"/>
    <n v="462.78669389999999"/>
    <n v="-62.286693899999896"/>
    <n v="0"/>
    <n v="0"/>
    <n v="0"/>
    <n v="0"/>
    <n v="0"/>
    <n v="0"/>
    <n v="0"/>
    <n v="323"/>
    <n v="0"/>
    <n v="25000"/>
    <n v="0"/>
    <x v="24"/>
    <n v="83.03992567200001"/>
    <n v="12.096089351999984"/>
    <n v="95.136015023999988"/>
    <x v="0"/>
  </r>
  <r>
    <x v="45"/>
    <x v="2"/>
    <n v="0"/>
    <n v="0"/>
    <n v="0"/>
    <n v="0"/>
    <n v="0"/>
    <n v="0"/>
    <n v="0"/>
    <n v="0"/>
    <n v="0"/>
    <n v="71.5"/>
    <n v="84.531086070000001"/>
    <n v="4.5"/>
    <n v="4.7981864979999997"/>
    <n v="-0.29818649799999902"/>
    <n v="825.5"/>
    <n v="883.03754160000005"/>
    <n v="-57.537541599999997"/>
    <n v="-13.031086070000001"/>
    <n v="0"/>
    <n v="9.3817965000000003E-2"/>
    <n v="0"/>
    <n v="0"/>
    <n v="12.44891704"/>
    <n v="0"/>
    <n v="78"/>
    <n v="6"/>
    <n v="10000"/>
    <n v="0"/>
    <x v="25"/>
    <n v="161.166215677"/>
    <n v="14.058416182999995"/>
    <n v="175.22463185999999"/>
    <x v="0"/>
  </r>
  <r>
    <x v="46"/>
    <x v="2"/>
    <n v="0"/>
    <n v="0"/>
    <n v="0"/>
    <n v="0"/>
    <n v="0"/>
    <n v="0"/>
    <n v="0"/>
    <n v="0"/>
    <n v="0"/>
    <n v="62.5"/>
    <n v="62.206034729999999"/>
    <n v="5.5"/>
    <n v="5.6212690380000003"/>
    <n v="-0.121269038"/>
    <n v="800.5"/>
    <n v="922.9270798"/>
    <n v="-122.4270798"/>
    <n v="0.293965270000001"/>
    <n v="0"/>
    <n v="2.8024818269999998"/>
    <n v="0"/>
    <n v="0"/>
    <n v="164.6336392"/>
    <n v="0"/>
    <n v="32"/>
    <n v="25"/>
    <n v="5000"/>
    <n v="0"/>
    <x v="26"/>
    <n v="190.40159445500001"/>
    <n v="12.823339573"/>
    <n v="203.22493402800001"/>
    <x v="0"/>
  </r>
  <r>
    <x v="47"/>
    <x v="1"/>
    <n v="0"/>
    <n v="0"/>
    <n v="0"/>
    <n v="0"/>
    <n v="0"/>
    <n v="0"/>
    <n v="0"/>
    <n v="0"/>
    <n v="0"/>
    <n v="59.5"/>
    <n v="62.798027699999999"/>
    <n v="5.5"/>
    <n v="4.6801686150000004"/>
    <n v="0.81983138499999897"/>
    <n v="750.5"/>
    <n v="845.04497819999995"/>
    <n v="-94.544978199999903"/>
    <n v="-3.2980276999999898"/>
    <n v="0"/>
    <n v="0"/>
    <n v="0"/>
    <n v="0"/>
    <n v="0"/>
    <n v="0"/>
    <n v="83"/>
    <n v="6"/>
    <n v="15000"/>
    <n v="0"/>
    <x v="2"/>
    <n v="143.98452336"/>
    <n v="6.184523359999992"/>
    <n v="150.16904671999998"/>
    <x v="0"/>
  </r>
  <r>
    <x v="48"/>
    <x v="2"/>
    <n v="0"/>
    <n v="0"/>
    <n v="0"/>
    <n v="0"/>
    <n v="0"/>
    <n v="0"/>
    <n v="0"/>
    <n v="0"/>
    <n v="0"/>
    <n v="65.5"/>
    <n v="73.278995230000007"/>
    <n v="5.5"/>
    <n v="5.4252659980000004"/>
    <n v="7.4734001999999494E-2"/>
    <n v="950.5"/>
    <n v="1042.626976"/>
    <n v="-92.126975999999999"/>
    <n v="-7.7789952299999996"/>
    <n v="0"/>
    <n v="0"/>
    <n v="0"/>
    <n v="0"/>
    <n v="0"/>
    <n v="0"/>
    <n v="59"/>
    <n v="10"/>
    <n v="10000"/>
    <n v="0"/>
    <x v="27"/>
    <n v="173.45379120300004"/>
    <n v="12.653791203000003"/>
    <n v="186.10758240600003"/>
    <x v="0"/>
  </r>
  <r>
    <x v="49"/>
    <x v="1"/>
    <n v="0"/>
    <n v="0"/>
    <n v="0"/>
    <n v="0"/>
    <n v="0"/>
    <n v="0"/>
    <n v="0"/>
    <n v="0"/>
    <n v="0"/>
    <n v="0"/>
    <n v="53.286481340000002"/>
    <n v="3.5"/>
    <n v="4.2209905860000001"/>
    <n v="-0.72099058599999999"/>
    <n v="550.5"/>
    <n v="539.13307689999999"/>
    <n v="11.366923099999999"/>
    <n v="0"/>
    <n v="0"/>
    <n v="0"/>
    <n v="0"/>
    <n v="0"/>
    <n v="0"/>
    <n v="0"/>
    <n v="173"/>
    <n v="1"/>
    <n v="25000"/>
    <n v="0"/>
    <x v="2"/>
    <n v="105.88249187600002"/>
    <n v="3.1892512059999998"/>
    <n v="109.07174308200001"/>
    <x v="0"/>
  </r>
  <r>
    <x v="50"/>
    <x v="2"/>
    <n v="0"/>
    <n v="0"/>
    <n v="0"/>
    <n v="0"/>
    <n v="0"/>
    <n v="0"/>
    <n v="0"/>
    <n v="0"/>
    <n v="0"/>
    <n v="60.5"/>
    <n v="70.935799020000005"/>
    <n v="5.5"/>
    <n v="4.9215873630000004"/>
    <n v="0.57841263699999901"/>
    <n v="800.5"/>
    <n v="897.13565949999997"/>
    <n v="-96.635659499999903"/>
    <n v="-10.435799019999999"/>
    <n v="0"/>
    <n v="0"/>
    <n v="0"/>
    <n v="0"/>
    <n v="0"/>
    <n v="0"/>
    <n v="93"/>
    <n v="4"/>
    <n v="15000"/>
    <n v="0"/>
    <x v="28"/>
    <n v="154.710989638"/>
    <n v="11.410989637999997"/>
    <n v="166.12197927599999"/>
    <x v="0"/>
  </r>
  <r>
    <x v="51"/>
    <x v="2"/>
    <n v="0"/>
    <n v="0"/>
    <n v="0"/>
    <n v="0"/>
    <n v="0"/>
    <n v="0"/>
    <n v="0"/>
    <n v="0"/>
    <n v="0"/>
    <n v="0"/>
    <n v="60.273728140000003"/>
    <n v="0"/>
    <n v="4.3648691939999997"/>
    <n v="0"/>
    <n v="700.5"/>
    <n v="723.94340820000002"/>
    <n v="-23.4434082"/>
    <n v="0"/>
    <n v="0"/>
    <n v="0"/>
    <n v="0"/>
    <n v="0"/>
    <n v="0"/>
    <n v="0"/>
    <n v="190"/>
    <n v="1"/>
    <n v="0"/>
    <n v="0"/>
    <x v="2"/>
    <n v="128.72042005400002"/>
    <n v="2.3443408200000002"/>
    <n v="131.06476087400003"/>
    <x v="0"/>
  </r>
  <r>
    <x v="52"/>
    <x v="2"/>
    <n v="0"/>
    <n v="0"/>
    <n v="0"/>
    <n v="0"/>
    <n v="0"/>
    <n v="0"/>
    <n v="0"/>
    <n v="0"/>
    <n v="0"/>
    <n v="74.5"/>
    <n v="80.63119485"/>
    <n v="5.5"/>
    <n v="4.6979895789999997"/>
    <n v="0.80201042099999997"/>
    <n v="1000.5"/>
    <n v="1057.4176829999999"/>
    <n v="-56.917682999999897"/>
    <n v="-6.13119485"/>
    <n v="0"/>
    <n v="0.23920513900000001"/>
    <n v="0"/>
    <n v="0"/>
    <n v="24.954042619999999"/>
    <n v="0"/>
    <n v="46"/>
    <n v="17"/>
    <n v="12000"/>
    <n v="0"/>
    <x v="2"/>
    <n v="178.17593829499998"/>
    <n v="3.9453031989999898"/>
    <n v="182.12124149399997"/>
    <x v="0"/>
  </r>
  <r>
    <x v="53"/>
    <x v="2"/>
    <n v="0"/>
    <n v="0"/>
    <n v="0"/>
    <n v="0"/>
    <n v="0"/>
    <n v="0"/>
    <n v="0"/>
    <n v="0"/>
    <n v="0"/>
    <n v="82.5"/>
    <n v="86.507818"/>
    <n v="5.5"/>
    <n v="5.5636605259999996"/>
    <n v="-6.3660525999999606E-2"/>
    <n v="1025.5"/>
    <n v="1262.135888"/>
    <n v="-236.63588799999999"/>
    <n v="-4.0078180000000003"/>
    <n v="0"/>
    <n v="0"/>
    <n v="0"/>
    <n v="0"/>
    <n v="0"/>
    <n v="0"/>
    <n v="18"/>
    <n v="37"/>
    <n v="10000"/>
    <n v="0"/>
    <x v="29"/>
    <n v="202.84946095600003"/>
    <n v="26.049460955999997"/>
    <n v="228.89892191200002"/>
    <x v="0"/>
  </r>
  <r>
    <x v="54"/>
    <x v="2"/>
    <n v="0"/>
    <n v="0"/>
    <n v="0"/>
    <n v="0"/>
    <n v="0"/>
    <n v="0"/>
    <n v="0"/>
    <n v="0"/>
    <n v="0"/>
    <n v="72.5"/>
    <n v="77.612166189999996"/>
    <n v="5.5"/>
    <n v="7.479964431"/>
    <n v="-1.979964431"/>
    <n v="1050.5"/>
    <n v="1058.9053739999999"/>
    <n v="-8.4053739999999308"/>
    <n v="-5.1121661899999902"/>
    <n v="0"/>
    <n v="0"/>
    <n v="0"/>
    <n v="0"/>
    <n v="0"/>
    <n v="0"/>
    <n v="26"/>
    <n v="30"/>
    <n v="6500"/>
    <n v="0"/>
    <x v="21"/>
    <n v="189.57640708100001"/>
    <n v="15.276407080999988"/>
    <n v="204.85281416200002"/>
    <x v="0"/>
  </r>
  <r>
    <x v="55"/>
    <x v="2"/>
    <n v="0"/>
    <n v="0"/>
    <n v="0"/>
    <n v="0"/>
    <n v="0"/>
    <n v="0"/>
    <n v="0"/>
    <n v="0"/>
    <n v="0"/>
    <n v="87.5"/>
    <n v="89.655627789999997"/>
    <n v="8.5"/>
    <n v="7.6329215079999999"/>
    <n v="0.86707849199999998"/>
    <n v="1250.5"/>
    <n v="1251.3897899999999"/>
    <n v="-0.88978999999994801"/>
    <n v="-2.1556277899999898"/>
    <n v="0"/>
    <n v="0"/>
    <n v="0"/>
    <n v="0"/>
    <n v="0"/>
    <n v="0"/>
    <n v="11"/>
    <n v="48"/>
    <n v="3500"/>
    <n v="0"/>
    <x v="2"/>
    <n v="215.764321943"/>
    <n v="-4.0356780570000099"/>
    <n v="211.72864388599999"/>
    <x v="0"/>
  </r>
  <r>
    <x v="56"/>
    <x v="2"/>
    <n v="0"/>
    <n v="0"/>
    <n v="0"/>
    <n v="0"/>
    <n v="0"/>
    <n v="0"/>
    <n v="0"/>
    <n v="0"/>
    <n v="0"/>
    <n v="82.5"/>
    <n v="82.413330770000002"/>
    <n v="6.5"/>
    <n v="5.7473256599999996"/>
    <n v="0.75267434"/>
    <n v="1000.5"/>
    <n v="1117.879829"/>
    <n v="-117.37982899999901"/>
    <n v="8.6669229999998196E-2"/>
    <n v="0"/>
    <n v="0"/>
    <n v="0"/>
    <n v="0"/>
    <n v="0"/>
    <n v="0"/>
    <n v="22"/>
    <n v="33"/>
    <n v="12000"/>
    <n v="650"/>
    <x v="2"/>
    <n v="187.47860224499999"/>
    <n v="7.1786022449999018"/>
    <n v="194.65720448999988"/>
    <x v="0"/>
  </r>
  <r>
    <x v="57"/>
    <x v="2"/>
    <n v="0"/>
    <n v="0"/>
    <n v="0"/>
    <n v="0"/>
    <n v="0"/>
    <n v="0"/>
    <n v="0"/>
    <n v="0"/>
    <n v="0"/>
    <n v="72.5"/>
    <n v="78.422828060000001"/>
    <n v="5.5"/>
    <n v="5.5390881690000002"/>
    <n v="-3.90881690000002E-2"/>
    <n v="925.5"/>
    <n v="970.89924029999997"/>
    <n v="-45.399240299999903"/>
    <n v="-5.9228280599999996"/>
    <n v="0"/>
    <n v="0.50671851700000003"/>
    <n v="0"/>
    <n v="0"/>
    <n v="55.396322230000003"/>
    <n v="0"/>
    <n v="49"/>
    <n v="15"/>
    <n v="15000"/>
    <n v="0"/>
    <x v="2"/>
    <n v="178.11581039900003"/>
    <n v="7.7358670739999909"/>
    <n v="185.85167747300002"/>
    <x v="0"/>
  </r>
  <r>
    <x v="58"/>
    <x v="2"/>
    <n v="0"/>
    <n v="0"/>
    <n v="0"/>
    <n v="0"/>
    <n v="0"/>
    <n v="0"/>
    <n v="0"/>
    <n v="0"/>
    <n v="0"/>
    <n v="90.5"/>
    <n v="80.499802939999995"/>
    <n v="7.5"/>
    <n v="9.0647368480000008"/>
    <n v="-1.5647368479999999"/>
    <n v="1125.5"/>
    <n v="1139.9145249999999"/>
    <n v="-14.4145249999999"/>
    <n v="10.00019706"/>
    <n v="0"/>
    <n v="0.198401045"/>
    <n v="0"/>
    <n v="0"/>
    <n v="23.69025066"/>
    <n v="0"/>
    <n v="13"/>
    <n v="45"/>
    <n v="3000"/>
    <n v="0"/>
    <x v="2"/>
    <n v="212.18920639400002"/>
    <n v="5.8297750579999894"/>
    <n v="218.01898145200002"/>
    <x v="0"/>
  </r>
  <r>
    <x v="59"/>
    <x v="2"/>
    <n v="0"/>
    <n v="0"/>
    <n v="0"/>
    <n v="0"/>
    <n v="0"/>
    <n v="0"/>
    <n v="0"/>
    <n v="0"/>
    <n v="0"/>
    <n v="97.5"/>
    <n v="105.6896003"/>
    <n v="9.5"/>
    <n v="7.6333667070000004"/>
    <n v="1.86663329299999"/>
    <n v="1375.5"/>
    <n v="1422.6027919999999"/>
    <n v="-47.102791999999901"/>
    <n v="-8.1896002999999897"/>
    <n v="0"/>
    <n v="0.26532124400000001"/>
    <n v="0"/>
    <n v="0"/>
    <n v="25.000999400000001"/>
    <n v="0"/>
    <n v="5"/>
    <n v="54"/>
    <n v="700"/>
    <n v="0"/>
    <x v="2"/>
    <n v="244.99730699600002"/>
    <n v="-2.3947204079999551"/>
    <n v="242.60258658800007"/>
    <x v="0"/>
  </r>
  <r>
    <x v="60"/>
    <x v="2"/>
    <n v="0"/>
    <n v="0"/>
    <n v="0"/>
    <n v="0"/>
    <n v="0"/>
    <n v="0"/>
    <n v="0"/>
    <n v="0"/>
    <n v="0"/>
    <n v="74.5"/>
    <n v="86.437541949999996"/>
    <n v="5.5"/>
    <n v="5.7070064670000002"/>
    <n v="-0.207006467"/>
    <n v="900.5"/>
    <n v="1040.3394539999999"/>
    <n v="-139.83945399999899"/>
    <n v="-11.9375419499999"/>
    <n v="0"/>
    <n v="7.8172376000000002E-2"/>
    <n v="0"/>
    <n v="0"/>
    <n v="11.798531090000001"/>
    <n v="0"/>
    <n v="45"/>
    <n v="18"/>
    <n v="7500"/>
    <n v="0"/>
    <x v="30"/>
    <n v="183.14364254199998"/>
    <n v="21.194755176999848"/>
    <n v="204.33839771899983"/>
    <x v="0"/>
  </r>
  <r>
    <x v="61"/>
    <x v="2"/>
    <n v="0"/>
    <n v="0"/>
    <n v="0"/>
    <n v="0"/>
    <n v="0"/>
    <n v="0"/>
    <n v="0"/>
    <n v="0"/>
    <n v="0"/>
    <n v="94.5"/>
    <n v="105.6617758"/>
    <n v="7.5"/>
    <n v="6.6181234"/>
    <n v="0.88187660000000001"/>
    <n v="1300.5"/>
    <n v="1354.472698"/>
    <n v="-53.972698000000001"/>
    <n v="-11.161775799999999"/>
    <n v="0"/>
    <n v="9.6852292000000006E-2"/>
    <n v="0"/>
    <n v="0"/>
    <n v="10.25313618"/>
    <n v="0"/>
    <n v="8"/>
    <n v="52"/>
    <n v="1300"/>
    <n v="0"/>
    <x v="2"/>
    <n v="229.59332547000002"/>
    <n v="5.6868980999999996"/>
    <n v="235.28022357000003"/>
    <x v="0"/>
  </r>
  <r>
    <x v="62"/>
    <x v="2"/>
    <n v="0"/>
    <n v="0"/>
    <n v="0"/>
    <n v="0"/>
    <n v="0"/>
    <n v="0"/>
    <n v="0"/>
    <n v="0"/>
    <n v="0"/>
    <n v="0"/>
    <n v="59.751374570000003"/>
    <n v="4.5"/>
    <n v="5.552084443"/>
    <n v="-1.052084443"/>
    <n v="675.5"/>
    <n v="804.61142110000003"/>
    <n v="-129.1114211"/>
    <n v="0"/>
    <n v="0"/>
    <n v="9.6404206000000006E-2"/>
    <n v="0"/>
    <n v="0"/>
    <n v="12.85370477"/>
    <n v="0"/>
    <n v="99"/>
    <n v="4"/>
    <n v="20000"/>
    <n v="7000"/>
    <x v="31"/>
    <n v="145.51313176599999"/>
    <n v="19.223648768"/>
    <n v="164.73678053399999"/>
    <x v="0"/>
  </r>
  <r>
    <x v="63"/>
    <x v="1"/>
    <n v="0"/>
    <n v="0"/>
    <n v="0"/>
    <n v="0"/>
    <n v="0"/>
    <n v="0"/>
    <n v="0"/>
    <n v="0"/>
    <n v="0"/>
    <n v="82.5"/>
    <n v="84.156096210000001"/>
    <n v="7.5"/>
    <n v="6.600248251"/>
    <n v="0.89975174899999999"/>
    <n v="850.5"/>
    <n v="859.86470959999997"/>
    <n v="-9.3647095999999692"/>
    <n v="-1.6560962100000001"/>
    <n v="0"/>
    <n v="0"/>
    <n v="0"/>
    <n v="0"/>
    <n v="0"/>
    <n v="0"/>
    <n v="37"/>
    <n v="22"/>
    <n v="15000"/>
    <n v="0"/>
    <x v="2"/>
    <n v="167.66600857100002"/>
    <n v="-3.6339914290000035"/>
    <n v="164.03201714200003"/>
    <x v="0"/>
  </r>
  <r>
    <x v="64"/>
    <x v="2"/>
    <n v="0"/>
    <n v="0"/>
    <n v="0"/>
    <n v="0"/>
    <n v="0"/>
    <n v="0"/>
    <n v="0"/>
    <n v="0"/>
    <n v="0"/>
    <n v="72.5"/>
    <n v="83.842758119999999"/>
    <n v="6.5"/>
    <n v="6.3259831809999998"/>
    <n v="0.17401681899999999"/>
    <n v="975.5"/>
    <n v="1039.884755"/>
    <n v="-64.384754999999998"/>
    <n v="-11.342758119999999"/>
    <n v="0"/>
    <n v="0"/>
    <n v="0"/>
    <n v="0"/>
    <n v="0"/>
    <n v="0"/>
    <n v="44"/>
    <n v="19"/>
    <n v="12000"/>
    <n v="0"/>
    <x v="32"/>
    <n v="183.86575364600003"/>
    <n v="11.065753646000001"/>
    <n v="194.93150729200002"/>
    <x v="0"/>
  </r>
  <r>
    <x v="65"/>
    <x v="2"/>
    <n v="0"/>
    <n v="0"/>
    <n v="0"/>
    <n v="0"/>
    <n v="0"/>
    <n v="0"/>
    <n v="0"/>
    <n v="0"/>
    <n v="0"/>
    <n v="105.5"/>
    <n v="109.61859629999999"/>
    <n v="8.5"/>
    <n v="7.3955028389999997"/>
    <n v="1.1044971610000001"/>
    <n v="1250.5"/>
    <n v="1263.736686"/>
    <n v="-13.236685999999899"/>
    <n v="-4.1185962999999903"/>
    <n v="0"/>
    <n v="0.25987219299999997"/>
    <n v="0"/>
    <n v="0"/>
    <n v="29.208973090000001"/>
    <n v="0"/>
    <n v="6"/>
    <n v="53"/>
    <n v="1800"/>
    <n v="0"/>
    <x v="2"/>
    <n v="230.03611425100001"/>
    <n v="-3.2440162160000154"/>
    <n v="226.79209803500001"/>
    <x v="0"/>
  </r>
  <r>
    <x v="66"/>
    <x v="1"/>
    <n v="0"/>
    <n v="0"/>
    <n v="0"/>
    <n v="0"/>
    <n v="0"/>
    <n v="0"/>
    <n v="0"/>
    <n v="0"/>
    <n v="0"/>
    <n v="0"/>
    <n v="56.678389289999998"/>
    <n v="4.5"/>
    <n v="3.7282065700000002"/>
    <n v="0.771793429999999"/>
    <n v="650.5"/>
    <n v="650.38975530000005"/>
    <n v="0.110244699999952"/>
    <n v="0"/>
    <n v="0"/>
    <n v="0"/>
    <n v="0"/>
    <n v="0"/>
    <n v="0"/>
    <n v="0"/>
    <n v="135"/>
    <n v="2"/>
    <n v="20000"/>
    <n v="5000"/>
    <x v="2"/>
    <n v="115.74740959499999"/>
    <n v="-4.6417850499999895"/>
    <n v="111.105624545"/>
    <x v="0"/>
  </r>
  <r>
    <x v="67"/>
    <x v="2"/>
    <n v="0"/>
    <n v="0"/>
    <n v="0"/>
    <n v="0"/>
    <n v="0"/>
    <n v="0"/>
    <n v="0"/>
    <n v="0"/>
    <n v="0"/>
    <n v="81.5"/>
    <n v="83.322959639999993"/>
    <n v="6.5"/>
    <n v="6.7814973180000004"/>
    <n v="-0.281497318"/>
    <n v="1000.5"/>
    <n v="1022.171285"/>
    <n v="-21.671285000000001"/>
    <n v="-1.8229596399999899"/>
    <n v="0"/>
    <n v="0"/>
    <n v="0"/>
    <n v="0"/>
    <n v="0"/>
    <n v="0"/>
    <n v="23"/>
    <n v="32"/>
    <n v="5000"/>
    <n v="0"/>
    <x v="2"/>
    <n v="184.567592228"/>
    <n v="4.7675922279999945"/>
    <n v="189.33518445599998"/>
    <x v="0"/>
  </r>
  <r>
    <x v="68"/>
    <x v="1"/>
    <n v="0"/>
    <n v="0"/>
    <n v="0"/>
    <n v="0"/>
    <n v="0"/>
    <n v="0"/>
    <n v="0"/>
    <n v="0"/>
    <n v="0"/>
    <n v="80.5"/>
    <n v="82.999220249999993"/>
    <n v="6.5"/>
    <n v="6.9997653399999997"/>
    <n v="-0.499765339999999"/>
    <n v="900.5"/>
    <n v="837.76938029999997"/>
    <n v="62.730619699999998"/>
    <n v="-2.4992202499999898"/>
    <n v="0"/>
    <n v="3.9424452999999998E-2"/>
    <n v="0"/>
    <n v="0"/>
    <n v="0.68267583600000004"/>
    <n v="0"/>
    <n v="38"/>
    <n v="22"/>
    <n v="10000"/>
    <n v="0"/>
    <x v="2"/>
    <n v="167.57995449660001"/>
    <n v="-2.0248598050000117"/>
    <n v="165.5550946916"/>
    <x v="0"/>
  </r>
  <r>
    <x v="69"/>
    <x v="2"/>
    <n v="0"/>
    <n v="0"/>
    <n v="0"/>
    <n v="0"/>
    <n v="0"/>
    <n v="0"/>
    <n v="0"/>
    <n v="0"/>
    <n v="0"/>
    <n v="0"/>
    <n v="63.535094649999998"/>
    <n v="4.5"/>
    <n v="4.8151380250000004"/>
    <n v="-0.31513802499999999"/>
    <n v="725.5"/>
    <n v="799.01726929999995"/>
    <n v="-73.517269299999896"/>
    <n v="0"/>
    <n v="0"/>
    <n v="7.4635529000000006E-2"/>
    <n v="0"/>
    <n v="0"/>
    <n v="13.679991960000001"/>
    <n v="0"/>
    <n v="111"/>
    <n v="3"/>
    <n v="50000"/>
    <n v="3500"/>
    <x v="2"/>
    <n v="142.37591477500001"/>
    <n v="9.24255507999999"/>
    <n v="151.618469855"/>
    <x v="0"/>
  </r>
  <r>
    <x v="70"/>
    <x v="2"/>
    <n v="0"/>
    <n v="0"/>
    <n v="0"/>
    <n v="0"/>
    <n v="0"/>
    <n v="0"/>
    <n v="0"/>
    <n v="0"/>
    <n v="0"/>
    <n v="98.5"/>
    <n v="105.89822599999999"/>
    <n v="8.5"/>
    <n v="8.3136087360000008"/>
    <n v="0.186391263999999"/>
    <n v="1250.5"/>
    <n v="1347.0218749999999"/>
    <n v="-96.521874999999895"/>
    <n v="-7.3982259999999904"/>
    <n v="0"/>
    <n v="0.15580345300000001"/>
    <n v="0"/>
    <n v="0"/>
    <n v="18.15912398"/>
    <n v="0"/>
    <n v="7"/>
    <n v="53"/>
    <n v="1200"/>
    <n v="0"/>
    <x v="28"/>
    <n v="240.28368603199999"/>
    <n v="12.232952915999991"/>
    <n v="252.51663894799998"/>
    <x v="0"/>
  </r>
  <r>
    <x v="71"/>
    <x v="2"/>
    <n v="0"/>
    <n v="0"/>
    <n v="0"/>
    <n v="0"/>
    <n v="0"/>
    <n v="0"/>
    <n v="0"/>
    <n v="0"/>
    <n v="0"/>
    <n v="0"/>
    <n v="61.399165549999999"/>
    <n v="4.5"/>
    <n v="4.8105839489999997"/>
    <n v="-0.31058394899999903"/>
    <n v="750.5"/>
    <n v="814.80646100000001"/>
    <n v="-64.306460999999999"/>
    <n v="0"/>
    <n v="0"/>
    <n v="0"/>
    <n v="0"/>
    <n v="0"/>
    <n v="0"/>
    <n v="0"/>
    <n v="114"/>
    <n v="2"/>
    <n v="50000"/>
    <n v="5000"/>
    <x v="2"/>
    <n v="141.04373256899999"/>
    <n v="8.2941497939999955"/>
    <n v="149.33788236299998"/>
    <x v="0"/>
  </r>
  <r>
    <x v="72"/>
    <x v="2"/>
    <n v="0"/>
    <n v="0"/>
    <n v="0"/>
    <n v="0"/>
    <n v="0"/>
    <n v="0"/>
    <n v="0"/>
    <n v="0"/>
    <n v="0"/>
    <n v="84.5"/>
    <n v="89.335045370000003"/>
    <n v="6.5"/>
    <n v="4.9681280719999998"/>
    <n v="1.5318719279999999"/>
    <n v="1025.5"/>
    <n v="1150.2021629999999"/>
    <n v="-124.702162999999"/>
    <n v="-4.8350453699999996"/>
    <n v="0"/>
    <n v="0"/>
    <n v="0"/>
    <n v="0"/>
    <n v="0"/>
    <n v="0"/>
    <n v="19"/>
    <n v="36"/>
    <n v="7500"/>
    <n v="0"/>
    <x v="2"/>
    <n v="189.496507417"/>
    <n v="5.6965074169999017"/>
    <n v="195.19301483399991"/>
    <x v="0"/>
  </r>
  <r>
    <x v="73"/>
    <x v="2"/>
    <n v="0"/>
    <n v="0"/>
    <n v="0"/>
    <n v="0"/>
    <n v="0"/>
    <n v="0"/>
    <n v="0"/>
    <n v="0"/>
    <n v="0"/>
    <n v="79.5"/>
    <n v="78.059392090000003"/>
    <n v="6.5"/>
    <n v="6.5121156740000004"/>
    <n v="-1.21156740000003E-2"/>
    <n v="950.5"/>
    <n v="996.27619960000004"/>
    <n v="-45.776199599999998"/>
    <n v="1.44060790999999"/>
    <n v="0"/>
    <n v="0.103482397"/>
    <n v="0"/>
    <n v="0"/>
    <n v="11.99405075"/>
    <n v="0"/>
    <n v="47"/>
    <n v="17"/>
    <n v="6000"/>
    <n v="0"/>
    <x v="2"/>
    <n v="179.55030950599999"/>
    <n v="3.9300100490000065"/>
    <n v="183.48031955499999"/>
    <x v="0"/>
  </r>
  <r>
    <x v="74"/>
    <x v="2"/>
    <n v="0"/>
    <n v="0"/>
    <n v="0"/>
    <n v="0"/>
    <n v="0"/>
    <n v="0"/>
    <n v="0"/>
    <n v="0"/>
    <n v="0"/>
    <n v="0"/>
    <n v="56.486196270000001"/>
    <n v="4.5"/>
    <n v="6.2582285049999999"/>
    <n v="-1.7582285049999999"/>
    <n v="750.5"/>
    <n v="762.18874949999997"/>
    <n v="-11.688749499999901"/>
    <n v="0"/>
    <n v="0"/>
    <n v="0.27539996100000003"/>
    <n v="0"/>
    <n v="0"/>
    <n v="35.16885619"/>
    <n v="0"/>
    <n v="98"/>
    <n v="4"/>
    <n v="0"/>
    <n v="2200"/>
    <x v="21"/>
    <n v="147.18062949999998"/>
    <n v="11.71824597999999"/>
    <n v="158.89887547999996"/>
    <x v="0"/>
  </r>
  <r>
    <x v="75"/>
    <x v="2"/>
    <n v="0"/>
    <n v="0"/>
    <n v="0"/>
    <n v="0"/>
    <n v="0"/>
    <n v="0"/>
    <n v="0"/>
    <n v="0"/>
    <n v="0"/>
    <n v="104.5"/>
    <n v="112.86428100000001"/>
    <n v="9.5"/>
    <n v="8.5563324299999994"/>
    <n v="0.94366757000000001"/>
    <n v="1350.5"/>
    <n v="1407.047206"/>
    <n v="-56.547205999999903"/>
    <n v="-8.3642810000000001"/>
    <n v="0"/>
    <n v="0.78496296399999999"/>
    <n v="0"/>
    <n v="0"/>
    <n v="85.820829750000001"/>
    <n v="0"/>
    <n v="4"/>
    <n v="55"/>
    <n v="1000"/>
    <n v="0"/>
    <x v="2"/>
    <n v="261.76671643900005"/>
    <n v="4.1748556799999905"/>
    <n v="265.94157211900006"/>
    <x v="0"/>
  </r>
  <r>
    <x v="76"/>
    <x v="2"/>
    <n v="0"/>
    <n v="0"/>
    <n v="0"/>
    <n v="0"/>
    <n v="0"/>
    <n v="0"/>
    <n v="0"/>
    <n v="0"/>
    <n v="0"/>
    <n v="85.5"/>
    <n v="88.473984360000003"/>
    <n v="6.5"/>
    <n v="5.914162127"/>
    <n v="0.58583787300000001"/>
    <n v="1150.5"/>
    <n v="1237.3910149999999"/>
    <n v="-86.891014999999896"/>
    <n v="-2.9739843600000002"/>
    <n v="0"/>
    <n v="0.65177903000000004"/>
    <n v="0"/>
    <n v="0"/>
    <n v="77.450822840000001"/>
    <n v="0"/>
    <n v="12"/>
    <n v="46"/>
    <n v="2800"/>
    <n v="0"/>
    <x v="2"/>
    <n v="215.11682290600001"/>
    <n v="6.6610664419999903"/>
    <n v="221.777889348"/>
    <x v="0"/>
  </r>
  <r>
    <x v="77"/>
    <x v="2"/>
    <n v="0"/>
    <n v="0"/>
    <n v="0"/>
    <n v="0"/>
    <n v="0"/>
    <n v="0"/>
    <n v="0"/>
    <n v="0"/>
    <n v="0"/>
    <n v="0"/>
    <n v="58.869292440000002"/>
    <n v="4.5"/>
    <n v="4.957569662"/>
    <n v="-0.45756966199999999"/>
    <n v="675.5"/>
    <n v="815.82524639999997"/>
    <n v="-140.325246399999"/>
    <n v="0"/>
    <n v="0"/>
    <n v="0"/>
    <n v="0"/>
    <n v="0"/>
    <n v="0"/>
    <n v="0"/>
    <n v="113"/>
    <n v="3"/>
    <n v="20000"/>
    <n v="3500"/>
    <x v="33"/>
    <n v="140.76258883200001"/>
    <n v="16.777942611999901"/>
    <n v="157.5405314439999"/>
    <x v="0"/>
  </r>
  <r>
    <x v="78"/>
    <x v="2"/>
    <n v="0"/>
    <n v="0"/>
    <n v="0"/>
    <n v="0"/>
    <n v="0"/>
    <n v="0"/>
    <n v="0"/>
    <n v="0"/>
    <n v="0"/>
    <n v="68.5"/>
    <n v="77.389605230000001"/>
    <n v="6.5"/>
    <n v="6.6989467029999998"/>
    <n v="-0.198946702999999"/>
    <n v="950.5"/>
    <n v="1048.1103599999999"/>
    <n v="-97.610359999999901"/>
    <n v="-8.8896052300000008"/>
    <n v="0"/>
    <n v="9.5252555000000003E-2"/>
    <n v="0"/>
    <n v="0"/>
    <n v="12.6475642"/>
    <n v="0"/>
    <n v="33"/>
    <n v="24"/>
    <n v="10000"/>
    <n v="0"/>
    <x v="34"/>
    <n v="185.53579058300002"/>
    <n v="15.399518832999984"/>
    <n v="200.935309416"/>
    <x v="0"/>
  </r>
  <r>
    <x v="79"/>
    <x v="2"/>
    <n v="0"/>
    <n v="0"/>
    <n v="0"/>
    <n v="0"/>
    <n v="0"/>
    <n v="0"/>
    <n v="0"/>
    <n v="0"/>
    <n v="0"/>
    <n v="67.5"/>
    <n v="70.053424579999998"/>
    <n v="6.5"/>
    <n v="8.2072090240000009"/>
    <n v="-1.707209024"/>
    <n v="1000.5"/>
    <n v="1077.7793180000001"/>
    <n v="-77.279318000000103"/>
    <n v="-2.55342457999999"/>
    <n v="0"/>
    <n v="0"/>
    <n v="0"/>
    <n v="0"/>
    <n v="0"/>
    <n v="0"/>
    <n v="31"/>
    <n v="26"/>
    <n v="6000"/>
    <n v="0"/>
    <x v="21"/>
    <n v="192.047898234"/>
    <n v="19.247898234000004"/>
    <n v="211.29579646799999"/>
    <x v="0"/>
  </r>
  <r>
    <x v="80"/>
    <x v="2"/>
    <n v="0"/>
    <n v="0"/>
    <n v="0"/>
    <n v="0"/>
    <n v="0"/>
    <n v="0"/>
    <n v="0"/>
    <n v="0"/>
    <n v="0"/>
    <n v="68.5"/>
    <n v="76.827998179999994"/>
    <n v="8.5"/>
    <n v="7.415413773"/>
    <n v="1.084586227"/>
    <n v="1050.5"/>
    <n v="1135.956447"/>
    <n v="-85.456446999999997"/>
    <n v="-8.3279981799999891"/>
    <n v="0"/>
    <n v="0"/>
    <n v="0"/>
    <n v="0"/>
    <n v="0"/>
    <n v="0"/>
    <n v="21"/>
    <n v="34"/>
    <n v="7500"/>
    <n v="0"/>
    <x v="2"/>
    <n v="196.502126428"/>
    <n v="6.2021264279999953"/>
    <n v="202.70425285599998"/>
    <x v="0"/>
  </r>
  <r>
    <x v="81"/>
    <x v="2"/>
    <n v="0"/>
    <n v="0"/>
    <n v="0"/>
    <n v="0"/>
    <n v="0"/>
    <n v="0"/>
    <n v="0"/>
    <n v="0"/>
    <n v="0"/>
    <n v="0"/>
    <n v="70.998447749999997"/>
    <n v="4.5"/>
    <n v="4.6027815240000001"/>
    <n v="-0.102781524"/>
    <n v="925.5"/>
    <n v="1091.2669450000001"/>
    <n v="-165.76694499999999"/>
    <n v="0"/>
    <n v="0"/>
    <n v="0.21170565699999999"/>
    <n v="0"/>
    <n v="0"/>
    <n v="28.515374730000001"/>
    <n v="0"/>
    <n v="56"/>
    <n v="11"/>
    <n v="12000"/>
    <n v="0"/>
    <x v="35"/>
    <n v="176.36437893400003"/>
    <n v="17.193383643999997"/>
    <n v="193.55776257800002"/>
    <x v="0"/>
  </r>
  <r>
    <x v="82"/>
    <x v="2"/>
    <n v="0"/>
    <n v="0"/>
    <n v="0"/>
    <n v="0"/>
    <n v="0"/>
    <n v="0"/>
    <n v="0"/>
    <n v="0"/>
    <n v="0"/>
    <n v="0"/>
    <n v="47.695272760000002"/>
    <n v="3.5"/>
    <n v="3.1380961470000002"/>
    <n v="0.361903852999999"/>
    <n v="500.5"/>
    <n v="624.94080220000001"/>
    <n v="-124.44080219999999"/>
    <n v="0"/>
    <n v="0"/>
    <n v="0.31666118700000001"/>
    <n v="0"/>
    <n v="0"/>
    <n v="38.939848939999997"/>
    <n v="0"/>
    <n v="189"/>
    <n v="1"/>
    <n v="0"/>
    <n v="7500"/>
    <x v="36"/>
    <n v="110.96424549800001"/>
    <n v="10.272657102000005"/>
    <n v="121.23690260000002"/>
    <x v="0"/>
  </r>
  <r>
    <x v="83"/>
    <x v="1"/>
    <n v="0"/>
    <n v="0"/>
    <n v="0"/>
    <n v="0"/>
    <n v="0"/>
    <n v="0"/>
    <n v="0"/>
    <n v="0"/>
    <n v="0"/>
    <n v="67.5"/>
    <n v="73.695127510000006"/>
    <n v="6.5"/>
    <n v="6.9746615109999999"/>
    <n v="-0.47466151099999898"/>
    <n v="800.5"/>
    <n v="819.16459310000005"/>
    <n v="-18.664593100000001"/>
    <n v="-6.1951275099999998"/>
    <n v="0"/>
    <n v="0"/>
    <n v="0"/>
    <n v="0"/>
    <n v="0"/>
    <n v="0"/>
    <n v="55"/>
    <n v="12"/>
    <n v="25000"/>
    <n v="0"/>
    <x v="2"/>
    <n v="160.61199213100002"/>
    <n v="7.8119921309999931"/>
    <n v="168.423984262"/>
    <x v="0"/>
  </r>
  <r>
    <x v="84"/>
    <x v="2"/>
    <n v="0"/>
    <n v="0"/>
    <n v="0"/>
    <n v="0"/>
    <n v="0"/>
    <n v="0"/>
    <n v="0"/>
    <n v="0"/>
    <n v="0"/>
    <n v="85.5"/>
    <n v="98.755134819999995"/>
    <n v="5.5"/>
    <n v="4.0155713110000004"/>
    <n v="1.48442868899999"/>
    <n v="950.5"/>
    <n v="1085.0907319999999"/>
    <n v="-134.59073199999901"/>
    <n v="-13.255134819999901"/>
    <n v="0"/>
    <n v="0"/>
    <n v="0"/>
    <n v="0"/>
    <n v="0"/>
    <n v="0"/>
    <n v="20"/>
    <n v="35"/>
    <n v="10000"/>
    <n v="0"/>
    <x v="37"/>
    <n v="181.98006847599999"/>
    <n v="11.18006847599991"/>
    <n v="193.1601369519999"/>
    <x v="0"/>
  </r>
  <r>
    <x v="85"/>
    <x v="2"/>
    <n v="0"/>
    <n v="0"/>
    <n v="0"/>
    <n v="0"/>
    <n v="0"/>
    <n v="0"/>
    <n v="0"/>
    <n v="0"/>
    <n v="0"/>
    <n v="71.5"/>
    <n v="71.484034199999996"/>
    <n v="4.5"/>
    <n v="6.2104239000000003"/>
    <n v="-1.7104239000000001"/>
    <n v="825.5"/>
    <n v="986.14103709999995"/>
    <n v="-160.64103709999901"/>
    <n v="1.5965800000003499E-2"/>
    <n v="0"/>
    <n v="8.6554058000000003E-2"/>
    <n v="0"/>
    <n v="0"/>
    <n v="13.010279560000001"/>
    <n v="0"/>
    <n v="77"/>
    <n v="7"/>
    <n v="20000"/>
    <n v="0"/>
    <x v="38"/>
    <n v="173.439016514"/>
    <n v="26.318664209999902"/>
    <n v="199.7576807239999"/>
    <x v="0"/>
  </r>
  <r>
    <x v="86"/>
    <x v="2"/>
    <n v="0"/>
    <n v="0"/>
    <n v="0"/>
    <n v="0"/>
    <n v="0"/>
    <n v="0"/>
    <n v="0"/>
    <n v="0"/>
    <n v="0"/>
    <n v="0"/>
    <n v="72.992614239999995"/>
    <n v="4.5"/>
    <n v="7.3390059470000004"/>
    <n v="-2.839005947"/>
    <n v="875.5"/>
    <n v="999.68954650000001"/>
    <n v="-124.18954650000001"/>
    <n v="0"/>
    <n v="0"/>
    <n v="0.144241223"/>
    <n v="0"/>
    <n v="0"/>
    <n v="18.797577010000001"/>
    <n v="0"/>
    <n v="48"/>
    <n v="15"/>
    <n v="15000"/>
    <n v="0"/>
    <x v="20"/>
    <n v="183.24450249099999"/>
    <n v="29.452990331999999"/>
    <n v="212.697492823"/>
    <x v="0"/>
  </r>
  <r>
    <x v="87"/>
    <x v="3"/>
    <n v="0"/>
    <n v="0"/>
    <n v="0"/>
    <n v="0"/>
    <n v="0"/>
    <n v="0"/>
    <n v="0"/>
    <n v="0"/>
    <n v="0"/>
    <n v="62.5"/>
    <n v="67.225831580000005"/>
    <n v="5.5"/>
    <n v="3.8566466930000001"/>
    <n v="1.6433533069999999"/>
    <n v="500.5"/>
    <n v="526.47091790000002"/>
    <n v="-25.9709179"/>
    <n v="-4.7258315800000004"/>
    <n v="10.5"/>
    <n v="11.869118009999999"/>
    <n v="-1.36911800999999"/>
    <n v="1150.5"/>
    <n v="1220.6525429999999"/>
    <n v="-70.152542999999895"/>
    <n v="1"/>
    <n v="57"/>
    <n v="850"/>
    <n v="0"/>
    <x v="19"/>
    <n v="302.67985009799997"/>
    <n v="10.32985009799993"/>
    <n v="313.00970019599993"/>
    <x v="0"/>
  </r>
  <r>
    <x v="88"/>
    <x v="2"/>
    <n v="0"/>
    <n v="0"/>
    <n v="0"/>
    <n v="0"/>
    <n v="0"/>
    <n v="0"/>
    <n v="0"/>
    <n v="0"/>
    <n v="0"/>
    <n v="0"/>
    <n v="61.306621530000001"/>
    <n v="3.5"/>
    <n v="4.001520663"/>
    <n v="-0.50152066299999998"/>
    <n v="700.5"/>
    <n v="919.87823170000001"/>
    <n v="-219.37823169999999"/>
    <n v="0"/>
    <n v="0"/>
    <n v="0"/>
    <n v="0"/>
    <n v="0"/>
    <n v="0"/>
    <n v="0"/>
    <n v="157"/>
    <n v="1"/>
    <n v="20000"/>
    <n v="0"/>
    <x v="39"/>
    <n v="146.65025791300002"/>
    <n v="24.946947148"/>
    <n v="171.59720506100001"/>
    <x v="0"/>
  </r>
  <r>
    <x v="89"/>
    <x v="3"/>
    <n v="0"/>
    <n v="0"/>
    <n v="0"/>
    <n v="0"/>
    <n v="0"/>
    <n v="0"/>
    <n v="0"/>
    <n v="0"/>
    <n v="0"/>
    <n v="0"/>
    <n v="26.133256459999998"/>
    <n v="0"/>
    <n v="1.157663337"/>
    <n v="0"/>
    <n v="0"/>
    <n v="187.13879940000001"/>
    <n v="0"/>
    <n v="0"/>
    <n v="7.5"/>
    <n v="7.9519307560000003"/>
    <n v="-0.45193075599999999"/>
    <n v="675.5"/>
    <n v="721.54932970000004"/>
    <n v="-46.049329700000001"/>
    <n v="122"/>
    <n v="2"/>
    <n v="10000"/>
    <n v="0"/>
    <x v="2"/>
    <n v="158.59300569800001"/>
    <n v="7.3165175060000003"/>
    <n v="165.90952320400001"/>
    <x v="0"/>
  </r>
  <r>
    <x v="90"/>
    <x v="3"/>
    <n v="0"/>
    <n v="0"/>
    <n v="0"/>
    <n v="0"/>
    <n v="0"/>
    <n v="0"/>
    <n v="0"/>
    <n v="0"/>
    <n v="0"/>
    <n v="0"/>
    <n v="35.40437859"/>
    <n v="0"/>
    <n v="0.59429253900000001"/>
    <n v="0"/>
    <n v="0"/>
    <n v="225.85031190000001"/>
    <n v="0"/>
    <n v="0"/>
    <n v="4.5"/>
    <n v="4.5431478900000002"/>
    <n v="-4.3147890000000098E-2"/>
    <n v="725.5"/>
    <n v="786.84471199999996"/>
    <n v="-61.344711999999902"/>
    <n v="103"/>
    <n v="3"/>
    <n v="25000"/>
    <n v="0"/>
    <x v="2"/>
    <n v="149.79633425899999"/>
    <n v="6.3933585399999906"/>
    <n v="156.18969279899997"/>
    <x v="0"/>
  </r>
  <r>
    <x v="91"/>
    <x v="3"/>
    <n v="0"/>
    <n v="0"/>
    <n v="0"/>
    <n v="0"/>
    <n v="0"/>
    <n v="0"/>
    <n v="0"/>
    <n v="0"/>
    <n v="0"/>
    <n v="0"/>
    <n v="67.809652270000001"/>
    <n v="0"/>
    <n v="2.5328557580000002"/>
    <n v="0"/>
    <n v="0"/>
    <n v="546.66376809999997"/>
    <n v="0"/>
    <n v="0"/>
    <n v="7.5"/>
    <n v="7.9912310829999997"/>
    <n v="-0.49123108299999901"/>
    <n v="1050.5"/>
    <n v="1050.6708490000001"/>
    <n v="-0.17084900000008901"/>
    <n v="3"/>
    <n v="55"/>
    <n v="1500"/>
    <n v="0"/>
    <x v="2"/>
    <n v="256.782808891"/>
    <n v="2.9644713980000028"/>
    <n v="259.747280289"/>
    <x v="0"/>
  </r>
  <r>
    <x v="92"/>
    <x v="3"/>
    <n v="0"/>
    <n v="0"/>
    <n v="0"/>
    <n v="0"/>
    <n v="0"/>
    <n v="0"/>
    <n v="0"/>
    <n v="0"/>
    <n v="0"/>
    <n v="0"/>
    <n v="45.539737019999997"/>
    <n v="0"/>
    <n v="2.0231262490000002"/>
    <n v="0"/>
    <n v="0"/>
    <n v="290.25862460000002"/>
    <n v="0"/>
    <n v="0"/>
    <n v="6.5"/>
    <n v="8.139850891"/>
    <n v="-1.639850891"/>
    <n v="900.5"/>
    <n v="977.88022579999995"/>
    <n v="-77.380225799999906"/>
    <n v="16"/>
    <n v="40"/>
    <n v="10000"/>
    <n v="0"/>
    <x v="40"/>
    <n v="210.56161638999998"/>
    <n v="17.577127925999992"/>
    <n v="228.13874431599999"/>
    <x v="0"/>
  </r>
  <r>
    <x v="93"/>
    <x v="3"/>
    <n v="0"/>
    <n v="0"/>
    <n v="0"/>
    <n v="0"/>
    <n v="0"/>
    <n v="0"/>
    <n v="0"/>
    <n v="0"/>
    <n v="0"/>
    <n v="0"/>
    <n v="49.184254080000002"/>
    <n v="0"/>
    <n v="2.3650434319999998"/>
    <n v="0"/>
    <n v="0"/>
    <n v="406.6632836"/>
    <n v="0"/>
    <n v="0"/>
    <n v="4.5"/>
    <n v="4.3533574799999997"/>
    <n v="0.14664252"/>
    <n v="925.5"/>
    <n v="936.45471150000003"/>
    <n v="-10.9547115"/>
    <n v="29"/>
    <n v="28"/>
    <n v="7500"/>
    <n v="0"/>
    <x v="2"/>
    <n v="199.21433202200001"/>
    <n v="0.21561603000000007"/>
    <n v="199.42994805200001"/>
    <x v="0"/>
  </r>
  <r>
    <x v="94"/>
    <x v="3"/>
    <n v="0"/>
    <n v="0"/>
    <n v="0"/>
    <n v="0"/>
    <n v="0"/>
    <n v="0"/>
    <n v="0"/>
    <n v="0"/>
    <n v="0"/>
    <n v="0"/>
    <n v="46.714221819999999"/>
    <n v="0"/>
    <n v="1.1374301849999999"/>
    <n v="0"/>
    <n v="0"/>
    <n v="355.08533690000002"/>
    <n v="0"/>
    <n v="0"/>
    <n v="6.5"/>
    <n v="6.9697552719999996"/>
    <n v="-0.469755271999999"/>
    <n v="925.5"/>
    <n v="949.76684469999998"/>
    <n v="-24.266844699999901"/>
    <n v="17"/>
    <n v="38"/>
    <n v="7500"/>
    <n v="0"/>
    <x v="2"/>
    <n v="202.485441812"/>
    <n v="5.2452161019999846"/>
    <n v="207.73065791399998"/>
    <x v="0"/>
  </r>
  <r>
    <x v="95"/>
    <x v="3"/>
    <n v="0"/>
    <n v="0"/>
    <n v="0"/>
    <n v="0"/>
    <n v="0"/>
    <n v="0"/>
    <n v="0"/>
    <n v="0"/>
    <n v="0"/>
    <n v="0"/>
    <n v="53.416610759999998"/>
    <n v="0"/>
    <n v="1.7193246149999999"/>
    <n v="0"/>
    <n v="0"/>
    <n v="394.4979596"/>
    <n v="0"/>
    <n v="0"/>
    <n v="5.5"/>
    <n v="6.326910507"/>
    <n v="-0.82691050700000002"/>
    <n v="825.5"/>
    <n v="867.89192390000005"/>
    <n v="-42.391923900000002"/>
    <n v="25"/>
    <n v="31"/>
    <n v="10000"/>
    <n v="0"/>
    <x v="2"/>
    <n v="201.22470446200001"/>
    <n v="9.2006554320000014"/>
    <n v="210.425359894"/>
    <x v="0"/>
  </r>
  <r>
    <x v="96"/>
    <x v="3"/>
    <n v="0"/>
    <n v="0"/>
    <n v="0"/>
    <n v="0"/>
    <n v="0"/>
    <n v="0"/>
    <n v="0"/>
    <n v="0"/>
    <n v="0"/>
    <n v="0"/>
    <n v="64.239006430000003"/>
    <n v="0"/>
    <n v="4.1120716939999999"/>
    <n v="0"/>
    <n v="0"/>
    <n v="564.83436359999996"/>
    <n v="0"/>
    <n v="0"/>
    <n v="6.5"/>
    <n v="7.6910769060000002"/>
    <n v="-1.1910769059999999"/>
    <n v="1000.5"/>
    <n v="1031.6868710000001"/>
    <n v="-31.186871000000099"/>
    <n v="2"/>
    <n v="56"/>
    <n v="1800"/>
    <n v="0"/>
    <x v="40"/>
    <n v="262.59051827500002"/>
    <n v="10.265148536000009"/>
    <n v="272.85566681100005"/>
    <x v="0"/>
  </r>
  <r>
    <x v="97"/>
    <x v="3"/>
    <n v="0"/>
    <n v="0"/>
    <n v="0"/>
    <n v="0"/>
    <n v="0"/>
    <n v="0"/>
    <n v="0"/>
    <n v="0"/>
    <n v="0"/>
    <n v="0"/>
    <n v="35.432386080000001"/>
    <n v="0"/>
    <n v="0.77062700299999998"/>
    <n v="0"/>
    <n v="0"/>
    <n v="246.4936912"/>
    <n v="0"/>
    <n v="0"/>
    <n v="4.5"/>
    <n v="5.1548044009999998"/>
    <n v="-0.65480440099999904"/>
    <n v="800.5"/>
    <n v="865.02907019999998"/>
    <n v="-64.529070199999893"/>
    <n v="76"/>
    <n v="7"/>
    <n v="12000"/>
    <n v="0"/>
    <x v="41"/>
    <n v="164.421057604"/>
    <n v="10.381733425999984"/>
    <n v="174.80279102999998"/>
    <x v="0"/>
  </r>
  <r>
    <x v="98"/>
    <x v="3"/>
    <n v="0"/>
    <n v="0"/>
    <n v="0"/>
    <n v="0"/>
    <n v="0"/>
    <n v="0"/>
    <n v="0"/>
    <n v="0"/>
    <n v="0"/>
    <n v="0"/>
    <n v="46.52860012"/>
    <n v="0"/>
    <n v="2.5070768050000001"/>
    <n v="0"/>
    <n v="0"/>
    <n v="388.95538099999999"/>
    <n v="0"/>
    <n v="0"/>
    <n v="7.5"/>
    <n v="5.9582706099999996"/>
    <n v="1.54172939"/>
    <n v="750.5"/>
    <n v="750.38581859999999"/>
    <n v="0.114181400000006"/>
    <n v="43"/>
    <n v="19"/>
    <n v="6000"/>
    <n v="0"/>
    <x v="2"/>
    <n v="187.99050450999999"/>
    <n v="-9.2617944799999989"/>
    <n v="178.72871003"/>
    <x v="0"/>
  </r>
  <r>
    <x v="99"/>
    <x v="3"/>
    <n v="0"/>
    <n v="0"/>
    <n v="0"/>
    <n v="0"/>
    <n v="0"/>
    <n v="0"/>
    <n v="0"/>
    <n v="0"/>
    <n v="0"/>
    <n v="0"/>
    <n v="42.383458959999999"/>
    <n v="0"/>
    <n v="2.890640619"/>
    <n v="0"/>
    <n v="0"/>
    <n v="297.29852940000001"/>
    <n v="0"/>
    <n v="0"/>
    <n v="5.5"/>
    <n v="6.6785939599999997"/>
    <n v="-1.1785939599999899"/>
    <n v="850.5"/>
    <n v="883.74116670000001"/>
    <n v="-33.241166700000001"/>
    <n v="30"/>
    <n v="27"/>
    <n v="15000"/>
    <n v="0"/>
    <x v="40"/>
    <n v="196.711106564"/>
    <n v="10.39568042999994"/>
    <n v="207.10678699399995"/>
    <x v="0"/>
  </r>
  <r>
    <x v="100"/>
    <x v="3"/>
    <n v="0"/>
    <n v="0"/>
    <n v="0"/>
    <n v="0"/>
    <n v="0"/>
    <n v="0"/>
    <n v="0"/>
    <n v="0"/>
    <n v="0"/>
    <n v="0"/>
    <n v="43.074783099999998"/>
    <n v="0"/>
    <n v="1.8506261129999999"/>
    <n v="0"/>
    <n v="0"/>
    <n v="342.40449100000001"/>
    <n v="0"/>
    <n v="0"/>
    <n v="5.5"/>
    <n v="4.4110879130000002"/>
    <n v="1.08891208699999"/>
    <n v="750.5"/>
    <n v="740.86488940000004"/>
    <n v="9.63511059999996"/>
    <n v="75"/>
    <n v="7"/>
    <n v="12000"/>
    <n v="0"/>
    <x v="2"/>
    <n v="167.43461374600003"/>
    <n v="-7.4969835819999364"/>
    <n v="159.9376301640001"/>
    <x v="0"/>
  </r>
  <r>
    <x v="101"/>
    <x v="3"/>
    <n v="0"/>
    <n v="0"/>
    <n v="0"/>
    <n v="0"/>
    <n v="0"/>
    <n v="0"/>
    <n v="0"/>
    <n v="0"/>
    <n v="0"/>
    <n v="0"/>
    <n v="32.112571469999999"/>
    <n v="0"/>
    <n v="1.0913945570000001"/>
    <n v="0"/>
    <n v="0"/>
    <n v="216.69744789999999"/>
    <n v="0"/>
    <n v="0"/>
    <n v="0"/>
    <n v="6.3405723570000001"/>
    <n v="0"/>
    <n v="575.5"/>
    <n v="751.39517520000004"/>
    <n v="-175.89517520000001"/>
    <n v="123"/>
    <n v="2"/>
    <n v="25000"/>
    <n v="0"/>
    <x v="42"/>
    <n v="157.457349529"/>
    <n v="17.589517520000001"/>
    <n v="175.04686704900001"/>
    <x v="0"/>
  </r>
  <r>
    <x v="102"/>
    <x v="3"/>
    <n v="0"/>
    <n v="0"/>
    <n v="0"/>
    <n v="0"/>
    <n v="0"/>
    <n v="0"/>
    <n v="0"/>
    <n v="0"/>
    <n v="0"/>
    <n v="0"/>
    <n v="66.744717949999995"/>
    <n v="0"/>
    <n v="1.8198991959999999"/>
    <n v="0"/>
    <n v="0"/>
    <n v="487.77775300000002"/>
    <n v="0"/>
    <n v="0"/>
    <n v="4.5"/>
    <n v="4.6248622360000002"/>
    <n v="-0.124862236"/>
    <n v="625.5"/>
    <n v="749.61311590000003"/>
    <n v="-124.1131159"/>
    <n v="28"/>
    <n v="29"/>
    <n v="10000"/>
    <n v="0"/>
    <x v="43"/>
    <n v="195.78001445699999"/>
    <n v="13.160485006"/>
    <n v="208.94049946299998"/>
    <x v="0"/>
  </r>
  <r>
    <x v="103"/>
    <x v="3"/>
    <n v="0"/>
    <n v="0"/>
    <n v="0"/>
    <n v="0"/>
    <n v="0"/>
    <n v="0"/>
    <n v="0"/>
    <n v="0"/>
    <n v="0"/>
    <n v="0"/>
    <n v="41.116514629999998"/>
    <n v="0"/>
    <n v="1.4447078019999999"/>
    <n v="0"/>
    <n v="0"/>
    <n v="318.48329180000002"/>
    <n v="0"/>
    <n v="0"/>
    <n v="8.5"/>
    <n v="9.7583420160000003"/>
    <n v="-1.2583420160000001"/>
    <n v="1075.5"/>
    <n v="1179.9614019999999"/>
    <n v="-104.461401999999"/>
    <n v="9"/>
    <n v="51"/>
    <n v="2800"/>
    <n v="0"/>
    <x v="44"/>
    <n v="237.62102560300002"/>
    <n v="17.996192295999901"/>
    <n v="255.61721789899991"/>
    <x v="0"/>
  </r>
  <r>
    <x v="104"/>
    <x v="3"/>
    <n v="0"/>
    <n v="0"/>
    <n v="0"/>
    <n v="0"/>
    <n v="0"/>
    <n v="0"/>
    <n v="0"/>
    <n v="0"/>
    <n v="0"/>
    <n v="0"/>
    <n v="45.989852370000001"/>
    <n v="0"/>
    <n v="2.376675831"/>
    <n v="0"/>
    <n v="0"/>
    <n v="360.41945779999998"/>
    <n v="0"/>
    <n v="0"/>
    <n v="7.5"/>
    <n v="8.7709054769999995"/>
    <n v="-1.2709054769999899"/>
    <n v="1000.5"/>
    <n v="1043.636074"/>
    <n v="-43.136074000000001"/>
    <n v="10"/>
    <n v="50"/>
    <n v="2200"/>
    <n v="0"/>
    <x v="40"/>
    <n v="230.28596721299999"/>
    <n v="11.93904026199994"/>
    <n v="242.22500747499993"/>
    <x v="0"/>
  </r>
  <r>
    <x v="105"/>
    <x v="3"/>
    <n v="0"/>
    <n v="0"/>
    <n v="0"/>
    <n v="0"/>
    <n v="0"/>
    <n v="0"/>
    <n v="0"/>
    <n v="0"/>
    <n v="0"/>
    <n v="0"/>
    <n v="37.347418439999998"/>
    <n v="0"/>
    <n v="1.353942628"/>
    <n v="0"/>
    <n v="0"/>
    <n v="287.2851781"/>
    <n v="0"/>
    <n v="0"/>
    <n v="7.5"/>
    <n v="6.6262525170000002"/>
    <n v="0.87374748299999905"/>
    <n v="925.5"/>
    <n v="945.47959600000002"/>
    <n v="-19.979596000000001"/>
    <n v="41"/>
    <n v="21"/>
    <n v="12000"/>
    <n v="0"/>
    <x v="2"/>
    <n v="189.83135750000002"/>
    <n v="-3.2445252979999943"/>
    <n v="186.58683220200004"/>
    <x v="0"/>
  </r>
  <r>
    <x v="106"/>
    <x v="3"/>
    <n v="0"/>
    <n v="0"/>
    <n v="0"/>
    <n v="0"/>
    <n v="0"/>
    <n v="0"/>
    <n v="0"/>
    <n v="0"/>
    <n v="0"/>
    <n v="0"/>
    <n v="27.211011379999999"/>
    <n v="0"/>
    <n v="1.1121721499999999"/>
    <n v="0"/>
    <n v="0"/>
    <n v="223.12639250000001"/>
    <n v="0"/>
    <n v="0"/>
    <n v="10.5"/>
    <n v="11.47637742"/>
    <n v="-0.97637742000000005"/>
    <n v="975.5"/>
    <n v="1059.4162940000001"/>
    <n v="-83.916294000000093"/>
    <n v="24"/>
    <n v="32"/>
    <n v="5000"/>
    <n v="0"/>
    <x v="45"/>
    <n v="217.39107176000002"/>
    <n v="14.249893920000011"/>
    <n v="231.64096568000002"/>
    <x v="0"/>
  </r>
  <r>
    <x v="107"/>
    <x v="3"/>
    <n v="0"/>
    <n v="0"/>
    <n v="0"/>
    <n v="0"/>
    <n v="0"/>
    <n v="0"/>
    <n v="0"/>
    <n v="0"/>
    <n v="0"/>
    <n v="0"/>
    <n v="34.83517166"/>
    <n v="0"/>
    <n v="1.3879416330000001"/>
    <n v="0"/>
    <n v="0"/>
    <n v="249.2433667"/>
    <n v="0"/>
    <n v="0"/>
    <n v="5.5"/>
    <n v="5.1341183260000003"/>
    <n v="0.36588167399999899"/>
    <n v="725.5"/>
    <n v="832.16463940000006"/>
    <n v="-106.6646394"/>
    <n v="72"/>
    <n v="8"/>
    <n v="12000"/>
    <n v="0"/>
    <x v="2"/>
    <n v="164.69074619400001"/>
    <n v="8.4711738960000069"/>
    <n v="173.16192009000002"/>
    <x v="0"/>
  </r>
  <r>
    <x v="108"/>
    <x v="3"/>
    <n v="0"/>
    <n v="0"/>
    <n v="0"/>
    <n v="0"/>
    <n v="0"/>
    <n v="0"/>
    <n v="0"/>
    <n v="0"/>
    <n v="0"/>
    <n v="0"/>
    <n v="38.096092839999997"/>
    <n v="0"/>
    <n v="1.012277154"/>
    <n v="0"/>
    <n v="0"/>
    <n v="245.30708720000001"/>
    <n v="0"/>
    <n v="0"/>
    <n v="5.5"/>
    <n v="4.99276389"/>
    <n v="0.50723611000000002"/>
    <n v="775.5"/>
    <n v="726.84873560000005"/>
    <n v="48.651264399999903"/>
    <n v="101"/>
    <n v="3"/>
    <n v="15000"/>
    <n v="0"/>
    <x v="2"/>
    <n v="152.293874964"/>
    <n v="-7.9085430999999904"/>
    <n v="144.38533186399999"/>
    <x v="0"/>
  </r>
  <r>
    <x v="109"/>
    <x v="3"/>
    <n v="0"/>
    <n v="0"/>
    <n v="0"/>
    <n v="0"/>
    <n v="0"/>
    <n v="0"/>
    <n v="0"/>
    <n v="0"/>
    <n v="0"/>
    <n v="0"/>
    <n v="30.33810716"/>
    <n v="0"/>
    <n v="1.050770626"/>
    <n v="0"/>
    <n v="0"/>
    <n v="206.464438"/>
    <n v="0"/>
    <n v="0"/>
    <n v="6.5"/>
    <n v="5.5886702059999998"/>
    <n v="0.91132979400000003"/>
    <n v="700.5"/>
    <n v="646.81570150000005"/>
    <n v="53.684298499999898"/>
    <n v="126"/>
    <n v="2"/>
    <n v="0"/>
    <n v="0"/>
    <x v="46"/>
    <n v="140.33371252200001"/>
    <n v="-10.836408613999989"/>
    <n v="129.49730390800002"/>
    <x v="0"/>
  </r>
  <r>
    <x v="110"/>
    <x v="2"/>
    <n v="0"/>
    <n v="0"/>
    <n v="0"/>
    <n v="0"/>
    <n v="0"/>
    <n v="0"/>
    <n v="0"/>
    <n v="0"/>
    <n v="0"/>
    <n v="62.5"/>
    <n v="60.287813890000002"/>
    <n v="0"/>
    <n v="3.6180741749999998"/>
    <n v="0"/>
    <n v="0"/>
    <n v="721.44764239999995"/>
    <n v="0"/>
    <n v="2.21218610999999"/>
    <n v="0"/>
    <n v="0"/>
    <n v="0"/>
    <n v="0"/>
    <n v="0"/>
    <n v="0"/>
    <n v="176"/>
    <n v="1"/>
    <n v="20000"/>
    <n v="0"/>
    <x v="2"/>
    <n v="123.99711623499999"/>
    <n v="-1.106093054999995"/>
    <n v="122.89102318"/>
    <x v="0"/>
  </r>
  <r>
    <x v="111"/>
    <x v="0"/>
    <n v="0"/>
    <n v="11.613497539999999"/>
    <n v="0"/>
    <n v="0"/>
    <n v="14.73616605"/>
    <n v="0"/>
    <n v="0"/>
    <n v="2981.9095109999998"/>
    <n v="0"/>
    <n v="0"/>
    <n v="0"/>
    <n v="0"/>
    <n v="0"/>
    <n v="0"/>
    <n v="0"/>
    <n v="0"/>
    <n v="0"/>
    <n v="0"/>
    <n v="0"/>
    <n v="2.2381924789999998"/>
    <n v="0"/>
    <n v="0"/>
    <n v="288.20537300000001"/>
    <n v="0"/>
    <n v="386"/>
    <n v="0"/>
    <n v="30000"/>
    <n v="1300"/>
    <x v="2"/>
    <n v="197.24374173400003"/>
    <n v="0"/>
    <n v="197.24374173400003"/>
    <x v="0"/>
  </r>
  <r>
    <x v="112"/>
    <x v="2"/>
    <n v="0"/>
    <n v="0"/>
    <n v="0"/>
    <n v="0"/>
    <n v="0"/>
    <n v="0"/>
    <n v="0"/>
    <n v="0"/>
    <n v="0"/>
    <n v="0"/>
    <n v="82.118358749999999"/>
    <n v="0"/>
    <n v="5.455459179"/>
    <n v="0"/>
    <n v="0"/>
    <n v="1081.76729"/>
    <n v="0"/>
    <n v="0"/>
    <n v="0"/>
    <n v="0"/>
    <n v="0"/>
    <n v="0"/>
    <n v="0"/>
    <n v="0"/>
    <n v="27"/>
    <n v="30"/>
    <n v="15000"/>
    <n v="1400"/>
    <x v="2"/>
    <n v="181.96866344900002"/>
    <n v="0"/>
    <n v="181.96866344900002"/>
    <x v="0"/>
  </r>
  <r>
    <x v="113"/>
    <x v="2"/>
    <n v="0"/>
    <n v="0"/>
    <n v="0"/>
    <n v="0"/>
    <n v="0"/>
    <n v="0"/>
    <n v="0"/>
    <n v="0"/>
    <n v="0"/>
    <n v="0"/>
    <n v="46.32229616"/>
    <n v="0"/>
    <n v="3.3865076809999999"/>
    <n v="0"/>
    <n v="0"/>
    <n v="643.93015339999999"/>
    <n v="0"/>
    <n v="0"/>
    <n v="0"/>
    <n v="0"/>
    <n v="0"/>
    <n v="0"/>
    <n v="0"/>
    <n v="0"/>
    <n v="180"/>
    <n v="1"/>
    <n v="30000"/>
    <n v="7500"/>
    <x v="2"/>
    <n v="107.87320950600001"/>
    <n v="0"/>
    <n v="107.87320950600001"/>
    <x v="0"/>
  </r>
  <r>
    <x v="114"/>
    <x v="2"/>
    <n v="0"/>
    <n v="0"/>
    <n v="0"/>
    <n v="0"/>
    <n v="0"/>
    <n v="0"/>
    <n v="0"/>
    <n v="0"/>
    <n v="0"/>
    <n v="0"/>
    <n v="26.595938690000001"/>
    <n v="0"/>
    <n v="2.447325781"/>
    <n v="0"/>
    <n v="0"/>
    <n v="353.94364789999997"/>
    <n v="0"/>
    <n v="0"/>
    <n v="0"/>
    <n v="0.27210471000000003"/>
    <n v="0"/>
    <n v="0"/>
    <n v="29.02334024"/>
    <n v="0"/>
    <n v="371"/>
    <n v="0"/>
    <n v="0"/>
    <n v="7500"/>
    <x v="2"/>
    <n v="67.911251104999991"/>
    <n v="0"/>
    <n v="67.911251104999991"/>
    <x v="0"/>
  </r>
  <r>
    <x v="115"/>
    <x v="2"/>
    <n v="0"/>
    <n v="0"/>
    <n v="0"/>
    <n v="0"/>
    <n v="0"/>
    <n v="0"/>
    <n v="0"/>
    <n v="0"/>
    <n v="0"/>
    <n v="0"/>
    <n v="30.200935479999998"/>
    <n v="0"/>
    <n v="2.1411307220000002"/>
    <n v="0"/>
    <n v="0"/>
    <n v="335.4916581"/>
    <n v="0"/>
    <n v="0"/>
    <n v="0"/>
    <n v="0.45243169300000002"/>
    <n v="0"/>
    <n v="0"/>
    <n v="53.973695450000001"/>
    <n v="0"/>
    <n v="333"/>
    <n v="0"/>
    <n v="0"/>
    <n v="7500"/>
    <x v="2"/>
    <n v="69.608377584999999"/>
    <n v="0"/>
    <n v="69.608377584999999"/>
    <x v="0"/>
  </r>
  <r>
    <x v="116"/>
    <x v="3"/>
    <n v="0"/>
    <n v="0"/>
    <n v="0"/>
    <n v="0"/>
    <n v="0"/>
    <n v="0"/>
    <n v="0"/>
    <n v="0"/>
    <n v="0"/>
    <n v="0"/>
    <n v="21.571035819999999"/>
    <n v="0"/>
    <n v="0.71232777000000003"/>
    <n v="0"/>
    <n v="0"/>
    <n v="152.63759669999999"/>
    <n v="0"/>
    <n v="0"/>
    <n v="0"/>
    <n v="3.1717662120000001"/>
    <n v="0"/>
    <n v="0"/>
    <n v="539.52610619999996"/>
    <n v="0"/>
    <n v="154"/>
    <n v="1"/>
    <n v="0"/>
    <n v="7500"/>
    <x v="2"/>
    <n v="103.306452092"/>
    <n v="0"/>
    <n v="103.306452092"/>
    <x v="0"/>
  </r>
  <r>
    <x v="117"/>
    <x v="2"/>
    <n v="0"/>
    <n v="0"/>
    <n v="0"/>
    <n v="0"/>
    <n v="0"/>
    <n v="0"/>
    <n v="0"/>
    <n v="0"/>
    <n v="0"/>
    <n v="0"/>
    <n v="38.381532300000003"/>
    <n v="0"/>
    <n v="2.828884264"/>
    <n v="0"/>
    <n v="0"/>
    <n v="454.95937520000001"/>
    <n v="0"/>
    <n v="0"/>
    <n v="0"/>
    <n v="0"/>
    <n v="0"/>
    <n v="0"/>
    <n v="0"/>
    <n v="0"/>
    <n v="331"/>
    <n v="0"/>
    <n v="0"/>
    <n v="7500"/>
    <x v="2"/>
    <n v="81.660009254000016"/>
    <n v="0"/>
    <n v="81.660009254000016"/>
    <x v="0"/>
  </r>
  <r>
    <x v="118"/>
    <x v="3"/>
    <n v="0"/>
    <n v="0"/>
    <n v="0"/>
    <n v="0"/>
    <n v="0"/>
    <n v="0"/>
    <n v="0"/>
    <n v="0"/>
    <n v="0"/>
    <n v="0"/>
    <n v="17.680973259999998"/>
    <n v="0"/>
    <n v="0.67241152299999996"/>
    <n v="0"/>
    <n v="0"/>
    <n v="129.63544909999999"/>
    <n v="0"/>
    <n v="0"/>
    <n v="0"/>
    <n v="3.8202144050000002"/>
    <n v="0"/>
    <n v="0"/>
    <n v="511.669916"/>
    <n v="0"/>
    <n v="182"/>
    <n v="1"/>
    <n v="20000"/>
    <n v="7500"/>
    <x v="2"/>
    <n v="99.926778708000001"/>
    <n v="0"/>
    <n v="99.926778708000001"/>
    <x v="0"/>
  </r>
  <r>
    <x v="119"/>
    <x v="2"/>
    <n v="0"/>
    <n v="0"/>
    <n v="0"/>
    <n v="0"/>
    <n v="0"/>
    <n v="0"/>
    <n v="0"/>
    <n v="0"/>
    <n v="0"/>
    <n v="0"/>
    <n v="55.945437650000002"/>
    <n v="0"/>
    <n v="2.9028539699999998"/>
    <n v="0"/>
    <n v="0"/>
    <n v="694.92047560000003"/>
    <n v="0"/>
    <n v="0"/>
    <n v="0"/>
    <n v="0"/>
    <n v="0"/>
    <n v="0"/>
    <n v="0"/>
    <n v="0"/>
    <n v="179"/>
    <n v="1"/>
    <n v="0"/>
    <n v="10000"/>
    <x v="2"/>
    <n v="114.881890205"/>
    <n v="0"/>
    <n v="114.881890205"/>
    <x v="0"/>
  </r>
  <r>
    <x v="120"/>
    <x v="0"/>
    <n v="0"/>
    <n v="1.8494094830000001"/>
    <n v="0"/>
    <n v="0"/>
    <n v="3.5516003469999999"/>
    <n v="0"/>
    <n v="0"/>
    <n v="469.6800733"/>
    <n v="0"/>
    <n v="0"/>
    <n v="0"/>
    <n v="0"/>
    <n v="0"/>
    <n v="0"/>
    <n v="0"/>
    <n v="0"/>
    <n v="0"/>
    <n v="0"/>
    <n v="0"/>
    <n v="0.18879707000000001"/>
    <n v="0"/>
    <n v="0"/>
    <n v="15.359351009999999"/>
    <n v="0"/>
    <n v="450"/>
    <n v="0"/>
    <n v="20000"/>
    <n v="10000"/>
    <x v="2"/>
    <n v="31.963502875"/>
    <n v="0"/>
    <n v="31.963502875"/>
    <x v="0"/>
  </r>
  <r>
    <x v="121"/>
    <x v="3"/>
    <n v="0"/>
    <n v="0"/>
    <n v="0"/>
    <n v="0"/>
    <n v="0"/>
    <n v="0"/>
    <n v="0"/>
    <n v="0"/>
    <n v="0"/>
    <n v="0"/>
    <n v="21.416160959999999"/>
    <n v="0"/>
    <n v="0.93045169999999999"/>
    <n v="0"/>
    <n v="0"/>
    <n v="151.63885540000001"/>
    <n v="0"/>
    <n v="0"/>
    <n v="0"/>
    <n v="1.8621700670000001"/>
    <n v="0"/>
    <n v="0"/>
    <n v="317.70704690000002"/>
    <n v="0"/>
    <n v="187"/>
    <n v="1"/>
    <n v="0"/>
    <n v="10000"/>
    <x v="2"/>
    <n v="74.398401312000004"/>
    <n v="0"/>
    <n v="74.398401312000004"/>
    <x v="0"/>
  </r>
  <r>
    <x v="122"/>
    <x v="3"/>
    <n v="0"/>
    <n v="0"/>
    <n v="0"/>
    <n v="0"/>
    <n v="0"/>
    <n v="0"/>
    <n v="0"/>
    <n v="0"/>
    <n v="0"/>
    <n v="0"/>
    <n v="23.593653289999999"/>
    <n v="0"/>
    <n v="0.82956054000000001"/>
    <n v="0"/>
    <n v="0"/>
    <n v="173.92243999999999"/>
    <n v="0"/>
    <n v="0"/>
    <n v="0"/>
    <n v="4.7724550030000001"/>
    <n v="0"/>
    <n v="0"/>
    <n v="656.06755720000001"/>
    <n v="0"/>
    <n v="128"/>
    <n v="2"/>
    <n v="0"/>
    <n v="10000"/>
    <x v="2"/>
    <n v="128.407919623"/>
    <n v="0"/>
    <n v="128.407919623"/>
    <x v="0"/>
  </r>
  <r>
    <x v="123"/>
    <x v="3"/>
    <n v="0"/>
    <n v="0"/>
    <n v="0"/>
    <n v="0"/>
    <n v="0"/>
    <n v="0"/>
    <n v="0"/>
    <n v="0"/>
    <n v="0"/>
    <n v="0"/>
    <n v="13.08781276"/>
    <n v="0"/>
    <n v="0.56400132300000005"/>
    <n v="0"/>
    <n v="0"/>
    <n v="93.385729909999995"/>
    <n v="0"/>
    <n v="0"/>
    <n v="0"/>
    <n v="2.6824465759999998"/>
    <n v="0"/>
    <n v="0"/>
    <n v="339.16102080000002"/>
    <n v="0"/>
    <n v="266"/>
    <n v="0"/>
    <n v="0"/>
    <n v="10000"/>
    <x v="2"/>
    <n v="69.277268844999995"/>
    <n v="0"/>
    <n v="69.277268844999995"/>
    <x v="0"/>
  </r>
  <r>
    <x v="124"/>
    <x v="3"/>
    <n v="0"/>
    <n v="0"/>
    <n v="0"/>
    <n v="0"/>
    <n v="0"/>
    <n v="0"/>
    <n v="0"/>
    <n v="0"/>
    <n v="0"/>
    <n v="0"/>
    <n v="12.49920221"/>
    <n v="0"/>
    <n v="0.49331283799999998"/>
    <n v="0"/>
    <n v="0"/>
    <n v="89.722587959999998"/>
    <n v="0"/>
    <n v="0"/>
    <n v="0"/>
    <n v="1.5002594570000001"/>
    <n v="0"/>
    <n v="0"/>
    <n v="226.36484530000001"/>
    <n v="0"/>
    <n v="202"/>
    <n v="1"/>
    <n v="0"/>
    <n v="10000"/>
    <x v="2"/>
    <n v="49.819778201000005"/>
    <n v="0"/>
    <n v="49.819778201000005"/>
    <x v="0"/>
  </r>
  <r>
    <x v="125"/>
    <x v="2"/>
    <n v="0"/>
    <n v="0"/>
    <n v="0"/>
    <n v="0"/>
    <n v="0"/>
    <n v="0"/>
    <n v="0"/>
    <n v="0"/>
    <n v="0"/>
    <n v="0"/>
    <n v="16.18074906"/>
    <n v="0"/>
    <n v="0.98090165100000004"/>
    <n v="0"/>
    <n v="0"/>
    <n v="200.16440209999999"/>
    <n v="0"/>
    <n v="0"/>
    <n v="0"/>
    <n v="0"/>
    <n v="0"/>
    <n v="0"/>
    <n v="0"/>
    <n v="0"/>
    <n v="995"/>
    <n v="0"/>
    <n v="30000"/>
    <n v="12000"/>
    <x v="2"/>
    <n v="33.992224645999997"/>
    <n v="0"/>
    <n v="33.992224645999997"/>
    <x v="0"/>
  </r>
  <r>
    <x v="126"/>
    <x v="3"/>
    <n v="0"/>
    <n v="0"/>
    <n v="0"/>
    <n v="0"/>
    <n v="0"/>
    <n v="0"/>
    <n v="0"/>
    <n v="0"/>
    <n v="0"/>
    <n v="0"/>
    <n v="8.2194707220000005"/>
    <n v="0"/>
    <n v="0.277229687"/>
    <n v="0"/>
    <n v="0"/>
    <n v="58.657255569999997"/>
    <n v="0"/>
    <n v="0"/>
    <n v="0"/>
    <n v="0.92176026300000002"/>
    <n v="0"/>
    <n v="0"/>
    <n v="159.53070299999999"/>
    <n v="0"/>
    <n v="400"/>
    <n v="0"/>
    <n v="0"/>
    <n v="15000"/>
    <x v="2"/>
    <n v="33.122470918000005"/>
    <n v="0"/>
    <n v="33.122470918000005"/>
    <x v="0"/>
  </r>
  <r>
    <x v="127"/>
    <x v="0"/>
    <n v="0"/>
    <n v="1.5475153079999999"/>
    <n v="0"/>
    <n v="0"/>
    <n v="2.7651214930000001"/>
    <n v="0"/>
    <n v="0"/>
    <n v="473.76157189999998"/>
    <n v="0"/>
    <n v="0"/>
    <n v="0"/>
    <n v="0"/>
    <n v="0"/>
    <n v="0"/>
    <n v="0"/>
    <n v="0"/>
    <n v="0"/>
    <n v="0"/>
    <n v="0"/>
    <n v="0.18581747300000001"/>
    <n v="0"/>
    <n v="0"/>
    <n v="24.350723070000001"/>
    <n v="0"/>
    <n v="1028"/>
    <n v="0"/>
    <n v="0"/>
    <n v="15000"/>
    <x v="2"/>
    <n v="30.465895377000002"/>
    <n v="0"/>
    <n v="30.465895377000002"/>
    <x v="0"/>
  </r>
  <r>
    <x v="128"/>
    <x v="2"/>
    <n v="0"/>
    <n v="0"/>
    <n v="0"/>
    <n v="0"/>
    <n v="0"/>
    <n v="0"/>
    <n v="0"/>
    <n v="0"/>
    <n v="0"/>
    <n v="0"/>
    <n v="21.850960300000001"/>
    <n v="0"/>
    <n v="1.492296176"/>
    <n v="0"/>
    <n v="0"/>
    <n v="279.11799860000002"/>
    <n v="0"/>
    <n v="0"/>
    <n v="0"/>
    <n v="0"/>
    <n v="0"/>
    <n v="0"/>
    <n v="0"/>
    <n v="0"/>
    <n v="983"/>
    <n v="0"/>
    <n v="0"/>
    <n v="15000"/>
    <x v="2"/>
    <n v="47.791057066"/>
    <n v="0"/>
    <n v="47.791057066"/>
    <x v="0"/>
  </r>
  <r>
    <x v="129"/>
    <x v="2"/>
    <n v="0"/>
    <n v="0"/>
    <n v="0"/>
    <n v="0"/>
    <n v="0"/>
    <n v="0"/>
    <n v="0"/>
    <n v="0"/>
    <n v="0"/>
    <n v="0"/>
    <n v="39.882521609999998"/>
    <n v="0"/>
    <n v="3.0144183959999999"/>
    <n v="0"/>
    <n v="0"/>
    <n v="488.7587474"/>
    <n v="0"/>
    <n v="0"/>
    <n v="0"/>
    <n v="0"/>
    <n v="0"/>
    <n v="0"/>
    <n v="0"/>
    <n v="0"/>
    <n v="306"/>
    <n v="0"/>
    <n v="0"/>
    <n v="15000"/>
    <x v="2"/>
    <n v="86.903645920999992"/>
    <n v="0"/>
    <n v="86.903645920999992"/>
    <x v="0"/>
  </r>
  <r>
    <x v="130"/>
    <x v="3"/>
    <n v="0"/>
    <n v="0"/>
    <n v="0"/>
    <n v="0"/>
    <n v="0"/>
    <n v="0"/>
    <n v="0"/>
    <n v="0"/>
    <n v="0"/>
    <n v="0"/>
    <n v="3.6923368970000001"/>
    <n v="0"/>
    <n v="0.16924982"/>
    <n v="0"/>
    <n v="0"/>
    <n v="27.034910910000001"/>
    <n v="0"/>
    <n v="0"/>
    <n v="0"/>
    <n v="0.95966232299999998"/>
    <n v="0"/>
    <n v="0"/>
    <n v="116.1735334"/>
    <n v="0"/>
    <n v="439"/>
    <n v="0"/>
    <n v="0"/>
    <n v="15000"/>
    <x v="2"/>
    <n v="22.940485737500001"/>
    <n v="0"/>
    <n v="22.940485737500001"/>
    <x v="0"/>
  </r>
  <r>
    <x v="131"/>
    <x v="2"/>
    <n v="0"/>
    <n v="0"/>
    <n v="0"/>
    <n v="0"/>
    <n v="0"/>
    <n v="0"/>
    <n v="0"/>
    <n v="0"/>
    <n v="0"/>
    <n v="0"/>
    <n v="15.60123881"/>
    <n v="0"/>
    <n v="1.3042529030000001"/>
    <n v="0"/>
    <n v="0"/>
    <n v="188.9245019"/>
    <n v="0"/>
    <n v="0"/>
    <n v="0"/>
    <n v="0"/>
    <n v="0"/>
    <n v="0"/>
    <n v="0"/>
    <n v="0"/>
    <n v="993"/>
    <n v="0"/>
    <n v="30000"/>
    <n v="15000"/>
    <x v="2"/>
    <n v="34.518587013000001"/>
    <n v="0"/>
    <n v="34.518587013000001"/>
    <x v="0"/>
  </r>
  <r>
    <x v="132"/>
    <x v="3"/>
    <n v="0"/>
    <n v="0"/>
    <n v="0"/>
    <n v="0"/>
    <n v="0"/>
    <n v="0"/>
    <n v="0"/>
    <n v="0"/>
    <n v="0"/>
    <n v="0"/>
    <n v="3.8324191239999998"/>
    <n v="0"/>
    <n v="0.15861212699999999"/>
    <n v="0"/>
    <n v="0"/>
    <n v="27.01735905"/>
    <n v="0"/>
    <n v="0"/>
    <n v="0"/>
    <n v="0.75271924999999995"/>
    <n v="0"/>
    <n v="0"/>
    <n v="140.5300264"/>
    <n v="0"/>
    <n v="438"/>
    <n v="0"/>
    <n v="0"/>
    <n v="15000"/>
    <x v="2"/>
    <n v="24.138936369"/>
    <n v="0"/>
    <n v="24.138936369"/>
    <x v="0"/>
  </r>
  <r>
    <x v="133"/>
    <x v="3"/>
    <n v="0"/>
    <n v="0"/>
    <n v="0"/>
    <n v="0"/>
    <n v="0"/>
    <n v="0"/>
    <n v="0"/>
    <n v="0"/>
    <n v="0"/>
    <n v="0"/>
    <n v="16.259947149999999"/>
    <n v="0"/>
    <n v="0.65318358600000004"/>
    <n v="0"/>
    <n v="0"/>
    <n v="117.42312509999999"/>
    <n v="0"/>
    <n v="0"/>
    <n v="0"/>
    <n v="1.88615917"/>
    <n v="0"/>
    <n v="0"/>
    <n v="348.47955569999999"/>
    <n v="0"/>
    <n v="322"/>
    <n v="0"/>
    <n v="0"/>
    <n v="15000"/>
    <x v="2"/>
    <n v="69.956298191000002"/>
    <n v="0"/>
    <n v="69.956298191000002"/>
    <x v="0"/>
  </r>
  <r>
    <x v="13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000"/>
    <x v="2"/>
    <n v="0"/>
    <n v="0"/>
    <n v="0"/>
    <x v="0"/>
  </r>
  <r>
    <x v="135"/>
    <x v="1"/>
    <n v="0"/>
    <n v="0"/>
    <n v="0"/>
    <n v="0"/>
    <n v="0"/>
    <n v="0"/>
    <n v="0"/>
    <n v="0"/>
    <n v="0"/>
    <n v="0"/>
    <n v="32.145339180000001"/>
    <n v="0"/>
    <n v="1.6829993050000001"/>
    <n v="0"/>
    <n v="0"/>
    <n v="325.23483599999997"/>
    <n v="0"/>
    <n v="0"/>
    <n v="0"/>
    <n v="0"/>
    <n v="0"/>
    <n v="0"/>
    <n v="0"/>
    <n v="0"/>
    <n v="416"/>
    <n v="0"/>
    <n v="0"/>
    <n v="15000"/>
    <x v="2"/>
    <n v="58.694149019999998"/>
    <n v="0"/>
    <n v="58.694149019999998"/>
    <x v="0"/>
  </r>
  <r>
    <x v="136"/>
    <x v="3"/>
    <n v="0"/>
    <n v="0"/>
    <n v="0"/>
    <n v="0"/>
    <n v="0"/>
    <n v="0"/>
    <n v="0"/>
    <n v="0"/>
    <n v="0"/>
    <n v="0"/>
    <n v="3.6046930179999999"/>
    <n v="0"/>
    <n v="0.167572048"/>
    <n v="0"/>
    <n v="0"/>
    <n v="25.887013209999999"/>
    <n v="0"/>
    <n v="0"/>
    <n v="0"/>
    <n v="0.48190157"/>
    <n v="0"/>
    <n v="0"/>
    <n v="70.133843799999994"/>
    <n v="0"/>
    <n v="1073"/>
    <n v="0"/>
    <n v="0"/>
    <n v="20000"/>
    <x v="2"/>
    <n v="15.301273918"/>
    <n v="0"/>
    <n v="15.301273918"/>
    <x v="0"/>
  </r>
  <r>
    <x v="137"/>
    <x v="1"/>
    <n v="0"/>
    <n v="0"/>
    <n v="0"/>
    <n v="0"/>
    <n v="0"/>
    <n v="0"/>
    <n v="0"/>
    <n v="0"/>
    <n v="0"/>
    <n v="0"/>
    <n v="3.5934106130000001"/>
    <n v="0"/>
    <n v="0.19939258000000001"/>
    <n v="0"/>
    <n v="0"/>
    <n v="36.267159409999998"/>
    <n v="0"/>
    <n v="0"/>
    <n v="0"/>
    <n v="0"/>
    <n v="0"/>
    <n v="0"/>
    <n v="0"/>
    <n v="0"/>
    <n v="1145"/>
    <n v="0"/>
    <n v="0"/>
    <n v="20000"/>
    <x v="2"/>
    <n v="6.6197767274999997"/>
    <n v="0"/>
    <n v="6.6197767274999997"/>
    <x v="0"/>
  </r>
  <r>
    <x v="13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x v="2"/>
    <n v="0"/>
    <n v="0"/>
    <n v="0"/>
    <x v="0"/>
  </r>
  <r>
    <x v="139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x v="2"/>
    <n v="0"/>
    <n v="0"/>
    <n v="0"/>
    <x v="0"/>
  </r>
  <r>
    <x v="140"/>
    <x v="1"/>
    <n v="0"/>
    <n v="0"/>
    <n v="0"/>
    <n v="0"/>
    <n v="0"/>
    <n v="0"/>
    <n v="0"/>
    <n v="0"/>
    <n v="0"/>
    <n v="0"/>
    <n v="35.839216890000003"/>
    <n v="0"/>
    <n v="2.0232437000000001"/>
    <n v="0"/>
    <n v="0"/>
    <n v="351.38722860000001"/>
    <n v="0"/>
    <n v="0"/>
    <n v="0"/>
    <n v="0"/>
    <n v="0"/>
    <n v="0"/>
    <n v="0"/>
    <n v="0"/>
    <n v="413"/>
    <n v="0"/>
    <n v="0"/>
    <n v="20000"/>
    <x v="2"/>
    <n v="65.197793505000007"/>
    <n v="0"/>
    <n v="65.197793505000007"/>
    <x v="0"/>
  </r>
  <r>
    <x v="14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42"/>
    <x v="2"/>
    <n v="0"/>
    <n v="0"/>
    <n v="0"/>
    <n v="0"/>
    <n v="0"/>
    <n v="0"/>
    <n v="0"/>
    <n v="0"/>
    <n v="0"/>
    <n v="0"/>
    <n v="3.1530257709999998"/>
    <n v="0"/>
    <n v="0.23064606400000001"/>
    <n v="0"/>
    <n v="0"/>
    <n v="36.49165043"/>
    <n v="0"/>
    <n v="0"/>
    <n v="0"/>
    <n v="0"/>
    <n v="0"/>
    <n v="0"/>
    <n v="0"/>
    <n v="0"/>
    <n v="1139"/>
    <n v="0"/>
    <n v="0"/>
    <n v="25000"/>
    <x v="2"/>
    <n v="6.6095543125000003"/>
    <n v="0"/>
    <n v="6.6095543125000003"/>
    <x v="0"/>
  </r>
  <r>
    <x v="143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44"/>
    <x v="3"/>
    <n v="0"/>
    <n v="0"/>
    <n v="0"/>
    <n v="0"/>
    <n v="0"/>
    <n v="0"/>
    <n v="0"/>
    <n v="0"/>
    <n v="0"/>
    <n v="0"/>
    <n v="12.947681169999999"/>
    <n v="0"/>
    <n v="0.54315858299999997"/>
    <n v="0"/>
    <n v="0"/>
    <n v="94.19809549"/>
    <n v="0"/>
    <n v="0"/>
    <n v="0"/>
    <n v="2.4755924600000001"/>
    <n v="0"/>
    <n v="0"/>
    <n v="351.50153089999998"/>
    <n v="0"/>
    <n v="201"/>
    <n v="1"/>
    <n v="0"/>
    <n v="25000"/>
    <x v="2"/>
    <n v="69.156309481999998"/>
    <n v="0"/>
    <n v="69.156309481999998"/>
    <x v="0"/>
  </r>
  <r>
    <x v="145"/>
    <x v="3"/>
    <n v="0"/>
    <n v="0"/>
    <n v="0"/>
    <n v="0"/>
    <n v="0"/>
    <n v="0"/>
    <n v="0"/>
    <n v="0"/>
    <n v="0"/>
    <n v="0"/>
    <n v="8.9110076280000001"/>
    <n v="0"/>
    <n v="0.382470066"/>
    <n v="0"/>
    <n v="0"/>
    <n v="63.142940619999997"/>
    <n v="0"/>
    <n v="0"/>
    <n v="0"/>
    <n v="1.7911003990000001"/>
    <n v="0"/>
    <n v="0"/>
    <n v="276.54074530000003"/>
    <n v="0"/>
    <n v="350"/>
    <n v="0"/>
    <n v="0"/>
    <n v="25000"/>
    <x v="2"/>
    <n v="51.465295196"/>
    <n v="0"/>
    <n v="51.465295196"/>
    <x v="0"/>
  </r>
  <r>
    <x v="146"/>
    <x v="3"/>
    <n v="0"/>
    <n v="0"/>
    <n v="0"/>
    <n v="0"/>
    <n v="0"/>
    <n v="0"/>
    <n v="0"/>
    <n v="0"/>
    <n v="0"/>
    <n v="0"/>
    <n v="8.4893816599999994"/>
    <n v="0"/>
    <n v="0.26536838200000001"/>
    <n v="0"/>
    <n v="0"/>
    <n v="59.759779190000003"/>
    <n v="0"/>
    <n v="0"/>
    <n v="0"/>
    <n v="0.32535430599999998"/>
    <n v="0"/>
    <n v="0"/>
    <n v="61.81521936"/>
    <n v="0"/>
    <n v="459"/>
    <n v="0"/>
    <n v="0"/>
    <n v="25000"/>
    <x v="2"/>
    <n v="19.946526813000002"/>
    <n v="0"/>
    <n v="19.946526813000002"/>
    <x v="0"/>
  </r>
  <r>
    <x v="14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4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49"/>
    <x v="2"/>
    <n v="0"/>
    <n v="0"/>
    <n v="0"/>
    <n v="0"/>
    <n v="0"/>
    <n v="0"/>
    <n v="0"/>
    <n v="0"/>
    <n v="0"/>
    <n v="0"/>
    <n v="40.505164399999998"/>
    <n v="0"/>
    <n v="1.9394556890000001"/>
    <n v="0"/>
    <n v="0"/>
    <n v="481.64223930000003"/>
    <n v="0"/>
    <n v="0"/>
    <n v="0"/>
    <n v="0"/>
    <n v="0"/>
    <n v="0"/>
    <n v="0"/>
    <n v="0"/>
    <n v="329"/>
    <n v="0"/>
    <n v="0"/>
    <n v="25000"/>
    <x v="2"/>
    <n v="80.053540264000006"/>
    <n v="0"/>
    <n v="80.053540264000006"/>
    <x v="0"/>
  </r>
  <r>
    <x v="150"/>
    <x v="1"/>
    <n v="0"/>
    <n v="0"/>
    <n v="0"/>
    <n v="0"/>
    <n v="0"/>
    <n v="0"/>
    <n v="0"/>
    <n v="0"/>
    <n v="0"/>
    <n v="0"/>
    <n v="3.8142622730000002"/>
    <n v="0"/>
    <n v="0.28877445099999999"/>
    <n v="0"/>
    <n v="0"/>
    <n v="39.165468990000001"/>
    <n v="0"/>
    <n v="0"/>
    <n v="0"/>
    <n v="0"/>
    <n v="0"/>
    <n v="0"/>
    <n v="0"/>
    <n v="0"/>
    <n v="1111"/>
    <n v="0"/>
    <n v="0"/>
    <n v="25000"/>
    <x v="2"/>
    <n v="7.5563247415000001"/>
    <n v="0"/>
    <n v="7.5563247415000001"/>
    <x v="0"/>
  </r>
  <r>
    <x v="15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52"/>
    <x v="3"/>
    <n v="0"/>
    <n v="0"/>
    <n v="0"/>
    <n v="0"/>
    <n v="0"/>
    <n v="0"/>
    <n v="0"/>
    <n v="0"/>
    <n v="0"/>
    <n v="0"/>
    <n v="8.0330492299999996"/>
    <n v="0"/>
    <n v="0.30945271000000002"/>
    <n v="0"/>
    <n v="0"/>
    <n v="55.342891710000004"/>
    <n v="0"/>
    <n v="0"/>
    <n v="0"/>
    <n v="0.75920628300000004"/>
    <n v="0"/>
    <n v="0"/>
    <n v="175.644385"/>
    <n v="0"/>
    <n v="399"/>
    <n v="0"/>
    <n v="0"/>
    <n v="25000"/>
    <x v="2"/>
    <n v="33.527206243999998"/>
    <n v="0"/>
    <n v="33.527206243999998"/>
    <x v="0"/>
  </r>
  <r>
    <x v="153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54"/>
    <x v="3"/>
    <n v="0"/>
    <n v="0"/>
    <n v="0"/>
    <n v="0"/>
    <n v="0"/>
    <n v="0"/>
    <n v="0"/>
    <n v="0"/>
    <n v="0"/>
    <n v="0"/>
    <n v="4.3241390170000003"/>
    <n v="0"/>
    <n v="0.20362185799999999"/>
    <n v="0"/>
    <n v="0"/>
    <n v="30.705354629999999"/>
    <n v="0"/>
    <n v="0"/>
    <n v="0"/>
    <n v="0.695061924"/>
    <n v="0"/>
    <n v="0"/>
    <n v="90.30162018"/>
    <n v="0"/>
    <n v="1051"/>
    <n v="0"/>
    <n v="0"/>
    <n v="25000"/>
    <x v="2"/>
    <n v="19.654869681500003"/>
    <n v="0"/>
    <n v="19.654869681500003"/>
    <x v="0"/>
  </r>
  <r>
    <x v="15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56"/>
    <x v="1"/>
    <n v="0"/>
    <n v="0"/>
    <n v="0"/>
    <n v="0"/>
    <n v="0"/>
    <n v="0"/>
    <n v="0"/>
    <n v="0"/>
    <n v="0"/>
    <n v="0"/>
    <n v="3.8230241829999998"/>
    <n v="0"/>
    <n v="0.31063982200000001"/>
    <n v="0"/>
    <n v="0"/>
    <n v="38.197011799999999"/>
    <n v="0"/>
    <n v="0"/>
    <n v="0"/>
    <n v="0"/>
    <n v="0"/>
    <n v="0"/>
    <n v="0"/>
    <n v="0"/>
    <n v="1110"/>
    <n v="0"/>
    <n v="0"/>
    <n v="25000"/>
    <x v="2"/>
    <n v="7.5950522034999999"/>
    <n v="0"/>
    <n v="7.5950522034999999"/>
    <x v="0"/>
  </r>
  <r>
    <x v="15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x v="2"/>
    <n v="0"/>
    <n v="0"/>
    <n v="0"/>
    <x v="0"/>
  </r>
  <r>
    <x v="158"/>
    <x v="2"/>
    <n v="0"/>
    <n v="0"/>
    <n v="0"/>
    <n v="0"/>
    <n v="0"/>
    <n v="0"/>
    <n v="0"/>
    <n v="0"/>
    <n v="0"/>
    <n v="0"/>
    <n v="8.0909775639999992"/>
    <n v="0"/>
    <n v="0.59092266999999998"/>
    <n v="0"/>
    <n v="0"/>
    <n v="94.348465840000003"/>
    <n v="0"/>
    <n v="0"/>
    <n v="0"/>
    <n v="0"/>
    <n v="0"/>
    <n v="0"/>
    <n v="0"/>
    <n v="0"/>
    <n v="1056"/>
    <n v="0"/>
    <n v="0"/>
    <n v="25000"/>
    <x v="2"/>
    <n v="17.025871385999999"/>
    <n v="0"/>
    <n v="17.025871385999999"/>
    <x v="0"/>
  </r>
  <r>
    <x v="159"/>
    <x v="2"/>
    <n v="0"/>
    <n v="0"/>
    <n v="0"/>
    <n v="0"/>
    <n v="0"/>
    <n v="0"/>
    <n v="0"/>
    <n v="0"/>
    <n v="0"/>
    <n v="0"/>
    <n v="6.8366505430000002"/>
    <n v="0"/>
    <n v="0.48807324000000002"/>
    <n v="0"/>
    <n v="0"/>
    <n v="75.673707980000003"/>
    <n v="0"/>
    <n v="0"/>
    <n v="0"/>
    <n v="0"/>
    <n v="0"/>
    <n v="0"/>
    <n v="0"/>
    <n v="0"/>
    <n v="1067"/>
    <n v="0"/>
    <n v="0"/>
    <n v="25000"/>
    <x v="2"/>
    <n v="13.914135509500001"/>
    <n v="0"/>
    <n v="13.914135509500001"/>
    <x v="0"/>
  </r>
  <r>
    <x v="160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0"/>
  </r>
  <r>
    <x v="16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0"/>
  </r>
  <r>
    <x v="162"/>
    <x v="1"/>
    <n v="0"/>
    <n v="0"/>
    <n v="0"/>
    <n v="0"/>
    <n v="0"/>
    <n v="0"/>
    <n v="0"/>
    <n v="0"/>
    <n v="0"/>
    <n v="0"/>
    <n v="19.450101159999999"/>
    <n v="0"/>
    <n v="1.1857546750000001"/>
    <n v="0"/>
    <n v="0"/>
    <n v="197.84806570000001"/>
    <n v="0"/>
    <n v="0"/>
    <n v="0"/>
    <n v="0"/>
    <n v="0"/>
    <n v="0"/>
    <n v="0"/>
    <n v="0"/>
    <n v="472"/>
    <n v="0"/>
    <n v="0"/>
    <n v="30000"/>
    <x v="2"/>
    <n v="36.624385199999999"/>
    <n v="0"/>
    <n v="36.624385199999999"/>
    <x v="0"/>
  </r>
  <r>
    <x v="163"/>
    <x v="3"/>
    <n v="0"/>
    <n v="0"/>
    <n v="0"/>
    <n v="0"/>
    <n v="0"/>
    <n v="0"/>
    <n v="0"/>
    <n v="0"/>
    <n v="0"/>
    <n v="0"/>
    <n v="4.3288003799999997"/>
    <n v="0"/>
    <n v="0.19554011099999999"/>
    <n v="0"/>
    <n v="0"/>
    <n v="30.197055079999998"/>
    <n v="0"/>
    <n v="0"/>
    <n v="0"/>
    <n v="0.93240747000000002"/>
    <n v="0"/>
    <n v="0"/>
    <n v="118.5237577"/>
    <n v="0"/>
    <n v="437"/>
    <n v="0"/>
    <n v="0"/>
    <n v="30000"/>
    <x v="2"/>
    <n v="23.804166954000003"/>
    <n v="0"/>
    <n v="23.804166954000003"/>
    <x v="0"/>
  </r>
  <r>
    <x v="164"/>
    <x v="1"/>
    <n v="0"/>
    <n v="0"/>
    <n v="0"/>
    <n v="0"/>
    <n v="0"/>
    <n v="0"/>
    <n v="0"/>
    <n v="0"/>
    <n v="0"/>
    <n v="0"/>
    <n v="9.7913476100000008"/>
    <n v="0"/>
    <n v="0.67875591300000004"/>
    <n v="0"/>
    <n v="0"/>
    <n v="97.415635080000001"/>
    <n v="0"/>
    <n v="0"/>
    <n v="0"/>
    <n v="0"/>
    <n v="0"/>
    <n v="0"/>
    <n v="0"/>
    <n v="0"/>
    <n v="1050"/>
    <n v="0"/>
    <n v="0"/>
    <n v="30000"/>
    <x v="2"/>
    <n v="18.709772790999999"/>
    <n v="0"/>
    <n v="18.709772790999999"/>
    <x v="0"/>
  </r>
  <r>
    <x v="165"/>
    <x v="1"/>
    <n v="0"/>
    <n v="0"/>
    <n v="0"/>
    <n v="0"/>
    <n v="0"/>
    <n v="0"/>
    <n v="0"/>
    <n v="0"/>
    <n v="0"/>
    <n v="0"/>
    <n v="3.9214935390000001"/>
    <n v="0"/>
    <n v="0.37194493699999998"/>
    <n v="0"/>
    <n v="0"/>
    <n v="39.4831048"/>
    <n v="0"/>
    <n v="0"/>
    <n v="0"/>
    <n v="0"/>
    <n v="0"/>
    <n v="0"/>
    <n v="0"/>
    <n v="0"/>
    <n v="1105"/>
    <n v="0"/>
    <n v="0"/>
    <n v="30000"/>
    <x v="2"/>
    <n v="8.1407268715000001"/>
    <n v="0"/>
    <n v="8.1407268715000001"/>
    <x v="0"/>
  </r>
  <r>
    <x v="166"/>
    <x v="2"/>
    <n v="0"/>
    <n v="0"/>
    <n v="0"/>
    <n v="0"/>
    <n v="0"/>
    <n v="0"/>
    <n v="0"/>
    <n v="0"/>
    <n v="0"/>
    <n v="0"/>
    <n v="3.267617054"/>
    <n v="0"/>
    <n v="0.21924654099999999"/>
    <n v="0"/>
    <n v="0"/>
    <n v="38.254266659999999"/>
    <n v="0"/>
    <n v="0"/>
    <n v="0"/>
    <n v="0"/>
    <n v="0"/>
    <n v="0"/>
    <n v="0"/>
    <n v="0"/>
    <n v="1144"/>
    <n v="0"/>
    <n v="0"/>
    <n v="30000"/>
    <x v="2"/>
    <n v="6.7747144390000003"/>
    <n v="0"/>
    <n v="6.7747144390000003"/>
    <x v="0"/>
  </r>
  <r>
    <x v="16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0"/>
  </r>
  <r>
    <x v="16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0"/>
  </r>
  <r>
    <x v="169"/>
    <x v="1"/>
    <n v="0"/>
    <n v="0"/>
    <n v="0"/>
    <n v="0"/>
    <n v="0"/>
    <n v="0"/>
    <n v="0"/>
    <n v="0"/>
    <n v="0"/>
    <n v="0"/>
    <n v="8.5864900520000003"/>
    <n v="0"/>
    <n v="0.60039185900000003"/>
    <n v="0"/>
    <n v="0"/>
    <n v="83.905193859999997"/>
    <n v="0"/>
    <n v="0"/>
    <n v="0"/>
    <n v="0"/>
    <n v="0"/>
    <n v="0"/>
    <n v="0"/>
    <n v="0"/>
    <n v="1057"/>
    <n v="0"/>
    <n v="0"/>
    <n v="30000"/>
    <x v="2"/>
    <n v="16.286115565999999"/>
    <n v="0"/>
    <n v="16.286115565999999"/>
    <x v="0"/>
  </r>
  <r>
    <x v="170"/>
    <x v="2"/>
    <n v="0"/>
    <n v="0"/>
    <n v="0"/>
    <n v="0"/>
    <n v="0"/>
    <n v="0"/>
    <n v="0"/>
    <n v="0"/>
    <n v="0"/>
    <n v="0"/>
    <n v="10.331944050000001"/>
    <n v="0"/>
    <n v="0.74446436900000001"/>
    <n v="0"/>
    <n v="0"/>
    <n v="123.04145010000001"/>
    <n v="0"/>
    <n v="0"/>
    <n v="0"/>
    <n v="0.10427953199999999"/>
    <n v="0"/>
    <n v="0"/>
    <n v="12.616467070000001"/>
    <n v="0"/>
    <n v="1030"/>
    <n v="0"/>
    <n v="0"/>
    <n v="30000"/>
    <x v="2"/>
    <n v="23.824227148000006"/>
    <n v="0"/>
    <n v="23.824227148000006"/>
    <x v="0"/>
  </r>
  <r>
    <x v="17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0"/>
  </r>
  <r>
    <x v="172"/>
    <x v="3"/>
    <n v="0"/>
    <n v="0"/>
    <n v="0"/>
    <n v="0"/>
    <n v="0"/>
    <n v="0"/>
    <n v="0"/>
    <n v="0"/>
    <n v="0"/>
    <n v="0"/>
    <n v="17.646343689999998"/>
    <n v="0"/>
    <n v="0.63082531900000005"/>
    <n v="0"/>
    <n v="0"/>
    <n v="121.2449982"/>
    <n v="0"/>
    <n v="0"/>
    <n v="0"/>
    <n v="1.617914166"/>
    <n v="0"/>
    <n v="0"/>
    <n v="275.24494659999999"/>
    <n v="0"/>
    <n v="321"/>
    <n v="0"/>
    <n v="0"/>
    <n v="30000"/>
    <x v="2"/>
    <n v="61.964603234999998"/>
    <n v="0"/>
    <n v="61.964603234999998"/>
    <x v="0"/>
  </r>
  <r>
    <x v="173"/>
    <x v="1"/>
    <n v="0"/>
    <n v="0"/>
    <n v="0"/>
    <n v="0"/>
    <n v="0"/>
    <n v="0"/>
    <n v="0"/>
    <n v="0"/>
    <n v="0"/>
    <n v="0"/>
    <n v="7.5886239839999998"/>
    <n v="0"/>
    <n v="0.41306582800000002"/>
    <n v="0"/>
    <n v="0"/>
    <n v="74.45232584"/>
    <n v="0"/>
    <n v="0"/>
    <n v="0"/>
    <n v="0"/>
    <n v="0"/>
    <n v="0"/>
    <n v="0"/>
    <n v="0"/>
    <n v="1069"/>
    <n v="0"/>
    <n v="0"/>
    <n v="30000"/>
    <x v="2"/>
    <n v="13.717939544"/>
    <n v="0"/>
    <n v="13.717939544"/>
    <x v="0"/>
  </r>
  <r>
    <x v="17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x v="2"/>
    <n v="0"/>
    <n v="0"/>
    <n v="0"/>
    <x v="0"/>
  </r>
  <r>
    <x v="17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0000"/>
    <x v="2"/>
    <n v="0"/>
    <n v="0"/>
    <n v="0"/>
    <x v="0"/>
  </r>
  <r>
    <x v="176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7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78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79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80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81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82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83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8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x v="2"/>
    <n v="0"/>
    <n v="0"/>
    <n v="0"/>
    <x v="0"/>
  </r>
  <r>
    <x v="185"/>
    <x v="3"/>
    <n v="0"/>
    <n v="0"/>
    <n v="0"/>
    <n v="0"/>
    <n v="0"/>
    <n v="0"/>
    <n v="0"/>
    <n v="0"/>
    <n v="0"/>
    <n v="0"/>
    <n v="50.59015307"/>
    <n v="0"/>
    <n v="2.4830763629999999"/>
    <n v="0"/>
    <n v="0"/>
    <n v="374.6051147"/>
    <n v="0"/>
    <n v="0"/>
    <n v="0"/>
    <n v="8.2806183890000007"/>
    <n v="0"/>
    <n v="0"/>
    <n v="871.65025619999994"/>
    <n v="0"/>
    <n v="14"/>
    <n v="43"/>
    <n v="2800"/>
    <n v="0"/>
    <x v="2"/>
    <n v="214.502782137"/>
    <n v="0"/>
    <n v="214.502782137"/>
    <x v="0"/>
  </r>
  <r>
    <x v="186"/>
    <x v="3"/>
    <n v="0"/>
    <n v="0"/>
    <n v="0"/>
    <n v="0"/>
    <n v="0"/>
    <n v="0"/>
    <n v="0"/>
    <n v="0"/>
    <n v="0"/>
    <n v="0"/>
    <n v="34.543637959999998"/>
    <n v="0"/>
    <n v="1.8536635690000001"/>
    <n v="0"/>
    <n v="0"/>
    <n v="284.59330160000002"/>
    <n v="0"/>
    <n v="0"/>
    <n v="0"/>
    <n v="10.157340899999999"/>
    <n v="0"/>
    <n v="0"/>
    <n v="1076.381834"/>
    <n v="0"/>
    <n v="15"/>
    <n v="42"/>
    <n v="4000"/>
    <n v="0"/>
    <x v="2"/>
    <n v="225.43535935400001"/>
    <n v="0"/>
    <n v="225.43535935400001"/>
    <x v="0"/>
  </r>
  <r>
    <x v="187"/>
    <x v="3"/>
    <n v="0"/>
    <n v="0"/>
    <n v="0"/>
    <n v="0"/>
    <n v="0"/>
    <n v="0"/>
    <n v="0"/>
    <n v="0"/>
    <n v="0"/>
    <n v="0"/>
    <n v="30.818543859999998"/>
    <n v="0"/>
    <n v="0.81369283999999997"/>
    <n v="0"/>
    <n v="0"/>
    <n v="230.677313"/>
    <n v="0"/>
    <n v="0"/>
    <n v="0"/>
    <n v="8.4755652650000002"/>
    <n v="0"/>
    <n v="0"/>
    <n v="1015.807971"/>
    <n v="0"/>
    <n v="42"/>
    <n v="20"/>
    <n v="7500"/>
    <n v="0"/>
    <x v="2"/>
    <n v="195.79334896"/>
    <n v="0"/>
    <n v="195.79334896"/>
    <x v="0"/>
  </r>
  <r>
    <x v="188"/>
    <x v="0"/>
    <n v="0"/>
    <n v="9.6901484500000006"/>
    <n v="0"/>
    <n v="0"/>
    <n v="22.931701820000001"/>
    <n v="0"/>
    <n v="0"/>
    <n v="3561.6847429999998"/>
    <n v="0"/>
    <n v="0"/>
    <n v="0"/>
    <n v="0"/>
    <n v="0"/>
    <n v="0"/>
    <n v="0"/>
    <n v="0"/>
    <n v="0"/>
    <n v="0"/>
    <n v="0"/>
    <n v="2.4345627269999999"/>
    <n v="0"/>
    <n v="0"/>
    <n v="256.37491879999999"/>
    <n v="0"/>
    <n v="146"/>
    <n v="2"/>
    <n v="10000"/>
    <n v="0"/>
    <x v="2"/>
    <n v="255.05876834200001"/>
    <n v="0"/>
    <n v="255.05876834200001"/>
    <x v="0"/>
  </r>
  <r>
    <x v="189"/>
    <x v="2"/>
    <n v="0"/>
    <n v="0"/>
    <n v="0"/>
    <n v="0"/>
    <n v="0"/>
    <n v="0"/>
    <n v="0"/>
    <n v="0"/>
    <n v="0"/>
    <n v="0"/>
    <n v="75.269564990000006"/>
    <n v="0"/>
    <n v="7.5250525259999996"/>
    <n v="0"/>
    <n v="0"/>
    <n v="877.26141770000004"/>
    <n v="0"/>
    <n v="0"/>
    <n v="0"/>
    <n v="9.2173711000000005E-2"/>
    <n v="0"/>
    <n v="0"/>
    <n v="11.210774929999999"/>
    <n v="0"/>
    <n v="79"/>
    <n v="6"/>
    <n v="10000"/>
    <n v="0"/>
    <x v="2"/>
    <n v="172.18535918000003"/>
    <n v="0"/>
    <n v="172.18535918000003"/>
    <x v="0"/>
  </r>
  <r>
    <x v="190"/>
    <x v="3"/>
    <n v="0"/>
    <n v="0"/>
    <n v="0"/>
    <n v="0"/>
    <n v="0"/>
    <n v="0"/>
    <n v="0"/>
    <n v="0"/>
    <n v="0"/>
    <n v="0"/>
    <n v="49.256669690000003"/>
    <n v="0"/>
    <n v="2.0072283930000001"/>
    <n v="0"/>
    <n v="0"/>
    <n v="434.22301720000002"/>
    <n v="0"/>
    <n v="0"/>
    <n v="0"/>
    <n v="3.5353327769999998"/>
    <n v="0"/>
    <n v="0"/>
    <n v="464.46977500000003"/>
    <n v="0"/>
    <n v="102"/>
    <n v="3"/>
    <n v="10000"/>
    <n v="0"/>
    <x v="2"/>
    <n v="147.75298108500002"/>
    <n v="0"/>
    <n v="147.75298108500002"/>
    <x v="0"/>
  </r>
  <r>
    <x v="191"/>
    <x v="3"/>
    <n v="0"/>
    <n v="0"/>
    <n v="0"/>
    <n v="0"/>
    <n v="0"/>
    <n v="0"/>
    <n v="0"/>
    <n v="0"/>
    <n v="0"/>
    <n v="0"/>
    <n v="49.831928230000003"/>
    <n v="0"/>
    <n v="1.7944876839999999"/>
    <n v="0"/>
    <n v="0"/>
    <n v="402.30414469999999"/>
    <n v="0"/>
    <n v="0"/>
    <n v="0"/>
    <n v="3.1944186530000001"/>
    <n v="0"/>
    <n v="0"/>
    <n v="528.19945900000005"/>
    <n v="0"/>
    <n v="100"/>
    <n v="3"/>
    <n v="10000"/>
    <n v="0"/>
    <x v="2"/>
    <n v="147.89976250699999"/>
    <n v="0"/>
    <n v="147.89976250699999"/>
    <x v="0"/>
  </r>
  <r>
    <x v="192"/>
    <x v="3"/>
    <n v="0"/>
    <n v="0"/>
    <n v="0"/>
    <n v="0"/>
    <n v="0"/>
    <n v="0"/>
    <n v="0"/>
    <n v="0"/>
    <n v="0"/>
    <n v="0"/>
    <n v="34.845577069999997"/>
    <n v="0"/>
    <n v="1.0957635130000001"/>
    <n v="0"/>
    <n v="0"/>
    <n v="273.30843920000001"/>
    <n v="0"/>
    <n v="0"/>
    <n v="0"/>
    <n v="4.5746966630000001"/>
    <n v="0"/>
    <n v="0"/>
    <n v="840.62384489999999"/>
    <n v="0"/>
    <n v="88"/>
    <n v="5"/>
    <n v="12000"/>
    <n v="0"/>
    <x v="2"/>
    <n v="162.83877800100001"/>
    <n v="0"/>
    <n v="162.83877800100001"/>
    <x v="0"/>
  </r>
  <r>
    <x v="193"/>
    <x v="2"/>
    <n v="0"/>
    <n v="0"/>
    <n v="0"/>
    <n v="0"/>
    <n v="0"/>
    <n v="0"/>
    <n v="0"/>
    <n v="0"/>
    <n v="0"/>
    <n v="0"/>
    <n v="75.121091120000003"/>
    <n v="0"/>
    <n v="6.8434635019999996"/>
    <n v="0"/>
    <n v="0"/>
    <n v="1067.025388"/>
    <n v="0"/>
    <n v="0"/>
    <n v="0"/>
    <n v="0"/>
    <n v="0"/>
    <n v="0"/>
    <n v="0"/>
    <n v="0"/>
    <n v="34"/>
    <n v="23"/>
    <n v="12000"/>
    <n v="0"/>
    <x v="2"/>
    <n v="185.323865372"/>
    <n v="0"/>
    <n v="185.323865372"/>
    <x v="0"/>
  </r>
  <r>
    <x v="194"/>
    <x v="3"/>
    <n v="0"/>
    <n v="0"/>
    <n v="0"/>
    <n v="0"/>
    <n v="0"/>
    <n v="0"/>
    <n v="0"/>
    <n v="0"/>
    <n v="0"/>
    <n v="0"/>
    <n v="21.728096579999999"/>
    <n v="0"/>
    <n v="0.70801524900000001"/>
    <n v="0"/>
    <n v="0"/>
    <n v="162.36775249999999"/>
    <n v="0"/>
    <n v="0"/>
    <n v="0"/>
    <n v="9.3595671659999997"/>
    <n v="0"/>
    <n v="0"/>
    <n v="795.25606189999996"/>
    <n v="0"/>
    <n v="90"/>
    <n v="4"/>
    <n v="12000"/>
    <n v="0"/>
    <x v="2"/>
    <n v="167.03192422000001"/>
    <n v="0"/>
    <n v="167.03192422000001"/>
    <x v="0"/>
  </r>
  <r>
    <x v="195"/>
    <x v="3"/>
    <n v="0"/>
    <n v="0"/>
    <n v="0"/>
    <n v="0"/>
    <n v="0"/>
    <n v="0"/>
    <n v="0"/>
    <n v="0"/>
    <n v="0"/>
    <n v="0"/>
    <n v="10.28802379"/>
    <n v="0"/>
    <n v="0.51229620200000003"/>
    <n v="0"/>
    <n v="0"/>
    <n v="78.185666749999996"/>
    <n v="0"/>
    <n v="0"/>
    <n v="0"/>
    <n v="1.3969076300000001"/>
    <n v="0"/>
    <n v="0"/>
    <n v="182.79783850000001"/>
    <n v="0"/>
    <n v="307"/>
    <n v="0"/>
    <n v="12000"/>
    <n v="0"/>
    <x v="2"/>
    <n v="42.697585412000002"/>
    <n v="0"/>
    <n v="42.697585412000002"/>
    <x v="0"/>
  </r>
  <r>
    <x v="196"/>
    <x v="3"/>
    <n v="0"/>
    <n v="0"/>
    <n v="0"/>
    <n v="0"/>
    <n v="0"/>
    <n v="0"/>
    <n v="0"/>
    <n v="0"/>
    <n v="0"/>
    <n v="0"/>
    <n v="16.988704550000001"/>
    <n v="0"/>
    <n v="0.50685588000000004"/>
    <n v="0"/>
    <n v="0"/>
    <n v="134.2388636"/>
    <n v="0"/>
    <n v="0"/>
    <n v="0"/>
    <n v="5.8199597089999999"/>
    <n v="0"/>
    <n v="0"/>
    <n v="759.35884499999997"/>
    <n v="0"/>
    <n v="138"/>
    <n v="2"/>
    <n v="15000"/>
    <n v="0"/>
    <x v="2"/>
    <n v="135.81501666899999"/>
    <n v="0"/>
    <n v="135.81501666899999"/>
    <x v="0"/>
  </r>
  <r>
    <x v="197"/>
    <x v="0"/>
    <n v="0"/>
    <n v="3.4588682780000002"/>
    <n v="0"/>
    <n v="0"/>
    <n v="4.5432916250000002"/>
    <n v="0"/>
    <n v="0"/>
    <n v="849.74031249999996"/>
    <n v="0"/>
    <n v="0"/>
    <n v="0"/>
    <n v="0"/>
    <n v="0"/>
    <n v="0"/>
    <n v="0"/>
    <n v="0"/>
    <n v="0"/>
    <n v="0"/>
    <n v="0"/>
    <n v="1.21066859"/>
    <n v="0"/>
    <n v="0"/>
    <n v="216.6611159"/>
    <n v="0"/>
    <n v="441"/>
    <n v="0"/>
    <n v="15000"/>
    <n v="0"/>
    <x v="2"/>
    <n v="74.175165574000005"/>
    <n v="0"/>
    <n v="74.175165574000005"/>
    <x v="0"/>
  </r>
  <r>
    <x v="198"/>
    <x v="0"/>
    <n v="0"/>
    <n v="10.171811180000001"/>
    <n v="0"/>
    <n v="0"/>
    <n v="19.945276329999999"/>
    <n v="0"/>
    <n v="0"/>
    <n v="3526.9583339999999"/>
    <n v="0"/>
    <n v="0"/>
    <n v="0"/>
    <n v="0"/>
    <n v="0"/>
    <n v="0"/>
    <n v="0"/>
    <n v="0"/>
    <n v="0"/>
    <n v="0"/>
    <n v="0"/>
    <n v="1.4278699720000001"/>
    <n v="0"/>
    <n v="0"/>
    <n v="225.98037890000001"/>
    <n v="0"/>
    <n v="314"/>
    <n v="0"/>
    <n v="15000"/>
    <n v="0"/>
    <x v="2"/>
    <n v="231.68107404200001"/>
    <n v="0"/>
    <n v="231.68107404200001"/>
    <x v="0"/>
  </r>
  <r>
    <x v="199"/>
    <x v="2"/>
    <n v="0"/>
    <n v="0"/>
    <n v="0"/>
    <n v="0"/>
    <n v="0"/>
    <n v="0"/>
    <n v="0"/>
    <n v="0"/>
    <n v="0"/>
    <n v="0"/>
    <n v="49.543418539999998"/>
    <n v="0"/>
    <n v="2.4089117290000002"/>
    <n v="0"/>
    <n v="0"/>
    <n v="556.61094349999996"/>
    <n v="0"/>
    <n v="0"/>
    <n v="0"/>
    <n v="0"/>
    <n v="0"/>
    <n v="0"/>
    <n v="0"/>
    <n v="0"/>
    <n v="209"/>
    <n v="1"/>
    <n v="15000"/>
    <n v="0"/>
    <x v="2"/>
    <n v="94.886273993999993"/>
    <n v="0"/>
    <n v="94.886273993999993"/>
    <x v="0"/>
  </r>
  <r>
    <x v="200"/>
    <x v="1"/>
    <n v="0"/>
    <n v="0"/>
    <n v="0"/>
    <n v="0"/>
    <n v="0"/>
    <n v="0"/>
    <n v="0"/>
    <n v="0"/>
    <n v="0"/>
    <n v="0"/>
    <n v="63.434056230000003"/>
    <n v="0"/>
    <n v="2.7823808909999999"/>
    <n v="0"/>
    <n v="0"/>
    <n v="614.38504350000005"/>
    <n v="0"/>
    <n v="0"/>
    <n v="0"/>
    <n v="0"/>
    <n v="0"/>
    <n v="0"/>
    <n v="0"/>
    <n v="0"/>
    <n v="136"/>
    <n v="2"/>
    <n v="15000"/>
    <n v="0"/>
    <x v="2"/>
    <n v="109.84981781100001"/>
    <n v="0"/>
    <n v="109.84981781100001"/>
    <x v="0"/>
  </r>
  <r>
    <x v="201"/>
    <x v="3"/>
    <n v="0"/>
    <n v="0"/>
    <n v="0"/>
    <n v="0"/>
    <n v="0"/>
    <n v="0"/>
    <n v="0"/>
    <n v="0"/>
    <n v="0"/>
    <n v="0"/>
    <n v="54.232109600000001"/>
    <n v="0"/>
    <n v="1.386594833"/>
    <n v="0"/>
    <n v="0"/>
    <n v="370.2380339"/>
    <n v="0"/>
    <n v="0"/>
    <n v="0"/>
    <n v="3.104907925"/>
    <n v="0"/>
    <n v="0"/>
    <n v="597.98308059999999"/>
    <n v="0"/>
    <n v="91"/>
    <n v="4"/>
    <n v="15000"/>
    <n v="0"/>
    <x v="2"/>
    <n v="150.88718279800003"/>
    <n v="0"/>
    <n v="150.88718279800003"/>
    <x v="0"/>
  </r>
  <r>
    <x v="202"/>
    <x v="3"/>
    <n v="0"/>
    <n v="0"/>
    <n v="0"/>
    <n v="0"/>
    <n v="0"/>
    <n v="0"/>
    <n v="0"/>
    <n v="0"/>
    <n v="0"/>
    <n v="0"/>
    <n v="46.046782059999998"/>
    <n v="0"/>
    <n v="0.99739192300000001"/>
    <n v="0"/>
    <n v="0"/>
    <n v="335.5083138"/>
    <n v="0"/>
    <n v="0"/>
    <n v="0"/>
    <n v="4.7388093490000003"/>
    <n v="0"/>
    <n v="0"/>
    <n v="790.77570860000003"/>
    <n v="0"/>
    <n v="71"/>
    <n v="8"/>
    <n v="15000"/>
    <n v="0"/>
    <x v="2"/>
    <n v="170.069000902"/>
    <n v="0"/>
    <n v="170.069000902"/>
    <x v="0"/>
  </r>
  <r>
    <x v="203"/>
    <x v="3"/>
    <n v="0"/>
    <n v="0"/>
    <n v="0"/>
    <n v="0"/>
    <n v="0"/>
    <n v="0"/>
    <n v="0"/>
    <n v="0"/>
    <n v="0"/>
    <n v="0"/>
    <n v="33.183931610000002"/>
    <n v="0"/>
    <n v="1.1074864360000001"/>
    <n v="0"/>
    <n v="0"/>
    <n v="223.74719339999999"/>
    <n v="0"/>
    <n v="0"/>
    <n v="0"/>
    <n v="5.7573020850000001"/>
    <n v="0"/>
    <n v="0"/>
    <n v="814.92605330000004"/>
    <n v="0"/>
    <n v="73"/>
    <n v="7"/>
    <n v="15000"/>
    <n v="0"/>
    <x v="2"/>
    <n v="161.64802160100001"/>
    <n v="0"/>
    <n v="161.64802160100001"/>
    <x v="0"/>
  </r>
  <r>
    <x v="204"/>
    <x v="3"/>
    <n v="0"/>
    <n v="0"/>
    <n v="0"/>
    <n v="0"/>
    <n v="0"/>
    <n v="0"/>
    <n v="0"/>
    <n v="0"/>
    <n v="0"/>
    <n v="0"/>
    <n v="16.542235059999999"/>
    <n v="0"/>
    <n v="0.48730833800000001"/>
    <n v="0"/>
    <n v="0"/>
    <n v="136.59370849999999"/>
    <n v="0"/>
    <n v="0"/>
    <n v="0"/>
    <n v="4.7998252499999996"/>
    <n v="0"/>
    <n v="0"/>
    <n v="726.55082660000005"/>
    <n v="0"/>
    <n v="142"/>
    <n v="2"/>
    <n v="15000"/>
    <n v="0"/>
    <x v="2"/>
    <n v="126.30837256800001"/>
    <n v="0"/>
    <n v="126.30837256800001"/>
    <x v="0"/>
  </r>
  <r>
    <x v="205"/>
    <x v="3"/>
    <n v="0"/>
    <n v="0"/>
    <n v="0"/>
    <n v="0"/>
    <n v="0"/>
    <n v="0"/>
    <n v="0"/>
    <n v="0"/>
    <n v="0"/>
    <n v="0"/>
    <n v="28.014737709999999"/>
    <n v="0"/>
    <n v="1.2518566280000001"/>
    <n v="0"/>
    <n v="0"/>
    <n v="168.7176719"/>
    <n v="0"/>
    <n v="0"/>
    <n v="0"/>
    <n v="5.8463713090000002"/>
    <n v="0"/>
    <n v="0"/>
    <n v="889.93362730000001"/>
    <n v="0"/>
    <n v="89"/>
    <n v="5"/>
    <n v="15000"/>
    <n v="0"/>
    <x v="2"/>
    <n v="162.46186639699999"/>
    <n v="0"/>
    <n v="162.46186639699999"/>
    <x v="0"/>
  </r>
  <r>
    <x v="206"/>
    <x v="3"/>
    <n v="0"/>
    <n v="0"/>
    <n v="0"/>
    <n v="0"/>
    <n v="0"/>
    <n v="0"/>
    <n v="0"/>
    <n v="0"/>
    <n v="0"/>
    <n v="0"/>
    <n v="30.455487269999999"/>
    <n v="0"/>
    <n v="1.105182801"/>
    <n v="0"/>
    <n v="0"/>
    <n v="212.11784410000001"/>
    <n v="0"/>
    <n v="0"/>
    <n v="0"/>
    <n v="3.9253083599999998"/>
    <n v="0"/>
    <n v="0"/>
    <n v="743.49799480000001"/>
    <n v="0"/>
    <n v="137"/>
    <n v="2"/>
    <n v="15000"/>
    <n v="0"/>
    <x v="2"/>
    <n v="140.97227449100001"/>
    <n v="0"/>
    <n v="140.97227449100001"/>
    <x v="0"/>
  </r>
  <r>
    <x v="207"/>
    <x v="3"/>
    <n v="0"/>
    <n v="0"/>
    <n v="0"/>
    <n v="0"/>
    <n v="0"/>
    <n v="0"/>
    <n v="0"/>
    <n v="0"/>
    <n v="0"/>
    <n v="0"/>
    <n v="29.852891379999999"/>
    <n v="0"/>
    <n v="0.65262988799999999"/>
    <n v="0"/>
    <n v="0"/>
    <n v="197.56371419999999"/>
    <n v="0"/>
    <n v="0"/>
    <n v="0"/>
    <n v="4.4781431610000002"/>
    <n v="0"/>
    <n v="0"/>
    <n v="558.52935579999996"/>
    <n v="0"/>
    <n v="141"/>
    <n v="2"/>
    <n v="20000"/>
    <n v="0"/>
    <x v="2"/>
    <n v="121.320390984"/>
    <n v="0"/>
    <n v="121.320390984"/>
    <x v="0"/>
  </r>
  <r>
    <x v="208"/>
    <x v="2"/>
    <n v="0"/>
    <n v="0"/>
    <n v="0"/>
    <n v="0"/>
    <n v="0"/>
    <n v="0"/>
    <n v="0"/>
    <n v="0"/>
    <n v="0"/>
    <n v="0"/>
    <n v="52.642175709999997"/>
    <n v="0"/>
    <n v="6.4423857890000003"/>
    <n v="0"/>
    <n v="0"/>
    <n v="798.31574320000004"/>
    <n v="0"/>
    <n v="0"/>
    <n v="0"/>
    <n v="0"/>
    <n v="0"/>
    <n v="0"/>
    <n v="0"/>
    <n v="0"/>
    <n v="158"/>
    <n v="1"/>
    <n v="20000"/>
    <n v="0"/>
    <x v="2"/>
    <n v="144.80697690900001"/>
    <n v="0"/>
    <n v="144.80697690900001"/>
    <x v="0"/>
  </r>
  <r>
    <x v="209"/>
    <x v="1"/>
    <n v="0"/>
    <n v="0.30510664199999998"/>
    <n v="0"/>
    <n v="0"/>
    <n v="0.435568603"/>
    <n v="0"/>
    <n v="0"/>
    <n v="80.137784679999996"/>
    <n v="0"/>
    <n v="0"/>
    <n v="29.817606250000001"/>
    <n v="0"/>
    <n v="2.199884548"/>
    <n v="0"/>
    <n v="0"/>
    <n v="274.04016619999999"/>
    <n v="0"/>
    <n v="0"/>
    <n v="0"/>
    <n v="3.157107205"/>
    <n v="0"/>
    <n v="0"/>
    <n v="291.50620309999999"/>
    <n v="0"/>
    <n v="218"/>
    <n v="0"/>
    <n v="20000"/>
    <n v="0"/>
    <x v="2"/>
    <n v="107.9429630882"/>
    <n v="0"/>
    <n v="107.9429630882"/>
    <x v="0"/>
  </r>
  <r>
    <x v="210"/>
    <x v="3"/>
    <n v="0"/>
    <n v="0"/>
    <n v="0"/>
    <n v="0"/>
    <n v="0"/>
    <n v="0"/>
    <n v="0"/>
    <n v="0"/>
    <n v="0"/>
    <n v="0"/>
    <n v="28.33505165"/>
    <n v="0"/>
    <n v="0.94411662299999999"/>
    <n v="0"/>
    <n v="0"/>
    <n v="201.52802819999999"/>
    <n v="0"/>
    <n v="0"/>
    <n v="0"/>
    <n v="3.5690915580000002"/>
    <n v="0"/>
    <n v="0"/>
    <n v="590.18609360000005"/>
    <n v="0"/>
    <n v="143"/>
    <n v="2"/>
    <n v="20000"/>
    <n v="0"/>
    <x v="2"/>
    <n v="120.41818709100001"/>
    <n v="0"/>
    <n v="120.41818709100001"/>
    <x v="0"/>
  </r>
  <r>
    <x v="211"/>
    <x v="0"/>
    <n v="0"/>
    <n v="2.7531261549999999"/>
    <n v="0"/>
    <n v="0"/>
    <n v="4.2747364640000001"/>
    <n v="0"/>
    <n v="0"/>
    <n v="711.84268970000005"/>
    <n v="0"/>
    <n v="0"/>
    <n v="0"/>
    <n v="0"/>
    <n v="0"/>
    <n v="0"/>
    <n v="0"/>
    <n v="0"/>
    <n v="0"/>
    <n v="0"/>
    <n v="0"/>
    <n v="0.72526617400000004"/>
    <n v="0"/>
    <n v="0"/>
    <n v="56.860247319999999"/>
    <n v="0"/>
    <n v="452"/>
    <n v="0"/>
    <n v="20000"/>
    <n v="0"/>
    <x v="2"/>
    <n v="50.104022910000005"/>
    <n v="0"/>
    <n v="50.104022910000005"/>
    <x v="0"/>
  </r>
  <r>
    <x v="212"/>
    <x v="0"/>
    <n v="0"/>
    <n v="9.2655113969999991"/>
    <n v="0"/>
    <n v="0"/>
    <n v="14.86691817"/>
    <n v="0"/>
    <n v="0"/>
    <n v="2904.2077949999998"/>
    <n v="0"/>
    <n v="0"/>
    <n v="0"/>
    <n v="0"/>
    <n v="0"/>
    <n v="0"/>
    <n v="0"/>
    <n v="0"/>
    <n v="0"/>
    <n v="0"/>
    <n v="0"/>
    <n v="2.0240511350000001"/>
    <n v="0"/>
    <n v="0"/>
    <n v="268.59340539999999"/>
    <n v="0"/>
    <n v="318"/>
    <n v="0"/>
    <n v="20000"/>
    <n v="0"/>
    <x v="2"/>
    <n v="196.10860903599999"/>
    <n v="0"/>
    <n v="196.10860903599999"/>
    <x v="0"/>
  </r>
  <r>
    <x v="213"/>
    <x v="3"/>
    <n v="0"/>
    <n v="0"/>
    <n v="0"/>
    <n v="0"/>
    <n v="0"/>
    <n v="0"/>
    <n v="0"/>
    <n v="0"/>
    <n v="0"/>
    <n v="0"/>
    <n v="48.677178169999998"/>
    <n v="0"/>
    <n v="1.292070754"/>
    <n v="0"/>
    <n v="0"/>
    <n v="298.52078119999999"/>
    <n v="0"/>
    <n v="0"/>
    <n v="0"/>
    <n v="4.0420905720000002"/>
    <n v="0"/>
    <n v="0"/>
    <n v="669.1395589"/>
    <n v="0"/>
    <n v="92"/>
    <n v="4"/>
    <n v="20000"/>
    <n v="0"/>
    <x v="2"/>
    <n v="153.109591051"/>
    <n v="0"/>
    <n v="153.109591051"/>
    <x v="0"/>
  </r>
  <r>
    <x v="214"/>
    <x v="2"/>
    <n v="0"/>
    <n v="0"/>
    <n v="0"/>
    <n v="0"/>
    <n v="0"/>
    <n v="0"/>
    <n v="0"/>
    <n v="0"/>
    <n v="0"/>
    <n v="0"/>
    <n v="65.93409192"/>
    <n v="0"/>
    <n v="4.5067893430000003"/>
    <n v="0"/>
    <n v="0"/>
    <n v="860.3359524"/>
    <n v="0"/>
    <n v="0"/>
    <n v="0"/>
    <n v="0"/>
    <n v="0"/>
    <n v="0"/>
    <n v="0"/>
    <n v="0"/>
    <n v="131"/>
    <n v="2"/>
    <n v="20000"/>
    <n v="0"/>
    <x v="2"/>
    <n v="146.04137725800001"/>
    <n v="0"/>
    <n v="146.04137725800001"/>
    <x v="0"/>
  </r>
  <r>
    <x v="215"/>
    <x v="2"/>
    <n v="0"/>
    <n v="0.10006699600000001"/>
    <n v="0"/>
    <n v="0"/>
    <n v="8.3542504000000004E-2"/>
    <n v="0"/>
    <n v="0"/>
    <n v="18.608851009999999"/>
    <n v="0"/>
    <n v="0"/>
    <n v="73.004365859999993"/>
    <n v="0"/>
    <n v="3.264543588"/>
    <n v="0"/>
    <n v="0"/>
    <n v="778.50605970000004"/>
    <n v="0"/>
    <n v="0"/>
    <n v="0"/>
    <n v="0.286324036"/>
    <n v="0"/>
    <n v="0"/>
    <n v="25.293481010000001"/>
    <n v="0"/>
    <n v="115"/>
    <n v="2"/>
    <n v="20000"/>
    <n v="0"/>
    <x v="2"/>
    <n v="139.0657328094"/>
    <n v="0"/>
    <n v="139.0657328094"/>
    <x v="0"/>
  </r>
  <r>
    <x v="216"/>
    <x v="3"/>
    <n v="0"/>
    <n v="0"/>
    <n v="0"/>
    <n v="0"/>
    <n v="0"/>
    <n v="0"/>
    <n v="0"/>
    <n v="0"/>
    <n v="0"/>
    <n v="0"/>
    <n v="22.16007626"/>
    <n v="0"/>
    <n v="0.65330360399999998"/>
    <n v="0"/>
    <n v="0"/>
    <n v="156.5732897"/>
    <n v="0"/>
    <n v="0"/>
    <n v="0"/>
    <n v="4.1013275179999997"/>
    <n v="0"/>
    <n v="0"/>
    <n v="671.29705220000005"/>
    <n v="0"/>
    <n v="153"/>
    <n v="1"/>
    <n v="20000"/>
    <n v="0"/>
    <x v="2"/>
    <n v="122.394859052"/>
    <n v="0"/>
    <n v="122.394859052"/>
    <x v="0"/>
  </r>
  <r>
    <x v="21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000"/>
    <n v="0"/>
    <x v="2"/>
    <n v="0"/>
    <n v="0"/>
    <n v="0"/>
    <x v="0"/>
  </r>
  <r>
    <x v="218"/>
    <x v="1"/>
    <n v="0"/>
    <n v="0"/>
    <n v="0"/>
    <n v="0"/>
    <n v="0"/>
    <n v="0"/>
    <n v="0"/>
    <n v="0"/>
    <n v="0"/>
    <n v="0"/>
    <n v="82.666801680000006"/>
    <n v="0"/>
    <n v="3.5573724200000001"/>
    <n v="0"/>
    <n v="0"/>
    <n v="793.88909160000003"/>
    <n v="0"/>
    <n v="0"/>
    <n v="0"/>
    <n v="0"/>
    <n v="0"/>
    <n v="0"/>
    <n v="0"/>
    <n v="0"/>
    <n v="60"/>
    <n v="10"/>
    <n v="25000"/>
    <n v="0"/>
    <x v="2"/>
    <n v="142.06654452000001"/>
    <n v="0"/>
    <n v="142.06654452000001"/>
    <x v="0"/>
  </r>
  <r>
    <x v="219"/>
    <x v="1"/>
    <n v="0"/>
    <n v="0"/>
    <n v="0"/>
    <n v="0"/>
    <n v="0"/>
    <n v="0"/>
    <n v="0"/>
    <n v="0"/>
    <n v="0"/>
    <n v="0"/>
    <n v="45.563424849999997"/>
    <n v="0"/>
    <n v="3.034941715"/>
    <n v="0"/>
    <n v="0"/>
    <n v="404.31903190000003"/>
    <n v="0"/>
    <n v="0"/>
    <n v="0"/>
    <n v="3.2185737999999998E-2"/>
    <n v="0"/>
    <n v="0"/>
    <n v="0.73225813299999998"/>
    <n v="0"/>
    <n v="222"/>
    <n v="0"/>
    <n v="25000"/>
    <n v="0"/>
    <x v="2"/>
    <n v="81.689606146299994"/>
    <n v="0"/>
    <n v="81.689606146299994"/>
    <x v="0"/>
  </r>
  <r>
    <x v="220"/>
    <x v="2"/>
    <n v="0"/>
    <n v="0"/>
    <n v="0"/>
    <n v="0"/>
    <n v="0"/>
    <n v="0"/>
    <n v="0"/>
    <n v="0"/>
    <n v="0"/>
    <n v="0"/>
    <n v="43.82536949"/>
    <n v="0"/>
    <n v="5.1725391610000004"/>
    <n v="0"/>
    <n v="0"/>
    <n v="640.16611009999997"/>
    <n v="0"/>
    <n v="0"/>
    <n v="0"/>
    <n v="6.5273761999999999E-2"/>
    <n v="0"/>
    <n v="0"/>
    <n v="10.10067405"/>
    <n v="0"/>
    <n v="129"/>
    <n v="2"/>
    <n v="25000"/>
    <n v="0"/>
    <x v="2"/>
    <n v="118.36624069800001"/>
    <n v="0"/>
    <n v="118.36624069800001"/>
    <x v="0"/>
  </r>
  <r>
    <x v="221"/>
    <x v="1"/>
    <n v="0"/>
    <n v="0"/>
    <n v="0"/>
    <n v="0"/>
    <n v="0"/>
    <n v="0"/>
    <n v="0"/>
    <n v="0"/>
    <n v="0"/>
    <n v="0"/>
    <n v="87.022485459999999"/>
    <n v="0"/>
    <n v="3.0787038710000001"/>
    <n v="0"/>
    <n v="0"/>
    <n v="787.67204509999999"/>
    <n v="0"/>
    <n v="0"/>
    <n v="0"/>
    <n v="0"/>
    <n v="0"/>
    <n v="0"/>
    <n v="0"/>
    <n v="0"/>
    <n v="61"/>
    <n v="10"/>
    <n v="25000"/>
    <n v="0"/>
    <x v="2"/>
    <n v="140.750670466"/>
    <n v="0"/>
    <n v="140.750670466"/>
    <x v="0"/>
  </r>
  <r>
    <x v="222"/>
    <x v="0"/>
    <n v="0"/>
    <n v="1.781351602"/>
    <n v="0"/>
    <n v="0"/>
    <n v="2.9161594279999998"/>
    <n v="0"/>
    <n v="0"/>
    <n v="509.27551010000002"/>
    <n v="0"/>
    <n v="0"/>
    <n v="0"/>
    <n v="0"/>
    <n v="0"/>
    <n v="0"/>
    <n v="0"/>
    <n v="0"/>
    <n v="0"/>
    <n v="0"/>
    <n v="0"/>
    <n v="0.119590398"/>
    <n v="0"/>
    <n v="0"/>
    <n v="21.604760649999999"/>
    <n v="0"/>
    <n v="1022"/>
    <n v="0"/>
    <n v="25000"/>
    <n v="0"/>
    <x v="2"/>
    <n v="31.350973365000005"/>
    <n v="0"/>
    <n v="31.350973365000005"/>
    <x v="0"/>
  </r>
  <r>
    <x v="223"/>
    <x v="0"/>
    <n v="0"/>
    <n v="1.840542753"/>
    <n v="0"/>
    <n v="0"/>
    <n v="3.5150491810000002"/>
    <n v="0"/>
    <n v="0"/>
    <n v="541.5886653"/>
    <n v="0"/>
    <n v="0"/>
    <n v="0"/>
    <n v="0"/>
    <n v="0"/>
    <n v="0"/>
    <n v="0"/>
    <n v="0"/>
    <n v="0"/>
    <n v="0"/>
    <n v="0"/>
    <n v="0.15853898399999999"/>
    <n v="0"/>
    <n v="0"/>
    <n v="7.2672042140000004"/>
    <n v="0"/>
    <n v="484"/>
    <n v="0"/>
    <n v="25000"/>
    <n v="0"/>
    <x v="2"/>
    <n v="33.720612155400005"/>
    <n v="0"/>
    <n v="33.720612155400005"/>
    <x v="0"/>
  </r>
  <r>
    <x v="224"/>
    <x v="3"/>
    <n v="0"/>
    <n v="0"/>
    <n v="0"/>
    <n v="0"/>
    <n v="0"/>
    <n v="0"/>
    <n v="0"/>
    <n v="0"/>
    <n v="0"/>
    <n v="0"/>
    <n v="35.74925322"/>
    <n v="0"/>
    <n v="0.97943896900000005"/>
    <n v="0"/>
    <n v="0"/>
    <n v="246.8087793"/>
    <n v="0"/>
    <n v="0"/>
    <n v="0"/>
    <n v="3.333823502"/>
    <n v="0"/>
    <n v="0"/>
    <n v="507.48399460000002"/>
    <n v="0"/>
    <n v="151"/>
    <n v="1"/>
    <n v="25000"/>
    <n v="0"/>
    <x v="2"/>
    <n v="119.183478826"/>
    <n v="0"/>
    <n v="119.183478826"/>
    <x v="0"/>
  </r>
  <r>
    <x v="225"/>
    <x v="2"/>
    <n v="0"/>
    <n v="0"/>
    <n v="0"/>
    <n v="0"/>
    <n v="0"/>
    <n v="0"/>
    <n v="0"/>
    <n v="0"/>
    <n v="0"/>
    <n v="0"/>
    <n v="57.820016070000001"/>
    <n v="0"/>
    <n v="2.4785720539999998"/>
    <n v="0"/>
    <n v="0"/>
    <n v="576.02124089999995"/>
    <n v="0"/>
    <n v="0"/>
    <n v="0"/>
    <n v="6.9212107999999994E-2"/>
    <n v="0"/>
    <n v="0"/>
    <n v="11.56485685"/>
    <n v="0"/>
    <n v="288"/>
    <n v="0"/>
    <n v="25000"/>
    <n v="0"/>
    <x v="2"/>
    <n v="102.95532278200001"/>
    <n v="0"/>
    <n v="102.95532278200001"/>
    <x v="0"/>
  </r>
  <r>
    <x v="226"/>
    <x v="2"/>
    <n v="0"/>
    <n v="0"/>
    <n v="0"/>
    <n v="0"/>
    <n v="0"/>
    <n v="0"/>
    <n v="0"/>
    <n v="0"/>
    <n v="0"/>
    <n v="0"/>
    <n v="54.86881253"/>
    <n v="0"/>
    <n v="3.8551488819999999"/>
    <n v="0"/>
    <n v="0"/>
    <n v="749.07487389999994"/>
    <n v="0"/>
    <n v="0"/>
    <n v="0"/>
    <n v="0.149924211"/>
    <n v="0"/>
    <n v="0"/>
    <n v="27.083344629999999"/>
    <n v="0"/>
    <n v="163"/>
    <n v="1"/>
    <n v="25000"/>
    <n v="0"/>
    <x v="2"/>
    <n v="129.08066667600002"/>
    <n v="0"/>
    <n v="129.08066667600002"/>
    <x v="0"/>
  </r>
  <r>
    <x v="227"/>
    <x v="2"/>
    <n v="0"/>
    <n v="0"/>
    <n v="0"/>
    <n v="0"/>
    <n v="0"/>
    <n v="0"/>
    <n v="0"/>
    <n v="0"/>
    <n v="0"/>
    <n v="0"/>
    <n v="49.241843529999997"/>
    <n v="0"/>
    <n v="4.739611987"/>
    <n v="0"/>
    <n v="0"/>
    <n v="596.49889680000001"/>
    <n v="0"/>
    <n v="0"/>
    <n v="0"/>
    <n v="0"/>
    <n v="0"/>
    <n v="0"/>
    <n v="0"/>
    <n v="0"/>
    <n v="195"/>
    <n v="1"/>
    <n v="25000"/>
    <n v="0"/>
    <x v="2"/>
    <n v="112.708483367"/>
    <n v="0"/>
    <n v="112.708483367"/>
    <x v="0"/>
  </r>
  <r>
    <x v="228"/>
    <x v="3"/>
    <n v="0"/>
    <n v="0"/>
    <n v="0"/>
    <n v="0"/>
    <n v="0"/>
    <n v="0"/>
    <n v="0"/>
    <n v="0"/>
    <n v="0"/>
    <n v="0"/>
    <n v="16.097731150000001"/>
    <n v="0"/>
    <n v="0.25431794600000002"/>
    <n v="0"/>
    <n v="0"/>
    <n v="119.3512958"/>
    <n v="0"/>
    <n v="0"/>
    <n v="0"/>
    <n v="2.5720041010000001"/>
    <n v="0"/>
    <n v="0"/>
    <n v="396.9334925"/>
    <n v="0"/>
    <n v="197"/>
    <n v="1"/>
    <n v="25000"/>
    <n v="0"/>
    <x v="2"/>
    <n v="76.635276687000015"/>
    <n v="0"/>
    <n v="76.635276687000015"/>
    <x v="0"/>
  </r>
  <r>
    <x v="229"/>
    <x v="2"/>
    <n v="0"/>
    <n v="0"/>
    <n v="0"/>
    <n v="0"/>
    <n v="0"/>
    <n v="0"/>
    <n v="0"/>
    <n v="0"/>
    <n v="0"/>
    <n v="0"/>
    <n v="20.908389769999999"/>
    <n v="0"/>
    <n v="1.5486676690000001"/>
    <n v="0"/>
    <n v="0"/>
    <n v="266.3401207"/>
    <n v="0"/>
    <n v="0"/>
    <n v="0"/>
    <n v="0"/>
    <n v="0"/>
    <n v="0"/>
    <n v="0"/>
    <n v="0"/>
    <n v="986"/>
    <n v="0"/>
    <n v="25000"/>
    <n v="0"/>
    <x v="2"/>
    <n v="46.380212968999999"/>
    <n v="0"/>
    <n v="46.380212968999999"/>
    <x v="0"/>
  </r>
  <r>
    <x v="230"/>
    <x v="2"/>
    <n v="0"/>
    <n v="0"/>
    <n v="0"/>
    <n v="0"/>
    <n v="0"/>
    <n v="0"/>
    <n v="0"/>
    <n v="0"/>
    <n v="0"/>
    <n v="0"/>
    <n v="53.999628360000003"/>
    <n v="0"/>
    <n v="4.221388159"/>
    <n v="0"/>
    <n v="0"/>
    <n v="777.48286440000004"/>
    <n v="0"/>
    <n v="0"/>
    <n v="0"/>
    <n v="0.36327479499999998"/>
    <n v="0"/>
    <n v="0"/>
    <n v="33.68886835"/>
    <n v="0"/>
    <n v="162"/>
    <n v="1"/>
    <n v="25000"/>
    <n v="0"/>
    <x v="2"/>
    <n v="135.62496517900004"/>
    <n v="0"/>
    <n v="135.62496517900004"/>
    <x v="0"/>
  </r>
  <r>
    <x v="231"/>
    <x v="2"/>
    <n v="0"/>
    <n v="0"/>
    <n v="0"/>
    <n v="0"/>
    <n v="0"/>
    <n v="0"/>
    <n v="0"/>
    <n v="0"/>
    <n v="0"/>
    <n v="0"/>
    <n v="47.407484109999999"/>
    <n v="0"/>
    <n v="3.8471995250000002"/>
    <n v="0"/>
    <n v="0"/>
    <n v="574.45550379999997"/>
    <n v="0"/>
    <n v="0"/>
    <n v="0"/>
    <n v="0"/>
    <n v="0"/>
    <n v="0"/>
    <n v="0"/>
    <n v="0"/>
    <n v="196"/>
    <n v="1"/>
    <n v="25000"/>
    <n v="0"/>
    <x v="2"/>
    <n v="104.232489585"/>
    <n v="0"/>
    <n v="104.232489585"/>
    <x v="0"/>
  </r>
  <r>
    <x v="232"/>
    <x v="2"/>
    <n v="0"/>
    <n v="0"/>
    <n v="0"/>
    <n v="0"/>
    <n v="0"/>
    <n v="0"/>
    <n v="0"/>
    <n v="0"/>
    <n v="0"/>
    <n v="0"/>
    <n v="57.29765974"/>
    <n v="0"/>
    <n v="4.6935977329999998"/>
    <n v="0"/>
    <n v="0"/>
    <n v="668.10642010000004"/>
    <n v="0"/>
    <n v="0"/>
    <n v="0"/>
    <n v="0.18024891200000001"/>
    <n v="0"/>
    <n v="0"/>
    <n v="26.354676699999999"/>
    <n v="0"/>
    <n v="194"/>
    <n v="1"/>
    <n v="25000"/>
    <n v="0"/>
    <x v="2"/>
    <n v="127.33801942000001"/>
    <n v="0"/>
    <n v="127.33801942000001"/>
    <x v="0"/>
  </r>
  <r>
    <x v="233"/>
    <x v="0"/>
    <n v="0"/>
    <n v="1.4891730729999999"/>
    <n v="0"/>
    <n v="0"/>
    <n v="2.9201329089999999"/>
    <n v="0"/>
    <n v="0"/>
    <n v="462.56381629999998"/>
    <n v="0"/>
    <n v="0"/>
    <n v="0"/>
    <n v="0"/>
    <n v="0"/>
    <n v="0"/>
    <n v="0"/>
    <n v="0"/>
    <n v="0"/>
    <n v="0"/>
    <n v="0"/>
    <n v="0.46255264899999998"/>
    <n v="0"/>
    <n v="0"/>
    <n v="24.58583758"/>
    <n v="0"/>
    <n v="485"/>
    <n v="0"/>
    <n v="25000"/>
    <n v="0"/>
    <x v="2"/>
    <n v="32.438637793999995"/>
    <n v="0"/>
    <n v="32.438637793999995"/>
    <x v="0"/>
  </r>
  <r>
    <x v="234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0"/>
  </r>
  <r>
    <x v="235"/>
    <x v="3"/>
    <n v="0"/>
    <n v="0"/>
    <n v="0"/>
    <n v="0"/>
    <n v="0"/>
    <n v="0"/>
    <n v="0"/>
    <n v="0"/>
    <n v="0"/>
    <n v="0"/>
    <n v="8.5926101989999992"/>
    <n v="0"/>
    <n v="0.260288148"/>
    <n v="0"/>
    <n v="0"/>
    <n v="64.66531603"/>
    <n v="0"/>
    <n v="0"/>
    <n v="0"/>
    <n v="1.232851833"/>
    <n v="0"/>
    <n v="0"/>
    <n v="186.82500730000001"/>
    <n v="0"/>
    <n v="378"/>
    <n v="0"/>
    <n v="30000"/>
    <n v="0"/>
    <x v="2"/>
    <n v="38.404177318500004"/>
    <n v="0"/>
    <n v="38.404177318500004"/>
    <x v="0"/>
  </r>
  <r>
    <x v="236"/>
    <x v="2"/>
    <n v="0"/>
    <n v="0"/>
    <n v="0"/>
    <n v="0"/>
    <n v="0"/>
    <n v="0"/>
    <n v="0"/>
    <n v="0"/>
    <n v="0"/>
    <n v="0"/>
    <n v="70.052090190000001"/>
    <n v="0"/>
    <n v="5.1888612439999999"/>
    <n v="0"/>
    <n v="0"/>
    <n v="874.50455420000003"/>
    <n v="0"/>
    <n v="0"/>
    <n v="0"/>
    <n v="0"/>
    <n v="0"/>
    <n v="0"/>
    <n v="0"/>
    <n v="0"/>
    <n v="96"/>
    <n v="4"/>
    <n v="30000"/>
    <n v="0"/>
    <x v="2"/>
    <n v="153.60966797899999"/>
    <n v="0"/>
    <n v="153.60966797899999"/>
    <x v="0"/>
  </r>
  <r>
    <x v="237"/>
    <x v="1"/>
    <n v="0"/>
    <n v="0"/>
    <n v="0"/>
    <n v="0"/>
    <n v="0"/>
    <n v="0"/>
    <n v="0"/>
    <n v="0"/>
    <n v="0"/>
    <n v="0"/>
    <n v="30.776843889999999"/>
    <n v="0"/>
    <n v="1.4016245089999999"/>
    <n v="0"/>
    <n v="0"/>
    <n v="320.00016549999998"/>
    <n v="0"/>
    <n v="0"/>
    <n v="0"/>
    <n v="0"/>
    <n v="0"/>
    <n v="0"/>
    <n v="0"/>
    <n v="0"/>
    <n v="461"/>
    <n v="0"/>
    <n v="30000"/>
    <n v="0"/>
    <x v="2"/>
    <n v="55.798185548999996"/>
    <n v="0"/>
    <n v="55.798185548999996"/>
    <x v="0"/>
  </r>
  <r>
    <x v="238"/>
    <x v="3"/>
    <n v="0"/>
    <n v="0"/>
    <n v="0"/>
    <n v="0"/>
    <n v="0"/>
    <n v="0"/>
    <n v="0"/>
    <n v="0"/>
    <n v="0"/>
    <n v="0"/>
    <n v="12.75583069"/>
    <n v="0"/>
    <n v="0.44900932100000002"/>
    <n v="0"/>
    <n v="0"/>
    <n v="86.050817030000005"/>
    <n v="0"/>
    <n v="0"/>
    <n v="0"/>
    <n v="1.6845110029999999"/>
    <n v="0"/>
    <n v="0"/>
    <n v="233.07040599999999"/>
    <n v="0"/>
    <n v="346"/>
    <n v="0"/>
    <n v="30000"/>
    <n v="0"/>
    <x v="2"/>
    <n v="51.091159591999997"/>
    <n v="0"/>
    <n v="51.091159591999997"/>
    <x v="0"/>
  </r>
  <r>
    <x v="239"/>
    <x v="1"/>
    <n v="0"/>
    <n v="0"/>
    <n v="0"/>
    <n v="0"/>
    <n v="0"/>
    <n v="0"/>
    <n v="0"/>
    <n v="0"/>
    <n v="0"/>
    <n v="0"/>
    <n v="66.059467769999998"/>
    <n v="0"/>
    <n v="2.9604628810000002"/>
    <n v="0"/>
    <n v="0"/>
    <n v="685.62830050000002"/>
    <n v="0"/>
    <n v="0"/>
    <n v="0"/>
    <n v="0"/>
    <n v="0"/>
    <n v="0"/>
    <n v="0"/>
    <n v="0"/>
    <n v="134"/>
    <n v="2"/>
    <n v="30000"/>
    <n v="0"/>
    <x v="2"/>
    <n v="119.355341221"/>
    <n v="0"/>
    <n v="119.355341221"/>
    <x v="0"/>
  </r>
  <r>
    <x v="240"/>
    <x v="2"/>
    <n v="0"/>
    <n v="0"/>
    <n v="0"/>
    <n v="0"/>
    <n v="0"/>
    <n v="0"/>
    <n v="0"/>
    <n v="0"/>
    <n v="0"/>
    <n v="0"/>
    <n v="36.571821659999998"/>
    <n v="0"/>
    <n v="2.9569016659999998"/>
    <n v="0"/>
    <n v="0"/>
    <n v="462.5399956"/>
    <n v="0"/>
    <n v="0"/>
    <n v="0"/>
    <n v="6.8519200000000002E-2"/>
    <n v="0"/>
    <n v="0"/>
    <n v="13.3852379"/>
    <n v="0"/>
    <n v="330"/>
    <n v="0"/>
    <n v="30000"/>
    <n v="0"/>
    <x v="2"/>
    <n v="84.030959375999998"/>
    <n v="0"/>
    <n v="84.030959375999998"/>
    <x v="0"/>
  </r>
  <r>
    <x v="241"/>
    <x v="3"/>
    <n v="0"/>
    <n v="0"/>
    <n v="0"/>
    <n v="0"/>
    <n v="0"/>
    <n v="0"/>
    <n v="0"/>
    <n v="0"/>
    <n v="0"/>
    <n v="0"/>
    <n v="19.170619599999998"/>
    <n v="0"/>
    <n v="0.28822747700000001"/>
    <n v="0"/>
    <n v="0"/>
    <n v="111.2722297"/>
    <n v="0"/>
    <n v="0"/>
    <n v="0"/>
    <n v="1.820271365"/>
    <n v="0"/>
    <n v="0"/>
    <n v="336.59530139999998"/>
    <n v="0"/>
    <n v="308"/>
    <n v="0"/>
    <n v="30000"/>
    <n v="0"/>
    <x v="2"/>
    <n v="67.023055962000001"/>
    <n v="0"/>
    <n v="67.023055962000001"/>
    <x v="0"/>
  </r>
  <r>
    <x v="242"/>
    <x v="3"/>
    <n v="0"/>
    <n v="0"/>
    <n v="0"/>
    <n v="0"/>
    <n v="0"/>
    <n v="0"/>
    <n v="0"/>
    <n v="0"/>
    <n v="0"/>
    <n v="0"/>
    <n v="16.175766190000001"/>
    <n v="0"/>
    <n v="0.66464616499999996"/>
    <n v="0"/>
    <n v="0"/>
    <n v="115.5275881"/>
    <n v="0"/>
    <n v="0"/>
    <n v="0"/>
    <n v="2.7799170260000001"/>
    <n v="0"/>
    <n v="0"/>
    <n v="569.40700979999997"/>
    <n v="0"/>
    <n v="198"/>
    <n v="1"/>
    <n v="30000"/>
    <n v="0"/>
    <x v="2"/>
    <n v="97.248722031"/>
    <n v="0"/>
    <n v="97.248722031"/>
    <x v="0"/>
  </r>
  <r>
    <x v="243"/>
    <x v="2"/>
    <n v="0"/>
    <n v="0"/>
    <n v="0"/>
    <n v="0"/>
    <n v="0"/>
    <n v="0"/>
    <n v="0"/>
    <n v="0"/>
    <n v="0"/>
    <n v="0"/>
    <n v="48.538296840000001"/>
    <n v="0"/>
    <n v="2.760383644"/>
    <n v="0"/>
    <n v="0"/>
    <n v="625.88067269999999"/>
    <n v="0"/>
    <n v="0"/>
    <n v="0"/>
    <n v="0"/>
    <n v="0"/>
    <n v="0"/>
    <n v="0"/>
    <n v="0"/>
    <n v="291"/>
    <n v="0"/>
    <n v="30000"/>
    <n v="0"/>
    <x v="2"/>
    <n v="103.41951755400001"/>
    <n v="0"/>
    <n v="103.41951755400001"/>
    <x v="0"/>
  </r>
  <r>
    <x v="244"/>
    <x v="3"/>
    <n v="0"/>
    <n v="0"/>
    <n v="0"/>
    <n v="0"/>
    <n v="0"/>
    <n v="0"/>
    <n v="0"/>
    <n v="0"/>
    <n v="0"/>
    <n v="0"/>
    <n v="8.7628392139999995"/>
    <n v="0"/>
    <n v="0.26055673600000001"/>
    <n v="0"/>
    <n v="0"/>
    <n v="57.560263849999998"/>
    <n v="0"/>
    <n v="0"/>
    <n v="0"/>
    <n v="2.167174422"/>
    <n v="0"/>
    <n v="0"/>
    <n v="344.53146290000001"/>
    <n v="0"/>
    <n v="341"/>
    <n v="0"/>
    <n v="30000"/>
    <n v="0"/>
    <x v="2"/>
    <n v="59.156979229999997"/>
    <n v="0"/>
    <n v="59.156979229999997"/>
    <x v="0"/>
  </r>
  <r>
    <x v="245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0"/>
    <n v="0"/>
    <x v="2"/>
    <n v="0"/>
    <n v="0"/>
    <n v="0"/>
    <x v="0"/>
  </r>
  <r>
    <x v="246"/>
    <x v="3"/>
    <n v="0"/>
    <n v="0"/>
    <n v="0"/>
    <n v="0"/>
    <n v="0"/>
    <n v="0"/>
    <n v="0"/>
    <n v="0"/>
    <n v="0"/>
    <n v="0"/>
    <n v="39.419627970000001"/>
    <n v="0"/>
    <n v="1.1298370149999999"/>
    <n v="0"/>
    <n v="0"/>
    <n v="282.97394020000002"/>
    <n v="0"/>
    <n v="0"/>
    <n v="0"/>
    <n v="2.6509097559999999"/>
    <n v="0"/>
    <n v="0"/>
    <n v="522.49969769999996"/>
    <n v="0"/>
    <n v="181"/>
    <n v="1"/>
    <n v="40000"/>
    <n v="0"/>
    <x v="2"/>
    <n v="122.94165840100001"/>
    <n v="0"/>
    <n v="122.94165840100001"/>
    <x v="0"/>
  </r>
  <r>
    <x v="247"/>
    <x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000"/>
    <n v="0"/>
    <x v="2"/>
    <n v="0"/>
    <n v="0"/>
    <n v="0"/>
    <x v="0"/>
  </r>
  <r>
    <x v="248"/>
    <x v="1"/>
    <n v="0"/>
    <n v="0"/>
    <n v="0"/>
    <n v="0"/>
    <n v="0"/>
    <n v="0"/>
    <n v="0"/>
    <n v="0"/>
    <n v="0"/>
    <n v="0"/>
    <n v="28.967833120000002"/>
    <n v="0"/>
    <n v="1.357942795"/>
    <n v="0"/>
    <n v="0"/>
    <n v="301.91982150000001"/>
    <n v="0"/>
    <n v="0"/>
    <n v="0"/>
    <n v="0"/>
    <n v="0"/>
    <n v="0"/>
    <n v="0"/>
    <n v="0"/>
    <n v="446"/>
    <n v="0"/>
    <n v="50000"/>
    <n v="0"/>
    <x v="2"/>
    <n v="52.823555480000003"/>
    <n v="0"/>
    <n v="52.823555480000003"/>
    <x v="0"/>
  </r>
  <r>
    <x v="249"/>
    <x v="3"/>
    <n v="0"/>
    <n v="0"/>
    <n v="0"/>
    <n v="0"/>
    <n v="0"/>
    <n v="0"/>
    <n v="0"/>
    <n v="0"/>
    <n v="0"/>
    <n v="0"/>
    <n v="41.427232369999999"/>
    <n v="0"/>
    <n v="1.515213135"/>
    <n v="0"/>
    <n v="0"/>
    <n v="307.70459949999997"/>
    <n v="0"/>
    <n v="0"/>
    <n v="0"/>
    <n v="4.6565343419999996"/>
    <n v="0"/>
    <n v="0"/>
    <n v="577.08796649999999"/>
    <n v="0"/>
    <n v="124"/>
    <n v="2"/>
    <n v="0"/>
    <n v="0"/>
    <x v="2"/>
    <n v="146.223357647"/>
    <n v="0"/>
    <n v="146.223357647"/>
    <x v="0"/>
  </r>
  <r>
    <x v="250"/>
    <x v="3"/>
    <n v="0"/>
    <n v="0"/>
    <n v="0"/>
    <n v="0"/>
    <n v="0"/>
    <n v="0"/>
    <n v="0"/>
    <n v="0"/>
    <n v="0"/>
    <n v="0"/>
    <n v="30.751335130000001"/>
    <n v="0"/>
    <n v="1.3673120160000001"/>
    <n v="0"/>
    <n v="0"/>
    <n v="242.78506429999999"/>
    <n v="0"/>
    <n v="0"/>
    <n v="0"/>
    <n v="1.607114363"/>
    <n v="0"/>
    <n v="0"/>
    <n v="306.35010490000002"/>
    <n v="0"/>
    <n v="183"/>
    <n v="1"/>
    <n v="0"/>
    <n v="0"/>
    <x v="2"/>
    <n v="88.13574275900001"/>
    <n v="0"/>
    <n v="88.13574275900001"/>
    <x v="0"/>
  </r>
  <r>
    <x v="251"/>
    <x v="3"/>
    <n v="0"/>
    <n v="0"/>
    <n v="0"/>
    <n v="0"/>
    <n v="0"/>
    <n v="0"/>
    <n v="0"/>
    <n v="0"/>
    <n v="0"/>
    <n v="0"/>
    <n v="35.344247930000002"/>
    <n v="0"/>
    <n v="1.061851442"/>
    <n v="0"/>
    <n v="0"/>
    <n v="241.62604719999999"/>
    <n v="0"/>
    <n v="0"/>
    <n v="0"/>
    <n v="2.3965793579999999"/>
    <n v="0"/>
    <n v="0"/>
    <n v="435.22181030000002"/>
    <n v="0"/>
    <n v="188"/>
    <n v="1"/>
    <n v="0"/>
    <n v="0"/>
    <x v="2"/>
    <n v="106.10749451500001"/>
    <n v="0"/>
    <n v="106.10749451500001"/>
    <x v="0"/>
  </r>
  <r>
    <x v="252"/>
    <x v="2"/>
    <n v="0"/>
    <n v="0"/>
    <n v="0"/>
    <n v="0"/>
    <n v="0"/>
    <n v="0"/>
    <n v="0"/>
    <n v="0"/>
    <n v="0"/>
    <n v="0"/>
    <n v="56.375312379999997"/>
    <n v="0"/>
    <n v="3.3767074030000002"/>
    <n v="0"/>
    <n v="0"/>
    <n v="664.76536850000002"/>
    <n v="0"/>
    <n v="0"/>
    <n v="0"/>
    <n v="0"/>
    <n v="0"/>
    <n v="0"/>
    <n v="0"/>
    <n v="0"/>
    <n v="191"/>
    <n v="1"/>
    <n v="0"/>
    <n v="0"/>
    <x v="2"/>
    <n v="114.924437458"/>
    <n v="0"/>
    <n v="114.924437458"/>
    <x v="0"/>
  </r>
  <r>
    <x v="253"/>
    <x v="3"/>
    <n v="0"/>
    <n v="0"/>
    <n v="0"/>
    <n v="0"/>
    <n v="0"/>
    <n v="0"/>
    <n v="0"/>
    <n v="0"/>
    <n v="0"/>
    <n v="0"/>
    <n v="12.78856828"/>
    <n v="0"/>
    <n v="0.50196858899999997"/>
    <n v="0"/>
    <n v="0"/>
    <n v="86.261763630000004"/>
    <n v="0"/>
    <n v="0"/>
    <n v="0"/>
    <n v="3.122097568"/>
    <n v="0"/>
    <n v="0"/>
    <n v="495.11828780000002"/>
    <n v="0"/>
    <n v="203"/>
    <n v="1"/>
    <n v="0"/>
    <n v="0"/>
    <x v="2"/>
    <n v="86.276686224999992"/>
    <n v="0"/>
    <n v="86.276686224999992"/>
    <x v="0"/>
  </r>
  <r>
    <x v="254"/>
    <x v="3"/>
    <n v="0"/>
    <n v="0"/>
    <n v="0"/>
    <n v="0"/>
    <n v="0"/>
    <n v="0"/>
    <n v="0"/>
    <n v="0"/>
    <n v="0"/>
    <n v="0"/>
    <n v="11.69749863"/>
    <n v="0"/>
    <n v="0.46377792600000001"/>
    <n v="0"/>
    <n v="0"/>
    <n v="79.413418250000007"/>
    <n v="0"/>
    <n v="0"/>
    <n v="0"/>
    <n v="3.2678393209999999"/>
    <n v="0"/>
    <n v="0"/>
    <n v="346.17616390000001"/>
    <n v="0"/>
    <n v="204"/>
    <n v="1"/>
    <n v="0"/>
    <n v="0"/>
    <x v="2"/>
    <n v="70.797411011999998"/>
    <n v="0"/>
    <n v="70.797411011999998"/>
    <x v="0"/>
  </r>
  <r>
    <x v="255"/>
    <x v="3"/>
    <n v="0"/>
    <n v="0"/>
    <n v="0"/>
    <n v="0"/>
    <n v="0"/>
    <n v="0"/>
    <n v="0"/>
    <n v="0"/>
    <n v="0"/>
    <n v="0"/>
    <n v="23.957510150000001"/>
    <n v="0"/>
    <n v="2.0140644079999999"/>
    <n v="0"/>
    <n v="0"/>
    <n v="206.47475119999999"/>
    <n v="0"/>
    <n v="0"/>
    <n v="0"/>
    <n v="2.4809266910000001"/>
    <n v="0"/>
    <n v="0"/>
    <n v="374.93274200000002"/>
    <n v="0"/>
    <n v="205"/>
    <n v="1"/>
    <n v="0"/>
    <n v="0"/>
    <x v="2"/>
    <n v="97.089450988999999"/>
    <n v="0"/>
    <n v="97.089450988999999"/>
    <x v="0"/>
  </r>
  <r>
    <x v="256"/>
    <x v="3"/>
    <n v="0"/>
    <n v="0"/>
    <n v="0"/>
    <n v="0"/>
    <n v="0"/>
    <n v="0"/>
    <n v="0"/>
    <n v="0"/>
    <n v="0"/>
    <n v="0"/>
    <n v="27.982946630000001"/>
    <n v="0"/>
    <n v="0.99081340900000003"/>
    <n v="0"/>
    <n v="0"/>
    <n v="212.1614549"/>
    <n v="0"/>
    <n v="0"/>
    <n v="0"/>
    <n v="4.8997517339999996"/>
    <n v="0"/>
    <n v="0"/>
    <n v="567.65657309999995"/>
    <n v="0"/>
    <n v="152"/>
    <n v="1"/>
    <n v="0"/>
    <n v="0"/>
    <x v="2"/>
    <n v="127.316666973"/>
    <n v="0"/>
    <n v="127.316666973"/>
    <x v="0"/>
  </r>
  <r>
    <x v="257"/>
    <x v="2"/>
    <n v="0"/>
    <n v="0"/>
    <n v="0"/>
    <n v="0"/>
    <n v="0"/>
    <n v="0"/>
    <n v="0"/>
    <n v="0"/>
    <n v="0"/>
    <n v="0"/>
    <n v="55.695756500000002"/>
    <n v="0"/>
    <n v="5.5704072880000002"/>
    <n v="0"/>
    <n v="0"/>
    <n v="810.15628070000002"/>
    <n v="0"/>
    <n v="0"/>
    <n v="0"/>
    <n v="0.27788054699999998"/>
    <n v="0"/>
    <n v="0"/>
    <n v="25.241048559999999"/>
    <n v="0"/>
    <n v="155"/>
    <n v="1"/>
    <n v="0"/>
    <n v="0"/>
    <x v="2"/>
    <n v="146.47733818600003"/>
    <n v="0"/>
    <n v="146.47733818600003"/>
    <x v="0"/>
  </r>
  <r>
    <x v="258"/>
    <x v="2"/>
    <n v="0"/>
    <n v="0"/>
    <n v="0"/>
    <n v="0"/>
    <n v="0"/>
    <n v="0"/>
    <n v="0"/>
    <n v="0"/>
    <n v="0"/>
    <n v="0"/>
    <n v="63.261233519999998"/>
    <n v="0"/>
    <n v="4.5168374650000001"/>
    <n v="0"/>
    <n v="0"/>
    <n v="647.62269570000001"/>
    <n v="0"/>
    <n v="0"/>
    <n v="0"/>
    <n v="0.905798455"/>
    <n v="0"/>
    <n v="0"/>
    <n v="64.390463359999998"/>
    <n v="0"/>
    <n v="160"/>
    <n v="1"/>
    <n v="0"/>
    <n v="0"/>
    <x v="2"/>
    <n v="135.367748186"/>
    <n v="0"/>
    <n v="135.367748186"/>
    <x v="0"/>
  </r>
  <r>
    <x v="259"/>
    <x v="2"/>
    <n v="0"/>
    <n v="0"/>
    <n v="0"/>
    <n v="0"/>
    <n v="0"/>
    <n v="0"/>
    <n v="0"/>
    <n v="0"/>
    <n v="0"/>
    <n v="0"/>
    <n v="59.700536960000001"/>
    <n v="0"/>
    <n v="3.1965579100000001"/>
    <n v="0"/>
    <n v="0"/>
    <n v="779.05091419999997"/>
    <n v="0"/>
    <n v="0"/>
    <n v="0"/>
    <n v="0.32719733899999998"/>
    <n v="0"/>
    <n v="0"/>
    <n v="69.655215299999995"/>
    <n v="0"/>
    <n v="175"/>
    <n v="1"/>
    <n v="0"/>
    <n v="0"/>
    <x v="2"/>
    <n v="135.86341292399999"/>
    <n v="0"/>
    <n v="135.86341292399999"/>
    <x v="0"/>
  </r>
  <r>
    <x v="260"/>
    <x v="1"/>
    <n v="0"/>
    <n v="0"/>
    <n v="0"/>
    <n v="0"/>
    <n v="0"/>
    <n v="0"/>
    <n v="0"/>
    <n v="0"/>
    <n v="0"/>
    <n v="0"/>
    <n v="52.86248509"/>
    <n v="0"/>
    <n v="3.8231010649999999"/>
    <n v="0"/>
    <n v="0"/>
    <n v="529.15332679999995"/>
    <n v="0"/>
    <n v="0"/>
    <n v="0"/>
    <n v="0"/>
    <n v="0"/>
    <n v="0"/>
    <n v="0"/>
    <n v="0"/>
    <n v="174"/>
    <n v="1"/>
    <n v="0"/>
    <n v="0"/>
    <x v="2"/>
    <n v="102.285181615"/>
    <n v="0"/>
    <n v="102.285181615"/>
    <x v="0"/>
  </r>
  <r>
    <x v="261"/>
    <x v="3"/>
    <n v="0"/>
    <n v="0"/>
    <n v="0"/>
    <n v="0"/>
    <n v="0"/>
    <n v="0"/>
    <n v="0"/>
    <n v="0"/>
    <n v="0"/>
    <n v="0"/>
    <n v="3.988369901"/>
    <n v="0"/>
    <n v="0.143996336"/>
    <n v="0"/>
    <n v="0"/>
    <n v="27.563159280000001"/>
    <n v="0"/>
    <n v="0"/>
    <n v="0"/>
    <n v="0.360062993"/>
    <n v="0"/>
    <n v="0"/>
    <n v="70.987168909999994"/>
    <n v="0"/>
    <n v="1074"/>
    <n v="0"/>
    <n v="0"/>
    <n v="0"/>
    <x v="2"/>
    <n v="14.8735737435"/>
    <n v="0"/>
    <n v="14.8735737435"/>
    <x v="0"/>
  </r>
  <r>
    <x v="262"/>
    <x v="1"/>
    <n v="0"/>
    <n v="0"/>
    <n v="0"/>
    <n v="0"/>
    <n v="0"/>
    <n v="0"/>
    <n v="0"/>
    <n v="0"/>
    <n v="0"/>
    <n v="0"/>
    <n v="7.4737032619999999"/>
    <n v="0"/>
    <n v="0.41901916700000003"/>
    <n v="0"/>
    <n v="0"/>
    <n v="71.313203000000001"/>
    <n v="0"/>
    <n v="0"/>
    <n v="0"/>
    <n v="0"/>
    <n v="0"/>
    <n v="0"/>
    <n v="0"/>
    <n v="0"/>
    <n v="1072"/>
    <n v="0"/>
    <n v="0"/>
    <n v="0"/>
    <x v="2"/>
    <n v="13.382286933"/>
    <n v="0"/>
    <n v="13.382286933"/>
    <x v="0"/>
  </r>
  <r>
    <x v="263"/>
    <x v="2"/>
    <n v="0"/>
    <n v="0"/>
    <n v="0"/>
    <n v="0"/>
    <n v="0"/>
    <n v="0"/>
    <n v="0"/>
    <n v="0"/>
    <n v="0"/>
    <n v="0"/>
    <n v="6.7634447409999998"/>
    <n v="0"/>
    <n v="0.30801390200000001"/>
    <n v="0"/>
    <n v="0"/>
    <n v="71.287809539999998"/>
    <n v="0"/>
    <n v="0"/>
    <n v="0"/>
    <n v="0"/>
    <n v="0"/>
    <n v="0"/>
    <n v="0"/>
    <n v="0"/>
    <n v="1077"/>
    <n v="0"/>
    <n v="0"/>
    <n v="0"/>
    <x v="2"/>
    <n v="12.3585867365"/>
    <n v="0"/>
    <n v="12.3585867365"/>
    <x v="0"/>
  </r>
  <r>
    <x v="264"/>
    <x v="2"/>
    <n v="0"/>
    <n v="0"/>
    <n v="0"/>
    <n v="0"/>
    <n v="0"/>
    <n v="0"/>
    <n v="0"/>
    <n v="0"/>
    <n v="0"/>
    <n v="0"/>
    <n v="4.6605296029999996"/>
    <n v="0"/>
    <n v="0.39873552699999998"/>
    <n v="0"/>
    <n v="0"/>
    <n v="54.865391049999999"/>
    <n v="0"/>
    <n v="0"/>
    <n v="0"/>
    <n v="0.16370348900000001"/>
    <n v="0"/>
    <n v="0"/>
    <n v="25.717504940000001"/>
    <n v="0"/>
    <n v="1075"/>
    <n v="0"/>
    <n v="0"/>
    <n v="0"/>
    <x v="2"/>
    <n v="13.7631884965"/>
    <n v="0"/>
    <n v="13.7631884965"/>
    <x v="0"/>
  </r>
  <r>
    <x v="265"/>
    <x v="2"/>
    <n v="0"/>
    <n v="0"/>
    <n v="0"/>
    <n v="0"/>
    <n v="0"/>
    <n v="0"/>
    <n v="0"/>
    <n v="0"/>
    <n v="0"/>
    <n v="0"/>
    <n v="5.6529402260000001"/>
    <n v="0"/>
    <n v="0.34456582000000002"/>
    <n v="0"/>
    <n v="0"/>
    <n v="53.139328409999997"/>
    <n v="0"/>
    <n v="0"/>
    <n v="0"/>
    <n v="0"/>
    <n v="0"/>
    <n v="0"/>
    <n v="0"/>
    <n v="0"/>
    <n v="1076"/>
    <n v="0"/>
    <n v="0"/>
    <n v="0"/>
    <x v="2"/>
    <n v="10.207797874000001"/>
    <n v="0"/>
    <n v="10.207797874000001"/>
    <x v="0"/>
  </r>
  <r>
    <x v="266"/>
    <x v="2"/>
    <n v="0"/>
    <n v="0"/>
    <n v="0"/>
    <n v="0"/>
    <n v="0"/>
    <n v="0"/>
    <n v="0"/>
    <n v="0"/>
    <n v="0"/>
    <n v="0"/>
    <n v="6.5672132469999998"/>
    <n v="0"/>
    <n v="0.26588133400000002"/>
    <n v="0"/>
    <n v="0"/>
    <n v="74.642856890000004"/>
    <n v="0"/>
    <n v="0"/>
    <n v="0"/>
    <n v="0"/>
    <n v="0"/>
    <n v="0"/>
    <n v="0"/>
    <n v="0"/>
    <n v="1078"/>
    <n v="0"/>
    <n v="0"/>
    <n v="0"/>
    <x v="2"/>
    <n v="12.3431803165"/>
    <n v="0"/>
    <n v="12.3431803165"/>
    <x v="0"/>
  </r>
  <r>
    <x v="267"/>
    <x v="1"/>
    <n v="0"/>
    <n v="0"/>
    <n v="0"/>
    <n v="0"/>
    <n v="0"/>
    <n v="0"/>
    <n v="0"/>
    <n v="0"/>
    <n v="0"/>
    <n v="0"/>
    <n v="7.1718549869999997"/>
    <n v="0"/>
    <n v="0.54578968900000002"/>
    <n v="0"/>
    <n v="0"/>
    <n v="69.953447339999997"/>
    <n v="0"/>
    <n v="0"/>
    <n v="0"/>
    <n v="0"/>
    <n v="0"/>
    <n v="0"/>
    <n v="0"/>
    <n v="0"/>
    <n v="1070"/>
    <n v="0"/>
    <n v="0"/>
    <n v="0"/>
    <x v="2"/>
    <n v="13.856010361499999"/>
    <n v="0"/>
    <n v="13.856010361499999"/>
    <x v="0"/>
  </r>
  <r>
    <x v="268"/>
    <x v="3"/>
    <n v="0"/>
    <n v="0"/>
    <n v="0"/>
    <n v="0"/>
    <n v="0"/>
    <n v="0"/>
    <n v="0"/>
    <n v="0"/>
    <n v="0"/>
    <n v="0"/>
    <n v="2.1321838519999998"/>
    <n v="0"/>
    <n v="0.106026316"/>
    <n v="0"/>
    <n v="0"/>
    <n v="14.113979069999999"/>
    <n v="0"/>
    <n v="0"/>
    <n v="0"/>
    <n v="0.53558856899999996"/>
    <n v="0"/>
    <n v="0"/>
    <n v="98.370138389999994"/>
    <n v="0"/>
    <n v="1071"/>
    <n v="0"/>
    <n v="0"/>
    <n v="0"/>
    <x v="2"/>
    <n v="16.164192981999999"/>
    <n v="0"/>
    <n v="16.164192981999999"/>
    <x v="0"/>
  </r>
  <r>
    <x v="269"/>
    <x v="1"/>
    <n v="0"/>
    <n v="0"/>
    <n v="0"/>
    <n v="0"/>
    <n v="0"/>
    <n v="0"/>
    <n v="0"/>
    <n v="0"/>
    <n v="0"/>
    <n v="0"/>
    <n v="8.1199169980000008"/>
    <n v="0"/>
    <n v="0.52127168800000001"/>
    <n v="0"/>
    <n v="0"/>
    <n v="77.102676380000005"/>
    <n v="0"/>
    <n v="0"/>
    <n v="0"/>
    <n v="0"/>
    <n v="0"/>
    <n v="0"/>
    <n v="0"/>
    <n v="0"/>
    <n v="1062"/>
    <n v="0"/>
    <n v="0"/>
    <n v="0"/>
    <x v="2"/>
    <n v="14.897856265000001"/>
    <n v="0"/>
    <n v="14.897856265000001"/>
    <x v="0"/>
  </r>
  <r>
    <x v="270"/>
    <x v="2"/>
    <n v="0"/>
    <n v="0"/>
    <n v="0"/>
    <n v="0"/>
    <n v="0"/>
    <n v="0"/>
    <n v="0"/>
    <n v="0"/>
    <n v="0"/>
    <n v="0"/>
    <n v="6.2135195269999999"/>
    <n v="0"/>
    <n v="0.349446704"/>
    <n v="0"/>
    <n v="0"/>
    <n v="69.997582339999994"/>
    <n v="0"/>
    <n v="0"/>
    <n v="0"/>
    <n v="0"/>
    <n v="0"/>
    <n v="0"/>
    <n v="0"/>
    <n v="0"/>
    <n v="1068"/>
    <n v="0"/>
    <n v="0"/>
    <n v="0"/>
    <x v="2"/>
    <n v="12.203198221499999"/>
    <n v="0"/>
    <n v="12.203198221499999"/>
    <x v="0"/>
  </r>
  <r>
    <x v="271"/>
    <x v="1"/>
    <n v="0"/>
    <n v="0"/>
    <n v="0"/>
    <n v="0"/>
    <n v="0"/>
    <n v="0"/>
    <n v="0"/>
    <n v="0"/>
    <n v="0"/>
    <n v="0"/>
    <n v="7.3454140829999996"/>
    <n v="0"/>
    <n v="0.49472629499999998"/>
    <n v="0"/>
    <n v="0"/>
    <n v="77.737341950000001"/>
    <n v="0"/>
    <n v="0"/>
    <n v="0"/>
    <n v="0"/>
    <n v="0"/>
    <n v="0"/>
    <n v="0"/>
    <n v="0"/>
    <n v="1066"/>
    <n v="0"/>
    <n v="0"/>
    <n v="0"/>
    <x v="2"/>
    <n v="14.414799006500001"/>
    <n v="0"/>
    <n v="14.414799006500001"/>
    <x v="0"/>
  </r>
  <r>
    <x v="272"/>
    <x v="3"/>
    <n v="0"/>
    <n v="0"/>
    <n v="0"/>
    <n v="0"/>
    <n v="0"/>
    <n v="0"/>
    <n v="0"/>
    <n v="0"/>
    <n v="0"/>
    <n v="0"/>
    <n v="4.2283261730000001"/>
    <n v="0"/>
    <n v="0.164065194"/>
    <n v="0"/>
    <n v="0"/>
    <n v="29.454925370000002"/>
    <n v="0"/>
    <n v="0"/>
    <n v="0"/>
    <n v="0.50986312300000003"/>
    <n v="0"/>
    <n v="0"/>
    <n v="71.269680730000005"/>
    <n v="0"/>
    <n v="1065"/>
    <n v="0"/>
    <n v="0"/>
    <n v="0"/>
    <x v="2"/>
    <n v="16.230193598500001"/>
    <n v="0"/>
    <n v="16.230193598500001"/>
    <x v="0"/>
  </r>
  <r>
    <x v="273"/>
    <x v="2"/>
    <n v="0"/>
    <n v="0"/>
    <n v="0"/>
    <n v="0"/>
    <n v="0"/>
    <n v="0"/>
    <n v="0"/>
    <n v="0"/>
    <n v="0"/>
    <n v="0"/>
    <n v="5.8300250130000002"/>
    <n v="0"/>
    <n v="0.55637530300000004"/>
    <n v="0"/>
    <n v="0"/>
    <n v="95.153074930000002"/>
    <n v="0"/>
    <n v="0"/>
    <n v="0"/>
    <n v="0"/>
    <n v="0"/>
    <n v="0"/>
    <n v="0"/>
    <n v="0"/>
    <n v="1064"/>
    <n v="0"/>
    <n v="0"/>
    <n v="0"/>
    <x v="2"/>
    <n v="15.7685718175"/>
    <n v="0"/>
    <n v="15.7685718175"/>
    <x v="0"/>
  </r>
  <r>
    <x v="274"/>
    <x v="1"/>
    <n v="0"/>
    <n v="0"/>
    <n v="0"/>
    <n v="0"/>
    <n v="0"/>
    <n v="0"/>
    <n v="0"/>
    <n v="0"/>
    <n v="0"/>
    <n v="0"/>
    <n v="7.4423083239999999"/>
    <n v="0"/>
    <n v="0.61484185300000005"/>
    <n v="0"/>
    <n v="0"/>
    <n v="75.813245809999998"/>
    <n v="0"/>
    <n v="0"/>
    <n v="0"/>
    <n v="0"/>
    <n v="0"/>
    <n v="0"/>
    <n v="0"/>
    <n v="0"/>
    <n v="1063"/>
    <n v="0"/>
    <n v="0"/>
    <n v="0"/>
    <x v="2"/>
    <n v="14.991529861"/>
    <n v="0"/>
    <n v="14.991529861"/>
    <x v="0"/>
  </r>
  <r>
    <x v="275"/>
    <x v="3"/>
    <n v="0"/>
    <n v="0"/>
    <n v="0"/>
    <n v="0"/>
    <n v="0"/>
    <n v="0"/>
    <n v="0"/>
    <n v="0"/>
    <n v="0"/>
    <n v="0"/>
    <n v="4.084059645"/>
    <n v="0"/>
    <n v="0.161132315"/>
    <n v="0"/>
    <n v="0"/>
    <n v="28.988611710000001"/>
    <n v="0"/>
    <n v="0"/>
    <n v="0"/>
    <n v="0.37309558799999998"/>
    <n v="0"/>
    <n v="0"/>
    <n v="50.362776240000002"/>
    <n v="0"/>
    <n v="1080"/>
    <n v="0"/>
    <n v="0"/>
    <n v="0"/>
    <x v="2"/>
    <n v="13.1825360355"/>
    <n v="0"/>
    <n v="13.1825360355"/>
    <x v="0"/>
  </r>
  <r>
    <x v="276"/>
    <x v="2"/>
    <n v="0"/>
    <n v="0"/>
    <n v="0"/>
    <n v="0"/>
    <n v="0"/>
    <n v="0"/>
    <n v="0"/>
    <n v="0"/>
    <n v="0"/>
    <n v="0"/>
    <n v="7.1684263240000003"/>
    <n v="0"/>
    <n v="0.62889556499999999"/>
    <n v="0"/>
    <n v="0"/>
    <n v="82.167091889999995"/>
    <n v="0"/>
    <n v="0"/>
    <n v="0"/>
    <n v="0"/>
    <n v="0"/>
    <n v="0"/>
    <n v="0"/>
    <n v="0"/>
    <n v="1061"/>
    <n v="0"/>
    <n v="0"/>
    <n v="0"/>
    <x v="2"/>
    <n v="15.574295741"/>
    <n v="0"/>
    <n v="15.574295741"/>
    <x v="0"/>
  </r>
  <r>
    <x v="277"/>
    <x v="2"/>
    <n v="0"/>
    <n v="0"/>
    <n v="0"/>
    <n v="0"/>
    <n v="0"/>
    <n v="0"/>
    <n v="0"/>
    <n v="0"/>
    <n v="0"/>
    <n v="0"/>
    <n v="6.1272778920000004"/>
    <n v="0"/>
    <n v="0.31711342799999997"/>
    <n v="0"/>
    <n v="0"/>
    <n v="75.472801559999994"/>
    <n v="0"/>
    <n v="0"/>
    <n v="0"/>
    <n v="0"/>
    <n v="0"/>
    <n v="0"/>
    <n v="0"/>
    <n v="0"/>
    <n v="1079"/>
    <n v="0"/>
    <n v="0"/>
    <n v="0"/>
    <x v="2"/>
    <n v="12.51359967"/>
    <n v="0"/>
    <n v="12.51359967"/>
    <x v="0"/>
  </r>
  <r>
    <x v="278"/>
    <x v="3"/>
    <n v="0"/>
    <n v="0"/>
    <n v="0"/>
    <n v="0"/>
    <n v="0"/>
    <n v="0"/>
    <n v="0"/>
    <n v="0"/>
    <n v="0"/>
    <n v="0"/>
    <n v="4.1826823329999998"/>
    <n v="0"/>
    <n v="7.3719965999999998E-2"/>
    <n v="0"/>
    <n v="0"/>
    <n v="25.232873739999999"/>
    <n v="0"/>
    <n v="0"/>
    <n v="0"/>
    <n v="0.246648177"/>
    <n v="0"/>
    <n v="0"/>
    <n v="34.975072419999996"/>
    <n v="0"/>
    <n v="1089"/>
    <n v="0"/>
    <n v="0"/>
    <n v="0"/>
    <x v="2"/>
    <n v="10.034344640499999"/>
    <n v="0"/>
    <n v="10.034344640499999"/>
    <x v="0"/>
  </r>
  <r>
    <x v="279"/>
    <x v="2"/>
    <n v="0"/>
    <n v="0"/>
    <n v="0"/>
    <n v="0"/>
    <n v="0"/>
    <n v="0"/>
    <n v="0"/>
    <n v="0"/>
    <n v="0"/>
    <n v="0"/>
    <n v="5.4649179400000003"/>
    <n v="0"/>
    <n v="0.40942607399999997"/>
    <n v="0"/>
    <n v="0"/>
    <n v="71.432336179999993"/>
    <n v="0"/>
    <n v="0"/>
    <n v="0"/>
    <n v="0"/>
    <n v="0"/>
    <n v="0"/>
    <n v="0"/>
    <n v="0"/>
    <n v="1081"/>
    <n v="0"/>
    <n v="0"/>
    <n v="0"/>
    <x v="2"/>
    <n v="12.332249032"/>
    <n v="0"/>
    <n v="12.332249032"/>
    <x v="0"/>
  </r>
  <r>
    <x v="280"/>
    <x v="3"/>
    <n v="0"/>
    <n v="0"/>
    <n v="0"/>
    <n v="0"/>
    <n v="0"/>
    <n v="0"/>
    <n v="0"/>
    <n v="0"/>
    <n v="0"/>
    <n v="0"/>
    <n v="3.9919888349999999"/>
    <n v="0"/>
    <n v="0.146034418"/>
    <n v="0"/>
    <n v="0"/>
    <n v="29.33851349"/>
    <n v="0"/>
    <n v="0"/>
    <n v="0"/>
    <n v="0.25892331000000002"/>
    <n v="0"/>
    <n v="0"/>
    <n v="32.50445448"/>
    <n v="0"/>
    <n v="1092"/>
    <n v="0"/>
    <n v="0"/>
    <n v="0"/>
    <x v="2"/>
    <n v="10.6100375825"/>
    <n v="0"/>
    <n v="10.6100375825"/>
    <x v="0"/>
  </r>
  <r>
    <x v="281"/>
    <x v="2"/>
    <n v="0"/>
    <n v="0"/>
    <n v="0"/>
    <n v="0"/>
    <n v="0"/>
    <n v="0"/>
    <n v="0"/>
    <n v="0"/>
    <n v="0"/>
    <n v="0"/>
    <n v="4.9489398849999997"/>
    <n v="0"/>
    <n v="0.26129261100000001"/>
    <n v="0"/>
    <n v="0"/>
    <n v="47.71092488"/>
    <n v="0"/>
    <n v="0"/>
    <n v="0"/>
    <n v="0"/>
    <n v="0"/>
    <n v="0"/>
    <n v="0"/>
    <n v="0"/>
    <n v="1100"/>
    <n v="0"/>
    <n v="0"/>
    <n v="0"/>
    <x v="2"/>
    <n v="8.8133180964999998"/>
    <n v="0"/>
    <n v="8.8133180964999998"/>
    <x v="0"/>
  </r>
  <r>
    <x v="282"/>
    <x v="3"/>
    <n v="0"/>
    <n v="0"/>
    <n v="0"/>
    <n v="0"/>
    <n v="0"/>
    <n v="0"/>
    <n v="0"/>
    <n v="0"/>
    <n v="0"/>
    <n v="0"/>
    <n v="4.040805786"/>
    <n v="0"/>
    <n v="0.10892015200000001"/>
    <n v="0"/>
    <n v="0"/>
    <n v="28.941762709999999"/>
    <n v="0"/>
    <n v="0"/>
    <n v="0"/>
    <n v="0.16722882999999999"/>
    <n v="0"/>
    <n v="0"/>
    <n v="30.73287681"/>
    <n v="0"/>
    <n v="1099"/>
    <n v="0"/>
    <n v="0"/>
    <n v="0"/>
    <x v="2"/>
    <n v="9.6447607370000004"/>
    <n v="0"/>
    <n v="9.6447607370000004"/>
    <x v="0"/>
  </r>
  <r>
    <x v="283"/>
    <x v="2"/>
    <n v="0"/>
    <n v="0"/>
    <n v="0"/>
    <n v="0"/>
    <n v="0"/>
    <n v="0"/>
    <n v="0"/>
    <n v="0"/>
    <n v="0"/>
    <n v="0"/>
    <n v="3.7592247030000001"/>
    <n v="0"/>
    <n v="0.27000216300000002"/>
    <n v="0"/>
    <n v="0"/>
    <n v="41.313674169999999"/>
    <n v="0"/>
    <n v="0"/>
    <n v="0"/>
    <n v="0"/>
    <n v="0"/>
    <n v="0"/>
    <n v="0"/>
    <n v="0"/>
    <n v="1098"/>
    <n v="0"/>
    <n v="0"/>
    <n v="0"/>
    <x v="2"/>
    <n v="7.6309927465000005"/>
    <n v="0"/>
    <n v="7.6309927465000005"/>
    <x v="0"/>
  </r>
  <r>
    <x v="284"/>
    <x v="3"/>
    <n v="0"/>
    <n v="0"/>
    <n v="0"/>
    <n v="0"/>
    <n v="0"/>
    <n v="0"/>
    <n v="0"/>
    <n v="0"/>
    <n v="0"/>
    <n v="0"/>
    <n v="4.6734885100000003"/>
    <n v="0"/>
    <n v="0.19860382700000001"/>
    <n v="0"/>
    <n v="0"/>
    <n v="33.331009119999997"/>
    <n v="0"/>
    <n v="0"/>
    <n v="0"/>
    <n v="0.13624710900000001"/>
    <n v="0"/>
    <n v="0"/>
    <n v="17.966386459999999"/>
    <n v="0"/>
    <n v="1097"/>
    <n v="0"/>
    <n v="0"/>
    <n v="0"/>
    <x v="2"/>
    <n v="9.4755894289999993"/>
    <n v="0"/>
    <n v="9.4755894289999993"/>
    <x v="0"/>
  </r>
  <r>
    <x v="285"/>
    <x v="3"/>
    <n v="0"/>
    <n v="0"/>
    <n v="0"/>
    <n v="0"/>
    <n v="0"/>
    <n v="0"/>
    <n v="0"/>
    <n v="0"/>
    <n v="0"/>
    <n v="0"/>
    <n v="2.0226792819999999"/>
    <n v="0"/>
    <n v="8.7533709000000001E-2"/>
    <n v="0"/>
    <n v="0"/>
    <n v="14.45581428"/>
    <n v="0"/>
    <n v="0"/>
    <n v="0"/>
    <n v="0.423148576"/>
    <n v="0"/>
    <n v="0"/>
    <n v="52.926335819999998"/>
    <n v="0"/>
    <n v="1096"/>
    <n v="0"/>
    <n v="0"/>
    <n v="0"/>
    <x v="2"/>
    <n v="10.813648361"/>
    <n v="0"/>
    <n v="10.813648361"/>
    <x v="0"/>
  </r>
  <r>
    <x v="286"/>
    <x v="3"/>
    <n v="0"/>
    <n v="0"/>
    <n v="0"/>
    <n v="0"/>
    <n v="0"/>
    <n v="0"/>
    <n v="0"/>
    <n v="0"/>
    <n v="0"/>
    <n v="0"/>
    <n v="4.166722268"/>
    <n v="0"/>
    <n v="0.148030351"/>
    <n v="0"/>
    <n v="0"/>
    <n v="28.05082788"/>
    <n v="0"/>
    <n v="0"/>
    <n v="0"/>
    <n v="0.218736603"/>
    <n v="0"/>
    <n v="0"/>
    <n v="29.27452714"/>
    <n v="0"/>
    <n v="1095"/>
    <n v="0"/>
    <n v="0"/>
    <n v="0"/>
    <x v="2"/>
    <n v="10.01649836"/>
    <n v="0"/>
    <n v="10.01649836"/>
    <x v="0"/>
  </r>
  <r>
    <x v="287"/>
    <x v="2"/>
    <n v="0"/>
    <n v="0"/>
    <n v="0"/>
    <n v="0"/>
    <n v="0"/>
    <n v="0"/>
    <n v="0"/>
    <n v="0"/>
    <n v="0"/>
    <n v="0"/>
    <n v="5.070430784"/>
    <n v="0"/>
    <n v="0.23837773400000001"/>
    <n v="0"/>
    <n v="0"/>
    <n v="57.184484439999999"/>
    <n v="0"/>
    <n v="0"/>
    <n v="0"/>
    <n v="0"/>
    <n v="0"/>
    <n v="0"/>
    <n v="0"/>
    <n v="0"/>
    <n v="1094"/>
    <n v="0"/>
    <n v="0"/>
    <n v="0"/>
    <x v="2"/>
    <n v="9.6839302400000005"/>
    <n v="0"/>
    <n v="9.6839302400000005"/>
    <x v="0"/>
  </r>
  <r>
    <x v="288"/>
    <x v="3"/>
    <n v="0"/>
    <n v="0"/>
    <n v="0"/>
    <n v="0"/>
    <n v="0"/>
    <n v="0"/>
    <n v="0"/>
    <n v="0"/>
    <n v="0"/>
    <n v="0"/>
    <n v="4.2733542959999999"/>
    <n v="0"/>
    <n v="0.14317927"/>
    <n v="0"/>
    <n v="0"/>
    <n v="28.8421804"/>
    <n v="0"/>
    <n v="0"/>
    <n v="0"/>
    <n v="0.213868736"/>
    <n v="0"/>
    <n v="0"/>
    <n v="32.067737100000002"/>
    <n v="0"/>
    <n v="1093"/>
    <n v="0"/>
    <n v="0"/>
    <n v="0"/>
    <x v="2"/>
    <n v="10.369956934000001"/>
    <n v="0"/>
    <n v="10.369956934000001"/>
    <x v="0"/>
  </r>
  <r>
    <x v="289"/>
    <x v="3"/>
    <n v="0"/>
    <n v="0"/>
    <n v="0"/>
    <n v="0"/>
    <n v="0"/>
    <n v="0"/>
    <n v="0"/>
    <n v="0"/>
    <n v="0"/>
    <n v="0"/>
    <n v="4.3835937229999997"/>
    <n v="0"/>
    <n v="0.185424387"/>
    <n v="0"/>
    <n v="0"/>
    <n v="29.420585880000001"/>
    <n v="0"/>
    <n v="0"/>
    <n v="0"/>
    <n v="0.15780649899999999"/>
    <n v="0"/>
    <n v="0"/>
    <n v="17.71976725"/>
    <n v="0"/>
    <n v="1091"/>
    <n v="0"/>
    <n v="0"/>
    <n v="0"/>
    <x v="2"/>
    <n v="8.9652174905000006"/>
    <n v="0"/>
    <n v="8.9652174905000006"/>
    <x v="0"/>
  </r>
  <r>
    <x v="290"/>
    <x v="2"/>
    <n v="0"/>
    <n v="0"/>
    <n v="0"/>
    <n v="0"/>
    <n v="0"/>
    <n v="0"/>
    <n v="0"/>
    <n v="0"/>
    <n v="0"/>
    <n v="0"/>
    <n v="5.6300703140000001"/>
    <n v="0"/>
    <n v="0.48750061"/>
    <n v="0"/>
    <n v="0"/>
    <n v="64.536272780000004"/>
    <n v="0"/>
    <n v="0"/>
    <n v="0"/>
    <n v="0"/>
    <n v="0"/>
    <n v="0"/>
    <n v="0"/>
    <n v="0"/>
    <n v="1082"/>
    <n v="0"/>
    <n v="0"/>
    <n v="0"/>
    <x v="2"/>
    <n v="12.193666095000001"/>
    <n v="0"/>
    <n v="12.193666095000001"/>
    <x v="0"/>
  </r>
  <r>
    <x v="291"/>
    <x v="2"/>
    <n v="0"/>
    <n v="0"/>
    <n v="0"/>
    <n v="0"/>
    <n v="0"/>
    <n v="0"/>
    <n v="0"/>
    <n v="0"/>
    <n v="0"/>
    <n v="0"/>
    <n v="5.1907414689999998"/>
    <n v="0"/>
    <n v="0.46006319899999998"/>
    <n v="0"/>
    <n v="0"/>
    <n v="49.743478400000001"/>
    <n v="0"/>
    <n v="0"/>
    <n v="0"/>
    <n v="0"/>
    <n v="0"/>
    <n v="0"/>
    <n v="0"/>
    <n v="0"/>
    <n v="1090"/>
    <n v="0"/>
    <n v="0"/>
    <n v="0"/>
    <x v="2"/>
    <n v="10.3300977685"/>
    <n v="0"/>
    <n v="10.3300977685"/>
    <x v="0"/>
  </r>
  <r>
    <x v="292"/>
    <x v="1"/>
    <n v="0"/>
    <n v="0"/>
    <n v="0"/>
    <n v="0"/>
    <n v="0"/>
    <n v="0"/>
    <n v="0"/>
    <n v="0"/>
    <n v="0"/>
    <n v="0"/>
    <n v="8.0229704930000008"/>
    <n v="0"/>
    <n v="0.65963959999999999"/>
    <n v="0"/>
    <n v="0"/>
    <n v="78.060001409999998"/>
    <n v="0"/>
    <n v="0"/>
    <n v="0"/>
    <n v="0"/>
    <n v="0"/>
    <n v="0"/>
    <n v="0"/>
    <n v="0"/>
    <n v="1059"/>
    <n v="0"/>
    <n v="0"/>
    <n v="0"/>
    <x v="2"/>
    <n v="15.775322987500001"/>
    <n v="0"/>
    <n v="15.775322987500001"/>
    <x v="0"/>
  </r>
  <r>
    <x v="293"/>
    <x v="2"/>
    <n v="0"/>
    <n v="0"/>
    <n v="0"/>
    <n v="0"/>
    <n v="0"/>
    <n v="0"/>
    <n v="0"/>
    <n v="0"/>
    <n v="0"/>
    <n v="0"/>
    <n v="4.8841587049999999"/>
    <n v="0"/>
    <n v="0.43522542400000003"/>
    <n v="0"/>
    <n v="0"/>
    <n v="61.02815081"/>
    <n v="0"/>
    <n v="0"/>
    <n v="0"/>
    <n v="0"/>
    <n v="0"/>
    <n v="0"/>
    <n v="0"/>
    <n v="0"/>
    <n v="1088"/>
    <n v="0"/>
    <n v="0"/>
    <n v="0"/>
    <x v="2"/>
    <n v="11.1562469775"/>
    <n v="0"/>
    <n v="11.1562469775"/>
    <x v="0"/>
  </r>
  <r>
    <x v="294"/>
    <x v="2"/>
    <n v="0"/>
    <n v="0"/>
    <n v="0"/>
    <n v="0"/>
    <n v="0"/>
    <n v="0"/>
    <n v="0"/>
    <n v="0"/>
    <n v="0"/>
    <n v="0"/>
    <n v="3.2417358809999999"/>
    <n v="0"/>
    <n v="0.162901933"/>
    <n v="0"/>
    <n v="0"/>
    <n v="37.537514590000001"/>
    <n v="0"/>
    <n v="0"/>
    <n v="0"/>
    <n v="0.251250796"/>
    <n v="0"/>
    <n v="0"/>
    <n v="28.153358839999999"/>
    <n v="0"/>
    <n v="1087"/>
    <n v="0"/>
    <n v="0"/>
    <n v="0"/>
    <x v="2"/>
    <n v="10.674871657500001"/>
    <n v="0"/>
    <n v="10.674871657500001"/>
    <x v="0"/>
  </r>
  <r>
    <x v="295"/>
    <x v="3"/>
    <n v="0"/>
    <n v="0"/>
    <n v="0"/>
    <n v="0"/>
    <n v="0"/>
    <n v="0"/>
    <n v="0"/>
    <n v="0"/>
    <n v="0"/>
    <n v="0"/>
    <n v="2.0729518950000001"/>
    <n v="0"/>
    <n v="7.6336983999999997E-2"/>
    <n v="0"/>
    <n v="0"/>
    <n v="14.4142852"/>
    <n v="0"/>
    <n v="0"/>
    <n v="0"/>
    <n v="0.28331799000000002"/>
    <n v="0"/>
    <n v="0"/>
    <n v="44.902948629999997"/>
    <n v="0"/>
    <n v="1086"/>
    <n v="0"/>
    <n v="0"/>
    <n v="0"/>
    <x v="2"/>
    <n v="9.1261291745000008"/>
    <n v="0"/>
    <n v="9.1261291745000008"/>
    <x v="0"/>
  </r>
  <r>
    <x v="296"/>
    <x v="3"/>
    <n v="0"/>
    <n v="0"/>
    <n v="0"/>
    <n v="0"/>
    <n v="0"/>
    <n v="0"/>
    <n v="0"/>
    <n v="0"/>
    <n v="0"/>
    <n v="0"/>
    <n v="3.6538191250000001"/>
    <n v="0"/>
    <n v="0.10517561"/>
    <n v="0"/>
    <n v="0"/>
    <n v="26.471191520000001"/>
    <n v="0"/>
    <n v="0"/>
    <n v="0"/>
    <n v="0.32720938399999999"/>
    <n v="0"/>
    <n v="0"/>
    <n v="52.687452569999998"/>
    <n v="0"/>
    <n v="1085"/>
    <n v="0"/>
    <n v="0"/>
    <n v="0"/>
    <x v="2"/>
    <n v="12.337083935500001"/>
    <n v="0"/>
    <n v="12.337083935500001"/>
    <x v="0"/>
  </r>
  <r>
    <x v="297"/>
    <x v="3"/>
    <n v="0"/>
    <n v="0"/>
    <n v="0"/>
    <n v="0"/>
    <n v="0"/>
    <n v="0"/>
    <n v="0"/>
    <n v="0"/>
    <n v="0"/>
    <n v="0"/>
    <n v="2.5574122020000001"/>
    <n v="0"/>
    <n v="6.6236191999999999E-2"/>
    <n v="0"/>
    <n v="0"/>
    <n v="18.030493830000001"/>
    <n v="0"/>
    <n v="0"/>
    <n v="0"/>
    <n v="0.44170000100000001"/>
    <n v="0"/>
    <n v="0"/>
    <n v="51.923069609999999"/>
    <n v="0"/>
    <n v="1084"/>
    <n v="0"/>
    <n v="0"/>
    <n v="0"/>
    <x v="2"/>
    <n v="11.321679603"/>
    <n v="0"/>
    <n v="11.321679603"/>
    <x v="0"/>
  </r>
  <r>
    <x v="298"/>
    <x v="3"/>
    <n v="0"/>
    <n v="0"/>
    <n v="0"/>
    <n v="0"/>
    <n v="0"/>
    <n v="0"/>
    <n v="0"/>
    <n v="0"/>
    <n v="0"/>
    <n v="0"/>
    <n v="2.1875884330000002"/>
    <n v="0"/>
    <n v="0.10988400800000001"/>
    <n v="0"/>
    <n v="0"/>
    <n v="15.78535207"/>
    <n v="0"/>
    <n v="0"/>
    <n v="0"/>
    <n v="0.47949181600000002"/>
    <n v="0"/>
    <n v="0"/>
    <n v="74.894407749999999"/>
    <n v="0"/>
    <n v="1083"/>
    <n v="0"/>
    <n v="0"/>
    <n v="0"/>
    <x v="2"/>
    <n v="13.698025142500001"/>
    <n v="0"/>
    <n v="13.698025142500001"/>
    <x v="0"/>
  </r>
  <r>
    <x v="299"/>
    <x v="2"/>
    <n v="0"/>
    <n v="0"/>
    <n v="0"/>
    <n v="0"/>
    <n v="0"/>
    <n v="0"/>
    <n v="0"/>
    <n v="0"/>
    <n v="0"/>
    <n v="0"/>
    <n v="8.2707741890000008"/>
    <n v="0"/>
    <n v="0.42119620099999999"/>
    <n v="0"/>
    <n v="0"/>
    <n v="85.748119160000002"/>
    <n v="0"/>
    <n v="0"/>
    <n v="0"/>
    <n v="0"/>
    <n v="0"/>
    <n v="0"/>
    <n v="0"/>
    <n v="0"/>
    <n v="1060"/>
    <n v="0"/>
    <n v="0"/>
    <n v="0"/>
    <x v="2"/>
    <n v="15.2373762165"/>
    <n v="0"/>
    <n v="15.2373762165"/>
    <x v="0"/>
  </r>
  <r>
    <x v="300"/>
    <x v="1"/>
    <n v="0"/>
    <n v="0"/>
    <n v="0"/>
    <n v="0"/>
    <n v="0"/>
    <n v="0"/>
    <n v="0"/>
    <n v="0"/>
    <n v="0"/>
    <n v="0"/>
    <n v="8.0083967269999992"/>
    <n v="0"/>
    <n v="0.89117032900000004"/>
    <n v="0"/>
    <n v="0"/>
    <n v="72.279855839999996"/>
    <n v="0"/>
    <n v="0"/>
    <n v="0"/>
    <n v="0"/>
    <n v="0"/>
    <n v="0"/>
    <n v="0"/>
    <n v="0"/>
    <n v="1058"/>
    <n v="0"/>
    <n v="0"/>
    <n v="0"/>
    <x v="2"/>
    <n v="16.579205921499998"/>
    <n v="0"/>
    <n v="16.579205921499998"/>
    <x v="0"/>
  </r>
  <r>
    <x v="301"/>
    <x v="0"/>
    <n v="0"/>
    <n v="1.773001805"/>
    <n v="0"/>
    <n v="0"/>
    <n v="2.588018017"/>
    <n v="0"/>
    <n v="0"/>
    <n v="481.7822195"/>
    <n v="0"/>
    <n v="0"/>
    <n v="0"/>
    <n v="0"/>
    <n v="0"/>
    <n v="0"/>
    <n v="0"/>
    <n v="0"/>
    <n v="0"/>
    <n v="0"/>
    <n v="0"/>
    <n v="0.16919563600000001"/>
    <n v="0"/>
    <n v="0"/>
    <n v="19.7842068"/>
    <n v="0"/>
    <n v="1033"/>
    <n v="0"/>
    <n v="0"/>
    <n v="0"/>
    <x v="2"/>
    <n v="29.070951733999998"/>
    <n v="0"/>
    <n v="29.070951733999998"/>
    <x v="0"/>
  </r>
  <r>
    <x v="302"/>
    <x v="1"/>
    <n v="0"/>
    <n v="0"/>
    <n v="0"/>
    <n v="0"/>
    <n v="0"/>
    <n v="0"/>
    <n v="0"/>
    <n v="0"/>
    <n v="0"/>
    <n v="0"/>
    <n v="11.803664489999999"/>
    <n v="0"/>
    <n v="0.87990261999999997"/>
    <n v="0"/>
    <n v="0"/>
    <n v="118.209154"/>
    <n v="0"/>
    <n v="0"/>
    <n v="0"/>
    <n v="0"/>
    <n v="0"/>
    <n v="0"/>
    <n v="0"/>
    <n v="0"/>
    <n v="1032"/>
    <n v="0"/>
    <n v="0"/>
    <n v="0"/>
    <x v="2"/>
    <n v="23.002163365000001"/>
    <n v="0"/>
    <n v="23.002163365000001"/>
    <x v="0"/>
  </r>
  <r>
    <x v="303"/>
    <x v="2"/>
    <n v="0"/>
    <n v="0"/>
    <n v="0"/>
    <n v="0"/>
    <n v="0"/>
    <n v="0"/>
    <n v="0"/>
    <n v="0"/>
    <n v="0"/>
    <n v="0"/>
    <n v="12.41133426"/>
    <n v="0"/>
    <n v="0.46337906000000001"/>
    <n v="0"/>
    <n v="0"/>
    <n v="100.35530850000001"/>
    <n v="0"/>
    <n v="0"/>
    <n v="0"/>
    <n v="0.16592866000000001"/>
    <n v="0"/>
    <n v="0"/>
    <n v="20.285988759999999"/>
    <n v="0"/>
    <n v="1031"/>
    <n v="0"/>
    <n v="0"/>
    <n v="0"/>
    <x v="2"/>
    <n v="22.045643176000002"/>
    <n v="0"/>
    <n v="22.045643176000002"/>
    <x v="0"/>
  </r>
  <r>
    <x v="304"/>
    <x v="1"/>
    <n v="0"/>
    <n v="0"/>
    <n v="0"/>
    <n v="0"/>
    <n v="0"/>
    <n v="0"/>
    <n v="0"/>
    <n v="0"/>
    <n v="0"/>
    <n v="0"/>
    <n v="13.70052218"/>
    <n v="0"/>
    <n v="0.73543014299999998"/>
    <n v="0"/>
    <n v="0"/>
    <n v="116.45002460000001"/>
    <n v="0"/>
    <n v="0"/>
    <n v="0"/>
    <n v="0"/>
    <n v="0"/>
    <n v="0"/>
    <n v="0"/>
    <n v="0"/>
    <n v="1029"/>
    <n v="0"/>
    <n v="0"/>
    <n v="0"/>
    <x v="2"/>
    <n v="22.907844408000003"/>
    <n v="0"/>
    <n v="22.907844408000003"/>
    <x v="0"/>
  </r>
  <r>
    <x v="305"/>
    <x v="2"/>
    <n v="0"/>
    <n v="0"/>
    <n v="0"/>
    <n v="0"/>
    <n v="0"/>
    <n v="0"/>
    <n v="0"/>
    <n v="0"/>
    <n v="0"/>
    <n v="0"/>
    <n v="11.195339300000001"/>
    <n v="0"/>
    <n v="0.97760638099999997"/>
    <n v="0"/>
    <n v="0"/>
    <n v="128.91916950000001"/>
    <n v="0"/>
    <n v="0"/>
    <n v="0"/>
    <n v="0"/>
    <n v="0"/>
    <n v="0"/>
    <n v="0"/>
    <n v="0"/>
    <n v="1027"/>
    <n v="0"/>
    <n v="0"/>
    <n v="0"/>
    <x v="2"/>
    <n v="24.355224886000002"/>
    <n v="0"/>
    <n v="24.355224886000002"/>
    <x v="0"/>
  </r>
  <r>
    <x v="306"/>
    <x v="1"/>
    <n v="0"/>
    <n v="0"/>
    <n v="0"/>
    <n v="0"/>
    <n v="0"/>
    <n v="0"/>
    <n v="0"/>
    <n v="0"/>
    <n v="0"/>
    <n v="0"/>
    <n v="11.73304781"/>
    <n v="0"/>
    <n v="0.897093645"/>
    <n v="0"/>
    <n v="0"/>
    <n v="129.13010159999999"/>
    <n v="0"/>
    <n v="0"/>
    <n v="0"/>
    <n v="0"/>
    <n v="0"/>
    <n v="0"/>
    <n v="0"/>
    <n v="0"/>
    <n v="1026"/>
    <n v="0"/>
    <n v="0"/>
    <n v="0"/>
    <x v="2"/>
    <n v="24.162095935"/>
    <n v="0"/>
    <n v="24.162095935"/>
    <x v="0"/>
  </r>
  <r>
    <x v="307"/>
    <x v="0"/>
    <n v="0"/>
    <n v="1.707328368"/>
    <n v="0"/>
    <n v="0"/>
    <n v="2.8402394809999998"/>
    <n v="0"/>
    <n v="0"/>
    <n v="459.24446269999999"/>
    <n v="0"/>
    <n v="0"/>
    <n v="0"/>
    <n v="0"/>
    <n v="0"/>
    <n v="0"/>
    <n v="0"/>
    <n v="0"/>
    <n v="0"/>
    <n v="0"/>
    <n v="0"/>
    <n v="0.32900979200000002"/>
    <n v="0"/>
    <n v="0"/>
    <n v="25.480752079999998"/>
    <n v="0"/>
    <n v="1025"/>
    <n v="0"/>
    <n v="0"/>
    <n v="0"/>
    <x v="2"/>
    <n v="30.838213656000001"/>
    <n v="0"/>
    <n v="30.838213656000001"/>
    <x v="0"/>
  </r>
  <r>
    <x v="308"/>
    <x v="0"/>
    <n v="0"/>
    <n v="1.5999853310000001"/>
    <n v="0"/>
    <n v="0"/>
    <n v="3.090928291"/>
    <n v="0"/>
    <n v="0"/>
    <n v="428.71200199999998"/>
    <n v="0"/>
    <n v="0"/>
    <n v="0"/>
    <n v="0"/>
    <n v="0"/>
    <n v="0"/>
    <n v="0"/>
    <n v="0"/>
    <n v="0"/>
    <n v="0"/>
    <n v="0"/>
    <n v="0.231160639"/>
    <n v="0"/>
    <n v="0"/>
    <n v="38.16610463"/>
    <n v="0"/>
    <n v="1024"/>
    <n v="0"/>
    <n v="0"/>
    <n v="0"/>
    <x v="2"/>
    <n v="31.515796878999996"/>
    <n v="0"/>
    <n v="31.515796878999996"/>
    <x v="0"/>
  </r>
  <r>
    <x v="309"/>
    <x v="0"/>
    <n v="0"/>
    <n v="1.580251836"/>
    <n v="0"/>
    <n v="0"/>
    <n v="2.2715016270000001"/>
    <n v="0"/>
    <n v="0"/>
    <n v="495.72770059999999"/>
    <n v="0"/>
    <n v="0"/>
    <n v="0"/>
    <n v="0"/>
    <n v="0"/>
    <n v="0"/>
    <n v="0"/>
    <n v="0"/>
    <n v="0"/>
    <n v="0"/>
    <n v="0"/>
    <n v="0.53052661999999995"/>
    <n v="0"/>
    <n v="0"/>
    <n v="28.56521167"/>
    <n v="0"/>
    <n v="1023"/>
    <n v="0"/>
    <n v="0"/>
    <n v="0"/>
    <x v="2"/>
    <n v="31.794291746999999"/>
    <n v="0"/>
    <n v="31.794291746999999"/>
    <x v="0"/>
  </r>
  <r>
    <x v="310"/>
    <x v="1"/>
    <n v="0"/>
    <n v="0"/>
    <n v="0"/>
    <n v="0"/>
    <n v="0"/>
    <n v="0"/>
    <n v="0"/>
    <n v="0"/>
    <n v="0"/>
    <n v="0"/>
    <n v="13.16576517"/>
    <n v="0"/>
    <n v="0.82232525700000003"/>
    <n v="0"/>
    <n v="0"/>
    <n v="132.54689110000001"/>
    <n v="0"/>
    <n v="0"/>
    <n v="0"/>
    <n v="0"/>
    <n v="0"/>
    <n v="0"/>
    <n v="0"/>
    <n v="0"/>
    <n v="1021"/>
    <n v="0"/>
    <n v="0"/>
    <n v="0"/>
    <x v="2"/>
    <n v="24.771523237"/>
    <n v="0"/>
    <n v="24.771523237"/>
    <x v="0"/>
  </r>
  <r>
    <x v="311"/>
    <x v="1"/>
    <n v="0"/>
    <n v="0"/>
    <n v="0"/>
    <n v="0"/>
    <n v="0"/>
    <n v="0"/>
    <n v="0"/>
    <n v="0"/>
    <n v="0"/>
    <n v="0"/>
    <n v="12.172186910000001"/>
    <n v="0"/>
    <n v="1.1402392180000001"/>
    <n v="0"/>
    <n v="0"/>
    <n v="125.58293380000001"/>
    <n v="0"/>
    <n v="0"/>
    <n v="0"/>
    <n v="0"/>
    <n v="0"/>
    <n v="0"/>
    <n v="0"/>
    <n v="0"/>
    <n v="1020"/>
    <n v="0"/>
    <n v="0"/>
    <n v="0"/>
    <x v="2"/>
    <n v="25.485822143000004"/>
    <n v="0"/>
    <n v="25.485822143000004"/>
    <x v="0"/>
  </r>
  <r>
    <x v="312"/>
    <x v="0"/>
    <n v="0"/>
    <n v="1.79680274"/>
    <n v="0"/>
    <n v="0"/>
    <n v="3.1868040209999999"/>
    <n v="0"/>
    <n v="0"/>
    <n v="473.84050189999999"/>
    <n v="0"/>
    <n v="0"/>
    <n v="0"/>
    <n v="0"/>
    <n v="0"/>
    <n v="0"/>
    <n v="0"/>
    <n v="0"/>
    <n v="0"/>
    <n v="0"/>
    <n v="0"/>
    <n v="0.23527754200000001"/>
    <n v="0"/>
    <n v="0"/>
    <n v="27.585265369999998"/>
    <n v="0"/>
    <n v="1019"/>
    <n v="0"/>
    <n v="0"/>
    <n v="0"/>
    <x v="2"/>
    <n v="32.277422469000001"/>
    <n v="0"/>
    <n v="32.277422469000001"/>
    <x v="0"/>
  </r>
  <r>
    <x v="313"/>
    <x v="0"/>
    <n v="0"/>
    <n v="1.84388039"/>
    <n v="0"/>
    <n v="0"/>
    <n v="3.5503399560000002"/>
    <n v="0"/>
    <n v="0"/>
    <n v="473.3003602"/>
    <n v="0"/>
    <n v="0"/>
    <n v="0"/>
    <n v="0"/>
    <n v="0"/>
    <n v="0"/>
    <n v="0"/>
    <n v="0"/>
    <n v="0"/>
    <n v="0"/>
    <n v="0"/>
    <n v="0.187378604"/>
    <n v="0"/>
    <n v="0"/>
    <n v="18.965016219999999"/>
    <n v="0"/>
    <n v="1018"/>
    <n v="0"/>
    <n v="0"/>
    <n v="0"/>
    <x v="2"/>
    <n v="32.466386698000001"/>
    <n v="0"/>
    <n v="32.466386698000001"/>
    <x v="0"/>
  </r>
  <r>
    <x v="314"/>
    <x v="2"/>
    <n v="0"/>
    <n v="0"/>
    <n v="0"/>
    <n v="0"/>
    <n v="0"/>
    <n v="0"/>
    <n v="0"/>
    <n v="0"/>
    <n v="0"/>
    <n v="0"/>
    <n v="7.1637508859999999"/>
    <n v="0"/>
    <n v="0.51387886599999999"/>
    <n v="0"/>
    <n v="0"/>
    <n v="72.964479139999995"/>
    <n v="0"/>
    <n v="0"/>
    <n v="0"/>
    <n v="0.33877000299999999"/>
    <n v="0"/>
    <n v="0"/>
    <n v="85.732524280000007"/>
    <n v="0"/>
    <n v="1017"/>
    <n v="0"/>
    <n v="0"/>
    <n v="0"/>
    <x v="2"/>
    <n v="24.567468998999999"/>
    <n v="0"/>
    <n v="24.567468998999999"/>
    <x v="0"/>
  </r>
  <r>
    <x v="315"/>
    <x v="0"/>
    <n v="0"/>
    <n v="1.731386391"/>
    <n v="0"/>
    <n v="0"/>
    <n v="2.7038335080000002"/>
    <n v="0"/>
    <n v="0"/>
    <n v="440.55502109999998"/>
    <n v="0"/>
    <n v="0"/>
    <n v="0"/>
    <n v="0"/>
    <n v="0"/>
    <n v="0"/>
    <n v="0"/>
    <n v="0"/>
    <n v="0"/>
    <n v="0"/>
    <n v="0"/>
    <n v="0.53001495499999995"/>
    <n v="0"/>
    <n v="0"/>
    <n v="48.033130219999997"/>
    <n v="0"/>
    <n v="1016"/>
    <n v="0"/>
    <n v="0"/>
    <n v="0"/>
    <x v="2"/>
    <n v="32.958164845999995"/>
    <n v="0"/>
    <n v="32.958164845999995"/>
    <x v="0"/>
  </r>
  <r>
    <x v="316"/>
    <x v="3"/>
    <n v="0"/>
    <n v="0"/>
    <n v="0"/>
    <n v="0"/>
    <n v="0"/>
    <n v="0"/>
    <n v="0"/>
    <n v="0"/>
    <n v="0"/>
    <n v="0"/>
    <n v="4.4593735150000002"/>
    <n v="0"/>
    <n v="0.14398200999999999"/>
    <n v="0"/>
    <n v="0"/>
    <n v="31.846175859999999"/>
    <n v="0"/>
    <n v="0"/>
    <n v="0"/>
    <n v="0.102360433"/>
    <n v="0"/>
    <n v="0"/>
    <n v="18.339923859999999"/>
    <n v="0"/>
    <n v="1102"/>
    <n v="0"/>
    <n v="0"/>
    <n v="0"/>
    <x v="2"/>
    <n v="8.7263513874999994"/>
    <n v="0"/>
    <n v="8.7263513874999994"/>
    <x v="0"/>
  </r>
  <r>
    <x v="317"/>
    <x v="1"/>
    <n v="0"/>
    <n v="0"/>
    <n v="0"/>
    <n v="0"/>
    <n v="0"/>
    <n v="0"/>
    <n v="0"/>
    <n v="0"/>
    <n v="0"/>
    <n v="0"/>
    <n v="13.257045529999999"/>
    <n v="0"/>
    <n v="0.60496403700000001"/>
    <n v="0"/>
    <n v="0"/>
    <n v="117.9382712"/>
    <n v="0"/>
    <n v="0"/>
    <n v="0"/>
    <n v="0"/>
    <n v="0"/>
    <n v="0"/>
    <n v="0"/>
    <n v="0"/>
    <n v="1034"/>
    <n v="0"/>
    <n v="0"/>
    <n v="0"/>
    <x v="2"/>
    <n v="22.052134107000001"/>
    <n v="0"/>
    <n v="22.052134107000001"/>
    <x v="0"/>
  </r>
  <r>
    <x v="318"/>
    <x v="1"/>
    <n v="0"/>
    <n v="0"/>
    <n v="0"/>
    <n v="0"/>
    <n v="0"/>
    <n v="0"/>
    <n v="0"/>
    <n v="0"/>
    <n v="0"/>
    <n v="0"/>
    <n v="10.268034419999999"/>
    <n v="0"/>
    <n v="0.97915195899999996"/>
    <n v="0"/>
    <n v="0"/>
    <n v="122.389894"/>
    <n v="0"/>
    <n v="0"/>
    <n v="0"/>
    <n v="0"/>
    <n v="0"/>
    <n v="0"/>
    <n v="0"/>
    <n v="0"/>
    <n v="1035"/>
    <n v="0"/>
    <n v="0"/>
    <n v="0"/>
    <x v="2"/>
    <n v="23.247918364"/>
    <n v="0"/>
    <n v="23.247918364"/>
    <x v="0"/>
  </r>
  <r>
    <x v="319"/>
    <x v="2"/>
    <n v="0"/>
    <n v="0"/>
    <n v="0"/>
    <n v="0"/>
    <n v="0"/>
    <n v="0"/>
    <n v="0"/>
    <n v="0"/>
    <n v="0"/>
    <n v="0"/>
    <n v="10.651487210000001"/>
    <n v="0"/>
    <n v="0.76494466999999999"/>
    <n v="0"/>
    <n v="0"/>
    <n v="131.14875960000001"/>
    <n v="0"/>
    <n v="0"/>
    <n v="0"/>
    <n v="0"/>
    <n v="0"/>
    <n v="0"/>
    <n v="0"/>
    <n v="0"/>
    <n v="1036"/>
    <n v="0"/>
    <n v="0"/>
    <n v="0"/>
    <x v="2"/>
    <n v="23.030287585000004"/>
    <n v="0"/>
    <n v="23.030287585000004"/>
    <x v="0"/>
  </r>
  <r>
    <x v="320"/>
    <x v="2"/>
    <n v="0"/>
    <n v="0"/>
    <n v="0"/>
    <n v="0"/>
    <n v="0"/>
    <n v="0"/>
    <n v="0"/>
    <n v="0"/>
    <n v="0"/>
    <n v="0"/>
    <n v="9.9885183990000002"/>
    <n v="0"/>
    <n v="0.52100983199999995"/>
    <n v="0"/>
    <n v="0"/>
    <n v="114.0935915"/>
    <n v="0"/>
    <n v="0"/>
    <n v="0"/>
    <n v="0"/>
    <n v="0"/>
    <n v="0"/>
    <n v="0"/>
    <n v="0"/>
    <n v="1047"/>
    <n v="0"/>
    <n v="0"/>
    <n v="0"/>
    <x v="2"/>
    <n v="19.529677341500001"/>
    <n v="0"/>
    <n v="19.529677341500001"/>
    <x v="0"/>
  </r>
  <r>
    <x v="321"/>
    <x v="1"/>
    <n v="0"/>
    <n v="0"/>
    <n v="0"/>
    <n v="0"/>
    <n v="0"/>
    <n v="0"/>
    <n v="0"/>
    <n v="0"/>
    <n v="0"/>
    <n v="0"/>
    <n v="8.2636796080000003"/>
    <n v="0"/>
    <n v="0.77153640599999995"/>
    <n v="0"/>
    <n v="0"/>
    <n v="84.674003459999994"/>
    <n v="0"/>
    <n v="0"/>
    <n v="0"/>
    <n v="0"/>
    <n v="0"/>
    <n v="0"/>
    <n v="0"/>
    <n v="0"/>
    <n v="1055"/>
    <n v="0"/>
    <n v="0"/>
    <n v="0"/>
    <x v="2"/>
    <n v="17.228458586000002"/>
    <n v="0"/>
    <n v="17.228458586000002"/>
    <x v="0"/>
  </r>
  <r>
    <x v="322"/>
    <x v="2"/>
    <n v="0"/>
    <n v="0"/>
    <n v="0"/>
    <n v="0"/>
    <n v="0"/>
    <n v="0"/>
    <n v="0"/>
    <n v="0"/>
    <n v="0"/>
    <n v="0"/>
    <n v="8.2658241920000002"/>
    <n v="0"/>
    <n v="0.54257279599999997"/>
    <n v="0"/>
    <n v="0"/>
    <n v="104.9866818"/>
    <n v="0"/>
    <n v="0"/>
    <n v="0"/>
    <n v="0"/>
    <n v="0"/>
    <n v="0"/>
    <n v="0"/>
    <n v="0"/>
    <n v="1054"/>
    <n v="0"/>
    <n v="0"/>
    <n v="0"/>
    <x v="2"/>
    <n v="17.887017052000001"/>
    <n v="0"/>
    <n v="17.887017052000001"/>
    <x v="0"/>
  </r>
  <r>
    <x v="323"/>
    <x v="2"/>
    <n v="0"/>
    <n v="0"/>
    <n v="0"/>
    <n v="0"/>
    <n v="0"/>
    <n v="0"/>
    <n v="0"/>
    <n v="0"/>
    <n v="0"/>
    <n v="0"/>
    <n v="8.2777721769999992"/>
    <n v="0"/>
    <n v="0.64853063300000002"/>
    <n v="0"/>
    <n v="0"/>
    <n v="101.8272233"/>
    <n v="0"/>
    <n v="0"/>
    <n v="0"/>
    <n v="0"/>
    <n v="0"/>
    <n v="0"/>
    <n v="0"/>
    <n v="0"/>
    <n v="1053"/>
    <n v="0"/>
    <n v="0"/>
    <n v="0"/>
    <x v="2"/>
    <n v="18.212792216499999"/>
    <n v="0"/>
    <n v="18.212792216499999"/>
    <x v="0"/>
  </r>
  <r>
    <x v="324"/>
    <x v="2"/>
    <n v="0"/>
    <n v="0"/>
    <n v="0"/>
    <n v="0"/>
    <n v="0"/>
    <n v="0"/>
    <n v="0"/>
    <n v="0"/>
    <n v="0"/>
    <n v="0"/>
    <n v="7.7221846300000001"/>
    <n v="0"/>
    <n v="0.39377426700000001"/>
    <n v="0"/>
    <n v="0"/>
    <n v="77.122502920000002"/>
    <n v="0"/>
    <n v="0"/>
    <n v="0"/>
    <n v="0.16404908100000001"/>
    <n v="0"/>
    <n v="0"/>
    <n v="22.44404965"/>
    <n v="0"/>
    <n v="1052"/>
    <n v="0"/>
    <n v="0"/>
    <n v="0"/>
    <x v="2"/>
    <n v="17.164687660000002"/>
    <n v="0"/>
    <n v="17.164687660000002"/>
    <x v="0"/>
  </r>
  <r>
    <x v="325"/>
    <x v="3"/>
    <n v="0"/>
    <n v="0"/>
    <n v="0"/>
    <n v="0"/>
    <n v="0"/>
    <n v="0"/>
    <n v="0"/>
    <n v="0"/>
    <n v="0"/>
    <n v="0"/>
    <n v="4.1006965219999998"/>
    <n v="0"/>
    <n v="0.16772678799999999"/>
    <n v="0"/>
    <n v="0"/>
    <n v="29.146751170000002"/>
    <n v="0"/>
    <n v="0"/>
    <n v="0"/>
    <n v="0.82110793999999998"/>
    <n v="0"/>
    <n v="0"/>
    <n v="107.34377189999999"/>
    <n v="0"/>
    <n v="1049"/>
    <n v="0"/>
    <n v="0"/>
    <n v="0"/>
    <x v="2"/>
    <n v="21.632408936000001"/>
    <n v="0"/>
    <n v="21.632408936000001"/>
    <x v="0"/>
  </r>
  <r>
    <x v="326"/>
    <x v="1"/>
    <n v="0"/>
    <n v="0"/>
    <n v="0"/>
    <n v="0"/>
    <n v="0"/>
    <n v="0"/>
    <n v="0"/>
    <n v="0"/>
    <n v="0"/>
    <n v="0"/>
    <n v="9.9736768910000002"/>
    <n v="0"/>
    <n v="0.72344997300000002"/>
    <n v="0"/>
    <n v="0"/>
    <n v="100.9583695"/>
    <n v="0"/>
    <n v="0"/>
    <n v="0"/>
    <n v="0"/>
    <n v="0"/>
    <n v="0"/>
    <n v="0"/>
    <n v="0"/>
    <n v="1048"/>
    <n v="0"/>
    <n v="0"/>
    <n v="0"/>
    <x v="2"/>
    <n v="19.423375233500003"/>
    <n v="0"/>
    <n v="19.423375233500003"/>
    <x v="0"/>
  </r>
  <r>
    <x v="327"/>
    <x v="3"/>
    <n v="0"/>
    <n v="0"/>
    <n v="0"/>
    <n v="0"/>
    <n v="0"/>
    <n v="0"/>
    <n v="0"/>
    <n v="0"/>
    <n v="0"/>
    <n v="0"/>
    <n v="12.970324400000001"/>
    <n v="0"/>
    <n v="0.44965467199999998"/>
    <n v="0"/>
    <n v="0"/>
    <n v="94.541963050000007"/>
    <n v="0"/>
    <n v="0"/>
    <n v="0"/>
    <n v="0"/>
    <n v="0"/>
    <n v="0"/>
    <n v="0"/>
    <n v="0"/>
    <n v="1046"/>
    <n v="0"/>
    <n v="0"/>
    <n v="0"/>
    <x v="2"/>
    <n v="18.637286537000001"/>
    <n v="0"/>
    <n v="18.637286537000001"/>
    <x v="0"/>
  </r>
  <r>
    <x v="328"/>
    <x v="2"/>
    <n v="0"/>
    <n v="0"/>
    <n v="0"/>
    <n v="0"/>
    <n v="0"/>
    <n v="0"/>
    <n v="0"/>
    <n v="0"/>
    <n v="0"/>
    <n v="0"/>
    <n v="9.7399369920000005"/>
    <n v="0"/>
    <n v="0.99645657600000004"/>
    <n v="0"/>
    <n v="0"/>
    <n v="122.8944496"/>
    <n v="0"/>
    <n v="0"/>
    <n v="0"/>
    <n v="0"/>
    <n v="0"/>
    <n v="0"/>
    <n v="0"/>
    <n v="0"/>
    <n v="1037"/>
    <n v="0"/>
    <n v="0"/>
    <n v="0"/>
    <x v="2"/>
    <n v="23.138152912000002"/>
    <n v="0"/>
    <n v="23.138152912000002"/>
    <x v="0"/>
  </r>
  <r>
    <x v="329"/>
    <x v="0"/>
    <n v="0"/>
    <n v="2.1453033029999999"/>
    <n v="0"/>
    <n v="0"/>
    <n v="2.4526078240000002"/>
    <n v="0"/>
    <n v="0"/>
    <n v="440.36417799999998"/>
    <n v="0"/>
    <n v="0"/>
    <n v="0"/>
    <n v="0"/>
    <n v="0"/>
    <n v="0"/>
    <n v="0"/>
    <n v="0"/>
    <n v="0"/>
    <n v="0"/>
    <n v="0"/>
    <n v="0.15806245799999999"/>
    <n v="0"/>
    <n v="0"/>
    <n v="17.512006679999999"/>
    <n v="0"/>
    <n v="1045"/>
    <n v="0"/>
    <n v="0"/>
    <n v="0"/>
    <x v="2"/>
    <n v="25.833967225999999"/>
    <n v="0"/>
    <n v="25.833967225999999"/>
    <x v="0"/>
  </r>
  <r>
    <x v="330"/>
    <x v="2"/>
    <n v="0"/>
    <n v="0"/>
    <n v="0"/>
    <n v="0"/>
    <n v="0"/>
    <n v="0"/>
    <n v="0"/>
    <n v="0"/>
    <n v="0"/>
    <n v="0"/>
    <n v="10.47493351"/>
    <n v="0"/>
    <n v="0.61471180700000005"/>
    <n v="0"/>
    <n v="0"/>
    <n v="122.12307730000001"/>
    <n v="0"/>
    <n v="0"/>
    <n v="0"/>
    <n v="0"/>
    <n v="0"/>
    <n v="0"/>
    <n v="0"/>
    <n v="0"/>
    <n v="1044"/>
    <n v="0"/>
    <n v="0"/>
    <n v="0"/>
    <x v="2"/>
    <n v="21.138045327"/>
    <n v="0"/>
    <n v="21.138045327"/>
    <x v="0"/>
  </r>
  <r>
    <x v="331"/>
    <x v="2"/>
    <n v="0"/>
    <n v="0"/>
    <n v="0"/>
    <n v="0"/>
    <n v="0"/>
    <n v="0"/>
    <n v="0"/>
    <n v="0"/>
    <n v="0"/>
    <n v="0"/>
    <n v="10.48522438"/>
    <n v="0"/>
    <n v="0.546096523"/>
    <n v="0"/>
    <n v="0"/>
    <n v="129.77027699999999"/>
    <n v="0"/>
    <n v="0"/>
    <n v="0"/>
    <n v="0"/>
    <n v="0"/>
    <n v="0"/>
    <n v="0"/>
    <n v="0"/>
    <n v="1043"/>
    <n v="0"/>
    <n v="0"/>
    <n v="0"/>
    <x v="2"/>
    <n v="21.496219027999999"/>
    <n v="0"/>
    <n v="21.496219027999999"/>
    <x v="0"/>
  </r>
  <r>
    <x v="332"/>
    <x v="2"/>
    <n v="0"/>
    <n v="0"/>
    <n v="0"/>
    <n v="0"/>
    <n v="0"/>
    <n v="0"/>
    <n v="0"/>
    <n v="0"/>
    <n v="0"/>
    <n v="0"/>
    <n v="8.7470448540000003"/>
    <n v="0"/>
    <n v="0.71469353000000002"/>
    <n v="0"/>
    <n v="0"/>
    <n v="86.756535290000002"/>
    <n v="0"/>
    <n v="0"/>
    <n v="0"/>
    <n v="0.33582251800000001"/>
    <n v="0"/>
    <n v="0"/>
    <n v="32.843836019999998"/>
    <n v="0"/>
    <n v="1042"/>
    <n v="0"/>
    <n v="0"/>
    <n v="0"/>
    <x v="2"/>
    <n v="22.636655846000004"/>
    <n v="0"/>
    <n v="22.636655846000004"/>
    <x v="0"/>
  </r>
  <r>
    <x v="333"/>
    <x v="1"/>
    <n v="0"/>
    <n v="0"/>
    <n v="0"/>
    <n v="0"/>
    <n v="0"/>
    <n v="0"/>
    <n v="0"/>
    <n v="0"/>
    <n v="0"/>
    <n v="0"/>
    <n v="10.96299469"/>
    <n v="0"/>
    <n v="0.85021058000000005"/>
    <n v="0"/>
    <n v="0"/>
    <n v="113.22526499999999"/>
    <n v="0"/>
    <n v="0"/>
    <n v="0"/>
    <n v="0"/>
    <n v="0"/>
    <n v="0"/>
    <n v="0"/>
    <n v="0"/>
    <n v="1041"/>
    <n v="0"/>
    <n v="0"/>
    <n v="0"/>
    <x v="2"/>
    <n v="21.905287325000003"/>
    <n v="0"/>
    <n v="21.905287325000003"/>
    <x v="0"/>
  </r>
  <r>
    <x v="334"/>
    <x v="2"/>
    <n v="0"/>
    <n v="0"/>
    <n v="0"/>
    <n v="0"/>
    <n v="0"/>
    <n v="0"/>
    <n v="0"/>
    <n v="0"/>
    <n v="0"/>
    <n v="0"/>
    <n v="9.9463260069999997"/>
    <n v="0"/>
    <n v="0.89807037899999997"/>
    <n v="0"/>
    <n v="0"/>
    <n v="122.4955705"/>
    <n v="0"/>
    <n v="0"/>
    <n v="0"/>
    <n v="0"/>
    <n v="0"/>
    <n v="0"/>
    <n v="0"/>
    <n v="0"/>
    <n v="1040"/>
    <n v="0"/>
    <n v="0"/>
    <n v="0"/>
    <x v="2"/>
    <n v="22.611142327499998"/>
    <n v="0"/>
    <n v="22.611142327499998"/>
    <x v="0"/>
  </r>
  <r>
    <x v="335"/>
    <x v="1"/>
    <n v="0"/>
    <n v="0"/>
    <n v="0"/>
    <n v="0"/>
    <n v="0"/>
    <n v="0"/>
    <n v="0"/>
    <n v="0"/>
    <n v="0"/>
    <n v="0"/>
    <n v="12.253362989999999"/>
    <n v="0"/>
    <n v="0.56553948600000004"/>
    <n v="0"/>
    <n v="0"/>
    <n v="123.1938889"/>
    <n v="0"/>
    <n v="0"/>
    <n v="0"/>
    <n v="0"/>
    <n v="0"/>
    <n v="0"/>
    <n v="0"/>
    <n v="0"/>
    <n v="1039"/>
    <n v="0"/>
    <n v="0"/>
    <n v="0"/>
    <x v="2"/>
    <n v="21.839307300999998"/>
    <n v="0"/>
    <n v="21.839307300999998"/>
    <x v="0"/>
  </r>
  <r>
    <x v="336"/>
    <x v="2"/>
    <n v="0"/>
    <n v="0"/>
    <n v="0"/>
    <n v="0"/>
    <n v="0"/>
    <n v="0"/>
    <n v="0"/>
    <n v="0"/>
    <n v="0"/>
    <n v="0"/>
    <n v="9.9272096199999993"/>
    <n v="0"/>
    <n v="0.798632589"/>
    <n v="0"/>
    <n v="0"/>
    <n v="115.45280080000001"/>
    <n v="0"/>
    <n v="0"/>
    <n v="0"/>
    <n v="7.8629625999999994E-2"/>
    <n v="0"/>
    <n v="0"/>
    <n v="12.6517219"/>
    <n v="0"/>
    <n v="1038"/>
    <n v="0"/>
    <n v="0"/>
    <n v="0"/>
    <x v="2"/>
    <n v="23.037630370000002"/>
    <n v="0"/>
    <n v="23.037630370000002"/>
    <x v="0"/>
  </r>
  <r>
    <x v="337"/>
    <x v="3"/>
    <n v="0"/>
    <n v="0"/>
    <n v="0"/>
    <n v="0"/>
    <n v="0"/>
    <n v="0"/>
    <n v="0"/>
    <n v="0"/>
    <n v="0"/>
    <n v="0"/>
    <n v="4.4278449640000002"/>
    <n v="0"/>
    <n v="0.224058706"/>
    <n v="0"/>
    <n v="0"/>
    <n v="30.2026097"/>
    <n v="0"/>
    <n v="0"/>
    <n v="0"/>
    <n v="0.121662743"/>
    <n v="0"/>
    <n v="0"/>
    <n v="16.645453809999999"/>
    <n v="0"/>
    <n v="1101"/>
    <n v="0"/>
    <n v="0"/>
    <n v="0"/>
    <x v="2"/>
    <n v="8.9730575270000017"/>
    <n v="0"/>
    <n v="8.9730575270000017"/>
    <x v="0"/>
  </r>
  <r>
    <x v="338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3"/>
    <n v="0"/>
    <n v="0"/>
    <n v="0"/>
    <x v="2"/>
    <n v="0"/>
    <n v="0"/>
    <n v="0"/>
    <x v="0"/>
  </r>
  <r>
    <x v="339"/>
    <x v="3"/>
    <n v="0"/>
    <n v="0"/>
    <n v="0"/>
    <n v="0"/>
    <n v="0"/>
    <n v="0"/>
    <n v="0"/>
    <n v="0"/>
    <n v="0"/>
    <n v="0"/>
    <n v="2.1594480190000001"/>
    <n v="0"/>
    <n v="0.10181092899999999"/>
    <n v="0"/>
    <n v="0"/>
    <n v="15.30536337"/>
    <n v="0"/>
    <n v="0"/>
    <n v="0"/>
    <n v="0.347530962"/>
    <n v="0"/>
    <n v="0"/>
    <n v="45.15081009"/>
    <n v="0"/>
    <n v="1103"/>
    <n v="0"/>
    <n v="0"/>
    <n v="0"/>
    <x v="2"/>
    <n v="9.8213927014999989"/>
    <n v="0"/>
    <n v="9.8213927014999989"/>
    <x v="0"/>
  </r>
  <r>
    <x v="340"/>
    <x v="2"/>
    <n v="0"/>
    <n v="0"/>
    <n v="0"/>
    <n v="0"/>
    <n v="0"/>
    <n v="0"/>
    <n v="0"/>
    <n v="0"/>
    <n v="0"/>
    <n v="0"/>
    <n v="3.2859689419999998"/>
    <n v="0"/>
    <n v="0.177092836"/>
    <n v="0"/>
    <n v="0"/>
    <n v="37.887195030000001"/>
    <n v="0"/>
    <n v="0"/>
    <n v="0"/>
    <n v="0"/>
    <n v="0"/>
    <n v="0"/>
    <n v="0"/>
    <n v="0"/>
    <n v="1148"/>
    <n v="0"/>
    <n v="0"/>
    <n v="0"/>
    <x v="2"/>
    <n v="6.4942609899999999"/>
    <n v="0"/>
    <n v="6.4942609899999999"/>
    <x v="0"/>
  </r>
  <r>
    <x v="341"/>
    <x v="1"/>
    <n v="0"/>
    <n v="0"/>
    <n v="0"/>
    <n v="0"/>
    <n v="0"/>
    <n v="0"/>
    <n v="0"/>
    <n v="0"/>
    <n v="0"/>
    <n v="0"/>
    <n v="1.778894314"/>
    <n v="0"/>
    <n v="0.114044228"/>
    <n v="0"/>
    <n v="0"/>
    <n v="17.052592189999999"/>
    <n v="0"/>
    <n v="0"/>
    <n v="0"/>
    <n v="0"/>
    <n v="0"/>
    <n v="0"/>
    <n v="0"/>
    <n v="0"/>
    <n v="1168"/>
    <n v="0"/>
    <n v="0"/>
    <n v="0"/>
    <x v="2"/>
    <n v="3.2789717439999997"/>
    <n v="0"/>
    <n v="3.2789717439999997"/>
    <x v="0"/>
  </r>
  <r>
    <x v="342"/>
    <x v="2"/>
    <n v="0"/>
    <n v="0"/>
    <n v="0"/>
    <n v="0"/>
    <n v="0"/>
    <n v="0"/>
    <n v="0"/>
    <n v="0"/>
    <n v="0"/>
    <n v="0"/>
    <n v="1.530494389"/>
    <n v="0"/>
    <n v="0.13421275099999999"/>
    <n v="0"/>
    <n v="0"/>
    <n v="18.984308250000002"/>
    <n v="0"/>
    <n v="0"/>
    <n v="0"/>
    <n v="0"/>
    <n v="0"/>
    <n v="0"/>
    <n v="0"/>
    <n v="0"/>
    <n v="1167"/>
    <n v="0"/>
    <n v="0"/>
    <n v="0"/>
    <x v="2"/>
    <n v="3.4689545255000001"/>
    <n v="0"/>
    <n v="3.4689545255000001"/>
    <x v="0"/>
  </r>
  <r>
    <x v="343"/>
    <x v="1"/>
    <n v="0"/>
    <n v="0"/>
    <n v="0"/>
    <n v="0"/>
    <n v="0"/>
    <n v="0"/>
    <n v="0"/>
    <n v="0"/>
    <n v="0"/>
    <n v="0"/>
    <n v="1.67678332"/>
    <n v="0"/>
    <n v="0.14135887899999999"/>
    <n v="0"/>
    <n v="0"/>
    <n v="17.48841616"/>
    <n v="0"/>
    <n v="0"/>
    <n v="0"/>
    <n v="0"/>
    <n v="0"/>
    <n v="0"/>
    <n v="0"/>
    <n v="0"/>
    <n v="1166"/>
    <n v="0"/>
    <n v="0"/>
    <n v="0"/>
    <x v="2"/>
    <n v="3.43538655"/>
    <n v="0"/>
    <n v="3.43538655"/>
    <x v="0"/>
  </r>
  <r>
    <x v="344"/>
    <x v="2"/>
    <n v="0"/>
    <n v="0"/>
    <n v="0"/>
    <n v="0"/>
    <n v="0"/>
    <n v="0"/>
    <n v="0"/>
    <n v="0"/>
    <n v="0"/>
    <n v="0"/>
    <n v="1.653878424"/>
    <n v="0"/>
    <n v="0.12784960000000001"/>
    <n v="0"/>
    <n v="0"/>
    <n v="19.675313450000001"/>
    <n v="0"/>
    <n v="0"/>
    <n v="0"/>
    <n v="0"/>
    <n v="0"/>
    <n v="0"/>
    <n v="0"/>
    <n v="0"/>
    <n v="1165"/>
    <n v="0"/>
    <n v="0"/>
    <n v="0"/>
    <x v="2"/>
    <n v="3.5615681570000004"/>
    <n v="0"/>
    <n v="3.5615681570000004"/>
    <x v="0"/>
  </r>
  <r>
    <x v="345"/>
    <x v="2"/>
    <n v="0"/>
    <n v="0"/>
    <n v="0"/>
    <n v="0"/>
    <n v="0"/>
    <n v="0"/>
    <n v="0"/>
    <n v="0"/>
    <n v="0"/>
    <n v="0"/>
    <n v="1.7219174370000001"/>
    <n v="0"/>
    <n v="7.8515695999999996E-2"/>
    <n v="0"/>
    <n v="0"/>
    <n v="19.675277170000001"/>
    <n v="0"/>
    <n v="0"/>
    <n v="0"/>
    <n v="0"/>
    <n v="0"/>
    <n v="0"/>
    <n v="0"/>
    <n v="0"/>
    <n v="1164"/>
    <n v="0"/>
    <n v="0"/>
    <n v="0"/>
    <x v="2"/>
    <n v="3.2995806115000006"/>
    <n v="0"/>
    <n v="3.2995806115000006"/>
    <x v="0"/>
  </r>
  <r>
    <x v="346"/>
    <x v="2"/>
    <n v="0"/>
    <n v="0"/>
    <n v="0"/>
    <n v="0"/>
    <n v="0"/>
    <n v="0"/>
    <n v="0"/>
    <n v="0"/>
    <n v="0"/>
    <n v="0"/>
    <n v="1.680728609"/>
    <n v="0"/>
    <n v="0.128363692"/>
    <n v="0"/>
    <n v="0"/>
    <n v="20.1088883"/>
    <n v="0"/>
    <n v="0"/>
    <n v="0"/>
    <n v="0"/>
    <n v="0"/>
    <n v="0"/>
    <n v="0"/>
    <n v="0"/>
    <n v="1163"/>
    <n v="0"/>
    <n v="0"/>
    <n v="0"/>
    <x v="2"/>
    <n v="3.6214352865000006"/>
    <n v="0"/>
    <n v="3.6214352865000006"/>
    <x v="0"/>
  </r>
  <r>
    <x v="347"/>
    <x v="2"/>
    <n v="0"/>
    <n v="0"/>
    <n v="0"/>
    <n v="0"/>
    <n v="0"/>
    <n v="0"/>
    <n v="0"/>
    <n v="0"/>
    <n v="0"/>
    <n v="0"/>
    <n v="1.6579317579999999"/>
    <n v="0"/>
    <n v="0.14514206399999999"/>
    <n v="0"/>
    <n v="0"/>
    <n v="19.389371799999999"/>
    <n v="0"/>
    <n v="0"/>
    <n v="0"/>
    <n v="0"/>
    <n v="0"/>
    <n v="0"/>
    <n v="0"/>
    <n v="0"/>
    <n v="1162"/>
    <n v="0"/>
    <n v="0"/>
    <n v="0"/>
    <x v="2"/>
    <n v="3.638755443"/>
    <n v="0"/>
    <n v="3.638755443"/>
    <x v="0"/>
  </r>
  <r>
    <x v="348"/>
    <x v="1"/>
    <n v="0"/>
    <n v="0"/>
    <n v="0"/>
    <n v="0"/>
    <n v="0"/>
    <n v="0"/>
    <n v="0"/>
    <n v="0"/>
    <n v="0"/>
    <n v="0"/>
    <n v="1.8675904000000001"/>
    <n v="0"/>
    <n v="0.12850572399999999"/>
    <n v="0"/>
    <n v="0"/>
    <n v="18.44720534"/>
    <n v="0"/>
    <n v="0"/>
    <n v="0"/>
    <n v="0"/>
    <n v="0"/>
    <n v="0"/>
    <n v="0"/>
    <n v="0"/>
    <n v="1161"/>
    <n v="0"/>
    <n v="0"/>
    <n v="0"/>
    <x v="2"/>
    <n v="3.5495500780000002"/>
    <n v="0"/>
    <n v="3.5495500780000002"/>
    <x v="0"/>
  </r>
  <r>
    <x v="349"/>
    <x v="1"/>
    <n v="0"/>
    <n v="0"/>
    <n v="0"/>
    <n v="0"/>
    <n v="0"/>
    <n v="0"/>
    <n v="0"/>
    <n v="0"/>
    <n v="0"/>
    <n v="0"/>
    <n v="1.8223842029999999"/>
    <n v="0"/>
    <n v="0.144787147"/>
    <n v="0"/>
    <n v="0"/>
    <n v="18.019622250000001"/>
    <n v="0"/>
    <n v="0"/>
    <n v="0"/>
    <n v="0"/>
    <n v="0"/>
    <n v="0"/>
    <n v="0"/>
    <n v="0"/>
    <n v="1160"/>
    <n v="0"/>
    <n v="0"/>
    <n v="0"/>
    <x v="2"/>
    <n v="3.5818772084999999"/>
    <n v="0"/>
    <n v="3.5818772084999999"/>
    <x v="0"/>
  </r>
  <r>
    <x v="350"/>
    <x v="1"/>
    <n v="0"/>
    <n v="0"/>
    <n v="0"/>
    <n v="0"/>
    <n v="0"/>
    <n v="0"/>
    <n v="0"/>
    <n v="0"/>
    <n v="0"/>
    <n v="0"/>
    <n v="1.841536957"/>
    <n v="0"/>
    <n v="0.15406903899999999"/>
    <n v="0"/>
    <n v="0"/>
    <n v="17.820263990000001"/>
    <n v="0"/>
    <n v="0"/>
    <n v="0"/>
    <n v="0"/>
    <n v="0"/>
    <n v="0"/>
    <n v="0"/>
    <n v="0"/>
    <n v="1159"/>
    <n v="0"/>
    <n v="0"/>
    <n v="0"/>
    <x v="2"/>
    <n v="3.6272091115"/>
    <n v="0"/>
    <n v="3.6272091115"/>
    <x v="0"/>
  </r>
  <r>
    <x v="351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3130646499999999"/>
    <n v="0"/>
    <n v="0"/>
    <n v="32.277435279999999"/>
    <n v="0"/>
    <n v="1158"/>
    <n v="0"/>
    <n v="0"/>
    <n v="0"/>
    <x v="2"/>
    <n v="4.6155823179999995"/>
    <n v="0"/>
    <n v="4.6155823179999995"/>
    <x v="0"/>
  </r>
  <r>
    <x v="352"/>
    <x v="1"/>
    <n v="0"/>
    <n v="0"/>
    <n v="0"/>
    <n v="0"/>
    <n v="0"/>
    <n v="0"/>
    <n v="0"/>
    <n v="0"/>
    <n v="0"/>
    <n v="0"/>
    <n v="1.8937012550000001"/>
    <n v="0"/>
    <n v="0.13663825199999999"/>
    <n v="0"/>
    <n v="0"/>
    <n v="18.994274560000001"/>
    <n v="0"/>
    <n v="0"/>
    <n v="0"/>
    <n v="0"/>
    <n v="0"/>
    <n v="0"/>
    <n v="0"/>
    <n v="0"/>
    <n v="1157"/>
    <n v="0"/>
    <n v="0"/>
    <n v="0"/>
    <x v="2"/>
    <n v="3.6661075955000002"/>
    <n v="0"/>
    <n v="3.6661075955000002"/>
    <x v="0"/>
  </r>
  <r>
    <x v="353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29845083900000002"/>
    <n v="0"/>
    <n v="0"/>
    <n v="43.54802677"/>
    <n v="0"/>
    <n v="1156"/>
    <n v="0"/>
    <n v="0"/>
    <n v="0"/>
    <x v="2"/>
    <n v="6.1455077110000005"/>
    <n v="0"/>
    <n v="6.1455077110000005"/>
    <x v="0"/>
  </r>
  <r>
    <x v="354"/>
    <x v="3"/>
    <n v="0"/>
    <n v="0"/>
    <n v="0"/>
    <n v="0"/>
    <n v="0"/>
    <n v="0"/>
    <n v="0"/>
    <n v="0"/>
    <n v="0"/>
    <n v="0"/>
    <n v="2.0347338430000002"/>
    <n v="0"/>
    <n v="6.3126663E-2"/>
    <n v="0"/>
    <n v="0"/>
    <n v="14.52889092"/>
    <n v="0"/>
    <n v="0"/>
    <n v="0"/>
    <n v="0.112674843"/>
    <n v="0"/>
    <n v="0"/>
    <n v="17.319644199999999"/>
    <n v="0"/>
    <n v="1155"/>
    <n v="0"/>
    <n v="0"/>
    <n v="0"/>
    <x v="2"/>
    <n v="5.2570294694999999"/>
    <n v="0"/>
    <n v="5.2570294694999999"/>
    <x v="0"/>
  </r>
  <r>
    <x v="355"/>
    <x v="2"/>
    <n v="0"/>
    <n v="0"/>
    <n v="0"/>
    <n v="0"/>
    <n v="0"/>
    <n v="0"/>
    <n v="0"/>
    <n v="0"/>
    <n v="0"/>
    <n v="0"/>
    <n v="1.6679385840000001"/>
    <n v="0"/>
    <n v="0.14874320299999999"/>
    <n v="0"/>
    <n v="0"/>
    <n v="19.565102549999999"/>
    <n v="0"/>
    <n v="0"/>
    <n v="0"/>
    <n v="9.1810396000000002E-2"/>
    <n v="0"/>
    <n v="0"/>
    <n v="12.74130521"/>
    <n v="0"/>
    <n v="1154"/>
    <n v="0"/>
    <n v="0"/>
    <n v="0"/>
    <x v="2"/>
    <n v="5.5079316619999998"/>
    <n v="0"/>
    <n v="5.5079316619999998"/>
    <x v="0"/>
  </r>
  <r>
    <x v="356"/>
    <x v="2"/>
    <n v="0"/>
    <n v="0"/>
    <n v="0"/>
    <n v="0"/>
    <n v="0"/>
    <n v="0"/>
    <n v="0"/>
    <n v="0"/>
    <n v="0"/>
    <n v="0"/>
    <n v="1.5189063380000001"/>
    <n v="0"/>
    <n v="0.110274205"/>
    <n v="0"/>
    <n v="0"/>
    <n v="18.71329124"/>
    <n v="0"/>
    <n v="0"/>
    <n v="0"/>
    <n v="8.5073287999999997E-2"/>
    <n v="0"/>
    <n v="0"/>
    <n v="13.75970921"/>
    <n v="0"/>
    <n v="1153"/>
    <n v="0"/>
    <n v="0"/>
    <n v="0"/>
    <x v="2"/>
    <n v="5.1788381719999999"/>
    <n v="0"/>
    <n v="5.1788381719999999"/>
    <x v="0"/>
  </r>
  <r>
    <x v="357"/>
    <x v="3"/>
    <n v="0"/>
    <n v="0"/>
    <n v="0"/>
    <n v="0"/>
    <n v="0"/>
    <n v="0"/>
    <n v="0"/>
    <n v="0"/>
    <n v="0"/>
    <n v="0"/>
    <n v="3.7468928400000001"/>
    <n v="0"/>
    <n v="0.20158947299999999"/>
    <n v="0"/>
    <n v="0"/>
    <n v="26.29172397"/>
    <n v="0"/>
    <n v="0"/>
    <n v="0"/>
    <n v="0"/>
    <n v="0"/>
    <n v="0"/>
    <n v="0"/>
    <n v="0"/>
    <n v="1152"/>
    <n v="0"/>
    <n v="0"/>
    <n v="0"/>
    <x v="2"/>
    <n v="5.7121556550000001"/>
    <n v="0"/>
    <n v="5.7121556550000001"/>
    <x v="0"/>
  </r>
  <r>
    <x v="358"/>
    <x v="2"/>
    <n v="0"/>
    <n v="0"/>
    <n v="0"/>
    <n v="0"/>
    <n v="0"/>
    <n v="0"/>
    <n v="0"/>
    <n v="0"/>
    <n v="0"/>
    <n v="0"/>
    <n v="3.0879740469999999"/>
    <n v="0"/>
    <n v="0.204755891"/>
    <n v="0"/>
    <n v="0"/>
    <n v="34.759921919999996"/>
    <n v="0"/>
    <n v="0"/>
    <n v="0"/>
    <n v="0"/>
    <n v="0"/>
    <n v="0"/>
    <n v="0"/>
    <n v="0"/>
    <n v="1151"/>
    <n v="0"/>
    <n v="0"/>
    <n v="0"/>
    <x v="2"/>
    <n v="6.2485145614999995"/>
    <n v="0"/>
    <n v="6.2485145614999995"/>
    <x v="0"/>
  </r>
  <r>
    <x v="359"/>
    <x v="2"/>
    <n v="0"/>
    <n v="0"/>
    <n v="0"/>
    <n v="0"/>
    <n v="0"/>
    <n v="0"/>
    <n v="0"/>
    <n v="0"/>
    <n v="0"/>
    <n v="0"/>
    <n v="3.0387836369999999"/>
    <n v="0"/>
    <n v="0.19287833200000001"/>
    <n v="0"/>
    <n v="0"/>
    <n v="36.817153019999999"/>
    <n v="0"/>
    <n v="0"/>
    <n v="0"/>
    <n v="0"/>
    <n v="0"/>
    <n v="0"/>
    <n v="0"/>
    <n v="0"/>
    <n v="1150"/>
    <n v="0"/>
    <n v="0"/>
    <n v="0"/>
    <x v="2"/>
    <n v="6.3583771124999995"/>
    <n v="0"/>
    <n v="6.3583771124999995"/>
    <x v="0"/>
  </r>
  <r>
    <x v="360"/>
    <x v="2"/>
    <n v="0"/>
    <n v="0"/>
    <n v="0"/>
    <n v="0"/>
    <n v="0"/>
    <n v="0"/>
    <n v="0"/>
    <n v="0"/>
    <n v="0"/>
    <n v="0"/>
    <n v="1.5033212469999999"/>
    <n v="0"/>
    <n v="9.6289472000000001E-2"/>
    <n v="0"/>
    <n v="0"/>
    <n v="20.96232552"/>
    <n v="0"/>
    <n v="0"/>
    <n v="0"/>
    <n v="0"/>
    <n v="0"/>
    <n v="0"/>
    <n v="0"/>
    <n v="0"/>
    <n v="1169"/>
    <n v="0"/>
    <n v="0"/>
    <n v="0"/>
    <x v="2"/>
    <n v="3.4256300075000001"/>
    <n v="0"/>
    <n v="3.4256300075000001"/>
    <x v="0"/>
  </r>
  <r>
    <x v="361"/>
    <x v="1"/>
    <n v="0"/>
    <n v="0"/>
    <n v="0"/>
    <n v="0"/>
    <n v="0"/>
    <n v="0"/>
    <n v="0"/>
    <n v="0"/>
    <n v="0"/>
    <n v="0"/>
    <n v="1.9602740569999999"/>
    <n v="0"/>
    <n v="7.0842848999999999E-2"/>
    <n v="0"/>
    <n v="0"/>
    <n v="17.764535469999998"/>
    <n v="0"/>
    <n v="0"/>
    <n v="0"/>
    <n v="0"/>
    <n v="0"/>
    <n v="0"/>
    <n v="0"/>
    <n v="0"/>
    <n v="1170"/>
    <n v="0"/>
    <n v="0"/>
    <n v="0"/>
    <x v="2"/>
    <n v="3.1816476695000002"/>
    <n v="0"/>
    <n v="3.1816476695000002"/>
    <x v="0"/>
  </r>
  <r>
    <x v="362"/>
    <x v="3"/>
    <n v="0"/>
    <n v="0"/>
    <n v="0"/>
    <n v="0"/>
    <n v="0"/>
    <n v="0"/>
    <n v="0"/>
    <n v="0"/>
    <n v="0"/>
    <n v="0"/>
    <n v="2.0702701399999999"/>
    <n v="0"/>
    <n v="6.3849937999999995E-2"/>
    <n v="0"/>
    <n v="0"/>
    <n v="14.02100448"/>
    <n v="0"/>
    <n v="0"/>
    <n v="0"/>
    <n v="0"/>
    <n v="0"/>
    <n v="0"/>
    <n v="0"/>
    <n v="0"/>
    <n v="1171"/>
    <n v="0"/>
    <n v="0"/>
    <n v="0"/>
    <x v="2"/>
    <n v="2.8203351460000001"/>
    <n v="0"/>
    <n v="2.8203351460000001"/>
    <x v="0"/>
  </r>
  <r>
    <x v="363"/>
    <x v="0"/>
    <n v="0"/>
    <n v="1.666979585"/>
    <n v="0"/>
    <n v="0"/>
    <n v="3.474105776"/>
    <n v="0"/>
    <n v="0"/>
    <n v="467.16116529999999"/>
    <n v="0"/>
    <n v="0"/>
    <n v="0"/>
    <n v="0"/>
    <n v="0"/>
    <n v="0"/>
    <n v="0"/>
    <n v="0"/>
    <n v="0"/>
    <n v="0"/>
    <n v="0"/>
    <n v="0.21325454599999999"/>
    <n v="0"/>
    <n v="0"/>
    <n v="26.124125530000001"/>
    <n v="0"/>
    <n v="1014"/>
    <n v="0"/>
    <n v="0"/>
    <n v="0"/>
    <x v="2"/>
    <n v="33.140850374999999"/>
    <n v="0"/>
    <n v="33.140850374999999"/>
    <x v="0"/>
  </r>
  <r>
    <x v="364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2"/>
    <n v="0"/>
    <n v="0"/>
    <n v="0"/>
    <x v="2"/>
    <n v="0"/>
    <n v="0"/>
    <n v="0"/>
    <x v="0"/>
  </r>
  <r>
    <x v="365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53"/>
    <n v="0"/>
    <n v="0"/>
    <n v="0"/>
    <x v="2"/>
    <n v="0"/>
    <n v="0"/>
    <n v="0"/>
    <x v="0"/>
  </r>
  <r>
    <x v="366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9"/>
    <n v="0"/>
    <n v="0"/>
    <n v="0"/>
    <x v="2"/>
    <n v="0"/>
    <n v="0"/>
    <n v="0"/>
    <x v="0"/>
  </r>
  <r>
    <x v="367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8"/>
    <n v="0"/>
    <n v="0"/>
    <n v="0"/>
    <x v="2"/>
    <n v="0"/>
    <n v="0"/>
    <n v="0"/>
    <x v="0"/>
  </r>
  <r>
    <x v="368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7"/>
    <n v="0"/>
    <n v="0"/>
    <n v="0"/>
    <x v="2"/>
    <n v="0"/>
    <n v="0"/>
    <n v="0"/>
    <x v="0"/>
  </r>
  <r>
    <x v="369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6"/>
    <n v="0"/>
    <n v="0"/>
    <n v="0"/>
    <x v="2"/>
    <n v="0"/>
    <n v="0"/>
    <n v="0"/>
    <x v="0"/>
  </r>
  <r>
    <x v="370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5"/>
    <n v="0"/>
    <n v="0"/>
    <n v="0"/>
    <x v="2"/>
    <n v="0"/>
    <n v="0"/>
    <n v="0"/>
    <x v="0"/>
  </r>
  <r>
    <x v="371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4"/>
    <n v="0"/>
    <n v="0"/>
    <n v="0"/>
    <x v="2"/>
    <n v="0"/>
    <n v="0"/>
    <n v="0"/>
    <x v="0"/>
  </r>
  <r>
    <x v="372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2"/>
    <n v="0"/>
    <n v="0"/>
    <n v="0"/>
    <x v="2"/>
    <n v="0"/>
    <n v="0"/>
    <n v="0"/>
    <x v="0"/>
  </r>
  <r>
    <x v="373"/>
    <x v="1"/>
    <n v="0"/>
    <n v="0"/>
    <n v="0"/>
    <n v="0"/>
    <n v="0"/>
    <n v="0"/>
    <n v="0"/>
    <n v="0"/>
    <n v="0"/>
    <n v="0"/>
    <n v="1.204570516"/>
    <n v="0"/>
    <n v="7.8854934000000002E-2"/>
    <n v="0"/>
    <n v="0"/>
    <n v="12.394176140000001"/>
    <n v="0"/>
    <n v="0"/>
    <n v="0"/>
    <n v="0"/>
    <n v="0"/>
    <n v="0"/>
    <n v="0"/>
    <n v="0"/>
    <n v="1172"/>
    <n v="0"/>
    <n v="0"/>
    <n v="0"/>
    <x v="2"/>
    <n v="2.3148324760000003"/>
    <n v="0"/>
    <n v="2.3148324760000003"/>
    <x v="0"/>
  </r>
  <r>
    <x v="374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80"/>
    <n v="0"/>
    <n v="0"/>
    <n v="0"/>
    <x v="2"/>
    <n v="0"/>
    <n v="0"/>
    <n v="0"/>
    <x v="0"/>
  </r>
  <r>
    <x v="375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9"/>
    <n v="0"/>
    <n v="0"/>
    <n v="0"/>
    <x v="2"/>
    <n v="0"/>
    <n v="0"/>
    <n v="0"/>
    <x v="0"/>
  </r>
  <r>
    <x v="376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8"/>
    <n v="0"/>
    <n v="0"/>
    <n v="0"/>
    <x v="2"/>
    <n v="0"/>
    <n v="0"/>
    <n v="0"/>
    <x v="0"/>
  </r>
  <r>
    <x v="377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177"/>
    <n v="0"/>
    <n v="0"/>
    <n v="0"/>
    <x v="2"/>
    <n v="0"/>
    <n v="0"/>
    <n v="0"/>
    <x v="0"/>
  </r>
  <r>
    <x v="378"/>
    <x v="2"/>
    <n v="0"/>
    <n v="0"/>
    <n v="0"/>
    <n v="0"/>
    <n v="0"/>
    <n v="0"/>
    <n v="0"/>
    <n v="0"/>
    <n v="0"/>
    <n v="0"/>
    <n v="0.86240842399999995"/>
    <n v="0"/>
    <n v="4.8612586999999999E-2"/>
    <n v="0"/>
    <n v="0"/>
    <n v="9.2674956430000002"/>
    <n v="0"/>
    <n v="0"/>
    <n v="0"/>
    <n v="0"/>
    <n v="0"/>
    <n v="0"/>
    <n v="0"/>
    <n v="0"/>
    <n v="1176"/>
    <n v="0"/>
    <n v="0"/>
    <n v="0"/>
    <x v="2"/>
    <n v="1.6496292983"/>
    <n v="0"/>
    <n v="1.6496292983"/>
    <x v="0"/>
  </r>
  <r>
    <x v="379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0732973999999994E-2"/>
    <n v="0"/>
    <n v="0"/>
    <n v="16.467621380000001"/>
    <n v="0"/>
    <n v="1175"/>
    <n v="0"/>
    <n v="0"/>
    <n v="0"/>
    <x v="2"/>
    <n v="2.1911599820000003"/>
    <n v="0"/>
    <n v="2.1911599820000003"/>
    <x v="0"/>
  </r>
  <r>
    <x v="380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8122659000000001E-2"/>
    <n v="0"/>
    <n v="0"/>
    <n v="16.81076298"/>
    <n v="0"/>
    <n v="1174"/>
    <n v="0"/>
    <n v="0"/>
    <n v="0"/>
    <x v="2"/>
    <n v="2.2698122519999999"/>
    <n v="0"/>
    <n v="2.2698122519999999"/>
    <x v="0"/>
  </r>
  <r>
    <x v="381"/>
    <x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12448890899999999"/>
    <n v="0"/>
    <n v="0"/>
    <n v="17.070181789999999"/>
    <n v="0"/>
    <n v="1173"/>
    <n v="0"/>
    <n v="0"/>
    <n v="0"/>
    <x v="2"/>
    <n v="2.453951633"/>
    <n v="0"/>
    <n v="2.453951633"/>
    <x v="0"/>
  </r>
  <r>
    <x v="382"/>
    <x v="2"/>
    <n v="0"/>
    <n v="0"/>
    <n v="0"/>
    <n v="0"/>
    <n v="0"/>
    <n v="0"/>
    <n v="0"/>
    <n v="0"/>
    <n v="0"/>
    <n v="0"/>
    <n v="3.3770170259999999"/>
    <n v="0"/>
    <n v="0.15891849"/>
    <n v="0"/>
    <n v="0"/>
    <n v="37.996578169999999"/>
    <n v="0"/>
    <n v="0"/>
    <n v="0"/>
    <n v="0"/>
    <n v="0"/>
    <n v="0"/>
    <n v="0"/>
    <n v="0"/>
    <n v="1149"/>
    <n v="0"/>
    <n v="0"/>
    <n v="0"/>
    <x v="2"/>
    <n v="6.4416772699999996"/>
    <n v="0"/>
    <n v="6.4416772699999996"/>
    <x v="0"/>
  </r>
  <r>
    <x v="383"/>
    <x v="1"/>
    <n v="0"/>
    <n v="0"/>
    <n v="0"/>
    <n v="0"/>
    <n v="0"/>
    <n v="0"/>
    <n v="0"/>
    <n v="0"/>
    <n v="0"/>
    <n v="0"/>
    <n v="3.259721716"/>
    <n v="0"/>
    <n v="0.28269921599999998"/>
    <n v="0"/>
    <n v="0"/>
    <n v="32.203752950000002"/>
    <n v="0"/>
    <n v="0"/>
    <n v="0"/>
    <n v="0"/>
    <n v="0"/>
    <n v="0"/>
    <n v="0"/>
    <n v="0"/>
    <n v="1147"/>
    <n v="0"/>
    <n v="0"/>
    <n v="0"/>
    <x v="2"/>
    <n v="6.546431449"/>
    <n v="0"/>
    <n v="6.546431449"/>
    <x v="0"/>
  </r>
  <r>
    <x v="384"/>
    <x v="1"/>
    <n v="0"/>
    <n v="0"/>
    <n v="0"/>
    <n v="0"/>
    <n v="0"/>
    <n v="0"/>
    <n v="0"/>
    <n v="0"/>
    <n v="0"/>
    <n v="0"/>
    <n v="3.9946734589999999"/>
    <n v="0"/>
    <n v="0.33484033800000002"/>
    <n v="0"/>
    <n v="0"/>
    <n v="40.935541649999998"/>
    <n v="0"/>
    <n v="0"/>
    <n v="0"/>
    <n v="0"/>
    <n v="0"/>
    <n v="0"/>
    <n v="0"/>
    <n v="0"/>
    <n v="1104"/>
    <n v="0"/>
    <n v="0"/>
    <n v="0"/>
    <x v="2"/>
    <n v="8.099932922499999"/>
    <n v="0"/>
    <n v="8.099932922499999"/>
    <x v="0"/>
  </r>
  <r>
    <x v="385"/>
    <x v="1"/>
    <n v="0"/>
    <n v="0"/>
    <n v="0"/>
    <n v="0"/>
    <n v="0"/>
    <n v="0"/>
    <n v="0"/>
    <n v="0"/>
    <n v="0"/>
    <n v="0"/>
    <n v="3.5928897580000001"/>
    <n v="0"/>
    <n v="0.19507893700000001"/>
    <n v="0"/>
    <n v="0"/>
    <n v="35.627105370000002"/>
    <n v="0"/>
    <n v="0"/>
    <n v="0"/>
    <n v="0"/>
    <n v="0"/>
    <n v="0"/>
    <n v="0"/>
    <n v="0"/>
    <n v="1146"/>
    <n v="0"/>
    <n v="0"/>
    <n v="0"/>
    <x v="2"/>
    <n v="6.5296290380000013"/>
    <n v="0"/>
    <n v="6.5296290380000013"/>
    <x v="0"/>
  </r>
  <r>
    <x v="386"/>
    <x v="2"/>
    <n v="0"/>
    <n v="0"/>
    <n v="0"/>
    <n v="0"/>
    <n v="0"/>
    <n v="0"/>
    <n v="0"/>
    <n v="0"/>
    <n v="0"/>
    <n v="0"/>
    <n v="3.3373089729999998"/>
    <n v="0"/>
    <n v="0.31245035900000001"/>
    <n v="0"/>
    <n v="0"/>
    <n v="36.135768380000002"/>
    <n v="0"/>
    <n v="0"/>
    <n v="0"/>
    <n v="0"/>
    <n v="0"/>
    <n v="0"/>
    <n v="0"/>
    <n v="0"/>
    <n v="1123"/>
    <n v="0"/>
    <n v="0"/>
    <n v="0"/>
    <x v="2"/>
    <n v="7.1569334785000001"/>
    <n v="0"/>
    <n v="7.1569334785000001"/>
    <x v="0"/>
  </r>
  <r>
    <x v="387"/>
    <x v="1"/>
    <n v="0"/>
    <n v="0"/>
    <n v="0"/>
    <n v="0"/>
    <n v="0"/>
    <n v="0"/>
    <n v="0"/>
    <n v="0"/>
    <n v="0"/>
    <n v="0"/>
    <n v="4.0386993029999996"/>
    <n v="0"/>
    <n v="0.23250821499999999"/>
    <n v="0"/>
    <n v="0"/>
    <n v="36.769336150000001"/>
    <n v="0"/>
    <n v="0"/>
    <n v="0"/>
    <n v="0"/>
    <n v="0"/>
    <n v="0"/>
    <n v="0"/>
    <n v="0"/>
    <n v="1122"/>
    <n v="0"/>
    <n v="0"/>
    <n v="0"/>
    <x v="2"/>
    <n v="7.0913325565000003"/>
    <n v="0"/>
    <n v="7.0913325565000003"/>
    <x v="0"/>
  </r>
  <r>
    <x v="388"/>
    <x v="1"/>
    <n v="0"/>
    <n v="0"/>
    <n v="0"/>
    <n v="0"/>
    <n v="0"/>
    <n v="0"/>
    <n v="0"/>
    <n v="0"/>
    <n v="0"/>
    <n v="0"/>
    <n v="3.707213173"/>
    <n v="0"/>
    <n v="0.33875965600000002"/>
    <n v="0"/>
    <n v="0"/>
    <n v="34.312563730000001"/>
    <n v="0"/>
    <n v="0"/>
    <n v="0"/>
    <n v="0"/>
    <n v="0"/>
    <n v="0"/>
    <n v="0"/>
    <n v="0"/>
    <n v="1121"/>
    <n v="0"/>
    <n v="0"/>
    <n v="0"/>
    <x v="2"/>
    <n v="7.3174208954999997"/>
    <n v="0"/>
    <n v="7.3174208954999997"/>
    <x v="0"/>
  </r>
  <r>
    <x v="389"/>
    <x v="2"/>
    <n v="0"/>
    <n v="0"/>
    <n v="0"/>
    <n v="0"/>
    <n v="0"/>
    <n v="0"/>
    <n v="0"/>
    <n v="0"/>
    <n v="0"/>
    <n v="0"/>
    <n v="3.1101687070000001"/>
    <n v="0"/>
    <n v="0.229394562"/>
    <n v="0"/>
    <n v="0"/>
    <n v="38.535138830000001"/>
    <n v="0"/>
    <n v="0"/>
    <n v="0"/>
    <n v="0"/>
    <n v="0"/>
    <n v="0"/>
    <n v="0"/>
    <n v="0"/>
    <n v="1120"/>
    <n v="0"/>
    <n v="0"/>
    <n v="0"/>
    <x v="2"/>
    <n v="6.7849656085000003"/>
    <n v="0"/>
    <n v="6.7849656085000003"/>
    <x v="0"/>
  </r>
  <r>
    <x v="390"/>
    <x v="1"/>
    <n v="0"/>
    <n v="0"/>
    <n v="0"/>
    <n v="0"/>
    <n v="0"/>
    <n v="0"/>
    <n v="0"/>
    <n v="0"/>
    <n v="0"/>
    <n v="0"/>
    <n v="3.7628096430000002"/>
    <n v="0"/>
    <n v="0.297536099"/>
    <n v="0"/>
    <n v="0"/>
    <n v="36.302751829999998"/>
    <n v="0"/>
    <n v="0"/>
    <n v="0"/>
    <n v="0"/>
    <n v="0"/>
    <n v="0"/>
    <n v="0"/>
    <n v="0"/>
    <n v="1119"/>
    <n v="0"/>
    <n v="0"/>
    <n v="0"/>
    <x v="2"/>
    <n v="7.2968965985000001"/>
    <n v="0"/>
    <n v="7.2968965985000001"/>
    <x v="0"/>
  </r>
  <r>
    <x v="391"/>
    <x v="3"/>
    <n v="0"/>
    <n v="0"/>
    <n v="0"/>
    <n v="0"/>
    <n v="0"/>
    <n v="0"/>
    <n v="0"/>
    <n v="0"/>
    <n v="0"/>
    <n v="0"/>
    <n v="4.5195312909999998"/>
    <n v="0"/>
    <n v="0.105315138"/>
    <n v="0"/>
    <n v="0"/>
    <n v="29.381924510000001"/>
    <n v="0"/>
    <n v="0"/>
    <n v="0"/>
    <n v="5.8113369999999998E-2"/>
    <n v="0"/>
    <n v="0"/>
    <n v="8.0770852099999999"/>
    <n v="0"/>
    <n v="1118"/>
    <n v="0"/>
    <n v="0"/>
    <n v="0"/>
    <x v="2"/>
    <n v="6.9862376655000009"/>
    <n v="0"/>
    <n v="6.9862376655000009"/>
    <x v="0"/>
  </r>
  <r>
    <x v="392"/>
    <x v="1"/>
    <n v="0"/>
    <n v="0"/>
    <n v="0"/>
    <n v="0"/>
    <n v="0"/>
    <n v="0"/>
    <n v="0"/>
    <n v="0"/>
    <n v="0"/>
    <n v="0"/>
    <n v="4.2060136469999998"/>
    <n v="0"/>
    <n v="0.21308496299999999"/>
    <n v="0"/>
    <n v="0"/>
    <n v="37.967315820000003"/>
    <n v="0"/>
    <n v="0"/>
    <n v="0"/>
    <n v="0"/>
    <n v="0"/>
    <n v="0"/>
    <n v="0"/>
    <n v="0"/>
    <n v="1117"/>
    <n v="0"/>
    <n v="0"/>
    <n v="0"/>
    <x v="2"/>
    <n v="7.1782481835"/>
    <n v="0"/>
    <n v="7.1782481835"/>
    <x v="0"/>
  </r>
  <r>
    <x v="393"/>
    <x v="3"/>
    <n v="0"/>
    <n v="0"/>
    <n v="0"/>
    <n v="0"/>
    <n v="0"/>
    <n v="0"/>
    <n v="0"/>
    <n v="0"/>
    <n v="0"/>
    <n v="0"/>
    <n v="1.8828873960000001"/>
    <n v="0"/>
    <n v="6.9649925000000001E-2"/>
    <n v="0"/>
    <n v="0"/>
    <n v="13.04399776"/>
    <n v="0"/>
    <n v="0"/>
    <n v="0"/>
    <n v="0.28661799700000001"/>
    <n v="0"/>
    <n v="0"/>
    <n v="40.364839500000002"/>
    <n v="0"/>
    <n v="1116"/>
    <n v="0"/>
    <n v="0"/>
    <n v="0"/>
    <x v="2"/>
    <n v="8.4199349560000005"/>
    <n v="0"/>
    <n v="8.4199349560000005"/>
    <x v="0"/>
  </r>
  <r>
    <x v="394"/>
    <x v="1"/>
    <n v="0"/>
    <n v="0"/>
    <n v="0"/>
    <n v="0"/>
    <n v="0"/>
    <n v="0"/>
    <n v="0"/>
    <n v="0"/>
    <n v="0"/>
    <n v="0"/>
    <n v="3.6737646900000001"/>
    <n v="0"/>
    <n v="0.33245310500000003"/>
    <n v="0"/>
    <n v="0"/>
    <n v="36.59054794"/>
    <n v="0"/>
    <n v="0"/>
    <n v="0"/>
    <n v="0"/>
    <n v="0"/>
    <n v="0"/>
    <n v="0"/>
    <n v="0"/>
    <n v="1115"/>
    <n v="0"/>
    <n v="0"/>
    <n v="0"/>
    <x v="2"/>
    <n v="7.490655769"/>
    <n v="0"/>
    <n v="7.490655769"/>
    <x v="0"/>
  </r>
  <r>
    <x v="395"/>
    <x v="1"/>
    <n v="0"/>
    <n v="0"/>
    <n v="0"/>
    <n v="0"/>
    <n v="0"/>
    <n v="0"/>
    <n v="0"/>
    <n v="0"/>
    <n v="0"/>
    <n v="0"/>
    <n v="3.9646651140000002"/>
    <n v="0"/>
    <n v="0.29308577000000002"/>
    <n v="0"/>
    <n v="0"/>
    <n v="36.842226349999997"/>
    <n v="0"/>
    <n v="0"/>
    <n v="0"/>
    <n v="0"/>
    <n v="0"/>
    <n v="0"/>
    <n v="0"/>
    <n v="0"/>
    <n v="1114"/>
    <n v="0"/>
    <n v="0"/>
    <n v="0"/>
    <x v="2"/>
    <n v="7.4250698120000003"/>
    <n v="0"/>
    <n v="7.4250698120000003"/>
    <x v="0"/>
  </r>
  <r>
    <x v="396"/>
    <x v="1"/>
    <n v="0"/>
    <n v="0"/>
    <n v="0"/>
    <n v="0"/>
    <n v="0"/>
    <n v="0"/>
    <n v="0"/>
    <n v="0"/>
    <n v="0"/>
    <n v="0"/>
    <n v="3.712659999"/>
    <n v="0"/>
    <n v="0.32463642599999998"/>
    <n v="0"/>
    <n v="0"/>
    <n v="37.385198080000002"/>
    <n v="0"/>
    <n v="0"/>
    <n v="0"/>
    <n v="0"/>
    <n v="0"/>
    <n v="0"/>
    <n v="0"/>
    <n v="0"/>
    <n v="1113"/>
    <n v="0"/>
    <n v="0"/>
    <n v="0"/>
    <x v="2"/>
    <n v="7.5426683635000007"/>
    <n v="0"/>
    <n v="7.5426683635000007"/>
    <x v="0"/>
  </r>
  <r>
    <x v="397"/>
    <x v="2"/>
    <n v="0"/>
    <n v="0"/>
    <n v="0"/>
    <n v="0"/>
    <n v="0"/>
    <n v="0"/>
    <n v="0"/>
    <n v="0"/>
    <n v="0"/>
    <n v="0"/>
    <n v="3.4594605110000001"/>
    <n v="0"/>
    <n v="0.339998472"/>
    <n v="0"/>
    <n v="0"/>
    <n v="39.75455213"/>
    <n v="0"/>
    <n v="0"/>
    <n v="0"/>
    <n v="0"/>
    <n v="0"/>
    <n v="0"/>
    <n v="0"/>
    <n v="0"/>
    <n v="1112"/>
    <n v="0"/>
    <n v="0"/>
    <n v="0"/>
    <x v="2"/>
    <n v="7.7451763004999998"/>
    <n v="0"/>
    <n v="7.7451763004999998"/>
    <x v="0"/>
  </r>
  <r>
    <x v="398"/>
    <x v="1"/>
    <n v="0"/>
    <n v="0"/>
    <n v="0"/>
    <n v="0"/>
    <n v="0"/>
    <n v="0"/>
    <n v="0"/>
    <n v="0"/>
    <n v="0"/>
    <n v="0"/>
    <n v="3.5445097470000002"/>
    <n v="0"/>
    <n v="0.41834180399999998"/>
    <n v="0"/>
    <n v="0"/>
    <n v="35.769358660000002"/>
    <n v="0"/>
    <n v="0"/>
    <n v="0"/>
    <n v="0"/>
    <n v="0"/>
    <n v="0"/>
    <n v="0"/>
    <n v="0"/>
    <n v="1109"/>
    <n v="0"/>
    <n v="0"/>
    <n v="0"/>
    <x v="2"/>
    <n v="7.8592415635000004"/>
    <n v="0"/>
    <n v="7.8592415635000004"/>
    <x v="0"/>
  </r>
  <r>
    <x v="399"/>
    <x v="1"/>
    <n v="0"/>
    <n v="0"/>
    <n v="0"/>
    <n v="0"/>
    <n v="0"/>
    <n v="0"/>
    <n v="0"/>
    <n v="0"/>
    <n v="0"/>
    <n v="0"/>
    <n v="3.9799448590000002"/>
    <n v="0"/>
    <n v="0.32299369100000003"/>
    <n v="0"/>
    <n v="0"/>
    <n v="40.30389624"/>
    <n v="0"/>
    <n v="0"/>
    <n v="0"/>
    <n v="0"/>
    <n v="0"/>
    <n v="0"/>
    <n v="0"/>
    <n v="0"/>
    <n v="1108"/>
    <n v="0"/>
    <n v="0"/>
    <n v="0"/>
    <x v="2"/>
    <n v="7.9583241995000007"/>
    <n v="0"/>
    <n v="7.9583241995000007"/>
    <x v="0"/>
  </r>
  <r>
    <x v="400"/>
    <x v="2"/>
    <n v="0"/>
    <n v="0"/>
    <n v="0"/>
    <n v="0"/>
    <n v="0"/>
    <n v="0"/>
    <n v="0"/>
    <n v="0"/>
    <n v="0"/>
    <n v="0"/>
    <n v="3.7225106509999999"/>
    <n v="0"/>
    <n v="0.32331310099999999"/>
    <n v="0"/>
    <n v="0"/>
    <n v="43.608564319999999"/>
    <n v="0"/>
    <n v="0"/>
    <n v="0"/>
    <n v="0"/>
    <n v="0"/>
    <n v="0"/>
    <n v="0"/>
    <n v="0"/>
    <n v="1107"/>
    <n v="0"/>
    <n v="0"/>
    <n v="0"/>
    <x v="2"/>
    <n v="8.1619903634999993"/>
    <n v="0"/>
    <n v="8.1619903634999993"/>
    <x v="0"/>
  </r>
  <r>
    <x v="401"/>
    <x v="2"/>
    <n v="0"/>
    <n v="0"/>
    <n v="0"/>
    <n v="0"/>
    <n v="0"/>
    <n v="0"/>
    <n v="0"/>
    <n v="0"/>
    <n v="0"/>
    <n v="0"/>
    <n v="3.1649986210000001"/>
    <n v="0"/>
    <n v="0.17406434900000001"/>
    <n v="0"/>
    <n v="0"/>
    <n v="37.34007888"/>
    <n v="0"/>
    <n v="0"/>
    <n v="0"/>
    <n v="0"/>
    <n v="0"/>
    <n v="0"/>
    <n v="0"/>
    <n v="0"/>
    <n v="1106"/>
    <n v="0"/>
    <n v="0"/>
    <n v="0"/>
    <x v="2"/>
    <n v="6.3608932925000001"/>
    <n v="0"/>
    <n v="6.3608932925000001"/>
    <x v="0"/>
  </r>
  <r>
    <x v="402"/>
    <x v="1"/>
    <n v="0"/>
    <n v="0"/>
    <n v="0"/>
    <n v="0"/>
    <n v="0"/>
    <n v="0"/>
    <n v="0"/>
    <n v="0"/>
    <n v="0"/>
    <n v="0"/>
    <n v="3.5187121499999998"/>
    <n v="0"/>
    <n v="0.30828988400000001"/>
    <n v="0"/>
    <n v="0"/>
    <n v="36.478588520000002"/>
    <n v="0"/>
    <n v="0"/>
    <n v="0"/>
    <n v="0"/>
    <n v="0"/>
    <n v="0"/>
    <n v="0"/>
    <n v="0"/>
    <n v="1124"/>
    <n v="0"/>
    <n v="0"/>
    <n v="0"/>
    <x v="2"/>
    <n v="7.2569542310000008"/>
    <n v="0"/>
    <n v="7.2569542310000008"/>
    <x v="0"/>
  </r>
  <r>
    <x v="403"/>
    <x v="1"/>
    <n v="0"/>
    <n v="0"/>
    <n v="0"/>
    <n v="0"/>
    <n v="0"/>
    <n v="0"/>
    <n v="0"/>
    <n v="0"/>
    <n v="0"/>
    <n v="0"/>
    <n v="3.687300461"/>
    <n v="0"/>
    <n v="0.2640052"/>
    <n v="0"/>
    <n v="0"/>
    <n v="36.902123160000002"/>
    <n v="0"/>
    <n v="0"/>
    <n v="0"/>
    <n v="0"/>
    <n v="0"/>
    <n v="0"/>
    <n v="0"/>
    <n v="0"/>
    <n v="1125"/>
    <n v="0"/>
    <n v="0"/>
    <n v="0"/>
    <x v="2"/>
    <n v="7.1178937465000001"/>
    <n v="0"/>
    <n v="7.1178937465000001"/>
    <x v="0"/>
  </r>
  <r>
    <x v="404"/>
    <x v="2"/>
    <n v="0"/>
    <n v="0"/>
    <n v="0"/>
    <n v="0"/>
    <n v="0"/>
    <n v="0"/>
    <n v="0"/>
    <n v="0"/>
    <n v="0"/>
    <n v="0"/>
    <n v="3.4658631820000001"/>
    <n v="0"/>
    <n v="0.24305200299999999"/>
    <n v="0"/>
    <n v="0"/>
    <n v="40.139072040000002"/>
    <n v="0"/>
    <n v="0"/>
    <n v="0"/>
    <n v="0"/>
    <n v="0"/>
    <n v="0"/>
    <n v="0"/>
    <n v="0"/>
    <n v="1126"/>
    <n v="0"/>
    <n v="0"/>
    <n v="0"/>
    <x v="2"/>
    <n v="7.2051508130000004"/>
    <n v="0"/>
    <n v="7.2051508130000004"/>
    <x v="0"/>
  </r>
  <r>
    <x v="405"/>
    <x v="2"/>
    <n v="0"/>
    <n v="0"/>
    <n v="0"/>
    <n v="0"/>
    <n v="0"/>
    <n v="0"/>
    <n v="0"/>
    <n v="0"/>
    <n v="0"/>
    <n v="0"/>
    <n v="1.3738095939999999"/>
    <n v="0"/>
    <n v="0.105419681"/>
    <n v="0"/>
    <n v="0"/>
    <n v="19.707089799999999"/>
    <n v="0"/>
    <n v="0"/>
    <n v="0"/>
    <n v="0"/>
    <n v="0"/>
    <n v="0"/>
    <n v="0"/>
    <n v="0"/>
    <n v="1137"/>
    <n v="0"/>
    <n v="0"/>
    <n v="0"/>
    <x v="2"/>
    <n v="3.290131863"/>
    <n v="0"/>
    <n v="3.290131863"/>
    <x v="0"/>
  </r>
  <r>
    <x v="406"/>
    <x v="2"/>
    <n v="0"/>
    <n v="0"/>
    <n v="0"/>
    <n v="0"/>
    <n v="0"/>
    <n v="0"/>
    <n v="0"/>
    <n v="0"/>
    <n v="0"/>
    <n v="0"/>
    <n v="3.1967902989999999"/>
    <n v="0"/>
    <n v="0.18465171999999999"/>
    <n v="0"/>
    <n v="0"/>
    <n v="37.898194879999998"/>
    <n v="0"/>
    <n v="0"/>
    <n v="0"/>
    <n v="0"/>
    <n v="0"/>
    <n v="0"/>
    <n v="0"/>
    <n v="0"/>
    <n v="1143"/>
    <n v="0"/>
    <n v="0"/>
    <n v="0"/>
    <x v="2"/>
    <n v="6.4961249575000002"/>
    <n v="0"/>
    <n v="6.4961249575000002"/>
    <x v="0"/>
  </r>
  <r>
    <x v="407"/>
    <x v="2"/>
    <n v="0"/>
    <n v="0"/>
    <n v="0"/>
    <n v="0"/>
    <n v="0"/>
    <n v="0"/>
    <n v="0"/>
    <n v="0"/>
    <n v="0"/>
    <n v="0"/>
    <n v="3.5686301409999999"/>
    <n v="0"/>
    <n v="0.27459830899999998"/>
    <n v="0"/>
    <n v="0"/>
    <n v="32.920581409999997"/>
    <n v="0"/>
    <n v="0"/>
    <n v="0"/>
    <n v="0"/>
    <n v="0"/>
    <n v="0"/>
    <n v="0"/>
    <n v="0"/>
    <n v="1142"/>
    <n v="0"/>
    <n v="0"/>
    <n v="0"/>
    <x v="2"/>
    <n v="6.7239630654999996"/>
    <n v="0"/>
    <n v="6.7239630654999996"/>
    <x v="0"/>
  </r>
  <r>
    <x v="408"/>
    <x v="2"/>
    <n v="0"/>
    <n v="0"/>
    <n v="0"/>
    <n v="0"/>
    <n v="0"/>
    <n v="0"/>
    <n v="0"/>
    <n v="0"/>
    <n v="0"/>
    <n v="0"/>
    <n v="3.060988778"/>
    <n v="0"/>
    <n v="0.26842550300000001"/>
    <n v="0"/>
    <n v="0"/>
    <n v="38.069472900000001"/>
    <n v="0"/>
    <n v="0"/>
    <n v="0"/>
    <n v="0"/>
    <n v="0"/>
    <n v="0"/>
    <n v="0"/>
    <n v="0"/>
    <n v="1141"/>
    <n v="0"/>
    <n v="0"/>
    <n v="0"/>
    <x v="2"/>
    <n v="6.9479946970000004"/>
    <n v="0"/>
    <n v="6.9479946970000004"/>
    <x v="0"/>
  </r>
  <r>
    <x v="409"/>
    <x v="1"/>
    <n v="0"/>
    <n v="0"/>
    <n v="0"/>
    <n v="0"/>
    <n v="0"/>
    <n v="0"/>
    <n v="0"/>
    <n v="0"/>
    <n v="0"/>
    <n v="0"/>
    <n v="3.6768837190000001"/>
    <n v="0"/>
    <n v="0.20022221200000001"/>
    <n v="0"/>
    <n v="0"/>
    <n v="35.974808979999999"/>
    <n v="0"/>
    <n v="0"/>
    <n v="0"/>
    <n v="0"/>
    <n v="0"/>
    <n v="0"/>
    <n v="0"/>
    <n v="0"/>
    <n v="1140"/>
    <n v="0"/>
    <n v="0"/>
    <n v="0"/>
    <x v="2"/>
    <n v="6.6372560294999996"/>
    <n v="0"/>
    <n v="6.6372560294999996"/>
    <x v="0"/>
  </r>
  <r>
    <x v="410"/>
    <x v="1"/>
    <n v="0"/>
    <n v="0"/>
    <n v="0"/>
    <n v="0"/>
    <n v="0"/>
    <n v="0"/>
    <n v="0"/>
    <n v="0"/>
    <n v="0"/>
    <n v="0"/>
    <n v="3.3535666399999999"/>
    <n v="0"/>
    <n v="0.28271775799999999"/>
    <n v="0"/>
    <n v="0"/>
    <n v="35.023724510000001"/>
    <n v="0"/>
    <n v="0"/>
    <n v="0"/>
    <n v="0"/>
    <n v="0"/>
    <n v="0"/>
    <n v="0"/>
    <n v="0"/>
    <n v="1138"/>
    <n v="0"/>
    <n v="0"/>
    <n v="0"/>
    <x v="2"/>
    <n v="6.8754623190000004"/>
    <n v="0"/>
    <n v="6.8754623190000004"/>
    <x v="0"/>
  </r>
  <r>
    <x v="411"/>
    <x v="1"/>
    <n v="0"/>
    <n v="0"/>
    <n v="0"/>
    <n v="0"/>
    <n v="0"/>
    <n v="0"/>
    <n v="0"/>
    <n v="0"/>
    <n v="0"/>
    <n v="0"/>
    <n v="3.4136045410000002"/>
    <n v="0"/>
    <n v="0.30139922600000002"/>
    <n v="0"/>
    <n v="0"/>
    <n v="34.097611829999998"/>
    <n v="0"/>
    <n v="0"/>
    <n v="0"/>
    <n v="0"/>
    <n v="0"/>
    <n v="0"/>
    <n v="0"/>
    <n v="0"/>
    <n v="1136"/>
    <n v="0"/>
    <n v="0"/>
    <n v="0"/>
    <x v="2"/>
    <n v="6.9249588094999996"/>
    <n v="0"/>
    <n v="6.9249588094999996"/>
    <x v="0"/>
  </r>
  <r>
    <x v="412"/>
    <x v="1"/>
    <n v="0"/>
    <n v="0"/>
    <n v="0"/>
    <n v="0"/>
    <n v="0"/>
    <n v="0"/>
    <n v="0"/>
    <n v="0"/>
    <n v="0"/>
    <n v="0"/>
    <n v="3.796647959"/>
    <n v="0"/>
    <n v="0.22408128299999999"/>
    <n v="0"/>
    <n v="0"/>
    <n v="37.736162980000003"/>
    <n v="0"/>
    <n v="0"/>
    <n v="0"/>
    <n v="0"/>
    <n v="0"/>
    <n v="0"/>
    <n v="0"/>
    <n v="0"/>
    <n v="1127"/>
    <n v="0"/>
    <n v="0"/>
    <n v="0"/>
    <x v="2"/>
    <n v="7.0164279755000001"/>
    <n v="0"/>
    <n v="7.0164279755000001"/>
    <x v="0"/>
  </r>
  <r>
    <x v="413"/>
    <x v="2"/>
    <n v="0"/>
    <n v="0"/>
    <n v="0"/>
    <n v="0"/>
    <n v="0"/>
    <n v="0"/>
    <n v="0"/>
    <n v="0"/>
    <n v="0"/>
    <n v="0"/>
    <n v="2.4684602949999999"/>
    <n v="0"/>
    <n v="0.240761948"/>
    <n v="0"/>
    <n v="0"/>
    <n v="28.478805980000001"/>
    <n v="0"/>
    <n v="0"/>
    <n v="0"/>
    <n v="0.127282959"/>
    <n v="0"/>
    <n v="0"/>
    <n v="12.135345689999999"/>
    <n v="0"/>
    <n v="1135"/>
    <n v="0"/>
    <n v="0"/>
    <n v="0"/>
    <x v="2"/>
    <n v="7.5039147564999995"/>
    <n v="0"/>
    <n v="7.5039147564999995"/>
    <x v="0"/>
  </r>
  <r>
    <x v="414"/>
    <x v="1"/>
    <n v="0"/>
    <n v="0"/>
    <n v="0"/>
    <n v="0"/>
    <n v="0"/>
    <n v="0"/>
    <n v="0"/>
    <n v="0"/>
    <n v="0"/>
    <n v="0"/>
    <n v="3.664779105"/>
    <n v="0"/>
    <n v="0.225558332"/>
    <n v="0"/>
    <n v="0"/>
    <n v="36.887844309999998"/>
    <n v="0"/>
    <n v="0"/>
    <n v="0"/>
    <n v="0"/>
    <n v="0"/>
    <n v="0"/>
    <n v="0"/>
    <n v="0"/>
    <n v="1134"/>
    <n v="0"/>
    <n v="0"/>
    <n v="0"/>
    <x v="2"/>
    <n v="6.8745239755000007"/>
    <n v="0"/>
    <n v="6.8745239755000007"/>
    <x v="0"/>
  </r>
  <r>
    <x v="415"/>
    <x v="2"/>
    <n v="0"/>
    <n v="0"/>
    <n v="0"/>
    <n v="0"/>
    <n v="0"/>
    <n v="0"/>
    <n v="0"/>
    <n v="0"/>
    <n v="0"/>
    <n v="0"/>
    <n v="3.2068062820000001"/>
    <n v="0"/>
    <n v="0.21367778900000001"/>
    <n v="0"/>
    <n v="0"/>
    <n v="43.023899559999997"/>
    <n v="0"/>
    <n v="0"/>
    <n v="0"/>
    <n v="0"/>
    <n v="0"/>
    <n v="0"/>
    <n v="0"/>
    <n v="0"/>
    <n v="1133"/>
    <n v="0"/>
    <n v="0"/>
    <n v="0"/>
    <x v="2"/>
    <n v="7.1878598309999999"/>
    <n v="0"/>
    <n v="7.1878598309999999"/>
    <x v="0"/>
  </r>
  <r>
    <x v="416"/>
    <x v="2"/>
    <n v="0"/>
    <n v="0"/>
    <n v="0"/>
    <n v="0"/>
    <n v="0"/>
    <n v="0"/>
    <n v="0"/>
    <n v="0"/>
    <n v="0"/>
    <n v="0"/>
    <n v="3.6158613179999999"/>
    <n v="0"/>
    <n v="0.24735642599999999"/>
    <n v="0"/>
    <n v="0"/>
    <n v="36.772999570000003"/>
    <n v="0"/>
    <n v="0"/>
    <n v="0"/>
    <n v="0"/>
    <n v="0"/>
    <n v="0"/>
    <n v="0"/>
    <n v="0"/>
    <n v="1132"/>
    <n v="0"/>
    <n v="0"/>
    <n v="0"/>
    <x v="2"/>
    <n v="6.9693691720000004"/>
    <n v="0"/>
    <n v="6.9693691720000004"/>
    <x v="0"/>
  </r>
  <r>
    <x v="417"/>
    <x v="2"/>
    <n v="0"/>
    <n v="0"/>
    <n v="0"/>
    <n v="0"/>
    <n v="0"/>
    <n v="0"/>
    <n v="0"/>
    <n v="0"/>
    <n v="0"/>
    <n v="0"/>
    <n v="3.3420395919999999"/>
    <n v="0"/>
    <n v="0.26598889100000001"/>
    <n v="0"/>
    <n v="0"/>
    <n v="39.069071790000002"/>
    <n v="0"/>
    <n v="0"/>
    <n v="0"/>
    <n v="0"/>
    <n v="0"/>
    <n v="0"/>
    <n v="0"/>
    <n v="0"/>
    <n v="1131"/>
    <n v="0"/>
    <n v="0"/>
    <n v="0"/>
    <x v="2"/>
    <n v="7.1738603210000012"/>
    <n v="0"/>
    <n v="7.1738603210000012"/>
    <x v="0"/>
  </r>
  <r>
    <x v="418"/>
    <x v="2"/>
    <n v="0"/>
    <n v="0"/>
    <n v="0"/>
    <n v="0"/>
    <n v="0"/>
    <n v="0"/>
    <n v="0"/>
    <n v="0"/>
    <n v="0"/>
    <n v="0"/>
    <n v="3.3571958180000001"/>
    <n v="0"/>
    <n v="0.25653775099999998"/>
    <n v="0"/>
    <n v="0"/>
    <n v="39.462908419999998"/>
    <n v="0"/>
    <n v="0"/>
    <n v="0"/>
    <n v="0"/>
    <n v="0"/>
    <n v="0"/>
    <n v="0"/>
    <n v="0"/>
    <n v="1130"/>
    <n v="0"/>
    <n v="0"/>
    <n v="0"/>
    <x v="2"/>
    <n v="7.1641152569999997"/>
    <n v="0"/>
    <n v="7.1641152569999997"/>
    <x v="0"/>
  </r>
  <r>
    <x v="419"/>
    <x v="1"/>
    <n v="0"/>
    <n v="0"/>
    <n v="0"/>
    <n v="0"/>
    <n v="0"/>
    <n v="0"/>
    <n v="0"/>
    <n v="0"/>
    <n v="0"/>
    <n v="0"/>
    <n v="3.931045342"/>
    <n v="0"/>
    <n v="0.212440184"/>
    <n v="0"/>
    <n v="0"/>
    <n v="36.639448790000003"/>
    <n v="0"/>
    <n v="0"/>
    <n v="0"/>
    <n v="0"/>
    <n v="0"/>
    <n v="0"/>
    <n v="0"/>
    <n v="0"/>
    <n v="1129"/>
    <n v="0"/>
    <n v="0"/>
    <n v="0"/>
    <x v="2"/>
    <n v="6.9041086540000007"/>
    <n v="0"/>
    <n v="6.9041086540000007"/>
    <x v="0"/>
  </r>
  <r>
    <x v="420"/>
    <x v="1"/>
    <n v="0"/>
    <n v="0"/>
    <n v="0"/>
    <n v="0"/>
    <n v="0"/>
    <n v="0"/>
    <n v="0"/>
    <n v="0"/>
    <n v="0"/>
    <n v="0"/>
    <n v="3.4528609229999998"/>
    <n v="0"/>
    <n v="0.363143467"/>
    <n v="0"/>
    <n v="0"/>
    <n v="32.215802089999997"/>
    <n v="0"/>
    <n v="0"/>
    <n v="0"/>
    <n v="0"/>
    <n v="0"/>
    <n v="0"/>
    <n v="0"/>
    <n v="0"/>
    <n v="1128"/>
    <n v="0"/>
    <n v="0"/>
    <n v="0"/>
    <x v="2"/>
    <n v="7.1268714724999995"/>
    <n v="0"/>
    <n v="7.1268714724999995"/>
    <x v="0"/>
  </r>
  <r>
    <x v="421"/>
    <x v="2"/>
    <n v="0"/>
    <n v="0"/>
    <n v="0"/>
    <n v="0"/>
    <n v="0"/>
    <n v="0"/>
    <n v="0"/>
    <n v="0"/>
    <n v="0"/>
    <n v="0"/>
    <n v="11.64908556"/>
    <n v="0"/>
    <n v="0.690220524"/>
    <n v="0"/>
    <n v="0"/>
    <n v="111.2279557"/>
    <n v="0"/>
    <n v="0"/>
    <n v="0"/>
    <n v="7.8561359999999997E-2"/>
    <n v="0"/>
    <n v="0"/>
    <n v="13.026492709999999"/>
    <n v="0"/>
    <n v="1015"/>
    <n v="0"/>
    <n v="0"/>
    <n v="0"/>
    <x v="2"/>
    <n v="22.862678925000001"/>
    <n v="0"/>
    <n v="22.862678925000001"/>
    <x v="0"/>
  </r>
  <r>
    <x v="422"/>
    <x v="2"/>
    <n v="0"/>
    <n v="0"/>
    <n v="0"/>
    <n v="0"/>
    <n v="0"/>
    <n v="0"/>
    <n v="0"/>
    <n v="0"/>
    <n v="0"/>
    <n v="0"/>
    <n v="25.17501451"/>
    <n v="0"/>
    <n v="1.9703724949999999"/>
    <n v="0"/>
    <n v="0"/>
    <n v="293.67683820000002"/>
    <n v="0"/>
    <n v="0"/>
    <n v="0"/>
    <n v="0"/>
    <n v="0"/>
    <n v="0"/>
    <n v="0"/>
    <n v="0"/>
    <n v="422"/>
    <n v="0"/>
    <n v="0"/>
    <n v="0"/>
    <x v="2"/>
    <n v="53.777426045000006"/>
    <n v="0"/>
    <n v="53.777426045000006"/>
    <x v="0"/>
  </r>
  <r>
    <x v="423"/>
    <x v="0"/>
    <n v="0"/>
    <n v="1.7144125290000001"/>
    <n v="0"/>
    <n v="0"/>
    <n v="2.9259784390000001"/>
    <n v="0"/>
    <n v="0"/>
    <n v="482.89913309999997"/>
    <n v="0"/>
    <n v="0"/>
    <n v="0"/>
    <n v="0"/>
    <n v="0"/>
    <n v="0"/>
    <n v="0"/>
    <n v="0"/>
    <n v="0"/>
    <n v="0"/>
    <n v="0"/>
    <n v="0.45460310599999998"/>
    <n v="0"/>
    <n v="0"/>
    <n v="33.065014239999996"/>
    <n v="0"/>
    <n v="1013"/>
    <n v="0"/>
    <n v="0"/>
    <n v="0"/>
    <x v="2"/>
    <n v="33.625174082000001"/>
    <n v="0"/>
    <n v="33.625174082000001"/>
    <x v="0"/>
  </r>
  <r>
    <x v="424"/>
    <x v="2"/>
    <n v="0"/>
    <n v="0"/>
    <n v="0"/>
    <n v="0"/>
    <n v="0"/>
    <n v="0"/>
    <n v="0"/>
    <n v="0"/>
    <n v="0"/>
    <n v="0"/>
    <n v="34.886965189999998"/>
    <n v="0"/>
    <n v="1.926458915"/>
    <n v="0"/>
    <n v="0"/>
    <n v="448.15345580000002"/>
    <n v="0"/>
    <n v="0"/>
    <n v="0"/>
    <n v="0.29807751700000001"/>
    <n v="0"/>
    <n v="0"/>
    <n v="44.616483449999997"/>
    <n v="0"/>
    <n v="328"/>
    <n v="0"/>
    <n v="0"/>
    <n v="0"/>
    <x v="2"/>
    <n v="80.06769511200001"/>
    <n v="0"/>
    <n v="80.06769511200001"/>
    <x v="0"/>
  </r>
  <r>
    <x v="425"/>
    <x v="2"/>
    <n v="0"/>
    <n v="0"/>
    <n v="0"/>
    <n v="0"/>
    <n v="0"/>
    <n v="0"/>
    <n v="0"/>
    <n v="0"/>
    <n v="0"/>
    <n v="0"/>
    <n v="32.472590310000001"/>
    <n v="0"/>
    <n v="1.78750231"/>
    <n v="0"/>
    <n v="0"/>
    <n v="359.37077319999997"/>
    <n v="0"/>
    <n v="0"/>
    <n v="0"/>
    <n v="0.19983706900000001"/>
    <n v="0"/>
    <n v="0"/>
    <n v="29.908418279999999"/>
    <n v="0"/>
    <n v="358"/>
    <n v="0"/>
    <n v="0"/>
    <n v="0"/>
    <x v="2"/>
    <n v="67.088250576999997"/>
    <n v="0"/>
    <n v="67.088250576999997"/>
    <x v="0"/>
  </r>
  <r>
    <x v="426"/>
    <x v="3"/>
    <n v="0"/>
    <n v="0"/>
    <n v="0"/>
    <n v="0"/>
    <n v="0"/>
    <n v="0"/>
    <n v="0"/>
    <n v="0"/>
    <n v="0"/>
    <n v="0"/>
    <n v="9.2296061950000006"/>
    <n v="0"/>
    <n v="0.25922284499999998"/>
    <n v="0"/>
    <n v="0"/>
    <n v="59.595870130000002"/>
    <n v="0"/>
    <n v="0"/>
    <n v="0"/>
    <n v="1.384042539"/>
    <n v="0"/>
    <n v="0"/>
    <n v="181.8147491"/>
    <n v="0"/>
    <n v="357"/>
    <n v="0"/>
    <n v="0"/>
    <n v="0"/>
    <x v="2"/>
    <n v="38.615457324499999"/>
    <n v="0"/>
    <n v="38.615457324499999"/>
    <x v="0"/>
  </r>
  <r>
    <x v="427"/>
    <x v="3"/>
    <n v="0"/>
    <n v="0"/>
    <n v="0"/>
    <n v="0"/>
    <n v="0"/>
    <n v="0"/>
    <n v="0"/>
    <n v="0"/>
    <n v="0"/>
    <n v="0"/>
    <n v="8.8542926640000008"/>
    <n v="0"/>
    <n v="0.22657155700000001"/>
    <n v="0"/>
    <n v="0"/>
    <n v="62.460239729999998"/>
    <n v="0"/>
    <n v="0"/>
    <n v="0"/>
    <n v="1.2889097309999999"/>
    <n v="0"/>
    <n v="0"/>
    <n v="241.07442660000001"/>
    <n v="0"/>
    <n v="356"/>
    <n v="0"/>
    <n v="0"/>
    <n v="0"/>
    <x v="2"/>
    <n v="43.873500693000004"/>
    <n v="0"/>
    <n v="43.873500693000004"/>
    <x v="0"/>
  </r>
  <r>
    <x v="428"/>
    <x v="3"/>
    <n v="0"/>
    <n v="0"/>
    <n v="0"/>
    <n v="0"/>
    <n v="0"/>
    <n v="0"/>
    <n v="0"/>
    <n v="0"/>
    <n v="0"/>
    <n v="0"/>
    <n v="9.2742555489999994"/>
    <n v="0"/>
    <n v="0.27724347599999999"/>
    <n v="0"/>
    <n v="0"/>
    <n v="65.482250030000003"/>
    <n v="0"/>
    <n v="0"/>
    <n v="0"/>
    <n v="1.520709541"/>
    <n v="0"/>
    <n v="0"/>
    <n v="222.99968519999999"/>
    <n v="0"/>
    <n v="354"/>
    <n v="0"/>
    <n v="0"/>
    <n v="0"/>
    <x v="2"/>
    <n v="44.2730393995"/>
    <n v="0"/>
    <n v="44.2730393995"/>
    <x v="0"/>
  </r>
  <r>
    <x v="429"/>
    <x v="3"/>
    <n v="0"/>
    <n v="0"/>
    <n v="0"/>
    <n v="0"/>
    <n v="0"/>
    <n v="0"/>
    <n v="0"/>
    <n v="0"/>
    <n v="0"/>
    <n v="0"/>
    <n v="10.043080290000001"/>
    <n v="0"/>
    <n v="0.2539517"/>
    <n v="0"/>
    <n v="0"/>
    <n v="68.280870039999996"/>
    <n v="0"/>
    <n v="0"/>
    <n v="0"/>
    <n v="1.4894201819999999"/>
    <n v="0"/>
    <n v="0"/>
    <n v="243.6287872"/>
    <n v="0"/>
    <n v="353"/>
    <n v="0"/>
    <n v="0"/>
    <n v="0"/>
    <x v="2"/>
    <n v="46.672737161000001"/>
    <n v="0"/>
    <n v="46.672737161000001"/>
    <x v="0"/>
  </r>
  <r>
    <x v="430"/>
    <x v="3"/>
    <n v="0"/>
    <n v="0"/>
    <n v="0"/>
    <n v="0"/>
    <n v="0"/>
    <n v="0"/>
    <n v="0"/>
    <n v="0"/>
    <n v="0"/>
    <n v="0"/>
    <n v="16.243350370000002"/>
    <n v="0"/>
    <n v="0.42730056399999999"/>
    <n v="0"/>
    <n v="0"/>
    <n v="106.5768127"/>
    <n v="0"/>
    <n v="0"/>
    <n v="0"/>
    <n v="1.0194445910000001"/>
    <n v="0"/>
    <n v="0"/>
    <n v="188.63608110000001"/>
    <n v="0"/>
    <n v="352"/>
    <n v="0"/>
    <n v="0"/>
    <n v="0"/>
    <x v="2"/>
    <n v="46.323435495000005"/>
    <n v="0"/>
    <n v="46.323435495000005"/>
    <x v="0"/>
  </r>
  <r>
    <x v="431"/>
    <x v="3"/>
    <n v="0"/>
    <n v="0"/>
    <n v="0"/>
    <n v="0"/>
    <n v="0"/>
    <n v="0"/>
    <n v="0"/>
    <n v="0"/>
    <n v="0"/>
    <n v="0"/>
    <n v="18.33479999"/>
    <n v="0"/>
    <n v="0.74715997099999998"/>
    <n v="0"/>
    <n v="0"/>
    <n v="132.94706690000001"/>
    <n v="0"/>
    <n v="0"/>
    <n v="0"/>
    <n v="0.79885148100000003"/>
    <n v="0"/>
    <n v="0"/>
    <n v="103.6298644"/>
    <n v="0"/>
    <n v="351"/>
    <n v="0"/>
    <n v="0"/>
    <n v="0"/>
    <x v="2"/>
    <n v="42.101161836999999"/>
    <n v="0"/>
    <n v="42.101161836999999"/>
    <x v="0"/>
  </r>
  <r>
    <x v="432"/>
    <x v="3"/>
    <n v="0"/>
    <n v="0"/>
    <n v="0"/>
    <n v="0"/>
    <n v="0"/>
    <n v="0"/>
    <n v="0"/>
    <n v="0"/>
    <n v="0"/>
    <n v="0"/>
    <n v="13.32492592"/>
    <n v="0"/>
    <n v="0.455166711"/>
    <n v="0"/>
    <n v="0"/>
    <n v="89.00162693"/>
    <n v="0"/>
    <n v="0"/>
    <n v="0"/>
    <n v="1.584406559"/>
    <n v="0"/>
    <n v="0"/>
    <n v="225.3067854"/>
    <n v="0"/>
    <n v="347"/>
    <n v="0"/>
    <n v="0"/>
    <n v="0"/>
    <x v="2"/>
    <n v="50.330743812999998"/>
    <n v="0"/>
    <n v="50.330743812999998"/>
    <x v="0"/>
  </r>
  <r>
    <x v="433"/>
    <x v="3"/>
    <n v="0"/>
    <n v="0"/>
    <n v="0"/>
    <n v="0"/>
    <n v="0"/>
    <n v="0"/>
    <n v="0"/>
    <n v="0"/>
    <n v="0"/>
    <n v="0"/>
    <n v="18.283713850000002"/>
    <n v="0"/>
    <n v="0.40703155099999999"/>
    <n v="0"/>
    <n v="0"/>
    <n v="130.60015079999999"/>
    <n v="0"/>
    <n v="0"/>
    <n v="0"/>
    <n v="1.0619976259999999"/>
    <n v="0"/>
    <n v="0"/>
    <n v="182.95603550000001"/>
    <n v="0"/>
    <n v="345"/>
    <n v="0"/>
    <n v="0"/>
    <n v="0"/>
    <x v="2"/>
    <n v="49.311650617000005"/>
    <n v="0"/>
    <n v="49.311650617000005"/>
    <x v="0"/>
  </r>
  <r>
    <x v="434"/>
    <x v="3"/>
    <n v="0"/>
    <n v="0"/>
    <n v="0"/>
    <n v="0"/>
    <n v="0"/>
    <n v="0"/>
    <n v="0"/>
    <n v="0"/>
    <n v="0"/>
    <n v="0"/>
    <n v="10.368411610000001"/>
    <n v="0"/>
    <n v="0.39797849699999999"/>
    <n v="0"/>
    <n v="0"/>
    <n v="70.775575000000003"/>
    <n v="0"/>
    <n v="0"/>
    <n v="0"/>
    <n v="0.81905063899999997"/>
    <n v="0"/>
    <n v="0"/>
    <n v="192.59649949999999"/>
    <n v="0"/>
    <n v="344"/>
    <n v="0"/>
    <n v="0"/>
    <n v="0"/>
    <x v="2"/>
    <n v="38.823588071000003"/>
    <n v="0"/>
    <n v="38.823588071000003"/>
    <x v="0"/>
  </r>
  <r>
    <x v="435"/>
    <x v="3"/>
    <n v="0"/>
    <n v="0"/>
    <n v="0"/>
    <n v="0"/>
    <n v="0"/>
    <n v="0"/>
    <n v="0"/>
    <n v="0"/>
    <n v="0"/>
    <n v="0"/>
    <n v="15.18636025"/>
    <n v="0"/>
    <n v="0.48981656699999998"/>
    <n v="0"/>
    <n v="0"/>
    <n v="145.50327680000001"/>
    <n v="0"/>
    <n v="0"/>
    <n v="0"/>
    <n v="1.3947690239999999"/>
    <n v="0"/>
    <n v="0"/>
    <n v="192.2899482"/>
    <n v="0"/>
    <n v="342"/>
    <n v="0"/>
    <n v="0"/>
    <n v="0"/>
    <x v="2"/>
    <n v="52.680016171000005"/>
    <n v="0"/>
    <n v="52.680016171000005"/>
    <x v="0"/>
  </r>
  <r>
    <x v="436"/>
    <x v="2"/>
    <n v="0"/>
    <n v="0"/>
    <n v="0"/>
    <n v="0"/>
    <n v="0"/>
    <n v="0"/>
    <n v="0"/>
    <n v="0"/>
    <n v="0"/>
    <n v="0"/>
    <n v="31.158842669999999"/>
    <n v="0"/>
    <n v="2.7324158010000001"/>
    <n v="0"/>
    <n v="0"/>
    <n v="371.9202535"/>
    <n v="0"/>
    <n v="0"/>
    <n v="0"/>
    <n v="0"/>
    <n v="0"/>
    <n v="0"/>
    <n v="0"/>
    <n v="0"/>
    <n v="334"/>
    <n v="0"/>
    <n v="0"/>
    <n v="0"/>
    <x v="2"/>
    <n v="69.165941490999998"/>
    <n v="0"/>
    <n v="69.165941490999998"/>
    <x v="0"/>
  </r>
  <r>
    <x v="437"/>
    <x v="2"/>
    <n v="0"/>
    <n v="0"/>
    <n v="0"/>
    <n v="0"/>
    <n v="0"/>
    <n v="0"/>
    <n v="0"/>
    <n v="0"/>
    <n v="0"/>
    <n v="0"/>
    <n v="34.597083529999999"/>
    <n v="0"/>
    <n v="2.57356491"/>
    <n v="0"/>
    <n v="0"/>
    <n v="439.3685274"/>
    <n v="0"/>
    <n v="0"/>
    <n v="0"/>
    <n v="0.170164493"/>
    <n v="0"/>
    <n v="0"/>
    <n v="24.435112329999999"/>
    <n v="0"/>
    <n v="332"/>
    <n v="0"/>
    <n v="0"/>
    <n v="0"/>
    <x v="2"/>
    <n v="80.141282155999988"/>
    <n v="0"/>
    <n v="80.141282155999988"/>
    <x v="0"/>
  </r>
  <r>
    <x v="438"/>
    <x v="2"/>
    <n v="0"/>
    <n v="0"/>
    <n v="0"/>
    <n v="0"/>
    <n v="0"/>
    <n v="0"/>
    <n v="0"/>
    <n v="0"/>
    <n v="0"/>
    <n v="0"/>
    <n v="31.303835599999999"/>
    <n v="0"/>
    <n v="2.7137631880000002"/>
    <n v="0"/>
    <n v="0"/>
    <n v="353.53598799999997"/>
    <n v="0"/>
    <n v="0"/>
    <n v="0"/>
    <n v="0"/>
    <n v="0"/>
    <n v="0"/>
    <n v="0"/>
    <n v="0"/>
    <n v="359"/>
    <n v="0"/>
    <n v="0"/>
    <n v="0"/>
    <x v="2"/>
    <n v="67.288095728000002"/>
    <n v="0"/>
    <n v="67.288095728000002"/>
    <x v="0"/>
  </r>
  <r>
    <x v="439"/>
    <x v="1"/>
    <n v="0"/>
    <n v="0"/>
    <n v="0"/>
    <n v="0"/>
    <n v="0"/>
    <n v="0"/>
    <n v="0"/>
    <n v="0"/>
    <n v="0"/>
    <n v="0"/>
    <n v="33.775942819999997"/>
    <n v="0"/>
    <n v="2.994013587"/>
    <n v="0"/>
    <n v="0"/>
    <n v="381.81679550000001"/>
    <n v="0"/>
    <n v="0"/>
    <n v="0"/>
    <n v="0"/>
    <n v="0"/>
    <n v="0"/>
    <n v="0"/>
    <n v="0"/>
    <n v="366"/>
    <n v="0"/>
    <n v="0"/>
    <n v="0"/>
    <x v="2"/>
    <n v="73.033732482000005"/>
    <n v="0"/>
    <n v="73.033732482000005"/>
    <x v="0"/>
  </r>
  <r>
    <x v="440"/>
    <x v="1"/>
    <n v="0"/>
    <n v="0"/>
    <n v="0"/>
    <n v="0"/>
    <n v="0"/>
    <n v="0"/>
    <n v="0"/>
    <n v="0"/>
    <n v="0"/>
    <n v="0"/>
    <n v="31.338340580000001"/>
    <n v="0"/>
    <n v="2.4311232949999999"/>
    <n v="0"/>
    <n v="0"/>
    <n v="366.7572333"/>
    <n v="0"/>
    <n v="0"/>
    <n v="0"/>
    <n v="6.205128E-2"/>
    <n v="0"/>
    <n v="0"/>
    <n v="2.1103387730000001"/>
    <n v="0"/>
    <n v="367"/>
    <n v="0"/>
    <n v="0"/>
    <n v="0"/>
    <x v="2"/>
    <n v="67.514974947300004"/>
    <n v="0"/>
    <n v="67.514974947300004"/>
    <x v="0"/>
  </r>
  <r>
    <x v="441"/>
    <x v="3"/>
    <n v="0"/>
    <n v="0"/>
    <n v="0"/>
    <n v="0"/>
    <n v="0"/>
    <n v="0"/>
    <n v="0"/>
    <n v="0"/>
    <n v="0"/>
    <n v="0"/>
    <n v="13.05345129"/>
    <n v="0"/>
    <n v="0.41411277299999999"/>
    <n v="0"/>
    <n v="0"/>
    <n v="94.332731620000004"/>
    <n v="0"/>
    <n v="0"/>
    <n v="0"/>
    <n v="0.60229135600000006"/>
    <n v="0"/>
    <n v="0"/>
    <n v="102.32724380000001"/>
    <n v="0"/>
    <n v="398"/>
    <n v="0"/>
    <n v="0"/>
    <n v="0"/>
    <x v="2"/>
    <n v="32.291147961000007"/>
    <n v="0"/>
    <n v="32.291147961000007"/>
    <x v="0"/>
  </r>
  <r>
    <x v="442"/>
    <x v="3"/>
    <n v="0"/>
    <n v="0"/>
    <n v="0"/>
    <n v="0"/>
    <n v="0"/>
    <n v="0"/>
    <n v="0"/>
    <n v="0"/>
    <n v="0"/>
    <n v="0"/>
    <n v="11.96978023"/>
    <n v="0"/>
    <n v="0.39306808999999998"/>
    <n v="0"/>
    <n v="0"/>
    <n v="83.514039429999997"/>
    <n v="0"/>
    <n v="0"/>
    <n v="0"/>
    <n v="0.74837217599999994"/>
    <n v="0"/>
    <n v="0"/>
    <n v="117.664575"/>
    <n v="0"/>
    <n v="397"/>
    <n v="0"/>
    <n v="0"/>
    <n v="0"/>
    <x v="2"/>
    <n v="32.951393154000002"/>
    <n v="0"/>
    <n v="32.951393154000002"/>
    <x v="0"/>
  </r>
  <r>
    <x v="443"/>
    <x v="2"/>
    <n v="0"/>
    <n v="0"/>
    <n v="0"/>
    <n v="0"/>
    <n v="0"/>
    <n v="0"/>
    <n v="0"/>
    <n v="0"/>
    <n v="0"/>
    <n v="0"/>
    <n v="21.527819950000001"/>
    <n v="0"/>
    <n v="2.1796413760000002"/>
    <n v="0"/>
    <n v="0"/>
    <n v="265.76381190000001"/>
    <n v="0"/>
    <n v="0"/>
    <n v="0"/>
    <n v="0.31575214400000001"/>
    <n v="0"/>
    <n v="0"/>
    <n v="28.45766987"/>
    <n v="0"/>
    <n v="396"/>
    <n v="0"/>
    <n v="0"/>
    <n v="0"/>
    <x v="2"/>
    <n v="55.158419272000003"/>
    <n v="0"/>
    <n v="55.158419272000003"/>
    <x v="0"/>
  </r>
  <r>
    <x v="444"/>
    <x v="2"/>
    <n v="0"/>
    <n v="0"/>
    <n v="0"/>
    <n v="0"/>
    <n v="0"/>
    <n v="0"/>
    <n v="0"/>
    <n v="0"/>
    <n v="0"/>
    <n v="0"/>
    <n v="25.19321193"/>
    <n v="0"/>
    <n v="1.7266835110000001"/>
    <n v="0"/>
    <n v="0"/>
    <n v="323.93746970000001"/>
    <n v="0"/>
    <n v="0"/>
    <n v="0"/>
    <n v="0.17363031400000001"/>
    <n v="0"/>
    <n v="0"/>
    <n v="21.984647710000001"/>
    <n v="0"/>
    <n v="394"/>
    <n v="0"/>
    <n v="0"/>
    <n v="0"/>
    <x v="2"/>
    <n v="58.590700656000003"/>
    <n v="0"/>
    <n v="58.590700656000003"/>
    <x v="0"/>
  </r>
  <r>
    <x v="445"/>
    <x v="2"/>
    <n v="0"/>
    <n v="0"/>
    <n v="0"/>
    <n v="0"/>
    <n v="0"/>
    <n v="0"/>
    <n v="0"/>
    <n v="0"/>
    <n v="0"/>
    <n v="0"/>
    <n v="25.681715520000001"/>
    <n v="0"/>
    <n v="2.2601755529999998"/>
    <n v="0"/>
    <n v="0"/>
    <n v="325.24151430000001"/>
    <n v="0"/>
    <n v="0"/>
    <n v="0"/>
    <n v="0"/>
    <n v="0"/>
    <n v="0"/>
    <n v="0"/>
    <n v="0"/>
    <n v="393"/>
    <n v="0"/>
    <n v="0"/>
    <n v="0"/>
    <x v="2"/>
    <n v="58.926062508000001"/>
    <n v="0"/>
    <n v="58.926062508000001"/>
    <x v="0"/>
  </r>
  <r>
    <x v="446"/>
    <x v="2"/>
    <n v="0"/>
    <n v="0"/>
    <n v="0"/>
    <n v="0"/>
    <n v="0"/>
    <n v="0"/>
    <n v="0"/>
    <n v="0"/>
    <n v="0"/>
    <n v="0"/>
    <n v="27.931296629999999"/>
    <n v="0"/>
    <n v="1.558652878"/>
    <n v="0"/>
    <n v="0"/>
    <n v="363.92408180000001"/>
    <n v="0"/>
    <n v="0"/>
    <n v="0"/>
    <n v="0"/>
    <n v="0"/>
    <n v="0"/>
    <n v="0"/>
    <n v="0"/>
    <n v="392"/>
    <n v="0"/>
    <n v="0"/>
    <n v="0"/>
    <x v="2"/>
    <n v="59.709973763000001"/>
    <n v="0"/>
    <n v="59.709973763000001"/>
    <x v="0"/>
  </r>
  <r>
    <x v="447"/>
    <x v="2"/>
    <n v="0"/>
    <n v="0"/>
    <n v="0"/>
    <n v="0"/>
    <n v="0"/>
    <n v="0"/>
    <n v="0"/>
    <n v="0"/>
    <n v="0"/>
    <n v="0"/>
    <n v="28.573008229999999"/>
    <n v="0"/>
    <n v="2.1883879199999998"/>
    <n v="0"/>
    <n v="0"/>
    <n v="373.93190320000002"/>
    <n v="0"/>
    <n v="0"/>
    <n v="0"/>
    <n v="0"/>
    <n v="0"/>
    <n v="0"/>
    <n v="0"/>
    <n v="0"/>
    <n v="391"/>
    <n v="0"/>
    <n v="0"/>
    <n v="0"/>
    <x v="2"/>
    <n v="64.810021954999996"/>
    <n v="0"/>
    <n v="64.810021954999996"/>
    <x v="0"/>
  </r>
  <r>
    <x v="448"/>
    <x v="1"/>
    <n v="0"/>
    <n v="0"/>
    <n v="0"/>
    <n v="0"/>
    <n v="0"/>
    <n v="0"/>
    <n v="0"/>
    <n v="0"/>
    <n v="0"/>
    <n v="0"/>
    <n v="29.047673939999999"/>
    <n v="0"/>
    <n v="3.437789848"/>
    <n v="0"/>
    <n v="0"/>
    <n v="326.60816019999999"/>
    <n v="0"/>
    <n v="0"/>
    <n v="0"/>
    <n v="0"/>
    <n v="0"/>
    <n v="0"/>
    <n v="0"/>
    <n v="0"/>
    <n v="369"/>
    <n v="0"/>
    <n v="0"/>
    <n v="0"/>
    <x v="2"/>
    <n v="67.811392077999997"/>
    <n v="0"/>
    <n v="67.811392077999997"/>
    <x v="0"/>
  </r>
  <r>
    <x v="449"/>
    <x v="3"/>
    <n v="0"/>
    <n v="0"/>
    <n v="0"/>
    <n v="0"/>
    <n v="0"/>
    <n v="0"/>
    <n v="0"/>
    <n v="0"/>
    <n v="0"/>
    <n v="0"/>
    <n v="8.0921890259999998"/>
    <n v="0"/>
    <n v="0.30185231800000001"/>
    <n v="0"/>
    <n v="0"/>
    <n v="56.518335610000001"/>
    <n v="0"/>
    <n v="0"/>
    <n v="0"/>
    <n v="1.4508145210000001"/>
    <n v="0"/>
    <n v="0"/>
    <n v="200.48655020000001"/>
    <n v="0"/>
    <n v="377"/>
    <n v="0"/>
    <n v="0"/>
    <n v="0"/>
    <x v="2"/>
    <n v="40.262584128"/>
    <n v="0"/>
    <n v="40.262584128"/>
    <x v="0"/>
  </r>
  <r>
    <x v="450"/>
    <x v="2"/>
    <n v="0"/>
    <n v="0"/>
    <n v="0"/>
    <n v="0"/>
    <n v="0"/>
    <n v="0"/>
    <n v="0"/>
    <n v="0"/>
    <n v="0"/>
    <n v="0"/>
    <n v="27.604971190000001"/>
    <n v="0"/>
    <n v="1.992841912"/>
    <n v="0"/>
    <n v="0"/>
    <n v="402.5415994"/>
    <n v="0"/>
    <n v="0"/>
    <n v="0"/>
    <n v="0"/>
    <n v="0"/>
    <n v="0"/>
    <n v="0"/>
    <n v="0"/>
    <n v="373"/>
    <n v="0"/>
    <n v="0"/>
    <n v="0"/>
    <x v="2"/>
    <n v="66.013697007000005"/>
    <n v="0"/>
    <n v="66.013697007000005"/>
    <x v="0"/>
  </r>
  <r>
    <x v="451"/>
    <x v="2"/>
    <n v="0"/>
    <n v="0"/>
    <n v="0"/>
    <n v="0"/>
    <n v="0"/>
    <n v="0"/>
    <n v="0"/>
    <n v="0"/>
    <n v="0"/>
    <n v="0"/>
    <n v="27.092407470000001"/>
    <n v="0"/>
    <n v="1.844353701"/>
    <n v="0"/>
    <n v="0"/>
    <n v="409.16114490000001"/>
    <n v="0"/>
    <n v="0"/>
    <n v="0"/>
    <n v="0"/>
    <n v="0"/>
    <n v="0"/>
    <n v="0"/>
    <n v="0"/>
    <n v="372"/>
    <n v="0"/>
    <n v="0"/>
    <n v="0"/>
    <x v="2"/>
    <n v="65.528440431000007"/>
    <n v="0"/>
    <n v="65.528440431000007"/>
    <x v="0"/>
  </r>
  <r>
    <x v="452"/>
    <x v="2"/>
    <n v="0"/>
    <n v="0"/>
    <n v="0"/>
    <n v="0"/>
    <n v="0"/>
    <n v="0"/>
    <n v="0"/>
    <n v="0"/>
    <n v="0"/>
    <n v="0"/>
    <n v="31.943210300000001"/>
    <n v="0"/>
    <n v="2.0342137660000001"/>
    <n v="0"/>
    <n v="0"/>
    <n v="327.11057010000002"/>
    <n v="0"/>
    <n v="0"/>
    <n v="0"/>
    <n v="0.24582611300000001"/>
    <n v="0"/>
    <n v="0"/>
    <n v="32.06421418"/>
    <n v="0"/>
    <n v="370"/>
    <n v="0"/>
    <n v="0"/>
    <n v="0"/>
    <x v="2"/>
    <n v="65.569322851999999"/>
    <n v="0"/>
    <n v="65.569322851999999"/>
    <x v="0"/>
  </r>
  <r>
    <x v="453"/>
    <x v="2"/>
    <n v="0"/>
    <n v="0"/>
    <n v="0"/>
    <n v="0"/>
    <n v="0"/>
    <n v="0"/>
    <n v="0"/>
    <n v="0"/>
    <n v="0"/>
    <n v="0"/>
    <n v="28.388749700000002"/>
    <n v="0"/>
    <n v="1.9594750869999999"/>
    <n v="0"/>
    <n v="0"/>
    <n v="330.20043029999999"/>
    <n v="0"/>
    <n v="0"/>
    <n v="0"/>
    <n v="0"/>
    <n v="0"/>
    <n v="0"/>
    <n v="0"/>
    <n v="0"/>
    <n v="327"/>
    <n v="0"/>
    <n v="0"/>
    <n v="0"/>
    <x v="2"/>
    <n v="58.971268402000007"/>
    <n v="0"/>
    <n v="58.971268402000007"/>
    <x v="0"/>
  </r>
  <r>
    <x v="454"/>
    <x v="1"/>
    <n v="0"/>
    <n v="0"/>
    <n v="0"/>
    <n v="0"/>
    <n v="0"/>
    <n v="0"/>
    <n v="0"/>
    <n v="0"/>
    <n v="0"/>
    <n v="0"/>
    <n v="14.655730569999999"/>
    <n v="0"/>
    <n v="0.64731815599999998"/>
    <n v="0"/>
    <n v="0"/>
    <n v="147.3088678"/>
    <n v="0"/>
    <n v="0"/>
    <n v="0"/>
    <n v="0"/>
    <n v="0"/>
    <n v="0"/>
    <n v="0"/>
    <n v="0"/>
    <n v="1012"/>
    <n v="0"/>
    <n v="0"/>
    <n v="0"/>
    <x v="2"/>
    <n v="25.942661000999998"/>
    <n v="0"/>
    <n v="25.942661000999998"/>
    <x v="0"/>
  </r>
  <r>
    <x v="455"/>
    <x v="3"/>
    <n v="0"/>
    <n v="0"/>
    <n v="0"/>
    <n v="0"/>
    <n v="0"/>
    <n v="0"/>
    <n v="0"/>
    <n v="0"/>
    <n v="0"/>
    <n v="0"/>
    <n v="6.8631169859999996"/>
    <n v="0"/>
    <n v="0.23215751200000001"/>
    <n v="0"/>
    <n v="0"/>
    <n v="49.532037989999999"/>
    <n v="0"/>
    <n v="0"/>
    <n v="0"/>
    <n v="2.6643509399999998"/>
    <n v="0"/>
    <n v="0"/>
    <n v="334.76025270000002"/>
    <n v="0"/>
    <n v="326"/>
    <n v="0"/>
    <n v="0"/>
    <n v="0"/>
    <x v="2"/>
    <n v="59.239838274"/>
    <n v="0"/>
    <n v="59.239838274"/>
    <x v="0"/>
  </r>
  <r>
    <x v="456"/>
    <x v="2"/>
    <n v="0"/>
    <n v="0"/>
    <n v="0"/>
    <n v="0"/>
    <n v="0"/>
    <n v="0"/>
    <n v="0"/>
    <n v="0"/>
    <n v="0"/>
    <n v="0"/>
    <n v="41.727378620000003"/>
    <n v="0"/>
    <n v="4.9792656019999999"/>
    <n v="0"/>
    <n v="0"/>
    <n v="618.4817984"/>
    <n v="0"/>
    <n v="0"/>
    <n v="0"/>
    <n v="0"/>
    <n v="0"/>
    <n v="0"/>
    <n v="0"/>
    <n v="0"/>
    <n v="285"/>
    <n v="0"/>
    <n v="0"/>
    <n v="0"/>
    <x v="2"/>
    <n v="112.587462762"/>
    <n v="0"/>
    <n v="112.587462762"/>
    <x v="0"/>
  </r>
  <r>
    <x v="457"/>
    <x v="2"/>
    <n v="0"/>
    <n v="0"/>
    <n v="0"/>
    <n v="0"/>
    <n v="0"/>
    <n v="0"/>
    <n v="0"/>
    <n v="0"/>
    <n v="0"/>
    <n v="0"/>
    <n v="62.350246210000002"/>
    <n v="0"/>
    <n v="1.26128668"/>
    <n v="0"/>
    <n v="0"/>
    <n v="573.70313309999995"/>
    <n v="0"/>
    <n v="0"/>
    <n v="0"/>
    <n v="0.38891078899999998"/>
    <n v="0"/>
    <n v="0"/>
    <n v="51.133908529999999"/>
    <n v="0"/>
    <n v="284"/>
    <n v="0"/>
    <n v="0"/>
    <n v="0"/>
    <x v="2"/>
    <n v="103.560012082"/>
    <n v="0"/>
    <n v="103.560012082"/>
    <x v="0"/>
  </r>
  <r>
    <x v="458"/>
    <x v="3"/>
    <n v="0"/>
    <n v="0"/>
    <n v="0"/>
    <n v="0"/>
    <n v="0"/>
    <n v="0"/>
    <n v="0"/>
    <n v="0"/>
    <n v="0"/>
    <n v="0"/>
    <n v="23.159123269999998"/>
    <n v="0"/>
    <n v="0.87649050799999995"/>
    <n v="0"/>
    <n v="0"/>
    <n v="177.4264498"/>
    <n v="0"/>
    <n v="0"/>
    <n v="0"/>
    <n v="3.04464121"/>
    <n v="0"/>
    <n v="0"/>
    <n v="442.86070580000001"/>
    <n v="0"/>
    <n v="269"/>
    <n v="0"/>
    <n v="0"/>
    <n v="0"/>
    <x v="2"/>
    <n v="97.135067503000002"/>
    <n v="0"/>
    <n v="97.135067503000002"/>
    <x v="0"/>
  </r>
  <r>
    <x v="459"/>
    <x v="2"/>
    <n v="0"/>
    <n v="0"/>
    <n v="0"/>
    <n v="0"/>
    <n v="0"/>
    <n v="0"/>
    <n v="0"/>
    <n v="0"/>
    <n v="0"/>
    <n v="0"/>
    <n v="49.586299689999997"/>
    <n v="0"/>
    <n v="3.0649007319999999"/>
    <n v="0"/>
    <n v="0"/>
    <n v="576.98363619999998"/>
    <n v="0"/>
    <n v="0"/>
    <n v="0"/>
    <n v="5.4817460999999998E-2"/>
    <n v="0"/>
    <n v="0"/>
    <n v="13.054166520000001"/>
    <n v="0"/>
    <n v="262"/>
    <n v="0"/>
    <n v="0"/>
    <n v="0"/>
    <x v="2"/>
    <n v="102.515239275"/>
    <n v="0"/>
    <n v="102.515239275"/>
    <x v="0"/>
  </r>
  <r>
    <x v="460"/>
    <x v="1"/>
    <n v="0"/>
    <n v="0"/>
    <n v="0"/>
    <n v="0"/>
    <n v="0"/>
    <n v="0"/>
    <n v="0"/>
    <n v="0"/>
    <n v="0"/>
    <n v="0"/>
    <n v="45.374470590000001"/>
    <n v="0"/>
    <n v="3.8898674089999998"/>
    <n v="0"/>
    <n v="0"/>
    <n v="510.8676044"/>
    <n v="0"/>
    <n v="0"/>
    <n v="0"/>
    <n v="0"/>
    <n v="0"/>
    <n v="0"/>
    <n v="0"/>
    <n v="0"/>
    <n v="260"/>
    <n v="0"/>
    <n v="0"/>
    <n v="0"/>
    <x v="2"/>
    <n v="97.113200188999997"/>
    <n v="0"/>
    <n v="97.113200188999997"/>
    <x v="0"/>
  </r>
  <r>
    <x v="461"/>
    <x v="1"/>
    <n v="0"/>
    <n v="0"/>
    <n v="0"/>
    <n v="0"/>
    <n v="0"/>
    <n v="0"/>
    <n v="0"/>
    <n v="0"/>
    <n v="0"/>
    <n v="0"/>
    <n v="44.874916910000003"/>
    <n v="0"/>
    <n v="3.7236820490000002"/>
    <n v="0"/>
    <n v="0"/>
    <n v="437.57780480000002"/>
    <n v="0"/>
    <n v="0"/>
    <n v="0"/>
    <n v="0"/>
    <n v="0"/>
    <n v="0"/>
    <n v="0"/>
    <n v="0"/>
    <n v="221"/>
    <n v="0"/>
    <n v="0"/>
    <n v="0"/>
    <x v="2"/>
    <n v="88.537331229000017"/>
    <n v="0"/>
    <n v="88.537331229000017"/>
    <x v="0"/>
  </r>
  <r>
    <x v="462"/>
    <x v="1"/>
    <n v="0"/>
    <n v="0"/>
    <n v="0"/>
    <n v="0"/>
    <n v="0"/>
    <n v="0"/>
    <n v="0"/>
    <n v="0"/>
    <n v="0"/>
    <n v="0"/>
    <n v="49.714795719999998"/>
    <n v="0"/>
    <n v="2.4914566960000002"/>
    <n v="0"/>
    <n v="0"/>
    <n v="538.92344490000005"/>
    <n v="0"/>
    <n v="0"/>
    <n v="0"/>
    <n v="0"/>
    <n v="0"/>
    <n v="0"/>
    <n v="0.61622136199999999"/>
    <n v="0"/>
    <n v="220"/>
    <n v="0"/>
    <n v="0"/>
    <n v="0"/>
    <x v="2"/>
    <n v="93.760104662200007"/>
    <n v="0"/>
    <n v="93.760104662200007"/>
    <x v="0"/>
  </r>
  <r>
    <x v="463"/>
    <x v="2"/>
    <n v="0"/>
    <n v="0"/>
    <n v="0"/>
    <n v="0"/>
    <n v="0"/>
    <n v="0"/>
    <n v="0"/>
    <n v="0"/>
    <n v="0"/>
    <n v="0"/>
    <n v="57.722625260000001"/>
    <n v="0"/>
    <n v="4.3822117289999998"/>
    <n v="0"/>
    <n v="0"/>
    <n v="697.50103960000001"/>
    <n v="0"/>
    <n v="0"/>
    <n v="0"/>
    <n v="0"/>
    <n v="0"/>
    <n v="0"/>
    <n v="0"/>
    <n v="0"/>
    <n v="211"/>
    <n v="0"/>
    <n v="0"/>
    <n v="0"/>
    <x v="2"/>
    <n v="124.90468696400001"/>
    <n v="0"/>
    <n v="124.90468696400001"/>
    <x v="0"/>
  </r>
  <r>
    <x v="464"/>
    <x v="2"/>
    <n v="0"/>
    <n v="0"/>
    <n v="0"/>
    <n v="0"/>
    <n v="0"/>
    <n v="0"/>
    <n v="0"/>
    <n v="0"/>
    <n v="0"/>
    <n v="0"/>
    <n v="44.281361859999997"/>
    <n v="0"/>
    <n v="2.3171386680000001"/>
    <n v="0"/>
    <n v="0"/>
    <n v="571.61131169999999"/>
    <n v="0"/>
    <n v="0"/>
    <n v="0"/>
    <n v="0.45989515600000003"/>
    <n v="0"/>
    <n v="0"/>
    <n v="77.261938279999995"/>
    <n v="0"/>
    <n v="210"/>
    <n v="0"/>
    <n v="0"/>
    <n v="0"/>
    <x v="2"/>
    <n v="103.690208872"/>
    <n v="0"/>
    <n v="103.690208872"/>
    <x v="0"/>
  </r>
  <r>
    <x v="465"/>
    <x v="2"/>
    <n v="0"/>
    <n v="0"/>
    <n v="0"/>
    <n v="0"/>
    <n v="0"/>
    <n v="0"/>
    <n v="0"/>
    <n v="0"/>
    <n v="0"/>
    <n v="0"/>
    <n v="45.690392989999999"/>
    <n v="0"/>
    <n v="2.6132302219999999"/>
    <n v="0"/>
    <n v="0"/>
    <n v="603.05713300000002"/>
    <n v="0"/>
    <n v="0"/>
    <n v="0"/>
    <n v="0"/>
    <n v="0"/>
    <n v="0"/>
    <n v="0"/>
    <n v="0"/>
    <n v="294"/>
    <n v="0"/>
    <n v="0"/>
    <n v="0"/>
    <x v="2"/>
    <n v="98.83029112700001"/>
    <n v="0"/>
    <n v="98.83029112700001"/>
    <x v="0"/>
  </r>
  <r>
    <x v="466"/>
    <x v="1"/>
    <n v="0"/>
    <n v="0"/>
    <n v="0"/>
    <n v="0"/>
    <n v="0"/>
    <n v="0"/>
    <n v="0"/>
    <n v="0"/>
    <n v="0"/>
    <n v="0"/>
    <n v="38.511258650000002"/>
    <n v="0"/>
    <n v="2.5910744889999999"/>
    <n v="0"/>
    <n v="0"/>
    <n v="376.31605839999997"/>
    <n v="0"/>
    <n v="0"/>
    <n v="0"/>
    <n v="0"/>
    <n v="0"/>
    <n v="0"/>
    <n v="0"/>
    <n v="0"/>
    <n v="297"/>
    <n v="0"/>
    <n v="0"/>
    <n v="0"/>
    <x v="2"/>
    <n v="72.433682099000009"/>
    <n v="0"/>
    <n v="72.433682099000009"/>
    <x v="0"/>
  </r>
  <r>
    <x v="467"/>
    <x v="1"/>
    <n v="0"/>
    <n v="0"/>
    <n v="0"/>
    <n v="0"/>
    <n v="0"/>
    <n v="0"/>
    <n v="0"/>
    <n v="0"/>
    <n v="0"/>
    <n v="0"/>
    <n v="41.423851149999997"/>
    <n v="0"/>
    <n v="3.1502149500000001"/>
    <n v="0"/>
    <n v="0"/>
    <n v="393.41961800000001"/>
    <n v="0"/>
    <n v="0"/>
    <n v="0"/>
    <n v="0"/>
    <n v="0"/>
    <n v="0"/>
    <n v="0"/>
    <n v="0"/>
    <n v="313"/>
    <n v="0"/>
    <n v="0"/>
    <n v="0"/>
    <x v="2"/>
    <n v="78.955177075000009"/>
    <n v="0"/>
    <n v="78.955177075000009"/>
    <x v="0"/>
  </r>
  <r>
    <x v="468"/>
    <x v="3"/>
    <n v="0"/>
    <n v="0"/>
    <n v="0"/>
    <n v="0"/>
    <n v="0"/>
    <n v="0"/>
    <n v="0"/>
    <n v="0"/>
    <n v="0"/>
    <n v="0"/>
    <n v="16.372804940000002"/>
    <n v="0"/>
    <n v="0.547916666"/>
    <n v="0"/>
    <n v="0"/>
    <n v="122.98683440000001"/>
    <n v="0"/>
    <n v="0"/>
    <n v="0"/>
    <n v="1.823311125"/>
    <n v="0"/>
    <n v="0"/>
    <n v="234.6844839"/>
    <n v="0"/>
    <n v="325"/>
    <n v="0"/>
    <n v="0"/>
    <n v="0"/>
    <x v="2"/>
    <n v="58.180901046000002"/>
    <n v="0"/>
    <n v="58.180901046000002"/>
    <x v="0"/>
  </r>
  <r>
    <x v="469"/>
    <x v="3"/>
    <n v="0"/>
    <n v="0"/>
    <n v="0"/>
    <n v="0"/>
    <n v="0"/>
    <n v="0"/>
    <n v="0"/>
    <n v="0"/>
    <n v="0"/>
    <n v="0"/>
    <n v="19.93543519"/>
    <n v="0"/>
    <n v="0.48098635899999997"/>
    <n v="0"/>
    <n v="0"/>
    <n v="138.74121919999999"/>
    <n v="0"/>
    <n v="0"/>
    <n v="0"/>
    <n v="1.962862562"/>
    <n v="0"/>
    <n v="0"/>
    <n v="265.71736060000001"/>
    <n v="0"/>
    <n v="320"/>
    <n v="0"/>
    <n v="0"/>
    <n v="0"/>
    <x v="2"/>
    <n v="65.076669101000007"/>
    <n v="0"/>
    <n v="65.076669101000007"/>
    <x v="0"/>
  </r>
  <r>
    <x v="470"/>
    <x v="1"/>
    <n v="0"/>
    <n v="0"/>
    <n v="0"/>
    <n v="0"/>
    <n v="0"/>
    <n v="0"/>
    <n v="0"/>
    <n v="0"/>
    <n v="0"/>
    <n v="0"/>
    <n v="43.217975060000001"/>
    <n v="0"/>
    <n v="3.459503453"/>
    <n v="0"/>
    <n v="0"/>
    <n v="455.92000359999997"/>
    <n v="0"/>
    <n v="0"/>
    <n v="0"/>
    <n v="0"/>
    <n v="0"/>
    <n v="0"/>
    <n v="0"/>
    <n v="0"/>
    <n v="312"/>
    <n v="0"/>
    <n v="0"/>
    <n v="0"/>
    <x v="2"/>
    <n v="87.958008608"/>
    <n v="0"/>
    <n v="87.958008608"/>
    <x v="0"/>
  </r>
  <r>
    <x v="471"/>
    <x v="1"/>
    <n v="0"/>
    <n v="0"/>
    <n v="0"/>
    <n v="0"/>
    <n v="0"/>
    <n v="0"/>
    <n v="0"/>
    <n v="0"/>
    <n v="0"/>
    <n v="0"/>
    <n v="34.645020500000001"/>
    <n v="0"/>
    <n v="2.0586675099999998"/>
    <n v="0"/>
    <n v="0"/>
    <n v="341.36368299999998"/>
    <n v="0"/>
    <n v="0"/>
    <n v="0"/>
    <n v="0"/>
    <n v="0"/>
    <n v="0"/>
    <n v="0"/>
    <n v="0"/>
    <n v="298"/>
    <n v="0"/>
    <n v="0"/>
    <n v="0"/>
    <x v="2"/>
    <n v="63.810883610000005"/>
    <n v="0"/>
    <n v="63.810883610000005"/>
    <x v="0"/>
  </r>
  <r>
    <x v="472"/>
    <x v="1"/>
    <n v="0"/>
    <n v="0"/>
    <n v="0"/>
    <n v="0"/>
    <n v="0"/>
    <n v="0"/>
    <n v="0"/>
    <n v="0"/>
    <n v="0"/>
    <n v="0"/>
    <n v="46.011760219999999"/>
    <n v="0"/>
    <n v="1.928305969"/>
    <n v="0"/>
    <n v="0"/>
    <n v="455.81677869999999"/>
    <n v="0"/>
    <n v="0"/>
    <n v="0"/>
    <n v="0"/>
    <n v="0"/>
    <n v="0"/>
    <n v="0"/>
    <n v="0"/>
    <n v="311"/>
    <n v="0"/>
    <n v="0"/>
    <n v="0"/>
    <x v="2"/>
    <n v="80.157393794000001"/>
    <n v="0"/>
    <n v="80.157393794000001"/>
    <x v="0"/>
  </r>
  <r>
    <x v="473"/>
    <x v="3"/>
    <n v="0"/>
    <n v="0"/>
    <n v="0"/>
    <n v="0"/>
    <n v="0"/>
    <n v="0"/>
    <n v="0"/>
    <n v="0"/>
    <n v="0"/>
    <n v="0"/>
    <n v="12.946208759999999"/>
    <n v="0"/>
    <n v="0.50551027500000001"/>
    <n v="0"/>
    <n v="0"/>
    <n v="91.041117740000004"/>
    <n v="0"/>
    <n v="0"/>
    <n v="0"/>
    <n v="2.6177118799999999"/>
    <n v="0"/>
    <n v="0"/>
    <n v="344.25528809999997"/>
    <n v="0"/>
    <n v="309"/>
    <n v="0"/>
    <n v="0"/>
    <n v="0"/>
    <x v="2"/>
    <n v="68.742077894000005"/>
    <n v="0"/>
    <n v="68.742077894000005"/>
    <x v="0"/>
  </r>
  <r>
    <x v="474"/>
    <x v="2"/>
    <n v="0"/>
    <n v="0"/>
    <n v="0"/>
    <n v="0"/>
    <n v="0"/>
    <n v="0"/>
    <n v="0"/>
    <n v="0"/>
    <n v="0"/>
    <n v="0"/>
    <n v="41.581154120000001"/>
    <n v="0"/>
    <n v="3.0787592020000001"/>
    <n v="0"/>
    <n v="0"/>
    <n v="516.8026539"/>
    <n v="0"/>
    <n v="0"/>
    <n v="0"/>
    <n v="0"/>
    <n v="0"/>
    <n v="0"/>
    <n v="0"/>
    <n v="0"/>
    <n v="304"/>
    <n v="0"/>
    <n v="0"/>
    <n v="0"/>
    <x v="2"/>
    <n v="90.943397661999995"/>
    <n v="0"/>
    <n v="90.943397661999995"/>
    <x v="0"/>
  </r>
  <r>
    <x v="475"/>
    <x v="2"/>
    <n v="0"/>
    <n v="0"/>
    <n v="0"/>
    <n v="0"/>
    <n v="0"/>
    <n v="0"/>
    <n v="0"/>
    <n v="0"/>
    <n v="0"/>
    <n v="0"/>
    <n v="44.225772130000003"/>
    <n v="0"/>
    <n v="2.1585901779999999"/>
    <n v="0"/>
    <n v="0"/>
    <n v="609.41969140000003"/>
    <n v="0"/>
    <n v="0"/>
    <n v="0"/>
    <n v="0"/>
    <n v="0"/>
    <n v="0"/>
    <n v="0"/>
    <n v="0"/>
    <n v="302"/>
    <n v="0"/>
    <n v="0"/>
    <n v="0"/>
    <x v="2"/>
    <n v="96.006396273000007"/>
    <n v="0"/>
    <n v="96.006396273000007"/>
    <x v="0"/>
  </r>
  <r>
    <x v="476"/>
    <x v="2"/>
    <n v="0"/>
    <n v="0"/>
    <n v="0"/>
    <n v="0"/>
    <n v="0"/>
    <n v="0"/>
    <n v="0"/>
    <n v="0"/>
    <n v="0"/>
    <n v="0"/>
    <n v="43.24494911"/>
    <n v="0"/>
    <n v="3.4712589629999999"/>
    <n v="0"/>
    <n v="0"/>
    <n v="574.35923130000003"/>
    <n v="0"/>
    <n v="0"/>
    <n v="0"/>
    <n v="0"/>
    <n v="0"/>
    <n v="0"/>
    <n v="0"/>
    <n v="0"/>
    <n v="301"/>
    <n v="0"/>
    <n v="0"/>
    <n v="0"/>
    <x v="2"/>
    <n v="99.885951462999998"/>
    <n v="0"/>
    <n v="99.885951462999998"/>
    <x v="0"/>
  </r>
  <r>
    <x v="477"/>
    <x v="3"/>
    <n v="0"/>
    <n v="0"/>
    <n v="0"/>
    <n v="0"/>
    <n v="0"/>
    <n v="0"/>
    <n v="0"/>
    <n v="0"/>
    <n v="0"/>
    <n v="0"/>
    <n v="7.2890444790000002"/>
    <n v="0"/>
    <n v="0.34302541600000003"/>
    <n v="0"/>
    <n v="0"/>
    <n v="54.238953510000002"/>
    <n v="0"/>
    <n v="0"/>
    <n v="0"/>
    <n v="0.95133992199999995"/>
    <n v="0"/>
    <n v="0"/>
    <n v="124.90406280000001"/>
    <n v="0"/>
    <n v="401"/>
    <n v="0"/>
    <n v="0"/>
    <n v="0"/>
    <x v="2"/>
    <n v="29.325015898500002"/>
    <n v="0"/>
    <n v="29.325015898500002"/>
    <x v="0"/>
  </r>
  <r>
    <x v="478"/>
    <x v="3"/>
    <n v="0"/>
    <n v="0"/>
    <n v="0"/>
    <n v="0"/>
    <n v="0"/>
    <n v="0"/>
    <n v="0"/>
    <n v="0"/>
    <n v="0"/>
    <n v="0"/>
    <n v="10.04698084"/>
    <n v="0"/>
    <n v="0.312443042"/>
    <n v="0"/>
    <n v="0"/>
    <n v="74.072357350000004"/>
    <n v="0"/>
    <n v="0"/>
    <n v="0"/>
    <n v="0.73123605599999997"/>
    <n v="0"/>
    <n v="0"/>
    <n v="126.50556659999999"/>
    <n v="0"/>
    <n v="404"/>
    <n v="0"/>
    <n v="0"/>
    <n v="0"/>
    <x v="2"/>
    <n v="31.343357402999999"/>
    <n v="0"/>
    <n v="31.343357402999999"/>
    <x v="0"/>
  </r>
  <r>
    <x v="479"/>
    <x v="3"/>
    <n v="0"/>
    <n v="0"/>
    <n v="0"/>
    <n v="0"/>
    <n v="0"/>
    <n v="0"/>
    <n v="0"/>
    <n v="0"/>
    <n v="0"/>
    <n v="0"/>
    <n v="8.6573256389999997"/>
    <n v="0"/>
    <n v="0.29218979299999998"/>
    <n v="0"/>
    <n v="0"/>
    <n v="60.857997099999999"/>
    <n v="0"/>
    <n v="0"/>
    <n v="0"/>
    <n v="0.82267712000000004"/>
    <n v="0"/>
    <n v="0"/>
    <n v="115.42770729999999"/>
    <n v="0"/>
    <n v="405"/>
    <n v="0"/>
    <n v="0"/>
    <n v="0"/>
    <x v="2"/>
    <n v="28.646434737500002"/>
    <n v="0"/>
    <n v="28.646434737500002"/>
    <x v="0"/>
  </r>
  <r>
    <x v="480"/>
    <x v="2"/>
    <n v="0"/>
    <n v="0"/>
    <n v="0"/>
    <n v="0"/>
    <n v="0"/>
    <n v="0"/>
    <n v="0"/>
    <n v="0"/>
    <n v="0"/>
    <n v="0"/>
    <n v="16.336228200000001"/>
    <n v="0"/>
    <n v="1.6214931779999999"/>
    <n v="0"/>
    <n v="0"/>
    <n v="217.32714530000001"/>
    <n v="0"/>
    <n v="0"/>
    <n v="0"/>
    <n v="0"/>
    <n v="0"/>
    <n v="0"/>
    <n v="0"/>
    <n v="0"/>
    <n v="989"/>
    <n v="0"/>
    <n v="0"/>
    <n v="0"/>
    <x v="2"/>
    <n v="39.629787698000001"/>
    <n v="0"/>
    <n v="39.629787698000001"/>
    <x v="0"/>
  </r>
  <r>
    <x v="481"/>
    <x v="2"/>
    <n v="0"/>
    <n v="0"/>
    <n v="0"/>
    <n v="0"/>
    <n v="0"/>
    <n v="0"/>
    <n v="0"/>
    <n v="0"/>
    <n v="0"/>
    <n v="0"/>
    <n v="18.08158693"/>
    <n v="0"/>
    <n v="1.417574777"/>
    <n v="0"/>
    <n v="0"/>
    <n v="220.71968509999999"/>
    <n v="0"/>
    <n v="0"/>
    <n v="0"/>
    <n v="0"/>
    <n v="0"/>
    <n v="0"/>
    <n v="0"/>
    <n v="0"/>
    <n v="988"/>
    <n v="0"/>
    <n v="0"/>
    <n v="0"/>
    <x v="2"/>
    <n v="39.618210637000004"/>
    <n v="0"/>
    <n v="39.618210637000004"/>
    <x v="0"/>
  </r>
  <r>
    <x v="482"/>
    <x v="2"/>
    <n v="0"/>
    <n v="0"/>
    <n v="0"/>
    <n v="0"/>
    <n v="0"/>
    <n v="0"/>
    <n v="0"/>
    <n v="0"/>
    <n v="0"/>
    <n v="0"/>
    <n v="17.51427451"/>
    <n v="0"/>
    <n v="1.5820261410000001"/>
    <n v="0"/>
    <n v="0"/>
    <n v="236.18852620000001"/>
    <n v="0"/>
    <n v="0"/>
    <n v="0"/>
    <n v="0"/>
    <n v="0"/>
    <n v="0"/>
    <n v="0"/>
    <n v="0"/>
    <n v="987"/>
    <n v="0"/>
    <n v="0"/>
    <n v="0"/>
    <x v="2"/>
    <n v="41.868146721000002"/>
    <n v="0"/>
    <n v="41.868146721000002"/>
    <x v="0"/>
  </r>
  <r>
    <x v="483"/>
    <x v="2"/>
    <n v="0"/>
    <n v="0"/>
    <n v="0"/>
    <n v="0"/>
    <n v="0"/>
    <n v="0"/>
    <n v="0"/>
    <n v="0"/>
    <n v="0"/>
    <n v="0"/>
    <n v="19.66267363"/>
    <n v="0"/>
    <n v="1.340032817"/>
    <n v="0"/>
    <n v="0"/>
    <n v="264.94761670000003"/>
    <n v="0"/>
    <n v="0"/>
    <n v="0"/>
    <n v="0.123200631"/>
    <n v="0"/>
    <n v="0"/>
    <n v="12.255135170000001"/>
    <n v="0"/>
    <n v="985"/>
    <n v="0"/>
    <n v="0"/>
    <n v="0"/>
    <x v="2"/>
    <n v="46.331012690000001"/>
    <n v="0"/>
    <n v="46.331012690000001"/>
    <x v="0"/>
  </r>
  <r>
    <x v="484"/>
    <x v="2"/>
    <n v="0"/>
    <n v="0"/>
    <n v="0"/>
    <n v="0"/>
    <n v="0"/>
    <n v="0"/>
    <n v="0"/>
    <n v="0"/>
    <n v="0"/>
    <n v="0"/>
    <n v="20.579599590000001"/>
    <n v="0"/>
    <n v="1.097767076"/>
    <n v="0"/>
    <n v="0"/>
    <n v="284.7160743"/>
    <n v="0"/>
    <n v="0"/>
    <n v="0"/>
    <n v="0.15138088799999999"/>
    <n v="0"/>
    <n v="0"/>
    <n v="22.0344902"/>
    <n v="0"/>
    <n v="984"/>
    <n v="0"/>
    <n v="0"/>
    <n v="0"/>
    <x v="2"/>
    <n v="48.459744029000007"/>
    <n v="0"/>
    <n v="48.459744029000007"/>
    <x v="0"/>
  </r>
  <r>
    <x v="485"/>
    <x v="2"/>
    <n v="0"/>
    <n v="0"/>
    <n v="0"/>
    <n v="0"/>
    <n v="0"/>
    <n v="0"/>
    <n v="0"/>
    <n v="0"/>
    <n v="0"/>
    <n v="0"/>
    <n v="21.301574649999999"/>
    <n v="0"/>
    <n v="1.793816324"/>
    <n v="0"/>
    <n v="0"/>
    <n v="279.48830359999999"/>
    <n v="0"/>
    <n v="0"/>
    <n v="0"/>
    <n v="0"/>
    <n v="0"/>
    <n v="0"/>
    <n v="0"/>
    <n v="0"/>
    <n v="982"/>
    <n v="0"/>
    <n v="0"/>
    <n v="0"/>
    <x v="2"/>
    <n v="49.362515629000001"/>
    <n v="0"/>
    <n v="49.362515629000001"/>
    <x v="0"/>
  </r>
  <r>
    <x v="486"/>
    <x v="2"/>
    <n v="0"/>
    <n v="0"/>
    <n v="0"/>
    <n v="0"/>
    <n v="0"/>
    <n v="0"/>
    <n v="0"/>
    <n v="0"/>
    <n v="0"/>
    <n v="0"/>
    <n v="18.406529689999999"/>
    <n v="0"/>
    <n v="1.598825945"/>
    <n v="0"/>
    <n v="0"/>
    <n v="229.69995990000001"/>
    <n v="0"/>
    <n v="0"/>
    <n v="0"/>
    <n v="0.40964695699999998"/>
    <n v="0"/>
    <n v="0"/>
    <n v="59.61171513"/>
    <n v="0"/>
    <n v="981"/>
    <n v="0"/>
    <n v="0"/>
    <n v="0"/>
    <x v="2"/>
    <n v="50.185269759999997"/>
    <n v="0"/>
    <n v="50.185269759999997"/>
    <x v="0"/>
  </r>
  <r>
    <x v="487"/>
    <x v="2"/>
    <n v="0"/>
    <n v="0"/>
    <n v="0"/>
    <n v="0"/>
    <n v="0"/>
    <n v="0"/>
    <n v="0"/>
    <n v="0"/>
    <n v="0"/>
    <n v="0"/>
    <n v="21.00319103"/>
    <n v="0"/>
    <n v="1.065208087"/>
    <n v="0"/>
    <n v="0"/>
    <n v="277.5185371"/>
    <n v="0"/>
    <n v="0"/>
    <n v="0"/>
    <n v="0.37941524199999999"/>
    <n v="0"/>
    <n v="0"/>
    <n v="53.747119220000002"/>
    <n v="0"/>
    <n v="980"/>
    <n v="0"/>
    <n v="0"/>
    <n v="0"/>
    <x v="2"/>
    <n v="52.295901121000007"/>
    <n v="0"/>
    <n v="52.295901121000007"/>
    <x v="0"/>
  </r>
  <r>
    <x v="488"/>
    <x v="0"/>
    <n v="0"/>
    <n v="1.8694218389999999"/>
    <n v="0"/>
    <n v="0"/>
    <n v="3.0462216830000002"/>
    <n v="0"/>
    <n v="0"/>
    <n v="469.56015430000002"/>
    <n v="0"/>
    <n v="0"/>
    <n v="0"/>
    <n v="0"/>
    <n v="0"/>
    <n v="0"/>
    <n v="0"/>
    <n v="0"/>
    <n v="0"/>
    <n v="0"/>
    <n v="0"/>
    <n v="0.939176707"/>
    <n v="0"/>
    <n v="0"/>
    <n v="41.104169970000001"/>
    <n v="0"/>
    <n v="487"/>
    <n v="0"/>
    <n v="0"/>
    <n v="0"/>
    <x v="2"/>
    <n v="36.973926465000005"/>
    <n v="0"/>
    <n v="36.973926465000005"/>
    <x v="0"/>
  </r>
  <r>
    <x v="489"/>
    <x v="0"/>
    <n v="0"/>
    <n v="1.898234604"/>
    <n v="0"/>
    <n v="0"/>
    <n v="1.858809843"/>
    <n v="0"/>
    <n v="0"/>
    <n v="485.72144880000002"/>
    <n v="0"/>
    <n v="0"/>
    <n v="0"/>
    <n v="0"/>
    <n v="0"/>
    <n v="0"/>
    <n v="0"/>
    <n v="0"/>
    <n v="0"/>
    <n v="0"/>
    <n v="0"/>
    <n v="0.52465683299999999"/>
    <n v="0"/>
    <n v="0"/>
    <n v="70.242532240000003"/>
    <n v="0"/>
    <n v="486"/>
    <n v="0"/>
    <n v="0"/>
    <n v="0"/>
    <x v="2"/>
    <n v="33.239822338000003"/>
    <n v="0"/>
    <n v="33.239822338000003"/>
    <x v="0"/>
  </r>
  <r>
    <x v="490"/>
    <x v="0"/>
    <n v="0"/>
    <n v="1.7391947919999999"/>
    <n v="0"/>
    <n v="0"/>
    <n v="4.2988217909999999"/>
    <n v="0"/>
    <n v="0"/>
    <n v="482.69005249999998"/>
    <n v="0"/>
    <n v="0"/>
    <n v="0"/>
    <n v="0"/>
    <n v="0"/>
    <n v="0"/>
    <n v="0"/>
    <n v="0"/>
    <n v="0"/>
    <n v="0"/>
    <n v="0"/>
    <n v="0.29575207399999998"/>
    <n v="0"/>
    <n v="0"/>
    <n v="27.109255439999998"/>
    <n v="0"/>
    <n v="483"/>
    <n v="0"/>
    <n v="0"/>
    <n v="0"/>
    <x v="2"/>
    <n v="37.509937667999999"/>
    <n v="0"/>
    <n v="37.509937667999999"/>
    <x v="0"/>
  </r>
  <r>
    <x v="491"/>
    <x v="0"/>
    <n v="0"/>
    <n v="1.787091201"/>
    <n v="0"/>
    <n v="0"/>
    <n v="2.6553891109999999"/>
    <n v="0"/>
    <n v="0"/>
    <n v="483.02644099999998"/>
    <n v="0"/>
    <n v="0"/>
    <n v="0"/>
    <n v="0"/>
    <n v="0"/>
    <n v="0"/>
    <n v="0"/>
    <n v="0"/>
    <n v="0"/>
    <n v="0"/>
    <n v="0"/>
    <n v="0.18644701799999999"/>
    <n v="0"/>
    <n v="0"/>
    <n v="22.92572187"/>
    <n v="0"/>
    <n v="481"/>
    <n v="0"/>
    <n v="0"/>
    <n v="0"/>
    <x v="2"/>
    <n v="29.779685977000003"/>
    <n v="0"/>
    <n v="29.779685977000003"/>
    <x v="0"/>
  </r>
  <r>
    <x v="492"/>
    <x v="0"/>
    <n v="0"/>
    <n v="3.0450303120000002"/>
    <n v="0"/>
    <n v="0"/>
    <n v="3.2511128560000002"/>
    <n v="0"/>
    <n v="0"/>
    <n v="780.81970369999999"/>
    <n v="0"/>
    <n v="0"/>
    <n v="0"/>
    <n v="0"/>
    <n v="0"/>
    <n v="0"/>
    <n v="0"/>
    <n v="0"/>
    <n v="0"/>
    <n v="0"/>
    <n v="0"/>
    <n v="0.54220998799999998"/>
    <n v="0"/>
    <n v="0"/>
    <n v="40.40583238"/>
    <n v="0"/>
    <n v="480"/>
    <n v="0"/>
    <n v="0"/>
    <n v="0"/>
    <x v="2"/>
    <n v="45.441022114000006"/>
    <n v="0"/>
    <n v="45.441022114000006"/>
    <x v="0"/>
  </r>
  <r>
    <x v="493"/>
    <x v="0"/>
    <n v="0"/>
    <n v="3.0731034250000002"/>
    <n v="0"/>
    <n v="0"/>
    <n v="3.7600371080000001"/>
    <n v="0"/>
    <n v="0"/>
    <n v="707.32654309999998"/>
    <n v="0"/>
    <n v="0"/>
    <n v="0"/>
    <n v="0"/>
    <n v="0"/>
    <n v="0"/>
    <n v="0"/>
    <n v="0"/>
    <n v="0"/>
    <n v="0"/>
    <n v="0"/>
    <n v="0.31900755400000003"/>
    <n v="0"/>
    <n v="0"/>
    <n v="44.726738179999998"/>
    <n v="0"/>
    <n v="479"/>
    <n v="0"/>
    <n v="0"/>
    <n v="0"/>
    <x v="2"/>
    <n v="43.573722447999998"/>
    <n v="0"/>
    <n v="43.573722447999998"/>
    <x v="0"/>
  </r>
  <r>
    <x v="494"/>
    <x v="0"/>
    <n v="0"/>
    <n v="4.5052300110000001"/>
    <n v="0"/>
    <n v="0"/>
    <n v="5.0132873099999999"/>
    <n v="0"/>
    <n v="0"/>
    <n v="1088.6423400000001"/>
    <n v="0"/>
    <n v="0"/>
    <n v="0"/>
    <n v="0"/>
    <n v="0"/>
    <n v="0"/>
    <n v="0"/>
    <n v="0"/>
    <n v="0"/>
    <n v="0"/>
    <n v="0"/>
    <n v="0.35314579800000001"/>
    <n v="0"/>
    <n v="0"/>
    <n v="35.965354140000002"/>
    <n v="0"/>
    <n v="478"/>
    <n v="0"/>
    <n v="0"/>
    <n v="0"/>
    <x v="2"/>
    <n v="60.303793020000008"/>
    <n v="0"/>
    <n v="60.303793020000008"/>
    <x v="0"/>
  </r>
  <r>
    <x v="495"/>
    <x v="2"/>
    <n v="0"/>
    <n v="0"/>
    <n v="0"/>
    <n v="0"/>
    <n v="0"/>
    <n v="0"/>
    <n v="0"/>
    <n v="0"/>
    <n v="0"/>
    <n v="0"/>
    <n v="18.598835170000001"/>
    <n v="0"/>
    <n v="1.0056292229999999"/>
    <n v="0"/>
    <n v="0"/>
    <n v="190.00555159999999"/>
    <n v="0"/>
    <n v="0"/>
    <n v="0"/>
    <n v="0.114200565"/>
    <n v="0"/>
    <n v="0"/>
    <n v="20.85638788"/>
    <n v="0"/>
    <n v="990"/>
    <n v="0"/>
    <n v="0"/>
    <n v="0"/>
    <x v="2"/>
    <n v="37.104590260999998"/>
    <n v="0"/>
    <n v="37.104590260999998"/>
    <x v="0"/>
  </r>
  <r>
    <x v="496"/>
    <x v="2"/>
    <n v="0"/>
    <n v="0"/>
    <n v="0"/>
    <n v="0"/>
    <n v="0"/>
    <n v="0"/>
    <n v="0"/>
    <n v="0"/>
    <n v="0"/>
    <n v="0"/>
    <n v="14.86640708"/>
    <n v="0"/>
    <n v="1.7096544730000001"/>
    <n v="0"/>
    <n v="0"/>
    <n v="215.88152579999999"/>
    <n v="0"/>
    <n v="0"/>
    <n v="0"/>
    <n v="0"/>
    <n v="0"/>
    <n v="0"/>
    <n v="0"/>
    <n v="0"/>
    <n v="991"/>
    <n v="0"/>
    <n v="0"/>
    <n v="0"/>
    <x v="2"/>
    <n v="39.279282957999996"/>
    <n v="0"/>
    <n v="39.279282957999996"/>
    <x v="0"/>
  </r>
  <r>
    <x v="497"/>
    <x v="2"/>
    <n v="0"/>
    <n v="0"/>
    <n v="0"/>
    <n v="0"/>
    <n v="0"/>
    <n v="0"/>
    <n v="0"/>
    <n v="0"/>
    <n v="0"/>
    <n v="0"/>
    <n v="14.61969232"/>
    <n v="0"/>
    <n v="1.044046069"/>
    <n v="0"/>
    <n v="0"/>
    <n v="157.7044511"/>
    <n v="0"/>
    <n v="0"/>
    <n v="0"/>
    <n v="0.52824771400000003"/>
    <n v="0"/>
    <n v="0"/>
    <n v="51.297475630000001"/>
    <n v="0"/>
    <n v="992"/>
    <n v="0"/>
    <n v="0"/>
    <n v="0"/>
    <x v="2"/>
    <n v="37.643801531000001"/>
    <n v="0"/>
    <n v="37.643801531000001"/>
    <x v="0"/>
  </r>
  <r>
    <x v="498"/>
    <x v="1"/>
    <n v="0"/>
    <n v="0"/>
    <n v="0"/>
    <n v="0"/>
    <n v="0"/>
    <n v="0"/>
    <n v="0"/>
    <n v="0"/>
    <n v="0"/>
    <n v="0"/>
    <n v="17.657725190000001"/>
    <n v="0"/>
    <n v="0.89129672500000001"/>
    <n v="0"/>
    <n v="0"/>
    <n v="142.3987506"/>
    <n v="0"/>
    <n v="0"/>
    <n v="0"/>
    <n v="0"/>
    <n v="0"/>
    <n v="0"/>
    <n v="0"/>
    <n v="0"/>
    <n v="1003"/>
    <n v="0"/>
    <n v="0"/>
    <n v="0"/>
    <x v="2"/>
    <n v="28.416518005"/>
    <n v="0"/>
    <n v="28.416518005"/>
    <x v="0"/>
  </r>
  <r>
    <x v="499"/>
    <x v="0"/>
    <n v="0"/>
    <n v="1.581835197"/>
    <n v="0"/>
    <n v="0"/>
    <n v="3.4297671049999998"/>
    <n v="0"/>
    <n v="0"/>
    <n v="438.78696079999997"/>
    <n v="0"/>
    <n v="0"/>
    <n v="0"/>
    <n v="0"/>
    <n v="0"/>
    <n v="0"/>
    <n v="0"/>
    <n v="0"/>
    <n v="0"/>
    <n v="0"/>
    <n v="0"/>
    <n v="0.51882760999999999"/>
    <n v="0"/>
    <n v="0"/>
    <n v="36.365935450000002"/>
    <n v="0"/>
    <n v="1011"/>
    <n v="0"/>
    <n v="0"/>
    <n v="0"/>
    <x v="2"/>
    <n v="34.856435662999999"/>
    <n v="0"/>
    <n v="34.856435662999999"/>
    <x v="0"/>
  </r>
  <r>
    <x v="500"/>
    <x v="1"/>
    <n v="0"/>
    <n v="0"/>
    <n v="0"/>
    <n v="0"/>
    <n v="0"/>
    <n v="0"/>
    <n v="0"/>
    <n v="0"/>
    <n v="0"/>
    <n v="0"/>
    <n v="14.087132560000001"/>
    <n v="0"/>
    <n v="0.96823058699999998"/>
    <n v="0"/>
    <n v="0"/>
    <n v="142.71309220000001"/>
    <n v="0"/>
    <n v="0"/>
    <n v="0"/>
    <n v="0"/>
    <n v="0"/>
    <n v="0"/>
    <n v="0"/>
    <n v="0"/>
    <n v="1010"/>
    <n v="0"/>
    <n v="0"/>
    <n v="0"/>
    <x v="2"/>
    <n v="27.124259022000004"/>
    <n v="0"/>
    <n v="27.124259022000004"/>
    <x v="0"/>
  </r>
  <r>
    <x v="501"/>
    <x v="1"/>
    <n v="0"/>
    <n v="0"/>
    <n v="0"/>
    <n v="0"/>
    <n v="0"/>
    <n v="0"/>
    <n v="0"/>
    <n v="0"/>
    <n v="0"/>
    <n v="0"/>
    <n v="13.419654789999999"/>
    <n v="0"/>
    <n v="1.072331122"/>
    <n v="0"/>
    <n v="0"/>
    <n v="143.60811659999999"/>
    <n v="0"/>
    <n v="0"/>
    <n v="0"/>
    <n v="0"/>
    <n v="0"/>
    <n v="0"/>
    <n v="0"/>
    <n v="0"/>
    <n v="1009"/>
    <n v="0"/>
    <n v="0"/>
    <n v="0"/>
    <x v="2"/>
    <n v="27.504625786999998"/>
    <n v="0"/>
    <n v="27.504625786999998"/>
    <x v="0"/>
  </r>
  <r>
    <x v="502"/>
    <x v="0"/>
    <n v="0"/>
    <n v="1.822519419"/>
    <n v="0"/>
    <n v="0"/>
    <n v="3.895508473"/>
    <n v="0"/>
    <n v="0"/>
    <n v="510.54202079999999"/>
    <n v="0"/>
    <n v="0"/>
    <n v="0"/>
    <n v="0"/>
    <n v="0"/>
    <n v="0"/>
    <n v="0"/>
    <n v="0"/>
    <n v="0"/>
    <n v="0"/>
    <n v="0"/>
    <n v="0.175870374"/>
    <n v="0"/>
    <n v="0"/>
    <n v="16.126728549999999"/>
    <n v="0"/>
    <n v="1008"/>
    <n v="0"/>
    <n v="0"/>
    <n v="0"/>
    <x v="2"/>
    <n v="35.026570984999999"/>
    <n v="0"/>
    <n v="35.026570984999999"/>
    <x v="0"/>
  </r>
  <r>
    <x v="503"/>
    <x v="1"/>
    <n v="0"/>
    <n v="0"/>
    <n v="0"/>
    <n v="0"/>
    <n v="0"/>
    <n v="0"/>
    <n v="0"/>
    <n v="0"/>
    <n v="0"/>
    <n v="0"/>
    <n v="14.6076137"/>
    <n v="0"/>
    <n v="0.829746553"/>
    <n v="0"/>
    <n v="0"/>
    <n v="156.30597929999999"/>
    <n v="0"/>
    <n v="0"/>
    <n v="0"/>
    <n v="0"/>
    <n v="0"/>
    <n v="0"/>
    <n v="0"/>
    <n v="0"/>
    <n v="1007"/>
    <n v="0"/>
    <n v="0"/>
    <n v="0"/>
    <x v="2"/>
    <n v="27.912884097999999"/>
    <n v="0"/>
    <n v="27.912884097999999"/>
    <x v="0"/>
  </r>
  <r>
    <x v="504"/>
    <x v="1"/>
    <n v="0"/>
    <n v="0"/>
    <n v="0"/>
    <n v="0"/>
    <n v="0"/>
    <n v="0"/>
    <n v="0"/>
    <n v="0"/>
    <n v="0"/>
    <n v="0"/>
    <n v="15.55756671"/>
    <n v="0"/>
    <n v="0.78721438700000002"/>
    <n v="0"/>
    <n v="0"/>
    <n v="151.56489690000001"/>
    <n v="0"/>
    <n v="0"/>
    <n v="0"/>
    <n v="0"/>
    <n v="0"/>
    <n v="0"/>
    <n v="0"/>
    <n v="0"/>
    <n v="1006"/>
    <n v="0"/>
    <n v="0"/>
    <n v="0"/>
    <x v="2"/>
    <n v="27.658559367000002"/>
    <n v="0"/>
    <n v="27.658559367000002"/>
    <x v="0"/>
  </r>
  <r>
    <x v="505"/>
    <x v="2"/>
    <n v="0"/>
    <n v="0"/>
    <n v="0"/>
    <n v="0"/>
    <n v="0"/>
    <n v="0"/>
    <n v="0"/>
    <n v="0"/>
    <n v="0"/>
    <n v="0"/>
    <n v="13.006678470000001"/>
    <n v="0"/>
    <n v="1.152852937"/>
    <n v="0"/>
    <n v="0"/>
    <n v="156.2826015"/>
    <n v="0"/>
    <n v="0"/>
    <n v="0"/>
    <n v="0"/>
    <n v="0"/>
    <n v="0"/>
    <n v="0"/>
    <n v="0"/>
    <n v="1005"/>
    <n v="0"/>
    <n v="0"/>
    <n v="0"/>
    <x v="2"/>
    <n v="29.048717007"/>
    <n v="0"/>
    <n v="29.048717007"/>
    <x v="0"/>
  </r>
  <r>
    <x v="506"/>
    <x v="1"/>
    <n v="0"/>
    <n v="0"/>
    <n v="0"/>
    <n v="0"/>
    <n v="0"/>
    <n v="0"/>
    <n v="0"/>
    <n v="0"/>
    <n v="0"/>
    <n v="0"/>
    <n v="15.279498889999999"/>
    <n v="0"/>
    <n v="1.039654632"/>
    <n v="0"/>
    <n v="0"/>
    <n v="149.01796429999999"/>
    <n v="0"/>
    <n v="0"/>
    <n v="0"/>
    <n v="0"/>
    <n v="0"/>
    <n v="0"/>
    <n v="0"/>
    <n v="0"/>
    <n v="1004"/>
    <n v="0"/>
    <n v="0"/>
    <n v="0"/>
    <x v="2"/>
    <n v="28.779473666999998"/>
    <n v="0"/>
    <n v="28.779473666999998"/>
    <x v="0"/>
  </r>
  <r>
    <x v="507"/>
    <x v="2"/>
    <n v="0"/>
    <n v="0"/>
    <n v="0"/>
    <n v="0"/>
    <n v="0"/>
    <n v="0"/>
    <n v="0"/>
    <n v="0"/>
    <n v="0"/>
    <n v="0"/>
    <n v="13.4424554"/>
    <n v="0"/>
    <n v="0.98220003"/>
    <n v="0"/>
    <n v="0"/>
    <n v="187.73827449999999"/>
    <n v="0"/>
    <n v="0"/>
    <n v="0"/>
    <n v="0"/>
    <n v="0"/>
    <n v="0"/>
    <n v="0"/>
    <n v="0"/>
    <n v="1002"/>
    <n v="0"/>
    <n v="0"/>
    <n v="0"/>
    <x v="2"/>
    <n v="31.38825533"/>
    <n v="0"/>
    <n v="31.38825533"/>
    <x v="0"/>
  </r>
  <r>
    <x v="508"/>
    <x v="2"/>
    <n v="0"/>
    <n v="0"/>
    <n v="0"/>
    <n v="0"/>
    <n v="0"/>
    <n v="0"/>
    <n v="0"/>
    <n v="0"/>
    <n v="0"/>
    <n v="0"/>
    <n v="14.48077056"/>
    <n v="0"/>
    <n v="1.10811927"/>
    <n v="0"/>
    <n v="0"/>
    <n v="175.0390558"/>
    <n v="0"/>
    <n v="0"/>
    <n v="0"/>
    <n v="0"/>
    <n v="0"/>
    <n v="0"/>
    <n v="0"/>
    <n v="0"/>
    <n v="1001"/>
    <n v="0"/>
    <n v="0"/>
    <n v="0"/>
    <x v="2"/>
    <n v="31.39300648"/>
    <n v="0"/>
    <n v="31.39300648"/>
    <x v="0"/>
  </r>
  <r>
    <x v="509"/>
    <x v="1"/>
    <n v="0"/>
    <n v="0"/>
    <n v="0"/>
    <n v="0"/>
    <n v="0"/>
    <n v="0"/>
    <n v="0"/>
    <n v="0"/>
    <n v="0"/>
    <n v="0"/>
    <n v="16.002392520000001"/>
    <n v="0"/>
    <n v="1.2559278979999999"/>
    <n v="0"/>
    <n v="0"/>
    <n v="155.1724471"/>
    <n v="0"/>
    <n v="0"/>
    <n v="0"/>
    <n v="0"/>
    <n v="0"/>
    <n v="0"/>
    <n v="0"/>
    <n v="0"/>
    <n v="1000"/>
    <n v="0"/>
    <n v="0"/>
    <n v="0"/>
    <x v="2"/>
    <n v="31.054008358000001"/>
    <n v="0"/>
    <n v="31.054008358000001"/>
    <x v="0"/>
  </r>
  <r>
    <x v="510"/>
    <x v="1"/>
    <n v="0"/>
    <n v="0"/>
    <n v="0"/>
    <n v="0"/>
    <n v="0"/>
    <n v="0"/>
    <n v="0"/>
    <n v="0"/>
    <n v="0"/>
    <n v="0"/>
    <n v="16.057234619999999"/>
    <n v="0"/>
    <n v="1.1322752089999999"/>
    <n v="0"/>
    <n v="0"/>
    <n v="165.50089220000001"/>
    <n v="0"/>
    <n v="0"/>
    <n v="0"/>
    <n v="0"/>
    <n v="0"/>
    <n v="0"/>
    <n v="0"/>
    <n v="0"/>
    <n v="999"/>
    <n v="0"/>
    <n v="0"/>
    <n v="0"/>
    <x v="2"/>
    <n v="31.372357783999998"/>
    <n v="0"/>
    <n v="31.372357783999998"/>
    <x v="0"/>
  </r>
  <r>
    <x v="511"/>
    <x v="2"/>
    <n v="0"/>
    <n v="0"/>
    <n v="0"/>
    <n v="0"/>
    <n v="0"/>
    <n v="0"/>
    <n v="0"/>
    <n v="0"/>
    <n v="0"/>
    <n v="0"/>
    <n v="18.587116680000001"/>
    <n v="0"/>
    <n v="0.58774127899999995"/>
    <n v="0"/>
    <n v="0"/>
    <n v="175.63918670000001"/>
    <n v="0"/>
    <n v="0"/>
    <n v="0"/>
    <n v="0"/>
    <n v="0"/>
    <n v="0"/>
    <n v="0"/>
    <n v="0"/>
    <n v="998"/>
    <n v="0"/>
    <n v="0"/>
    <n v="0"/>
    <x v="2"/>
    <n v="30.383924684000004"/>
    <n v="0"/>
    <n v="30.383924684000004"/>
    <x v="0"/>
  </r>
  <r>
    <x v="512"/>
    <x v="2"/>
    <n v="0"/>
    <n v="0"/>
    <n v="0"/>
    <n v="0"/>
    <n v="0"/>
    <n v="0"/>
    <n v="0"/>
    <n v="0"/>
    <n v="0"/>
    <n v="0"/>
    <n v="15.758107750000001"/>
    <n v="0"/>
    <n v="1.1972862390000001"/>
    <n v="0"/>
    <n v="0"/>
    <n v="176.8325456"/>
    <n v="0"/>
    <n v="0"/>
    <n v="0"/>
    <n v="0"/>
    <n v="0"/>
    <n v="0"/>
    <n v="0"/>
    <n v="0"/>
    <n v="997"/>
    <n v="0"/>
    <n v="0"/>
    <n v="0"/>
    <x v="2"/>
    <n v="32.746025869"/>
    <n v="0"/>
    <n v="32.746025869"/>
    <x v="0"/>
  </r>
  <r>
    <x v="513"/>
    <x v="1"/>
    <n v="0"/>
    <n v="0"/>
    <n v="0"/>
    <n v="0"/>
    <n v="0"/>
    <n v="0"/>
    <n v="0"/>
    <n v="0"/>
    <n v="0"/>
    <n v="0"/>
    <n v="15.932322340000001"/>
    <n v="0"/>
    <n v="1.2739976749999999"/>
    <n v="0"/>
    <n v="0"/>
    <n v="181.7979498"/>
    <n v="0"/>
    <n v="0"/>
    <n v="0"/>
    <n v="0"/>
    <n v="0"/>
    <n v="0"/>
    <n v="0"/>
    <n v="0"/>
    <n v="996"/>
    <n v="0"/>
    <n v="0"/>
    <n v="0"/>
    <x v="2"/>
    <n v="33.789942199999999"/>
    <n v="0"/>
    <n v="33.789942199999999"/>
    <x v="0"/>
  </r>
  <r>
    <x v="514"/>
    <x v="2"/>
    <n v="0"/>
    <n v="0"/>
    <n v="0"/>
    <n v="0"/>
    <n v="0"/>
    <n v="0"/>
    <n v="0"/>
    <n v="0"/>
    <n v="0"/>
    <n v="0"/>
    <n v="15.474186039999999"/>
    <n v="0"/>
    <n v="0.89722244900000003"/>
    <n v="0"/>
    <n v="0"/>
    <n v="198.7783704"/>
    <n v="0"/>
    <n v="0"/>
    <n v="0"/>
    <n v="8.3013389000000007E-2"/>
    <n v="0"/>
    <n v="0"/>
    <n v="13.217890779999999"/>
    <n v="0"/>
    <n v="994"/>
    <n v="0"/>
    <n v="0"/>
    <n v="0"/>
    <x v="2"/>
    <n v="34.818134166000007"/>
    <n v="0"/>
    <n v="34.818134166000007"/>
    <x v="0"/>
  </r>
  <r>
    <x v="515"/>
    <x v="0"/>
    <n v="0"/>
    <n v="1.874180038"/>
    <n v="0"/>
    <n v="0"/>
    <n v="2.4007292329999999"/>
    <n v="0"/>
    <n v="0"/>
    <n v="480.81277340000003"/>
    <n v="0"/>
    <n v="0"/>
    <n v="0"/>
    <n v="0"/>
    <n v="0"/>
    <n v="0"/>
    <n v="0"/>
    <n v="0"/>
    <n v="0"/>
    <n v="0"/>
    <n v="0"/>
    <n v="0.202327059"/>
    <n v="0"/>
    <n v="0"/>
    <n v="24.800398980000001"/>
    <n v="0"/>
    <n v="477"/>
    <n v="0"/>
    <n v="0"/>
    <n v="0"/>
    <x v="2"/>
    <n v="28.781070044"/>
    <n v="0"/>
    <n v="28.781070044"/>
    <x v="0"/>
  </r>
  <r>
    <x v="516"/>
    <x v="1"/>
    <n v="0"/>
    <n v="0"/>
    <n v="0"/>
    <n v="0"/>
    <n v="0"/>
    <n v="0"/>
    <n v="0"/>
    <n v="0"/>
    <n v="0"/>
    <n v="0"/>
    <n v="18.403386980000001"/>
    <n v="0"/>
    <n v="1.3582793989999999"/>
    <n v="0"/>
    <n v="0"/>
    <n v="185.14926629999999"/>
    <n v="0"/>
    <n v="0"/>
    <n v="0"/>
    <n v="0"/>
    <n v="0"/>
    <n v="0"/>
    <n v="0"/>
    <n v="0"/>
    <n v="474"/>
    <n v="0"/>
    <n v="0"/>
    <n v="0"/>
    <x v="2"/>
    <n v="35.866296513999998"/>
    <n v="0"/>
    <n v="35.866296513999998"/>
    <x v="0"/>
  </r>
  <r>
    <x v="517"/>
    <x v="1"/>
    <n v="0"/>
    <n v="0"/>
    <n v="0"/>
    <n v="0"/>
    <n v="0"/>
    <n v="0"/>
    <n v="0"/>
    <n v="0"/>
    <n v="0"/>
    <n v="0"/>
    <n v="18.691333"/>
    <n v="0"/>
    <n v="1.4454595619999999"/>
    <n v="0"/>
    <n v="0"/>
    <n v="188.1945274"/>
    <n v="0"/>
    <n v="0"/>
    <n v="0"/>
    <n v="0"/>
    <n v="0"/>
    <n v="0"/>
    <n v="0"/>
    <n v="0"/>
    <n v="473"/>
    <n v="0"/>
    <n v="0"/>
    <n v="0"/>
    <x v="2"/>
    <n v="36.837876612000002"/>
    <n v="0"/>
    <n v="36.837876612000002"/>
    <x v="0"/>
  </r>
  <r>
    <x v="518"/>
    <x v="0"/>
    <n v="0"/>
    <n v="6.4780857770000004"/>
    <n v="0"/>
    <n v="0"/>
    <n v="8.7214135079999995"/>
    <n v="0"/>
    <n v="0"/>
    <n v="1927.8557089999999"/>
    <n v="0"/>
    <n v="0"/>
    <n v="0"/>
    <n v="0"/>
    <n v="0"/>
    <n v="0"/>
    <n v="0"/>
    <n v="0"/>
    <n v="0"/>
    <n v="0"/>
    <n v="0"/>
    <n v="1.3227692660000001"/>
    <n v="0"/>
    <n v="0"/>
    <n v="74.361977909999993"/>
    <n v="0"/>
    <n v="430"/>
    <n v="0"/>
    <n v="0"/>
    <n v="0"/>
    <x v="2"/>
    <n v="114.41652422499999"/>
    <n v="0"/>
    <n v="114.41652422499999"/>
    <x v="0"/>
  </r>
  <r>
    <x v="519"/>
    <x v="3"/>
    <n v="0"/>
    <n v="0"/>
    <n v="0"/>
    <n v="0"/>
    <n v="0"/>
    <n v="0"/>
    <n v="0"/>
    <n v="0"/>
    <n v="0"/>
    <n v="0"/>
    <n v="11.744801539999999"/>
    <n v="0"/>
    <n v="0.80735116500000004"/>
    <n v="0"/>
    <n v="0"/>
    <n v="88.312206209999999"/>
    <n v="0"/>
    <n v="0"/>
    <n v="0"/>
    <n v="0.22033928799999999"/>
    <n v="0"/>
    <n v="0"/>
    <n v="19.80116718"/>
    <n v="0"/>
    <n v="436"/>
    <n v="0"/>
    <n v="0"/>
    <n v="0"/>
    <x v="2"/>
    <n v="22.849880827"/>
    <n v="0"/>
    <n v="22.849880827"/>
    <x v="0"/>
  </r>
  <r>
    <x v="520"/>
    <x v="3"/>
    <n v="0"/>
    <n v="0"/>
    <n v="0"/>
    <n v="0"/>
    <n v="0"/>
    <n v="0"/>
    <n v="0"/>
    <n v="0"/>
    <n v="0"/>
    <n v="0"/>
    <n v="7.7872847370000002"/>
    <n v="0"/>
    <n v="0.23517653399999999"/>
    <n v="0"/>
    <n v="0"/>
    <n v="52.163508389999997"/>
    <n v="0"/>
    <n v="0"/>
    <n v="0"/>
    <n v="0.53405015899999997"/>
    <n v="0"/>
    <n v="0"/>
    <n v="93.202206200000006"/>
    <n v="0"/>
    <n v="435"/>
    <n v="0"/>
    <n v="0"/>
    <n v="0"/>
    <x v="2"/>
    <n v="23.045573985500003"/>
    <n v="0"/>
    <n v="23.045573985500003"/>
    <x v="0"/>
  </r>
  <r>
    <x v="521"/>
    <x v="3"/>
    <n v="0"/>
    <n v="0"/>
    <n v="0"/>
    <n v="0"/>
    <n v="0"/>
    <n v="0"/>
    <n v="0"/>
    <n v="0"/>
    <n v="0"/>
    <n v="0"/>
    <n v="3.7024417879999998"/>
    <n v="0"/>
    <n v="0.12947475"/>
    <n v="0"/>
    <n v="0"/>
    <n v="26.776956680000001"/>
    <n v="0"/>
    <n v="0"/>
    <n v="0"/>
    <n v="1.379944981"/>
    <n v="0"/>
    <n v="0"/>
    <n v="163.8612224"/>
    <n v="0"/>
    <n v="433"/>
    <n v="0"/>
    <n v="0"/>
    <n v="0"/>
    <x v="2"/>
    <n v="29.971557188000002"/>
    <n v="0"/>
    <n v="29.971557188000002"/>
    <x v="0"/>
  </r>
  <r>
    <x v="522"/>
    <x v="3"/>
    <n v="0"/>
    <n v="0"/>
    <n v="0"/>
    <n v="0"/>
    <n v="0"/>
    <n v="0"/>
    <n v="0"/>
    <n v="0"/>
    <n v="0"/>
    <n v="0"/>
    <n v="6.0976648659999997"/>
    <n v="0"/>
    <n v="0.20328133300000001"/>
    <n v="0"/>
    <n v="0"/>
    <n v="47.17633515"/>
    <n v="0"/>
    <n v="0"/>
    <n v="0"/>
    <n v="1.084643085"/>
    <n v="0"/>
    <n v="0"/>
    <n v="124.8636042"/>
    <n v="0"/>
    <n v="432"/>
    <n v="0"/>
    <n v="0"/>
    <n v="0"/>
    <x v="2"/>
    <n v="27.980372876000001"/>
    <n v="0"/>
    <n v="27.980372876000001"/>
    <x v="0"/>
  </r>
  <r>
    <x v="523"/>
    <x v="0"/>
    <n v="0"/>
    <n v="3.1672209250000001"/>
    <n v="0"/>
    <n v="0"/>
    <n v="3.846905858"/>
    <n v="0"/>
    <n v="0"/>
    <n v="907.44219769999995"/>
    <n v="0"/>
    <n v="0"/>
    <n v="0"/>
    <n v="0"/>
    <n v="0"/>
    <n v="0"/>
    <n v="0"/>
    <n v="0"/>
    <n v="0"/>
    <n v="0"/>
    <n v="0"/>
    <n v="0.59540595799999996"/>
    <n v="0"/>
    <n v="0"/>
    <n v="58.038230429999999"/>
    <n v="0"/>
    <n v="431"/>
    <n v="0"/>
    <n v="0"/>
    <n v="0"/>
    <x v="2"/>
    <n v="54.727128280999999"/>
    <n v="0"/>
    <n v="54.727128280999999"/>
    <x v="0"/>
  </r>
  <r>
    <x v="524"/>
    <x v="1"/>
    <n v="0"/>
    <n v="0"/>
    <n v="0"/>
    <n v="0"/>
    <n v="0"/>
    <n v="0"/>
    <n v="0"/>
    <n v="0"/>
    <n v="0"/>
    <n v="0"/>
    <n v="34.411622569999999"/>
    <n v="0"/>
    <n v="2.0561780779999999"/>
    <n v="0"/>
    <n v="0"/>
    <n v="359.66615760000002"/>
    <n v="0"/>
    <n v="0"/>
    <n v="0"/>
    <n v="0"/>
    <n v="0"/>
    <n v="0"/>
    <n v="0"/>
    <n v="0"/>
    <n v="442"/>
    <n v="0"/>
    <n v="0"/>
    <n v="0"/>
    <x v="2"/>
    <n v="65.509495513000005"/>
    <n v="0"/>
    <n v="65.509495513000005"/>
    <x v="0"/>
  </r>
  <r>
    <x v="525"/>
    <x v="2"/>
    <n v="0"/>
    <n v="0"/>
    <n v="0"/>
    <n v="0"/>
    <n v="0"/>
    <n v="0"/>
    <n v="0"/>
    <n v="0"/>
    <n v="0"/>
    <n v="0"/>
    <n v="26.138230660000001"/>
    <n v="0"/>
    <n v="1.098848321"/>
    <n v="0"/>
    <n v="0"/>
    <n v="291.23151000000001"/>
    <n v="0"/>
    <n v="0"/>
    <n v="0"/>
    <n v="0.165181562"/>
    <n v="0"/>
    <n v="0"/>
    <n v="25.680534139999999"/>
    <n v="0"/>
    <n v="420"/>
    <n v="0"/>
    <n v="0"/>
    <n v="0"/>
    <x v="2"/>
    <n v="52.344499041999995"/>
    <n v="0"/>
    <n v="52.344499041999995"/>
    <x v="0"/>
  </r>
  <r>
    <x v="526"/>
    <x v="1"/>
    <n v="0"/>
    <n v="0"/>
    <n v="0"/>
    <n v="0"/>
    <n v="0"/>
    <n v="0"/>
    <n v="0"/>
    <n v="0"/>
    <n v="0"/>
    <n v="0"/>
    <n v="29.126622210000001"/>
    <n v="0"/>
    <n v="1.4218260199999999"/>
    <n v="0"/>
    <n v="0"/>
    <n v="328.9229512"/>
    <n v="0"/>
    <n v="0"/>
    <n v="0"/>
    <n v="0"/>
    <n v="0"/>
    <n v="0"/>
    <n v="0"/>
    <n v="0"/>
    <n v="419"/>
    <n v="0"/>
    <n v="0"/>
    <n v="0"/>
    <x v="2"/>
    <n v="55.986562344999996"/>
    <n v="0"/>
    <n v="55.986562344999996"/>
    <x v="0"/>
  </r>
  <r>
    <x v="527"/>
    <x v="1"/>
    <n v="0"/>
    <n v="0"/>
    <n v="0"/>
    <n v="0"/>
    <n v="0"/>
    <n v="0"/>
    <n v="0"/>
    <n v="0"/>
    <n v="0"/>
    <n v="0"/>
    <n v="32.242350450000004"/>
    <n v="0"/>
    <n v="2.6086163789999999"/>
    <n v="0"/>
    <n v="0"/>
    <n v="318.99395550000003"/>
    <n v="0"/>
    <n v="0"/>
    <n v="0"/>
    <n v="0"/>
    <n v="0"/>
    <n v="0"/>
    <n v="0"/>
    <n v="0"/>
    <n v="418"/>
    <n v="0"/>
    <n v="0"/>
    <n v="0"/>
    <x v="2"/>
    <n v="63.672269049000008"/>
    <n v="0"/>
    <n v="63.672269049000008"/>
    <x v="0"/>
  </r>
  <r>
    <x v="528"/>
    <x v="1"/>
    <n v="0"/>
    <n v="0"/>
    <n v="0"/>
    <n v="0"/>
    <n v="0"/>
    <n v="0"/>
    <n v="0"/>
    <n v="0"/>
    <n v="0"/>
    <n v="0"/>
    <n v="31.3082244"/>
    <n v="0"/>
    <n v="2.2967522630000001"/>
    <n v="0"/>
    <n v="0"/>
    <n v="292.60131519999999"/>
    <n v="0"/>
    <n v="0"/>
    <n v="0"/>
    <n v="2.2037595E-2"/>
    <n v="0"/>
    <n v="0"/>
    <n v="1.829299419"/>
    <n v="0"/>
    <n v="417"/>
    <n v="0"/>
    <n v="0"/>
    <n v="0"/>
    <x v="2"/>
    <n v="59.009912809900001"/>
    <n v="0"/>
    <n v="59.009912809900001"/>
    <x v="0"/>
  </r>
  <r>
    <x v="529"/>
    <x v="2"/>
    <n v="0"/>
    <n v="0"/>
    <n v="0"/>
    <n v="0"/>
    <n v="0"/>
    <n v="0"/>
    <n v="0"/>
    <n v="0"/>
    <n v="0"/>
    <n v="0"/>
    <n v="26.648904380000001"/>
    <n v="0"/>
    <n v="1.4108897520000001"/>
    <n v="0"/>
    <n v="0"/>
    <n v="320.54201999999998"/>
    <n v="0"/>
    <n v="0"/>
    <n v="0"/>
    <n v="0"/>
    <n v="0"/>
    <n v="0"/>
    <n v="0"/>
    <n v="0"/>
    <n v="407"/>
    <n v="0"/>
    <n v="0"/>
    <n v="0"/>
    <x v="2"/>
    <n v="53.843992701999994"/>
    <n v="0"/>
    <n v="53.843992701999994"/>
    <x v="0"/>
  </r>
  <r>
    <x v="530"/>
    <x v="3"/>
    <n v="0"/>
    <n v="0"/>
    <n v="0"/>
    <n v="0"/>
    <n v="0"/>
    <n v="0"/>
    <n v="0"/>
    <n v="0"/>
    <n v="0"/>
    <n v="0"/>
    <n v="8.2351717610000001"/>
    <n v="0"/>
    <n v="0.322665708"/>
    <n v="0"/>
    <n v="0"/>
    <n v="57.839850439999999"/>
    <n v="0"/>
    <n v="0"/>
    <n v="0"/>
    <n v="0.83010450300000005"/>
    <n v="0"/>
    <n v="0"/>
    <n v="114.8133046"/>
    <n v="0"/>
    <n v="406"/>
    <n v="0"/>
    <n v="0"/>
    <n v="0"/>
    <x v="2"/>
    <n v="28.299522650500002"/>
    <n v="0"/>
    <n v="28.299522650500002"/>
    <x v="0"/>
  </r>
  <r>
    <x v="531"/>
    <x v="1"/>
    <n v="0"/>
    <n v="0"/>
    <n v="0"/>
    <n v="0"/>
    <n v="0"/>
    <n v="0"/>
    <n v="0"/>
    <n v="0"/>
    <n v="0"/>
    <n v="0"/>
    <n v="31.55931245"/>
    <n v="0"/>
    <n v="2.1546253229999999"/>
    <n v="0"/>
    <n v="0"/>
    <n v="298.34893319999998"/>
    <n v="0"/>
    <n v="0"/>
    <n v="0"/>
    <n v="0"/>
    <n v="0"/>
    <n v="0"/>
    <n v="0"/>
    <n v="0"/>
    <n v="443"/>
    <n v="0"/>
    <n v="0"/>
    <n v="0"/>
    <x v="2"/>
    <n v="58.542301483000003"/>
    <n v="0"/>
    <n v="58.542301483000003"/>
    <x v="0"/>
  </r>
  <r>
    <x v="532"/>
    <x v="1"/>
    <n v="0"/>
    <n v="0"/>
    <n v="0"/>
    <n v="0"/>
    <n v="0"/>
    <n v="0"/>
    <n v="0"/>
    <n v="0"/>
    <n v="0"/>
    <n v="0"/>
    <n v="20.49749422"/>
    <n v="0"/>
    <n v="1.1173122"/>
    <n v="0"/>
    <n v="0"/>
    <n v="191.40600509999999"/>
    <n v="0"/>
    <n v="0"/>
    <n v="0"/>
    <n v="0"/>
    <n v="0"/>
    <n v="0"/>
    <n v="0"/>
    <n v="0"/>
    <n v="460"/>
    <n v="0"/>
    <n v="0"/>
    <n v="0"/>
    <x v="2"/>
    <n v="36.093220819999999"/>
    <n v="0"/>
    <n v="36.093220819999999"/>
    <x v="0"/>
  </r>
  <r>
    <x v="533"/>
    <x v="1"/>
    <n v="0"/>
    <n v="0"/>
    <n v="0"/>
    <n v="0"/>
    <n v="0"/>
    <n v="0"/>
    <n v="0"/>
    <n v="0"/>
    <n v="0"/>
    <n v="0"/>
    <n v="21.326092450000001"/>
    <n v="0"/>
    <n v="1.4420330669999999"/>
    <n v="0"/>
    <n v="0"/>
    <n v="206.0496417"/>
    <n v="0"/>
    <n v="0"/>
    <n v="0"/>
    <n v="0"/>
    <n v="0"/>
    <n v="0"/>
    <n v="0"/>
    <n v="0"/>
    <n v="471"/>
    <n v="0"/>
    <n v="0"/>
    <n v="0"/>
    <x v="2"/>
    <n v="39.920208797000001"/>
    <n v="0"/>
    <n v="39.920208797000001"/>
    <x v="0"/>
  </r>
  <r>
    <x v="534"/>
    <x v="1"/>
    <n v="0"/>
    <n v="0"/>
    <n v="0"/>
    <n v="0"/>
    <n v="0"/>
    <n v="0"/>
    <n v="0"/>
    <n v="0"/>
    <n v="0"/>
    <n v="0"/>
    <n v="26.456478409999999"/>
    <n v="0"/>
    <n v="1.079510883"/>
    <n v="0"/>
    <n v="0"/>
    <n v="246.6370225"/>
    <n v="0"/>
    <n v="0"/>
    <n v="0"/>
    <n v="0"/>
    <n v="0"/>
    <n v="0"/>
    <n v="0"/>
    <n v="0"/>
    <n v="470"/>
    <n v="0"/>
    <n v="0"/>
    <n v="0"/>
    <x v="2"/>
    <n v="44.369006753000001"/>
    <n v="0"/>
    <n v="44.369006753000001"/>
    <x v="0"/>
  </r>
  <r>
    <x v="535"/>
    <x v="1"/>
    <n v="0"/>
    <n v="0"/>
    <n v="0"/>
    <n v="0"/>
    <n v="0"/>
    <n v="0"/>
    <n v="0"/>
    <n v="0"/>
    <n v="0"/>
    <n v="0"/>
    <n v="21.859354490000001"/>
    <n v="0"/>
    <n v="0.86494534999999995"/>
    <n v="0"/>
    <n v="0"/>
    <n v="179.55132649999999"/>
    <n v="0"/>
    <n v="0"/>
    <n v="0"/>
    <n v="0"/>
    <n v="0"/>
    <n v="0"/>
    <n v="0"/>
    <n v="0"/>
    <n v="469"/>
    <n v="0"/>
    <n v="0"/>
    <n v="0"/>
    <x v="2"/>
    <n v="34.074481994999999"/>
    <n v="0"/>
    <n v="34.074481994999999"/>
    <x v="0"/>
  </r>
  <r>
    <x v="536"/>
    <x v="1"/>
    <n v="0"/>
    <n v="0"/>
    <n v="0"/>
    <n v="0"/>
    <n v="0"/>
    <n v="0"/>
    <n v="0"/>
    <n v="0"/>
    <n v="0"/>
    <n v="0"/>
    <n v="25.826509009999999"/>
    <n v="0"/>
    <n v="2.3443824969999998"/>
    <n v="0"/>
    <n v="0"/>
    <n v="265.04529480000002"/>
    <n v="0"/>
    <n v="0"/>
    <n v="0"/>
    <n v="0"/>
    <n v="0"/>
    <n v="0"/>
    <n v="0"/>
    <n v="0"/>
    <n v="468"/>
    <n v="0"/>
    <n v="0"/>
    <n v="0"/>
    <x v="2"/>
    <n v="53.484078967000002"/>
    <n v="0"/>
    <n v="53.484078967000002"/>
    <x v="0"/>
  </r>
  <r>
    <x v="537"/>
    <x v="1"/>
    <n v="0"/>
    <n v="0"/>
    <n v="0"/>
    <n v="0"/>
    <n v="0"/>
    <n v="0"/>
    <n v="0"/>
    <n v="0"/>
    <n v="0"/>
    <n v="0"/>
    <n v="24.175926230000002"/>
    <n v="0"/>
    <n v="1.7799266549999999"/>
    <n v="0"/>
    <n v="0"/>
    <n v="230.06112289999999"/>
    <n v="0"/>
    <n v="0"/>
    <n v="0"/>
    <n v="0"/>
    <n v="0"/>
    <n v="0"/>
    <n v="0"/>
    <n v="0"/>
    <n v="467"/>
    <n v="0"/>
    <n v="0"/>
    <n v="0"/>
    <x v="2"/>
    <n v="45.773635335000002"/>
    <n v="0"/>
    <n v="45.773635335000002"/>
    <x v="0"/>
  </r>
  <r>
    <x v="538"/>
    <x v="1"/>
    <n v="0"/>
    <n v="0"/>
    <n v="0"/>
    <n v="0"/>
    <n v="0"/>
    <n v="0"/>
    <n v="0"/>
    <n v="0"/>
    <n v="0"/>
    <n v="0"/>
    <n v="30.19275815"/>
    <n v="0"/>
    <n v="1.4202484550000001"/>
    <n v="0"/>
    <n v="0"/>
    <n v="266.09908619999999"/>
    <n v="0"/>
    <n v="0"/>
    <n v="0"/>
    <n v="0"/>
    <n v="0"/>
    <n v="0"/>
    <n v="0"/>
    <n v="0"/>
    <n v="466"/>
    <n v="0"/>
    <n v="0"/>
    <n v="0"/>
    <x v="2"/>
    <n v="50.227778424999997"/>
    <n v="0"/>
    <n v="50.227778424999997"/>
    <x v="0"/>
  </r>
  <r>
    <x v="539"/>
    <x v="1"/>
    <n v="0"/>
    <n v="0"/>
    <n v="0"/>
    <n v="0"/>
    <n v="0"/>
    <n v="0"/>
    <n v="0"/>
    <n v="0"/>
    <n v="0"/>
    <n v="0"/>
    <n v="28.50512384"/>
    <n v="0"/>
    <n v="2.2703738759999998"/>
    <n v="0"/>
    <n v="0"/>
    <n v="289.13552909999999"/>
    <n v="0"/>
    <n v="0"/>
    <n v="0"/>
    <n v="0"/>
    <n v="0"/>
    <n v="0"/>
    <n v="0"/>
    <n v="0"/>
    <n v="464"/>
    <n v="0"/>
    <n v="0"/>
    <n v="0"/>
    <x v="2"/>
    <n v="56.788358086000002"/>
    <n v="0"/>
    <n v="56.788358086000002"/>
    <x v="0"/>
  </r>
  <r>
    <x v="540"/>
    <x v="1"/>
    <n v="0"/>
    <n v="0"/>
    <n v="0"/>
    <n v="0"/>
    <n v="0"/>
    <n v="0"/>
    <n v="0"/>
    <n v="0"/>
    <n v="0"/>
    <n v="0"/>
    <n v="32.029951779999998"/>
    <n v="0"/>
    <n v="3.0950399289999999"/>
    <n v="0"/>
    <n v="0"/>
    <n v="328.93829360000001"/>
    <n v="0"/>
    <n v="0"/>
    <n v="0"/>
    <n v="0"/>
    <n v="0"/>
    <n v="0"/>
    <n v="0"/>
    <n v="0"/>
    <n v="444"/>
    <n v="0"/>
    <n v="0"/>
    <n v="0"/>
    <x v="2"/>
    <n v="67.479044823999999"/>
    <n v="0"/>
    <n v="67.479044823999999"/>
    <x v="0"/>
  </r>
  <r>
    <x v="541"/>
    <x v="3"/>
    <n v="0"/>
    <n v="0"/>
    <n v="0"/>
    <n v="0"/>
    <n v="0"/>
    <n v="0"/>
    <n v="0"/>
    <n v="0"/>
    <n v="0"/>
    <n v="0"/>
    <n v="9.2245237620000005"/>
    <n v="0"/>
    <n v="0.37912404700000002"/>
    <n v="0"/>
    <n v="0"/>
    <n v="65.083353200000005"/>
    <n v="0"/>
    <n v="0"/>
    <n v="0"/>
    <n v="0.36500772999999997"/>
    <n v="0"/>
    <n v="0"/>
    <n v="52.660578049999998"/>
    <n v="0"/>
    <n v="458"/>
    <n v="0"/>
    <n v="0"/>
    <n v="0"/>
    <x v="2"/>
    <n v="20.851445668"/>
    <n v="0"/>
    <n v="20.851445668"/>
    <x v="0"/>
  </r>
  <r>
    <x v="542"/>
    <x v="3"/>
    <n v="0"/>
    <n v="0"/>
    <n v="0"/>
    <n v="0"/>
    <n v="0"/>
    <n v="0"/>
    <n v="0"/>
    <n v="0"/>
    <n v="0"/>
    <n v="0"/>
    <n v="4.3091441799999997"/>
    <n v="0"/>
    <n v="0.126769669"/>
    <n v="0"/>
    <n v="0"/>
    <n v="30.11853623"/>
    <n v="0"/>
    <n v="0"/>
    <n v="0"/>
    <n v="0.86336647099999997"/>
    <n v="0"/>
    <n v="0"/>
    <n v="115.18785"/>
    <n v="0"/>
    <n v="457"/>
    <n v="0"/>
    <n v="0"/>
    <n v="0"/>
    <x v="2"/>
    <n v="22.626027553"/>
    <n v="0"/>
    <n v="22.626027553"/>
    <x v="0"/>
  </r>
  <r>
    <x v="543"/>
    <x v="0"/>
    <n v="0"/>
    <n v="1.8735650079999999"/>
    <n v="0"/>
    <n v="0"/>
    <n v="3.622313621"/>
    <n v="0"/>
    <n v="0"/>
    <n v="498.43907569999999"/>
    <n v="0"/>
    <n v="0"/>
    <n v="0"/>
    <n v="0"/>
    <n v="0"/>
    <n v="0"/>
    <n v="0"/>
    <n v="0"/>
    <n v="0"/>
    <n v="0"/>
    <n v="0"/>
    <n v="0.60790627399999997"/>
    <n v="0"/>
    <n v="0"/>
    <n v="35.039918980000003"/>
    <n v="0"/>
    <n v="456"/>
    <n v="0"/>
    <n v="0"/>
    <n v="0"/>
    <x v="2"/>
    <n v="37.831117038000002"/>
    <n v="0"/>
    <n v="37.831117038000002"/>
    <x v="0"/>
  </r>
  <r>
    <x v="544"/>
    <x v="0"/>
    <n v="0"/>
    <n v="1.5807611770000001"/>
    <n v="0"/>
    <n v="0"/>
    <n v="2.2374438090000002"/>
    <n v="0"/>
    <n v="0"/>
    <n v="432.32501300000001"/>
    <n v="0"/>
    <n v="0"/>
    <n v="0"/>
    <n v="0"/>
    <n v="0"/>
    <n v="0"/>
    <n v="0"/>
    <n v="0"/>
    <n v="0"/>
    <n v="0"/>
    <n v="0"/>
    <n v="0.19134161999999999"/>
    <n v="0"/>
    <n v="0"/>
    <n v="18.279336539999999"/>
    <n v="0"/>
    <n v="455"/>
    <n v="0"/>
    <n v="0"/>
    <n v="0"/>
    <x v="2"/>
    <n v="26.057236776"/>
    <n v="0"/>
    <n v="26.057236776"/>
    <x v="0"/>
  </r>
  <r>
    <x v="545"/>
    <x v="0"/>
    <n v="0"/>
    <n v="1.7804727709999999"/>
    <n v="0"/>
    <n v="0"/>
    <n v="3.4163379549999999"/>
    <n v="0"/>
    <n v="0"/>
    <n v="445.49458120000003"/>
    <n v="0"/>
    <n v="0"/>
    <n v="0"/>
    <n v="0"/>
    <n v="0"/>
    <n v="0"/>
    <n v="0"/>
    <n v="0"/>
    <n v="0"/>
    <n v="0"/>
    <n v="0"/>
    <n v="0.18219149000000001"/>
    <n v="0"/>
    <n v="0"/>
    <n v="39.045601619999999"/>
    <n v="0"/>
    <n v="453"/>
    <n v="0"/>
    <n v="0"/>
    <n v="0"/>
    <x v="2"/>
    <n v="32.921898628000001"/>
    <n v="0"/>
    <n v="32.921898628000001"/>
    <x v="0"/>
  </r>
  <r>
    <x v="546"/>
    <x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712"/>
    <n v="0"/>
    <n v="0"/>
    <n v="0"/>
    <x v="2"/>
    <n v="0"/>
    <n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EEEDF2-B9A3-48C4-96D9-56C47C833C1C}" name="PivotTable3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M3:O90" firstHeaderRow="2" firstDataRow="2" firstDataCol="2" rowPageCount="1" colPageCount="1"/>
  <pivotFields count="37">
    <pivotField axis="axisRow" compact="0" outline="0" showAll="0" measureFilter="1" sortType="ascending" defaultSubtotal="0">
      <items count="551">
        <item x="100"/>
        <item x="12"/>
        <item x="316"/>
        <item x="43"/>
        <item x="517"/>
        <item x="113"/>
        <item x="518"/>
        <item x="142"/>
        <item x="164"/>
        <item x="55"/>
        <item x="235"/>
        <item x="402"/>
        <item x="327"/>
        <item x="507"/>
        <item x="253"/>
        <item x="480"/>
        <item x="102"/>
        <item x="48"/>
        <item x="176"/>
        <item x="441"/>
        <item x="65"/>
        <item x="438"/>
        <item x="337"/>
        <item x="301"/>
        <item x="270"/>
        <item x="3"/>
        <item x="246"/>
        <item x="358"/>
        <item x="400"/>
        <item x="126"/>
        <item x="190"/>
        <item x="534"/>
        <item x="184"/>
        <item x="289"/>
        <item x="26"/>
        <item x="350"/>
        <item x="135"/>
        <item x="96"/>
        <item x="118"/>
        <item x="409"/>
        <item x="336"/>
        <item x="5"/>
        <item m="1" x="550"/>
        <item x="348"/>
        <item x="123"/>
        <item x="232"/>
        <item x="193"/>
        <item x="359"/>
        <item x="495"/>
        <item x="265"/>
        <item x="410"/>
        <item x="91"/>
        <item x="159"/>
        <item x="302"/>
        <item x="306"/>
        <item x="192"/>
        <item x="71"/>
        <item x="338"/>
        <item x="66"/>
        <item x="19"/>
        <item x="509"/>
        <item x="24"/>
        <item x="508"/>
        <item x="133"/>
        <item x="470"/>
        <item x="156"/>
        <item x="22"/>
        <item x="487"/>
        <item x="86"/>
        <item x="298"/>
        <item x="343"/>
        <item x="154"/>
        <item x="490"/>
        <item x="313"/>
        <item x="305"/>
        <item x="447"/>
        <item x="481"/>
        <item x="75"/>
        <item x="283"/>
        <item x="383"/>
        <item x="292"/>
        <item x="249"/>
        <item x="434"/>
        <item x="462"/>
        <item x="276"/>
        <item x="275"/>
        <item x="364"/>
        <item x="32"/>
        <item x="419"/>
        <item x="266"/>
        <item x="53"/>
        <item x="442"/>
        <item x="40"/>
        <item x="87"/>
        <item x="39"/>
        <item x="207"/>
        <item x="391"/>
        <item x="25"/>
        <item x="255"/>
        <item x="143"/>
        <item x="527"/>
        <item x="219"/>
        <item x="341"/>
        <item x="533"/>
        <item x="73"/>
        <item x="502"/>
        <item x="477"/>
        <item x="153"/>
        <item x="50"/>
        <item x="522"/>
        <item x="258"/>
        <item x="151"/>
        <item x="20"/>
        <item x="239"/>
        <item x="150"/>
        <item x="38"/>
        <item x="49"/>
        <item x="245"/>
        <item x="244"/>
        <item x="107"/>
        <item x="535"/>
        <item x="6"/>
        <item x="342"/>
        <item x="286"/>
        <item x="366"/>
        <item x="478"/>
        <item x="475"/>
        <item x="257"/>
        <item x="500"/>
        <item x="280"/>
        <item x="72"/>
        <item x="263"/>
        <item x="194"/>
        <item x="330"/>
        <item x="28"/>
        <item x="310"/>
        <item x="448"/>
        <item x="375"/>
        <item x="214"/>
        <item x="389"/>
        <item x="46"/>
        <item x="278"/>
        <item x="463"/>
        <item x="259"/>
        <item x="339"/>
        <item x="401"/>
        <item x="11"/>
        <item x="314"/>
        <item x="427"/>
        <item x="106"/>
        <item x="171"/>
        <item x="15"/>
        <item x="309"/>
        <item x="541"/>
        <item x="367"/>
        <item x="352"/>
        <item x="421"/>
        <item x="90"/>
        <item x="98"/>
        <item x="64"/>
        <item x="131"/>
        <item x="148"/>
        <item x="85"/>
        <item x="456"/>
        <item x="78"/>
        <item x="287"/>
        <item x="79"/>
        <item x="398"/>
        <item x="322"/>
        <item x="455"/>
        <item x="231"/>
        <item x="67"/>
        <item x="111"/>
        <item x="492"/>
        <item x="501"/>
        <item x="304"/>
        <item x="498"/>
        <item x="451"/>
        <item x="146"/>
        <item x="308"/>
        <item x="504"/>
        <item x="254"/>
        <item x="444"/>
        <item x="415"/>
        <item x="432"/>
        <item x="411"/>
        <item x="169"/>
        <item x="221"/>
        <item x="449"/>
        <item x="101"/>
        <item x="513"/>
        <item x="178"/>
        <item x="208"/>
        <item x="1"/>
        <item x="58"/>
        <item x="198"/>
        <item x="47"/>
        <item x="81"/>
        <item x="528"/>
        <item m="1" x="547"/>
        <item x="267"/>
        <item x="525"/>
        <item x="526"/>
        <item x="374"/>
        <item x="196"/>
        <item x="395"/>
        <item x="353"/>
        <item x="467"/>
        <item x="307"/>
        <item x="461"/>
        <item x="373"/>
        <item x="284"/>
        <item x="503"/>
        <item x="294"/>
        <item x="300"/>
        <item x="130"/>
        <item x="145"/>
        <item x="407"/>
        <item x="439"/>
        <item x="303"/>
        <item x="92"/>
        <item x="325"/>
        <item x="408"/>
        <item x="523"/>
        <item x="422"/>
        <item x="137"/>
        <item x="185"/>
        <item x="497"/>
        <item x="543"/>
        <item x="33"/>
        <item x="215"/>
        <item x="251"/>
        <item x="290"/>
        <item x="167"/>
        <item x="360"/>
        <item x="13"/>
        <item x="129"/>
        <item x="331"/>
        <item x="405"/>
        <item x="476"/>
        <item x="243"/>
        <item x="119"/>
        <item x="241"/>
        <item x="166"/>
        <item x="70"/>
        <item x="515"/>
        <item x="203"/>
        <item x="93"/>
        <item x="390"/>
        <item x="372"/>
        <item x="230"/>
        <item x="511"/>
        <item x="520"/>
        <item x="7"/>
        <item x="165"/>
        <item x="261"/>
        <item x="493"/>
        <item x="163"/>
        <item x="397"/>
        <item x="162"/>
        <item x="229"/>
        <item x="320"/>
        <item x="213"/>
        <item x="160"/>
        <item x="36"/>
        <item x="8"/>
        <item x="29"/>
        <item x="52"/>
        <item x="201"/>
        <item x="124"/>
        <item x="182"/>
        <item m="1" x="549"/>
        <item x="379"/>
        <item x="537"/>
        <item x="117"/>
        <item x="210"/>
        <item x="88"/>
        <item x="376"/>
        <item x="223"/>
        <item x="206"/>
        <item x="181"/>
        <item x="23"/>
        <item x="544"/>
        <item x="134"/>
        <item x="99"/>
        <item x="262"/>
        <item x="293"/>
        <item x="384"/>
        <item x="532"/>
        <item x="158"/>
        <item x="446"/>
        <item x="103"/>
        <item x="122"/>
        <item x="440"/>
        <item x="236"/>
        <item x="506"/>
        <item x="16"/>
        <item x="521"/>
        <item x="414"/>
        <item x="380"/>
        <item x="157"/>
        <item x="319"/>
        <item x="9"/>
        <item x="199"/>
        <item x="105"/>
        <item x="315"/>
        <item x="516"/>
        <item x="436"/>
        <item x="510"/>
        <item x="155"/>
        <item x="499"/>
        <item x="51"/>
        <item x="387"/>
        <item x="247"/>
        <item x="403"/>
        <item x="479"/>
        <item x="468"/>
        <item x="197"/>
        <item x="188"/>
        <item x="61"/>
        <item x="418"/>
        <item x="496"/>
        <item x="460"/>
        <item x="332"/>
        <item x="425"/>
        <item x="217"/>
        <item x="486"/>
        <item x="195"/>
        <item x="45"/>
        <item x="371"/>
        <item x="139"/>
        <item x="250"/>
        <item x="459"/>
        <item x="295"/>
        <item x="469"/>
        <item x="187"/>
        <item x="530"/>
        <item x="233"/>
        <item x="396"/>
        <item x="77"/>
        <item x="282"/>
        <item x="485"/>
        <item x="242"/>
        <item x="110"/>
        <item x="362"/>
        <item x="152"/>
        <item x="18"/>
        <item x="299"/>
        <item x="274"/>
        <item x="382"/>
        <item x="519"/>
        <item x="345"/>
        <item x="37"/>
        <item x="312"/>
        <item x="524"/>
        <item x="4"/>
        <item x="186"/>
        <item x="69"/>
        <item x="10"/>
        <item x="296"/>
        <item x="324"/>
        <item x="271"/>
        <item x="269"/>
        <item x="149"/>
        <item x="471"/>
        <item x="311"/>
        <item x="222"/>
        <item x="334"/>
        <item x="115"/>
        <item x="386"/>
        <item x="112"/>
        <item x="170"/>
        <item x="388"/>
        <item x="489"/>
        <item x="147"/>
        <item x="83"/>
        <item x="273"/>
        <item x="220"/>
        <item x="121"/>
        <item x="56"/>
        <item x="424"/>
        <item x="491"/>
        <item x="2"/>
        <item x="417"/>
        <item x="413"/>
        <item x="288"/>
        <item x="430"/>
        <item x="234"/>
        <item x="248"/>
        <item x="120"/>
        <item x="84"/>
        <item x="138"/>
        <item x="252"/>
        <item x="80"/>
        <item x="540"/>
        <item m="1" x="548"/>
        <item x="41"/>
        <item x="228"/>
        <item x="488"/>
        <item x="168"/>
        <item x="318"/>
        <item x="546"/>
        <item x="420"/>
        <item x="268"/>
        <item x="205"/>
        <item x="385"/>
        <item x="445"/>
        <item x="204"/>
        <item x="494"/>
        <item x="412"/>
        <item x="323"/>
        <item x="54"/>
        <item x="482"/>
        <item x="472"/>
        <item x="539"/>
        <item x="431"/>
        <item x="44"/>
        <item x="529"/>
        <item x="177"/>
        <item x="416"/>
        <item x="281"/>
        <item x="34"/>
        <item x="27"/>
        <item x="357"/>
        <item x="326"/>
        <item x="321"/>
        <item x="335"/>
        <item x="370"/>
        <item x="76"/>
        <item x="240"/>
        <item x="406"/>
        <item x="394"/>
        <item x="95"/>
        <item x="297"/>
        <item x="89"/>
        <item x="346"/>
        <item x="189"/>
        <item x="136"/>
        <item x="226"/>
        <item x="465"/>
        <item x="144"/>
        <item x="452"/>
        <item x="202"/>
        <item x="114"/>
        <item x="458"/>
        <item x="347"/>
        <item x="392"/>
        <item x="128"/>
        <item x="62"/>
        <item x="227"/>
        <item x="377"/>
        <item x="542"/>
        <item x="238"/>
        <item x="399"/>
        <item x="428"/>
        <item x="212"/>
        <item x="505"/>
        <item x="0"/>
        <item x="141"/>
        <item x="211"/>
        <item x="63"/>
        <item x="433"/>
        <item x="368"/>
        <item x="104"/>
        <item x="277"/>
        <item x="363"/>
        <item x="272"/>
        <item x="285"/>
        <item x="328"/>
        <item x="127"/>
        <item x="60"/>
        <item x="291"/>
        <item x="365"/>
        <item x="333"/>
        <item x="161"/>
        <item x="183"/>
        <item x="473"/>
        <item x="35"/>
        <item x="317"/>
        <item x="174"/>
        <item x="175"/>
        <item x="209"/>
        <item x="42"/>
        <item x="30"/>
        <item x="140"/>
        <item x="340"/>
        <item x="474"/>
        <item x="173"/>
        <item x="200"/>
        <item x="344"/>
        <item x="536"/>
        <item x="108"/>
        <item x="94"/>
        <item x="354"/>
        <item x="68"/>
        <item x="426"/>
        <item x="464"/>
        <item x="279"/>
        <item x="512"/>
        <item x="17"/>
        <item x="116"/>
        <item x="218"/>
        <item x="437"/>
        <item x="429"/>
        <item x="484"/>
        <item x="180"/>
        <item x="125"/>
        <item x="21"/>
        <item x="466"/>
        <item x="483"/>
        <item x="216"/>
        <item x="435"/>
        <item x="191"/>
        <item x="369"/>
        <item x="256"/>
        <item x="225"/>
        <item x="260"/>
        <item x="349"/>
        <item x="393"/>
        <item x="179"/>
        <item x="237"/>
        <item x="404"/>
        <item x="31"/>
        <item x="264"/>
        <item x="514"/>
        <item x="59"/>
        <item x="381"/>
        <item x="545"/>
        <item x="172"/>
        <item x="423"/>
        <item x="450"/>
        <item x="356"/>
        <item x="457"/>
        <item x="538"/>
        <item x="14"/>
        <item x="454"/>
        <item x="132"/>
        <item x="443"/>
        <item x="355"/>
        <item x="82"/>
        <item x="74"/>
        <item x="224"/>
        <item x="531"/>
        <item x="361"/>
        <item x="109"/>
        <item x="97"/>
        <item x="57"/>
        <item x="453"/>
        <item x="329"/>
        <item x="351"/>
        <item x="37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ascending">
      <items count="6">
        <item x="4"/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axis="axisPage" compact="0" outline="0" showAll="0">
      <items count="3">
        <item m="1" x="1"/>
        <item x="0"/>
        <item t="default"/>
      </items>
    </pivotField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1"/>
  </rowFields>
  <rowItems count="86">
    <i>
      <x v="66"/>
      <x v="1"/>
    </i>
    <i>
      <x v="265"/>
      <x v="1"/>
    </i>
    <i>
      <x v="379"/>
      <x v="4"/>
    </i>
    <i>
      <x v="41"/>
      <x v="1"/>
    </i>
    <i>
      <x v="172"/>
      <x v="1"/>
    </i>
    <i>
      <x v="370"/>
      <x v="4"/>
    </i>
    <i>
      <x v="540"/>
      <x v="4"/>
    </i>
    <i>
      <x v="357"/>
      <x v="4"/>
    </i>
    <i>
      <x v="339"/>
      <x v="4"/>
    </i>
    <i>
      <x v="56"/>
      <x v="4"/>
    </i>
    <i>
      <x v="58"/>
      <x v="3"/>
    </i>
    <i>
      <x v="448"/>
      <x v="4"/>
    </i>
    <i>
      <x v="274"/>
      <x v="4"/>
    </i>
    <i>
      <x v="38"/>
      <x v="2"/>
    </i>
    <i>
      <x v="539"/>
      <x v="4"/>
    </i>
    <i>
      <x v="443"/>
      <x v="4"/>
    </i>
    <i>
      <x v="500"/>
      <x v="2"/>
    </i>
    <i>
      <x v="5"/>
      <x v="4"/>
    </i>
    <i>
      <x v="368"/>
      <x v="4"/>
    </i>
    <i>
      <x v="241"/>
      <x v="4"/>
    </i>
    <i>
      <x v="378"/>
      <x v="2"/>
    </i>
    <i>
      <x v="269"/>
      <x v="2"/>
    </i>
    <i>
      <x v="389"/>
      <x v="1"/>
    </i>
    <i>
      <x v="44"/>
      <x v="2"/>
    </i>
    <i>
      <x v="292"/>
      <x v="2"/>
    </i>
    <i>
      <x v="506"/>
      <x v="4"/>
    </i>
    <i>
      <x v="63"/>
      <x v="2"/>
    </i>
    <i>
      <x v="536"/>
      <x v="2"/>
    </i>
    <i>
      <x v="160"/>
      <x v="4"/>
    </i>
    <i>
      <x v="447"/>
      <x v="4"/>
    </i>
    <i>
      <x v="283"/>
      <x/>
    </i>
    <i>
      <x v="469"/>
      <x v="1"/>
    </i>
    <i>
      <x v="215"/>
      <x v="2"/>
    </i>
    <i>
      <x v="29"/>
      <x v="2"/>
    </i>
    <i>
      <x v="236"/>
      <x v="4"/>
    </i>
    <i>
      <x v="36"/>
      <x v="3"/>
    </i>
    <i>
      <x v="330"/>
      <x/>
    </i>
    <i>
      <x v="225"/>
      <x v="3"/>
    </i>
    <i>
      <x v="391"/>
      <x/>
    </i>
    <i>
      <x v="484"/>
      <x v="3"/>
    </i>
    <i>
      <x v="437"/>
      <x v="2"/>
    </i>
    <i>
      <x v="309"/>
      <x/>
    </i>
    <i>
      <x v="107"/>
      <x/>
    </i>
    <i>
      <x v="216"/>
      <x v="2"/>
    </i>
    <i>
      <x v="114"/>
      <x v="3"/>
    </i>
    <i>
      <x v="374"/>
      <x/>
    </i>
    <i>
      <x v="300"/>
      <x/>
    </i>
    <i>
      <x v="99"/>
      <x/>
    </i>
    <i>
      <x v="345"/>
      <x v="2"/>
    </i>
    <i>
      <x v="52"/>
      <x v="4"/>
    </i>
    <i>
      <x v="363"/>
      <x v="4"/>
    </i>
    <i>
      <x v="161"/>
      <x/>
    </i>
    <i>
      <x v="289"/>
      <x v="4"/>
    </i>
    <i>
      <x v="65"/>
      <x v="3"/>
    </i>
    <i>
      <x v="7"/>
      <x v="4"/>
    </i>
    <i>
      <x v="111"/>
      <x/>
    </i>
    <i>
      <x v="178"/>
      <x v="2"/>
    </i>
    <i>
      <x v="440"/>
      <x v="2"/>
    </i>
    <i>
      <x v="71"/>
      <x v="2"/>
    </i>
    <i>
      <x v="458"/>
      <x/>
    </i>
    <i>
      <x v="399"/>
      <x/>
    </i>
    <i>
      <x v="474"/>
      <x/>
    </i>
    <i>
      <x v="233"/>
      <x/>
    </i>
    <i>
      <x v="479"/>
      <x/>
    </i>
    <i>
      <x v="243"/>
      <x v="4"/>
    </i>
    <i>
      <x v="254"/>
      <x v="3"/>
    </i>
    <i>
      <x v="8"/>
      <x v="3"/>
    </i>
    <i>
      <x v="371"/>
      <x v="4"/>
    </i>
    <i>
      <x v="259"/>
      <x v="3"/>
    </i>
    <i>
      <x v="150"/>
      <x/>
    </i>
    <i>
      <x v="487"/>
      <x v="3"/>
    </i>
    <i>
      <x v="257"/>
      <x v="2"/>
    </i>
    <i>
      <x v="263"/>
      <x/>
    </i>
    <i>
      <x v="528"/>
      <x v="2"/>
    </i>
    <i>
      <x v="186"/>
      <x v="3"/>
    </i>
    <i>
      <x v="480"/>
      <x/>
    </i>
    <i>
      <x v="418"/>
      <x/>
    </i>
    <i>
      <x v="519"/>
      <x/>
    </i>
    <i>
      <x v="191"/>
      <x/>
    </i>
    <i>
      <x v="505"/>
      <x/>
    </i>
    <i>
      <x v="475"/>
      <x/>
    </i>
    <i>
      <x v="32"/>
      <x/>
    </i>
    <i>
      <x v="270"/>
      <x/>
    </i>
    <i>
      <x v="280"/>
      <x/>
    </i>
    <i>
      <x v="18"/>
      <x/>
    </i>
    <i t="grand">
      <x/>
    </i>
  </rowItems>
  <colItems count="1">
    <i/>
  </colItems>
  <pageFields count="1">
    <pageField fld="34" item="1" hier="-1"/>
  </pageFields>
  <dataFields count="1">
    <dataField name="Sum of OROY" fld="29" baseField="1" baseItem="4" numFmtId="3"/>
  </dataFields>
  <pivotTableStyleInfo name="PivotStyleLight16" showRowHeaders="1" showColHeaders="1" showRowStripes="0" showColStripes="0" showLastColumn="1"/>
  <filters count="1">
    <filter fld="0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AE2054-96D9-428C-AF2A-EA59C0BB8703}" name="PivotTable4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R3:T181" firstHeaderRow="2" firstDataRow="2" firstDataCol="2" rowPageCount="1" colPageCount="1"/>
  <pivotFields count="37">
    <pivotField axis="axisRow" compact="0" outline="0" showAll="0" measureFilter="1" sortType="ascending" defaultSubtotal="0">
      <items count="551">
        <item x="100"/>
        <item x="12"/>
        <item x="316"/>
        <item x="43"/>
        <item x="517"/>
        <item x="113"/>
        <item x="518"/>
        <item x="142"/>
        <item x="164"/>
        <item x="55"/>
        <item x="235"/>
        <item x="402"/>
        <item x="327"/>
        <item x="507"/>
        <item x="253"/>
        <item x="480"/>
        <item x="102"/>
        <item x="48"/>
        <item x="176"/>
        <item x="441"/>
        <item x="65"/>
        <item x="438"/>
        <item x="337"/>
        <item x="301"/>
        <item x="270"/>
        <item x="3"/>
        <item x="246"/>
        <item x="358"/>
        <item x="400"/>
        <item x="126"/>
        <item x="190"/>
        <item x="534"/>
        <item x="184"/>
        <item x="289"/>
        <item x="26"/>
        <item x="350"/>
        <item x="135"/>
        <item x="96"/>
        <item x="118"/>
        <item x="409"/>
        <item x="336"/>
        <item x="5"/>
        <item m="1" x="550"/>
        <item x="348"/>
        <item x="123"/>
        <item x="232"/>
        <item x="193"/>
        <item x="359"/>
        <item x="495"/>
        <item x="265"/>
        <item x="410"/>
        <item x="91"/>
        <item x="159"/>
        <item x="302"/>
        <item x="306"/>
        <item x="192"/>
        <item x="71"/>
        <item x="338"/>
        <item x="66"/>
        <item x="19"/>
        <item x="509"/>
        <item x="24"/>
        <item x="508"/>
        <item x="133"/>
        <item x="470"/>
        <item x="156"/>
        <item x="22"/>
        <item x="487"/>
        <item x="86"/>
        <item x="298"/>
        <item x="343"/>
        <item x="154"/>
        <item x="490"/>
        <item x="313"/>
        <item x="305"/>
        <item x="447"/>
        <item x="481"/>
        <item x="75"/>
        <item x="283"/>
        <item x="383"/>
        <item x="292"/>
        <item x="249"/>
        <item x="434"/>
        <item x="462"/>
        <item x="276"/>
        <item x="275"/>
        <item x="364"/>
        <item x="32"/>
        <item x="419"/>
        <item x="266"/>
        <item x="53"/>
        <item x="442"/>
        <item x="40"/>
        <item x="87"/>
        <item x="39"/>
        <item x="207"/>
        <item x="391"/>
        <item x="25"/>
        <item x="255"/>
        <item x="143"/>
        <item x="527"/>
        <item x="219"/>
        <item x="341"/>
        <item x="533"/>
        <item x="73"/>
        <item x="502"/>
        <item x="477"/>
        <item x="153"/>
        <item x="50"/>
        <item x="522"/>
        <item x="258"/>
        <item x="151"/>
        <item x="20"/>
        <item x="239"/>
        <item x="150"/>
        <item x="38"/>
        <item x="49"/>
        <item x="245"/>
        <item x="244"/>
        <item x="107"/>
        <item x="535"/>
        <item x="6"/>
        <item x="342"/>
        <item x="286"/>
        <item x="366"/>
        <item x="478"/>
        <item x="475"/>
        <item x="257"/>
        <item x="500"/>
        <item x="280"/>
        <item x="72"/>
        <item x="263"/>
        <item x="194"/>
        <item x="330"/>
        <item x="28"/>
        <item x="310"/>
        <item x="448"/>
        <item x="375"/>
        <item x="214"/>
        <item x="389"/>
        <item x="46"/>
        <item x="278"/>
        <item x="463"/>
        <item x="259"/>
        <item x="339"/>
        <item x="401"/>
        <item x="11"/>
        <item x="314"/>
        <item x="427"/>
        <item x="106"/>
        <item x="171"/>
        <item x="15"/>
        <item x="309"/>
        <item x="541"/>
        <item x="367"/>
        <item x="352"/>
        <item x="421"/>
        <item x="90"/>
        <item x="98"/>
        <item x="64"/>
        <item x="131"/>
        <item x="148"/>
        <item x="85"/>
        <item x="456"/>
        <item x="78"/>
        <item x="287"/>
        <item x="79"/>
        <item x="398"/>
        <item x="322"/>
        <item x="455"/>
        <item x="231"/>
        <item x="67"/>
        <item x="111"/>
        <item x="492"/>
        <item x="501"/>
        <item x="304"/>
        <item x="498"/>
        <item x="451"/>
        <item x="146"/>
        <item x="308"/>
        <item x="504"/>
        <item x="254"/>
        <item x="444"/>
        <item x="415"/>
        <item x="432"/>
        <item x="411"/>
        <item x="169"/>
        <item x="221"/>
        <item x="449"/>
        <item x="101"/>
        <item x="513"/>
        <item x="178"/>
        <item x="208"/>
        <item x="1"/>
        <item x="58"/>
        <item x="198"/>
        <item x="47"/>
        <item x="81"/>
        <item x="528"/>
        <item m="1" x="547"/>
        <item x="267"/>
        <item x="525"/>
        <item x="526"/>
        <item x="374"/>
        <item x="196"/>
        <item x="395"/>
        <item x="353"/>
        <item x="467"/>
        <item x="307"/>
        <item x="461"/>
        <item x="373"/>
        <item x="284"/>
        <item x="503"/>
        <item x="294"/>
        <item x="300"/>
        <item x="130"/>
        <item x="145"/>
        <item x="407"/>
        <item x="439"/>
        <item x="303"/>
        <item x="92"/>
        <item x="325"/>
        <item x="408"/>
        <item x="523"/>
        <item x="422"/>
        <item x="137"/>
        <item x="185"/>
        <item x="497"/>
        <item x="543"/>
        <item x="33"/>
        <item x="215"/>
        <item x="251"/>
        <item x="290"/>
        <item x="167"/>
        <item x="360"/>
        <item x="13"/>
        <item x="129"/>
        <item x="331"/>
        <item x="405"/>
        <item x="476"/>
        <item x="243"/>
        <item x="119"/>
        <item x="241"/>
        <item x="166"/>
        <item x="70"/>
        <item x="515"/>
        <item x="203"/>
        <item x="93"/>
        <item x="390"/>
        <item x="372"/>
        <item x="230"/>
        <item x="511"/>
        <item x="520"/>
        <item x="7"/>
        <item x="165"/>
        <item x="261"/>
        <item x="493"/>
        <item x="163"/>
        <item x="397"/>
        <item x="162"/>
        <item x="229"/>
        <item x="320"/>
        <item x="213"/>
        <item x="160"/>
        <item x="36"/>
        <item x="8"/>
        <item x="29"/>
        <item x="52"/>
        <item x="201"/>
        <item x="124"/>
        <item x="182"/>
        <item m="1" x="549"/>
        <item x="379"/>
        <item x="537"/>
        <item x="117"/>
        <item x="210"/>
        <item x="88"/>
        <item x="376"/>
        <item x="223"/>
        <item x="206"/>
        <item x="181"/>
        <item x="23"/>
        <item x="544"/>
        <item x="134"/>
        <item x="99"/>
        <item x="262"/>
        <item x="293"/>
        <item x="384"/>
        <item x="532"/>
        <item x="158"/>
        <item x="446"/>
        <item x="103"/>
        <item x="122"/>
        <item x="440"/>
        <item x="236"/>
        <item x="506"/>
        <item x="16"/>
        <item x="521"/>
        <item x="414"/>
        <item x="380"/>
        <item x="157"/>
        <item x="319"/>
        <item x="9"/>
        <item x="199"/>
        <item x="105"/>
        <item x="315"/>
        <item x="516"/>
        <item x="436"/>
        <item x="510"/>
        <item x="155"/>
        <item x="499"/>
        <item x="51"/>
        <item x="387"/>
        <item x="247"/>
        <item x="403"/>
        <item x="479"/>
        <item x="468"/>
        <item x="197"/>
        <item x="188"/>
        <item x="61"/>
        <item x="418"/>
        <item x="496"/>
        <item x="460"/>
        <item x="332"/>
        <item x="425"/>
        <item x="217"/>
        <item x="486"/>
        <item x="195"/>
        <item x="45"/>
        <item x="371"/>
        <item x="139"/>
        <item x="250"/>
        <item x="459"/>
        <item x="295"/>
        <item x="469"/>
        <item x="187"/>
        <item x="530"/>
        <item x="233"/>
        <item x="396"/>
        <item x="77"/>
        <item x="282"/>
        <item x="485"/>
        <item x="242"/>
        <item x="110"/>
        <item x="362"/>
        <item x="152"/>
        <item x="18"/>
        <item x="299"/>
        <item x="274"/>
        <item x="382"/>
        <item x="519"/>
        <item x="345"/>
        <item x="37"/>
        <item x="312"/>
        <item x="524"/>
        <item x="4"/>
        <item x="186"/>
        <item x="69"/>
        <item x="10"/>
        <item x="296"/>
        <item x="324"/>
        <item x="271"/>
        <item x="269"/>
        <item x="149"/>
        <item x="471"/>
        <item x="311"/>
        <item x="222"/>
        <item x="334"/>
        <item x="115"/>
        <item x="386"/>
        <item x="112"/>
        <item x="170"/>
        <item x="388"/>
        <item x="489"/>
        <item x="147"/>
        <item x="83"/>
        <item x="273"/>
        <item x="220"/>
        <item x="121"/>
        <item x="56"/>
        <item x="424"/>
        <item x="491"/>
        <item x="2"/>
        <item x="417"/>
        <item x="413"/>
        <item x="288"/>
        <item x="430"/>
        <item x="234"/>
        <item x="248"/>
        <item x="120"/>
        <item x="84"/>
        <item x="138"/>
        <item x="252"/>
        <item x="80"/>
        <item x="540"/>
        <item m="1" x="548"/>
        <item x="41"/>
        <item x="228"/>
        <item x="488"/>
        <item x="168"/>
        <item x="318"/>
        <item x="546"/>
        <item x="420"/>
        <item x="268"/>
        <item x="205"/>
        <item x="385"/>
        <item x="445"/>
        <item x="204"/>
        <item x="494"/>
        <item x="412"/>
        <item x="323"/>
        <item x="54"/>
        <item x="482"/>
        <item x="472"/>
        <item x="539"/>
        <item x="431"/>
        <item x="44"/>
        <item x="529"/>
        <item x="177"/>
        <item x="416"/>
        <item x="281"/>
        <item x="34"/>
        <item x="27"/>
        <item x="357"/>
        <item x="326"/>
        <item x="321"/>
        <item x="335"/>
        <item x="370"/>
        <item x="76"/>
        <item x="240"/>
        <item x="406"/>
        <item x="394"/>
        <item x="95"/>
        <item x="297"/>
        <item x="89"/>
        <item x="346"/>
        <item x="189"/>
        <item x="136"/>
        <item x="226"/>
        <item x="465"/>
        <item x="144"/>
        <item x="452"/>
        <item x="202"/>
        <item x="114"/>
        <item x="458"/>
        <item x="347"/>
        <item x="392"/>
        <item x="128"/>
        <item x="62"/>
        <item x="227"/>
        <item x="377"/>
        <item x="542"/>
        <item x="238"/>
        <item x="399"/>
        <item x="428"/>
        <item x="212"/>
        <item x="505"/>
        <item x="0"/>
        <item x="141"/>
        <item x="211"/>
        <item x="63"/>
        <item x="433"/>
        <item x="368"/>
        <item x="104"/>
        <item x="277"/>
        <item x="363"/>
        <item x="272"/>
        <item x="285"/>
        <item x="328"/>
        <item x="127"/>
        <item x="60"/>
        <item x="291"/>
        <item x="365"/>
        <item x="333"/>
        <item x="161"/>
        <item x="183"/>
        <item x="473"/>
        <item x="35"/>
        <item x="317"/>
        <item x="174"/>
        <item x="175"/>
        <item x="209"/>
        <item x="42"/>
        <item x="30"/>
        <item x="140"/>
        <item x="340"/>
        <item x="474"/>
        <item x="173"/>
        <item x="200"/>
        <item x="344"/>
        <item x="536"/>
        <item x="108"/>
        <item x="94"/>
        <item x="354"/>
        <item x="68"/>
        <item x="426"/>
        <item x="464"/>
        <item x="279"/>
        <item x="512"/>
        <item x="17"/>
        <item x="116"/>
        <item x="218"/>
        <item x="437"/>
        <item x="429"/>
        <item x="484"/>
        <item x="180"/>
        <item x="125"/>
        <item x="21"/>
        <item x="466"/>
        <item x="483"/>
        <item x="216"/>
        <item x="435"/>
        <item x="191"/>
        <item x="369"/>
        <item x="256"/>
        <item x="225"/>
        <item x="260"/>
        <item x="349"/>
        <item x="393"/>
        <item x="179"/>
        <item x="237"/>
        <item x="404"/>
        <item x="31"/>
        <item x="264"/>
        <item x="514"/>
        <item x="59"/>
        <item x="381"/>
        <item x="545"/>
        <item x="172"/>
        <item x="423"/>
        <item x="450"/>
        <item x="356"/>
        <item x="457"/>
        <item x="538"/>
        <item x="14"/>
        <item x="454"/>
        <item x="132"/>
        <item x="443"/>
        <item x="355"/>
        <item x="82"/>
        <item x="74"/>
        <item x="224"/>
        <item x="531"/>
        <item x="361"/>
        <item x="109"/>
        <item x="97"/>
        <item x="57"/>
        <item x="453"/>
        <item x="329"/>
        <item x="351"/>
        <item x="37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>
      <items count="6">
        <item x="4"/>
        <item x="0"/>
        <item x="3"/>
        <item x="1"/>
        <item x="2"/>
        <item t="default"/>
      </items>
    </pivotField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axis="axisPage" compact="0" outline="0" showAll="0">
      <items count="3">
        <item m="1" x="1"/>
        <item x="0"/>
        <item t="default"/>
      </items>
    </pivotField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1"/>
  </rowFields>
  <rowItems count="177">
    <i>
      <x v="525"/>
      <x v="4"/>
    </i>
    <i>
      <x v="93"/>
      <x v="2"/>
    </i>
    <i>
      <x v="77"/>
      <x v="4"/>
    </i>
    <i>
      <x v="244"/>
      <x v="4"/>
    </i>
    <i>
      <x v="319"/>
      <x v="4"/>
    </i>
    <i>
      <x v="51"/>
      <x v="2"/>
    </i>
    <i>
      <x v="37"/>
      <x v="2"/>
    </i>
    <i>
      <x v="20"/>
      <x v="4"/>
    </i>
    <i>
      <x v="463"/>
      <x v="2"/>
    </i>
    <i>
      <x v="428"/>
      <x v="4"/>
    </i>
    <i>
      <x v="291"/>
      <x v="2"/>
    </i>
    <i>
      <x v="226"/>
      <x v="2"/>
    </i>
    <i>
      <x v="194"/>
      <x v="4"/>
    </i>
    <i>
      <x v="9"/>
      <x v="4"/>
    </i>
    <i>
      <x v="356"/>
      <x v="2"/>
    </i>
    <i>
      <x v="149"/>
      <x v="2"/>
    </i>
    <i>
      <x v="140"/>
      <x v="4"/>
    </i>
    <i>
      <x v="25"/>
      <x v="1"/>
    </i>
    <i>
      <x v="171"/>
      <x v="4"/>
    </i>
    <i>
      <x v="422"/>
      <x v="1"/>
    </i>
    <i>
      <x v="235"/>
      <x v="1"/>
    </i>
    <i>
      <x v="166"/>
      <x v="4"/>
    </i>
    <i>
      <x v="158"/>
      <x v="2"/>
    </i>
    <i>
      <x v="104"/>
      <x v="4"/>
    </i>
    <i>
      <x v="302"/>
      <x v="1"/>
    </i>
    <i>
      <x v="411"/>
      <x v="4"/>
    </i>
    <i>
      <x v="97"/>
      <x v="1"/>
    </i>
    <i>
      <x v="358"/>
      <x v="1"/>
    </i>
    <i>
      <x v="335"/>
      <x v="2"/>
    </i>
    <i>
      <x v="296"/>
      <x v="1"/>
    </i>
    <i>
      <x v="66"/>
      <x v="1"/>
    </i>
    <i>
      <x v="247"/>
      <x v="2"/>
    </i>
    <i>
      <x v="393"/>
      <x v="4"/>
    </i>
    <i>
      <x v="492"/>
      <x v="2"/>
    </i>
    <i>
      <x v="130"/>
      <x v="4"/>
    </i>
    <i>
      <x v="281"/>
      <x v="1"/>
    </i>
    <i>
      <x v="470"/>
      <x v="4"/>
    </i>
    <i>
      <x v="16"/>
      <x v="2"/>
    </i>
    <i>
      <x v="17"/>
      <x v="4"/>
    </i>
    <i>
      <x v="220"/>
      <x v="2"/>
    </i>
    <i>
      <x v="432"/>
      <x v="2"/>
    </i>
    <i>
      <x v="355"/>
      <x v="1"/>
    </i>
    <i>
      <x v="434"/>
      <x v="2"/>
    </i>
    <i>
      <x v="30"/>
      <x v="2"/>
    </i>
    <i>
      <x v="436"/>
      <x v="4"/>
    </i>
    <i>
      <x v="59"/>
      <x v="1"/>
    </i>
    <i>
      <x v="1"/>
      <x v="1"/>
    </i>
    <i>
      <x v="318"/>
      <x v="1"/>
    </i>
    <i>
      <x v="164"/>
      <x v="4"/>
    </i>
    <i>
      <x v="112"/>
      <x v="1"/>
    </i>
    <i>
      <x v="482"/>
      <x v="4"/>
    </i>
    <i>
      <x v="90"/>
      <x v="4"/>
    </i>
    <i>
      <x v="328"/>
      <x v="4"/>
    </i>
    <i>
      <x v="390"/>
      <x v="4"/>
    </i>
    <i>
      <x v="494"/>
      <x v="3"/>
    </i>
    <i>
      <x v="346"/>
      <x v="1"/>
    </i>
    <i>
      <x v="512"/>
      <x v="2"/>
    </i>
    <i>
      <x v="265"/>
      <x v="1"/>
    </i>
    <i>
      <x v="327"/>
      <x v="2"/>
    </i>
    <i>
      <x v="545"/>
      <x v="2"/>
    </i>
    <i>
      <x v="46"/>
      <x v="4"/>
    </i>
    <i>
      <x v="304"/>
      <x v="2"/>
    </i>
    <i>
      <x v="159"/>
      <x v="4"/>
    </i>
    <i>
      <x v="379"/>
      <x v="4"/>
    </i>
    <i>
      <x/>
      <x v="2"/>
    </i>
    <i>
      <x v="119"/>
      <x v="2"/>
    </i>
    <i>
      <x v="267"/>
      <x v="4"/>
    </i>
    <i>
      <x v="132"/>
      <x v="2"/>
    </i>
    <i>
      <x v="266"/>
      <x v="4"/>
    </i>
    <i>
      <x v="55"/>
      <x v="2"/>
    </i>
    <i>
      <x v="197"/>
      <x v="4"/>
    </i>
    <i>
      <x v="483"/>
      <x v="4"/>
    </i>
    <i>
      <x v="195"/>
      <x v="1"/>
    </i>
    <i>
      <x v="404"/>
      <x v="2"/>
    </i>
    <i>
      <x v="407"/>
      <x v="2"/>
    </i>
    <i>
      <x v="284"/>
      <x v="2"/>
    </i>
    <i>
      <x v="87"/>
      <x v="4"/>
    </i>
    <i>
      <x v="253"/>
      <x v="1"/>
    </i>
    <i>
      <x v="246"/>
      <x v="2"/>
    </i>
    <i>
      <x v="108"/>
      <x v="4"/>
    </i>
    <i>
      <x v="442"/>
      <x v="2"/>
    </i>
    <i>
      <x v="196"/>
      <x v="3"/>
    </i>
    <i>
      <x v="460"/>
      <x v="3"/>
    </i>
    <i>
      <x v="370"/>
      <x v="4"/>
    </i>
    <i>
      <x v="151"/>
      <x v="1"/>
    </i>
    <i>
      <x v="204"/>
      <x v="2"/>
    </i>
    <i>
      <x v="477"/>
      <x v="4"/>
    </i>
    <i>
      <x v="94"/>
      <x v="4"/>
    </i>
    <i>
      <x v="268"/>
      <x v="2"/>
    </i>
    <i>
      <x v="317"/>
      <x v="1"/>
    </i>
    <i>
      <x v="488"/>
      <x v="3"/>
    </i>
    <i>
      <x v="546"/>
      <x v="4"/>
    </i>
    <i>
      <x v="491"/>
      <x v="2"/>
    </i>
    <i>
      <x v="396"/>
      <x v="4"/>
    </i>
    <i>
      <x v="279"/>
      <x v="2"/>
    </i>
    <i>
      <x v="68"/>
      <x v="4"/>
    </i>
    <i>
      <x v="499"/>
      <x v="1"/>
    </i>
    <i>
      <x v="303"/>
      <x v="4"/>
    </i>
    <i>
      <x v="507"/>
      <x v="1"/>
    </i>
    <i>
      <x v="264"/>
      <x v="4"/>
    </i>
    <i>
      <x v="522"/>
      <x v="4"/>
    </i>
    <i>
      <x v="339"/>
      <x v="4"/>
    </i>
    <i>
      <x v="343"/>
      <x v="4"/>
    </i>
    <i>
      <x v="481"/>
      <x v="3"/>
    </i>
    <i>
      <x v="275"/>
      <x v="2"/>
    </i>
    <i>
      <x v="230"/>
      <x v="4"/>
    </i>
    <i>
      <x v="138"/>
      <x v="4"/>
    </i>
    <i>
      <x v="95"/>
      <x v="2"/>
    </i>
    <i>
      <x v="146"/>
      <x v="1"/>
    </i>
    <i>
      <x v="382"/>
      <x v="1"/>
    </i>
    <i>
      <x v="448"/>
      <x v="4"/>
    </i>
    <i>
      <x v="58"/>
      <x v="3"/>
    </i>
    <i>
      <x v="459"/>
      <x v="1"/>
    </i>
    <i>
      <x v="389"/>
      <x v="1"/>
    </i>
    <i>
      <x v="193"/>
      <x v="1"/>
    </i>
    <i>
      <x v="41"/>
      <x v="1"/>
    </i>
    <i>
      <x v="134"/>
      <x v="3"/>
    </i>
    <i>
      <x v="121"/>
      <x v="1"/>
    </i>
    <i>
      <x v="276"/>
      <x v="4"/>
    </i>
    <i>
      <x v="510"/>
      <x v="2"/>
    </i>
    <i>
      <x v="262"/>
      <x v="2"/>
    </i>
    <i>
      <x v="61"/>
      <x v="1"/>
    </i>
    <i>
      <x v="325"/>
      <x/>
    </i>
    <i>
      <x v="162"/>
      <x v="4"/>
    </i>
    <i>
      <x v="192"/>
      <x v="4"/>
    </i>
    <i>
      <x v="534"/>
      <x v="1"/>
    </i>
    <i>
      <x v="455"/>
      <x v="1"/>
    </i>
    <i>
      <x v="38"/>
      <x v="2"/>
    </i>
    <i>
      <x v="352"/>
      <x v="3"/>
    </i>
    <i>
      <x v="92"/>
      <x v="4"/>
    </i>
    <i>
      <x v="3"/>
      <x v="4"/>
    </i>
    <i>
      <x v="541"/>
      <x v="2"/>
    </i>
    <i>
      <x v="278"/>
      <x v="1"/>
    </i>
    <i>
      <x v="101"/>
      <x v="3"/>
    </i>
    <i>
      <x v="115"/>
      <x v="3"/>
    </i>
    <i>
      <x v="34"/>
      <x v="1"/>
    </i>
    <i>
      <x v="157"/>
      <x v="2"/>
    </i>
    <i>
      <x v="229"/>
      <x v="3"/>
    </i>
    <i>
      <x v="116"/>
      <x v="3"/>
    </i>
    <i>
      <x v="187"/>
      <x v="3"/>
    </i>
    <i>
      <x v="366"/>
      <x v="1"/>
    </i>
    <i>
      <x v="449"/>
      <x v="4"/>
    </i>
    <i>
      <x v="501"/>
      <x v="3"/>
    </i>
    <i>
      <x v="260"/>
      <x v="4"/>
    </i>
    <i>
      <x v="189"/>
      <x v="2"/>
    </i>
    <i>
      <x v="416"/>
      <x v="4"/>
    </i>
    <i>
      <x v="375"/>
      <x v="3"/>
    </i>
    <i>
      <x v="438"/>
      <x v="4"/>
    </i>
    <i>
      <x v="515"/>
      <x v="4"/>
    </i>
    <i>
      <x v="397"/>
      <x v="2"/>
    </i>
    <i>
      <x v="377"/>
      <x v="4"/>
    </i>
    <i>
      <x v="337"/>
      <x v="1"/>
    </i>
    <i>
      <x v="170"/>
      <x v="4"/>
    </i>
    <i>
      <x v="45"/>
      <x v="4"/>
    </i>
    <i>
      <x v="250"/>
      <x v="4"/>
    </i>
    <i>
      <x v="387"/>
      <x/>
    </i>
    <i>
      <x v="5"/>
      <x v="4"/>
    </i>
    <i>
      <x v="294"/>
      <x v="4"/>
    </i>
    <i>
      <x v="172"/>
      <x v="1"/>
    </i>
    <i>
      <x v="160"/>
      <x v="4"/>
    </i>
    <i>
      <x v="118"/>
      <x v="2"/>
    </i>
    <i>
      <x v="10"/>
      <x v="2"/>
    </i>
    <i>
      <x v="113"/>
      <x v="3"/>
    </i>
    <i>
      <x v="520"/>
      <x v="3"/>
    </i>
    <i>
      <x v="117"/>
      <x/>
    </i>
    <i>
      <x v="242"/>
      <x v="2"/>
    </i>
    <i>
      <x v="342"/>
      <x v="2"/>
    </i>
    <i>
      <x v="506"/>
      <x v="4"/>
    </i>
    <i>
      <x v="429"/>
      <x v="4"/>
    </i>
    <i>
      <x v="452"/>
      <x v="2"/>
    </i>
    <i>
      <x v="240"/>
      <x v="4"/>
    </i>
    <i>
      <x v="26"/>
      <x v="2"/>
    </i>
    <i>
      <x v="56"/>
      <x v="4"/>
    </i>
    <i>
      <x v="357"/>
      <x v="4"/>
    </i>
    <i>
      <x v="313"/>
      <x/>
    </i>
    <i>
      <x v="388"/>
      <x v="3"/>
    </i>
    <i t="grand">
      <x/>
    </i>
  </rowItems>
  <colItems count="1">
    <i/>
  </colItems>
  <pageFields count="1">
    <pageField fld="34" item="1" hier="-1"/>
  </pageFields>
  <dataFields count="1">
    <dataField name="Sum of OPOY" fld="28" baseField="0" baseItem="0"/>
  </dataFields>
  <pivotTableStyleInfo name="PivotStyleLight16" showRowHeaders="1" showColHeaders="1" showRowStripes="0" showColStripes="0" showLastColumn="1"/>
  <filters count="1">
    <filter fld="0" type="valueNotEqual" evalOrder="-1" id="2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9F1D34-CA27-40B9-AE39-91EE3636D902}" name="PivotTable7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H3:J165" firstHeaderRow="2" firstDataRow="2" firstDataCol="2" rowPageCount="1" colPageCount="1"/>
  <pivotFields count="37">
    <pivotField axis="axisRow" compact="0" outline="0" showAll="0" measureFilter="1" sortType="descending" defaultSubtotal="0">
      <items count="551">
        <item x="100"/>
        <item x="12"/>
        <item x="316"/>
        <item x="43"/>
        <item x="517"/>
        <item x="113"/>
        <item x="518"/>
        <item x="142"/>
        <item x="164"/>
        <item x="55"/>
        <item x="235"/>
        <item x="402"/>
        <item x="327"/>
        <item x="507"/>
        <item x="253"/>
        <item x="480"/>
        <item x="102"/>
        <item x="48"/>
        <item x="176"/>
        <item x="441"/>
        <item x="65"/>
        <item x="438"/>
        <item x="337"/>
        <item x="301"/>
        <item x="270"/>
        <item x="3"/>
        <item x="246"/>
        <item x="358"/>
        <item x="400"/>
        <item x="126"/>
        <item x="190"/>
        <item x="534"/>
        <item x="184"/>
        <item x="289"/>
        <item x="26"/>
        <item x="350"/>
        <item x="135"/>
        <item x="96"/>
        <item x="118"/>
        <item x="409"/>
        <item x="336"/>
        <item x="5"/>
        <item m="1" x="550"/>
        <item x="348"/>
        <item x="123"/>
        <item x="232"/>
        <item x="193"/>
        <item x="359"/>
        <item x="495"/>
        <item x="265"/>
        <item x="410"/>
        <item x="91"/>
        <item x="159"/>
        <item x="302"/>
        <item x="306"/>
        <item x="192"/>
        <item x="71"/>
        <item x="338"/>
        <item x="66"/>
        <item x="19"/>
        <item x="509"/>
        <item x="24"/>
        <item x="508"/>
        <item x="133"/>
        <item x="470"/>
        <item x="156"/>
        <item x="22"/>
        <item x="487"/>
        <item x="86"/>
        <item x="298"/>
        <item x="343"/>
        <item x="154"/>
        <item x="490"/>
        <item x="313"/>
        <item x="305"/>
        <item x="447"/>
        <item x="481"/>
        <item x="75"/>
        <item x="283"/>
        <item x="383"/>
        <item x="292"/>
        <item x="249"/>
        <item x="434"/>
        <item x="462"/>
        <item x="276"/>
        <item x="275"/>
        <item x="364"/>
        <item x="32"/>
        <item x="419"/>
        <item x="266"/>
        <item x="53"/>
        <item x="442"/>
        <item x="40"/>
        <item x="87"/>
        <item x="39"/>
        <item x="207"/>
        <item x="391"/>
        <item x="25"/>
        <item x="255"/>
        <item x="143"/>
        <item x="527"/>
        <item x="219"/>
        <item x="341"/>
        <item x="533"/>
        <item x="73"/>
        <item x="502"/>
        <item x="477"/>
        <item x="153"/>
        <item x="50"/>
        <item x="522"/>
        <item x="258"/>
        <item x="151"/>
        <item x="20"/>
        <item x="239"/>
        <item x="150"/>
        <item x="38"/>
        <item x="49"/>
        <item x="245"/>
        <item x="244"/>
        <item x="107"/>
        <item x="535"/>
        <item x="6"/>
        <item x="342"/>
        <item x="286"/>
        <item x="366"/>
        <item x="478"/>
        <item x="475"/>
        <item x="257"/>
        <item x="500"/>
        <item x="280"/>
        <item x="72"/>
        <item x="263"/>
        <item x="194"/>
        <item x="330"/>
        <item x="28"/>
        <item x="310"/>
        <item x="448"/>
        <item x="375"/>
        <item x="214"/>
        <item x="389"/>
        <item x="46"/>
        <item x="278"/>
        <item x="463"/>
        <item x="259"/>
        <item x="339"/>
        <item x="401"/>
        <item x="11"/>
        <item x="314"/>
        <item x="427"/>
        <item x="106"/>
        <item x="171"/>
        <item x="15"/>
        <item x="309"/>
        <item x="541"/>
        <item x="367"/>
        <item x="352"/>
        <item x="421"/>
        <item x="90"/>
        <item x="98"/>
        <item x="64"/>
        <item x="131"/>
        <item x="148"/>
        <item x="85"/>
        <item x="456"/>
        <item x="78"/>
        <item x="287"/>
        <item x="79"/>
        <item x="398"/>
        <item x="322"/>
        <item x="455"/>
        <item x="231"/>
        <item x="67"/>
        <item x="111"/>
        <item x="492"/>
        <item x="501"/>
        <item x="304"/>
        <item x="498"/>
        <item x="451"/>
        <item x="146"/>
        <item x="308"/>
        <item x="504"/>
        <item x="254"/>
        <item x="444"/>
        <item x="415"/>
        <item x="432"/>
        <item x="411"/>
        <item x="169"/>
        <item x="221"/>
        <item x="449"/>
        <item x="101"/>
        <item x="513"/>
        <item x="178"/>
        <item x="208"/>
        <item x="1"/>
        <item x="58"/>
        <item x="198"/>
        <item x="47"/>
        <item x="81"/>
        <item x="528"/>
        <item m="1" x="547"/>
        <item x="267"/>
        <item x="525"/>
        <item x="526"/>
        <item x="374"/>
        <item x="196"/>
        <item x="395"/>
        <item x="353"/>
        <item x="467"/>
        <item x="307"/>
        <item x="461"/>
        <item x="373"/>
        <item x="284"/>
        <item x="503"/>
        <item x="294"/>
        <item x="300"/>
        <item x="130"/>
        <item x="145"/>
        <item x="407"/>
        <item x="439"/>
        <item x="303"/>
        <item x="92"/>
        <item x="325"/>
        <item x="408"/>
        <item x="523"/>
        <item x="422"/>
        <item x="137"/>
        <item x="185"/>
        <item x="497"/>
        <item x="543"/>
        <item x="33"/>
        <item x="215"/>
        <item x="251"/>
        <item x="290"/>
        <item x="167"/>
        <item x="360"/>
        <item x="13"/>
        <item x="129"/>
        <item x="331"/>
        <item x="405"/>
        <item x="476"/>
        <item x="243"/>
        <item x="119"/>
        <item x="241"/>
        <item x="166"/>
        <item x="70"/>
        <item x="515"/>
        <item x="203"/>
        <item x="93"/>
        <item x="390"/>
        <item x="372"/>
        <item x="230"/>
        <item x="511"/>
        <item x="520"/>
        <item x="7"/>
        <item x="165"/>
        <item x="261"/>
        <item x="493"/>
        <item x="163"/>
        <item x="397"/>
        <item x="162"/>
        <item x="229"/>
        <item x="320"/>
        <item x="213"/>
        <item x="160"/>
        <item x="36"/>
        <item x="8"/>
        <item x="29"/>
        <item x="52"/>
        <item x="201"/>
        <item x="124"/>
        <item x="182"/>
        <item m="1" x="549"/>
        <item x="379"/>
        <item x="537"/>
        <item x="117"/>
        <item x="210"/>
        <item x="88"/>
        <item x="376"/>
        <item x="223"/>
        <item x="206"/>
        <item x="181"/>
        <item x="23"/>
        <item x="544"/>
        <item x="134"/>
        <item x="99"/>
        <item x="262"/>
        <item x="293"/>
        <item x="384"/>
        <item x="532"/>
        <item x="158"/>
        <item x="446"/>
        <item x="103"/>
        <item x="122"/>
        <item x="440"/>
        <item x="236"/>
        <item x="506"/>
        <item x="16"/>
        <item x="521"/>
        <item x="414"/>
        <item x="380"/>
        <item x="157"/>
        <item x="319"/>
        <item x="9"/>
        <item x="199"/>
        <item x="105"/>
        <item x="315"/>
        <item x="516"/>
        <item x="436"/>
        <item x="510"/>
        <item x="155"/>
        <item x="499"/>
        <item x="51"/>
        <item x="387"/>
        <item x="247"/>
        <item x="403"/>
        <item x="479"/>
        <item x="468"/>
        <item x="197"/>
        <item x="188"/>
        <item x="61"/>
        <item x="418"/>
        <item x="496"/>
        <item x="460"/>
        <item x="332"/>
        <item x="425"/>
        <item x="217"/>
        <item x="486"/>
        <item x="195"/>
        <item x="45"/>
        <item x="371"/>
        <item x="139"/>
        <item x="250"/>
        <item x="459"/>
        <item x="295"/>
        <item x="469"/>
        <item x="187"/>
        <item x="530"/>
        <item x="233"/>
        <item x="396"/>
        <item x="77"/>
        <item x="282"/>
        <item x="485"/>
        <item x="242"/>
        <item x="110"/>
        <item x="362"/>
        <item x="152"/>
        <item x="18"/>
        <item x="299"/>
        <item x="274"/>
        <item x="382"/>
        <item x="519"/>
        <item x="345"/>
        <item x="37"/>
        <item x="312"/>
        <item x="524"/>
        <item x="4"/>
        <item x="186"/>
        <item x="69"/>
        <item x="10"/>
        <item x="296"/>
        <item x="324"/>
        <item x="271"/>
        <item x="269"/>
        <item x="149"/>
        <item x="471"/>
        <item x="311"/>
        <item x="222"/>
        <item x="334"/>
        <item x="115"/>
        <item x="386"/>
        <item x="112"/>
        <item x="170"/>
        <item x="388"/>
        <item x="489"/>
        <item x="147"/>
        <item x="83"/>
        <item x="273"/>
        <item x="220"/>
        <item x="121"/>
        <item x="56"/>
        <item x="424"/>
        <item x="491"/>
        <item x="2"/>
        <item x="417"/>
        <item x="413"/>
        <item x="288"/>
        <item x="430"/>
        <item x="234"/>
        <item x="248"/>
        <item x="120"/>
        <item x="84"/>
        <item x="138"/>
        <item x="252"/>
        <item x="80"/>
        <item x="540"/>
        <item m="1" x="548"/>
        <item x="41"/>
        <item x="228"/>
        <item x="488"/>
        <item x="168"/>
        <item x="318"/>
        <item x="546"/>
        <item x="420"/>
        <item x="268"/>
        <item x="205"/>
        <item x="385"/>
        <item x="445"/>
        <item x="204"/>
        <item x="494"/>
        <item x="412"/>
        <item x="323"/>
        <item x="54"/>
        <item x="482"/>
        <item x="472"/>
        <item x="539"/>
        <item x="431"/>
        <item x="44"/>
        <item x="529"/>
        <item x="177"/>
        <item x="416"/>
        <item x="281"/>
        <item x="34"/>
        <item x="27"/>
        <item x="357"/>
        <item x="326"/>
        <item x="321"/>
        <item x="335"/>
        <item x="370"/>
        <item x="76"/>
        <item x="240"/>
        <item x="406"/>
        <item x="394"/>
        <item x="95"/>
        <item x="297"/>
        <item x="89"/>
        <item x="346"/>
        <item x="189"/>
        <item x="136"/>
        <item x="226"/>
        <item x="465"/>
        <item x="144"/>
        <item x="452"/>
        <item x="202"/>
        <item x="114"/>
        <item x="458"/>
        <item x="347"/>
        <item x="392"/>
        <item x="128"/>
        <item x="62"/>
        <item x="227"/>
        <item x="377"/>
        <item x="542"/>
        <item x="238"/>
        <item x="399"/>
        <item x="428"/>
        <item x="212"/>
        <item x="505"/>
        <item x="0"/>
        <item x="141"/>
        <item x="211"/>
        <item x="63"/>
        <item x="433"/>
        <item x="368"/>
        <item x="104"/>
        <item x="277"/>
        <item x="363"/>
        <item x="272"/>
        <item x="285"/>
        <item x="328"/>
        <item x="127"/>
        <item x="60"/>
        <item x="291"/>
        <item x="365"/>
        <item x="333"/>
        <item x="161"/>
        <item x="183"/>
        <item x="473"/>
        <item x="35"/>
        <item x="317"/>
        <item x="174"/>
        <item x="175"/>
        <item x="209"/>
        <item x="42"/>
        <item x="30"/>
        <item x="140"/>
        <item x="340"/>
        <item x="474"/>
        <item x="173"/>
        <item x="200"/>
        <item x="344"/>
        <item x="536"/>
        <item x="108"/>
        <item x="94"/>
        <item x="354"/>
        <item x="68"/>
        <item x="426"/>
        <item x="464"/>
        <item x="279"/>
        <item x="512"/>
        <item x="17"/>
        <item x="116"/>
        <item x="218"/>
        <item x="437"/>
        <item x="429"/>
        <item x="484"/>
        <item x="180"/>
        <item x="125"/>
        <item x="21"/>
        <item x="466"/>
        <item x="483"/>
        <item x="216"/>
        <item x="435"/>
        <item x="191"/>
        <item x="369"/>
        <item x="256"/>
        <item x="225"/>
        <item x="260"/>
        <item x="349"/>
        <item x="393"/>
        <item x="179"/>
        <item x="237"/>
        <item x="404"/>
        <item x="31"/>
        <item x="264"/>
        <item x="514"/>
        <item x="59"/>
        <item x="381"/>
        <item x="545"/>
        <item x="172"/>
        <item x="423"/>
        <item x="450"/>
        <item x="356"/>
        <item x="457"/>
        <item x="538"/>
        <item x="14"/>
        <item x="454"/>
        <item x="132"/>
        <item x="443"/>
        <item x="355"/>
        <item x="82"/>
        <item x="74"/>
        <item x="224"/>
        <item x="531"/>
        <item x="361"/>
        <item x="109"/>
        <item x="97"/>
        <item x="57"/>
        <item x="453"/>
        <item x="329"/>
        <item x="351"/>
        <item x="37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5">
        <item x="4"/>
        <item x="0"/>
        <item x="3"/>
        <item x="1"/>
        <item x="2"/>
      </items>
    </pivotField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numFmtId="164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axis="axisPage" compact="0" outline="0" showAll="0">
      <items count="3">
        <item m="1" x="1"/>
        <item x="0"/>
        <item t="default"/>
      </items>
    </pivotField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1"/>
  </rowFields>
  <rowItems count="161">
    <i>
      <x v="93"/>
      <x v="2"/>
    </i>
    <i>
      <x v="37"/>
      <x v="2"/>
    </i>
    <i>
      <x v="77"/>
      <x v="4"/>
    </i>
    <i>
      <x v="51"/>
      <x v="2"/>
    </i>
    <i>
      <x v="525"/>
      <x v="4"/>
    </i>
    <i>
      <x v="20"/>
      <x v="4"/>
    </i>
    <i>
      <x v="244"/>
      <x v="4"/>
    </i>
    <i>
      <x v="319"/>
      <x v="4"/>
    </i>
    <i>
      <x v="291"/>
      <x v="2"/>
    </i>
    <i>
      <x v="463"/>
      <x v="2"/>
    </i>
    <i>
      <x v="9"/>
      <x v="4"/>
    </i>
    <i>
      <x v="428"/>
      <x v="4"/>
    </i>
    <i>
      <x v="194"/>
      <x v="4"/>
    </i>
    <i>
      <x v="226"/>
      <x v="2"/>
    </i>
    <i>
      <x v="356"/>
      <x v="2"/>
    </i>
    <i>
      <x v="220"/>
      <x v="2"/>
    </i>
    <i>
      <x v="492"/>
      <x v="2"/>
    </i>
    <i>
      <x v="90"/>
      <x v="4"/>
    </i>
    <i>
      <x v="130"/>
      <x v="4"/>
    </i>
    <i>
      <x v="390"/>
      <x v="4"/>
    </i>
    <i>
      <x v="393"/>
      <x v="4"/>
    </i>
    <i>
      <x v="379"/>
      <x v="4"/>
    </i>
    <i>
      <x v="149"/>
      <x v="2"/>
    </i>
    <i>
      <x v="171"/>
      <x v="4"/>
    </i>
    <i>
      <x v="432"/>
      <x v="2"/>
    </i>
    <i>
      <x v="411"/>
      <x v="4"/>
    </i>
    <i>
      <x v="370"/>
      <x v="4"/>
    </i>
    <i>
      <x v="16"/>
      <x v="2"/>
    </i>
    <i>
      <x v="247"/>
      <x v="2"/>
    </i>
    <i>
      <x v="284"/>
      <x v="2"/>
    </i>
    <i>
      <x v="166"/>
      <x v="4"/>
    </i>
    <i>
      <x v="140"/>
      <x v="4"/>
    </i>
    <i>
      <x v="164"/>
      <x v="4"/>
    </i>
    <i>
      <x v="46"/>
      <x v="4"/>
    </i>
    <i>
      <x v="460"/>
      <x v="3"/>
    </i>
    <i>
      <x v="302"/>
      <x v="1"/>
    </i>
    <i>
      <x v="494"/>
      <x v="3"/>
    </i>
    <i>
      <x v="304"/>
      <x v="2"/>
    </i>
    <i>
      <x v="235"/>
      <x v="1"/>
    </i>
    <i>
      <x v="335"/>
      <x v="2"/>
    </i>
    <i>
      <x v="159"/>
      <x v="4"/>
    </i>
    <i>
      <x v="158"/>
      <x v="2"/>
    </i>
    <i>
      <x v="470"/>
      <x v="4"/>
    </i>
    <i>
      <x v="104"/>
      <x v="4"/>
    </i>
    <i>
      <x v="267"/>
      <x v="4"/>
    </i>
    <i>
      <x v="68"/>
      <x v="4"/>
    </i>
    <i>
      <x v="546"/>
      <x v="4"/>
    </i>
    <i>
      <x v="482"/>
      <x v="4"/>
    </i>
    <i>
      <x v="358"/>
      <x v="1"/>
    </i>
    <i>
      <x v="422"/>
      <x v="1"/>
    </i>
    <i>
      <x v="375"/>
      <x v="3"/>
    </i>
    <i>
      <x v="87"/>
      <x v="4"/>
    </i>
    <i>
      <x v="197"/>
      <x v="4"/>
    </i>
    <i>
      <x v="477"/>
      <x v="4"/>
    </i>
    <i>
      <x v="501"/>
      <x v="3"/>
    </i>
    <i>
      <x v="187"/>
      <x v="3"/>
    </i>
    <i>
      <x v="17"/>
      <x v="4"/>
    </i>
    <i>
      <x v="97"/>
      <x v="1"/>
    </i>
    <i>
      <x v="281"/>
      <x v="1"/>
    </i>
    <i>
      <x v="25"/>
      <x v="1"/>
    </i>
    <i>
      <x v="119"/>
      <x v="2"/>
    </i>
    <i>
      <x v="442"/>
      <x v="2"/>
    </i>
    <i>
      <x v="112"/>
      <x v="1"/>
    </i>
    <i>
      <x v="545"/>
      <x v="2"/>
    </i>
    <i>
      <x v="162"/>
      <x v="4"/>
    </i>
    <i>
      <x v="246"/>
      <x v="2"/>
    </i>
    <i>
      <x/>
      <x v="2"/>
    </i>
    <i>
      <x v="92"/>
      <x v="4"/>
    </i>
    <i>
      <x v="483"/>
      <x v="4"/>
    </i>
    <i>
      <x v="196"/>
      <x v="3"/>
    </i>
    <i>
      <x v="328"/>
      <x v="4"/>
    </i>
    <i>
      <x v="436"/>
      <x v="4"/>
    </i>
    <i>
      <x v="264"/>
      <x v="4"/>
    </i>
    <i>
      <x v="352"/>
      <x v="3"/>
    </i>
    <i>
      <x v="55"/>
      <x v="2"/>
    </i>
    <i>
      <x v="115"/>
      <x v="3"/>
    </i>
    <i>
      <x v="404"/>
      <x v="2"/>
    </i>
    <i>
      <x v="108"/>
      <x v="4"/>
    </i>
    <i>
      <x v="448"/>
      <x v="4"/>
    </i>
    <i>
      <x v="266"/>
      <x v="4"/>
    </i>
    <i>
      <x v="294"/>
      <x v="4"/>
    </i>
    <i>
      <x v="268"/>
      <x v="2"/>
    </i>
    <i>
      <x v="540"/>
      <x v="4"/>
    </i>
    <i>
      <x v="132"/>
      <x v="2"/>
    </i>
    <i>
      <x v="94"/>
      <x v="4"/>
    </i>
    <i>
      <x v="262"/>
      <x v="2"/>
    </i>
    <i>
      <x v="296"/>
      <x v="1"/>
    </i>
    <i>
      <x v="355"/>
      <x v="1"/>
    </i>
    <i>
      <x v="491"/>
      <x v="2"/>
    </i>
    <i>
      <x v="30"/>
      <x v="2"/>
    </i>
    <i>
      <x v="512"/>
      <x v="2"/>
    </i>
    <i>
      <x v="357"/>
      <x v="4"/>
    </i>
    <i>
      <x v="59"/>
      <x v="1"/>
    </i>
    <i>
      <x v="339"/>
      <x v="4"/>
    </i>
    <i>
      <x v="157"/>
      <x v="2"/>
    </i>
    <i>
      <x v="81"/>
      <x v="2"/>
    </i>
    <i>
      <x v="113"/>
      <x v="3"/>
    </i>
    <i>
      <x v="522"/>
      <x v="4"/>
    </i>
    <i>
      <x v="346"/>
      <x v="1"/>
    </i>
    <i>
      <x v="488"/>
      <x v="3"/>
    </i>
    <i>
      <x v="56"/>
      <x v="4"/>
    </i>
    <i>
      <x v="396"/>
      <x v="4"/>
    </i>
    <i>
      <x v="434"/>
      <x v="2"/>
    </i>
    <i>
      <x v="204"/>
      <x v="2"/>
    </i>
    <i>
      <x v="95"/>
      <x v="2"/>
    </i>
    <i>
      <x v="138"/>
      <x v="4"/>
    </i>
    <i>
      <x v="134"/>
      <x v="3"/>
    </i>
    <i>
      <x v="58"/>
      <x v="3"/>
    </i>
    <i>
      <x v="229"/>
      <x v="3"/>
    </i>
    <i>
      <x v="292"/>
      <x v="2"/>
    </i>
    <i>
      <x v="377"/>
      <x v="4"/>
    </i>
    <i>
      <x v="318"/>
      <x v="1"/>
    </i>
    <i>
      <x v="230"/>
      <x v="4"/>
    </i>
    <i>
      <x v="407"/>
      <x v="2"/>
    </i>
    <i>
      <x v="275"/>
      <x v="2"/>
    </i>
    <i>
      <x v="544"/>
      <x v="2"/>
    </i>
    <i>
      <x v="279"/>
      <x v="2"/>
    </i>
    <i>
      <x v="189"/>
      <x v="2"/>
    </i>
    <i>
      <x v="1"/>
      <x v="1"/>
    </i>
    <i>
      <x v="265"/>
      <x v="1"/>
    </i>
    <i>
      <x v="516"/>
      <x v="3"/>
    </i>
    <i>
      <x v="45"/>
      <x v="4"/>
    </i>
    <i>
      <x v="231"/>
      <x v="2"/>
    </i>
    <i>
      <x v="127"/>
      <x v="4"/>
    </i>
    <i>
      <x v="151"/>
      <x v="1"/>
    </i>
    <i>
      <x v="241"/>
      <x v="4"/>
    </i>
    <i>
      <x v="116"/>
      <x v="3"/>
    </i>
    <i>
      <x v="303"/>
      <x v="4"/>
    </i>
    <i>
      <x v="143"/>
      <x v="4"/>
    </i>
    <i>
      <x v="421"/>
      <x v="3"/>
    </i>
    <i>
      <x v="499"/>
      <x v="1"/>
    </i>
    <i>
      <x v="3"/>
      <x v="4"/>
    </i>
    <i>
      <x v="66"/>
      <x v="1"/>
    </i>
    <i>
      <x v="311"/>
      <x v="4"/>
    </i>
    <i>
      <x v="5"/>
      <x v="4"/>
    </i>
    <i>
      <x v="170"/>
      <x v="4"/>
    </i>
    <i>
      <x v="392"/>
      <x v="4"/>
    </i>
    <i>
      <x v="98"/>
      <x v="2"/>
    </i>
    <i>
      <x v="110"/>
      <x v="4"/>
    </i>
    <i>
      <x v="250"/>
      <x v="4"/>
    </i>
    <i>
      <x v="269"/>
      <x v="2"/>
    </i>
    <i>
      <x v="438"/>
      <x v="4"/>
    </i>
    <i>
      <x v="276"/>
      <x v="4"/>
    </i>
    <i>
      <x v="440"/>
      <x v="2"/>
    </i>
    <i>
      <x v="500"/>
      <x v="2"/>
    </i>
    <i>
      <x v="331"/>
      <x v="2"/>
    </i>
    <i>
      <x v="510"/>
      <x v="2"/>
    </i>
    <i>
      <x v="181"/>
      <x v="2"/>
    </i>
    <i>
      <x v="514"/>
      <x v="2"/>
    </i>
    <i>
      <x v="449"/>
      <x v="4"/>
    </i>
    <i>
      <x v="378"/>
      <x v="2"/>
    </i>
    <i>
      <x v="14"/>
      <x v="2"/>
    </i>
    <i>
      <x v="539"/>
      <x v="4"/>
    </i>
    <i>
      <x v="342"/>
      <x v="2"/>
    </i>
    <i>
      <x v="541"/>
      <x v="2"/>
    </i>
    <i>
      <x v="343"/>
      <x v="4"/>
    </i>
    <i>
      <x v="26"/>
      <x v="2"/>
    </i>
    <i>
      <x v="38"/>
      <x v="2"/>
    </i>
    <i>
      <x v="397"/>
      <x v="2"/>
    </i>
    <i>
      <x v="192"/>
      <x v="4"/>
    </i>
    <i t="grand">
      <x/>
    </i>
  </rowItems>
  <colItems count="1">
    <i/>
  </colItems>
  <pageFields count="1">
    <pageField fld="34" item="1" hier="-1"/>
  </pageFields>
  <dataFields count="1">
    <dataField name="Sum of auction_val" fld="27" baseField="0" baseItem="0"/>
  </dataFields>
  <pivotTableStyleInfo name="PivotStyleLight16" showRowHeaders="1" showColHeaders="1" showRowStripes="0" showColStripes="0" showLastColumn="1"/>
  <filters count="1">
    <filter fld="0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5E5E30-00DF-46AF-9AEA-0772213E392A}" name="PivotTable2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F521" firstHeaderRow="1" firstDataRow="2" firstDataCol="3" rowPageCount="1" colPageCount="1"/>
  <pivotFields count="37">
    <pivotField axis="axisRow" compact="0" outline="0" showAll="0" sortType="descending" defaultSubtotal="0">
      <items count="551">
        <item x="100"/>
        <item x="12"/>
        <item x="316"/>
        <item x="43"/>
        <item x="517"/>
        <item x="113"/>
        <item x="518"/>
        <item x="142"/>
        <item x="164"/>
        <item x="55"/>
        <item x="235"/>
        <item x="402"/>
        <item x="327"/>
        <item x="507"/>
        <item x="253"/>
        <item x="480"/>
        <item x="102"/>
        <item x="48"/>
        <item x="176"/>
        <item x="441"/>
        <item x="65"/>
        <item x="438"/>
        <item x="337"/>
        <item x="301"/>
        <item x="270"/>
        <item x="3"/>
        <item x="246"/>
        <item x="358"/>
        <item x="400"/>
        <item x="126"/>
        <item x="190"/>
        <item x="534"/>
        <item x="184"/>
        <item x="289"/>
        <item x="26"/>
        <item x="350"/>
        <item x="135"/>
        <item x="96"/>
        <item x="118"/>
        <item x="409"/>
        <item x="336"/>
        <item x="5"/>
        <item m="1" x="550"/>
        <item x="348"/>
        <item x="123"/>
        <item x="232"/>
        <item x="193"/>
        <item x="359"/>
        <item x="495"/>
        <item x="265"/>
        <item x="410"/>
        <item x="91"/>
        <item x="159"/>
        <item x="302"/>
        <item x="306"/>
        <item x="192"/>
        <item x="71"/>
        <item x="338"/>
        <item x="66"/>
        <item x="19"/>
        <item x="509"/>
        <item x="24"/>
        <item x="508"/>
        <item x="133"/>
        <item x="470"/>
        <item x="156"/>
        <item x="22"/>
        <item x="487"/>
        <item x="86"/>
        <item x="298"/>
        <item x="343"/>
        <item x="154"/>
        <item x="490"/>
        <item x="313"/>
        <item x="305"/>
        <item x="447"/>
        <item x="481"/>
        <item x="75"/>
        <item x="283"/>
        <item x="383"/>
        <item x="292"/>
        <item x="249"/>
        <item x="434"/>
        <item x="462"/>
        <item x="276"/>
        <item x="275"/>
        <item x="364"/>
        <item x="32"/>
        <item x="419"/>
        <item x="266"/>
        <item x="53"/>
        <item x="442"/>
        <item x="40"/>
        <item x="87"/>
        <item x="39"/>
        <item x="207"/>
        <item x="391"/>
        <item x="25"/>
        <item x="255"/>
        <item x="143"/>
        <item x="527"/>
        <item x="219"/>
        <item x="341"/>
        <item x="533"/>
        <item x="73"/>
        <item x="502"/>
        <item x="477"/>
        <item x="153"/>
        <item x="50"/>
        <item x="522"/>
        <item x="258"/>
        <item x="151"/>
        <item x="20"/>
        <item x="239"/>
        <item x="150"/>
        <item x="38"/>
        <item x="49"/>
        <item x="245"/>
        <item x="244"/>
        <item x="107"/>
        <item x="535"/>
        <item x="6"/>
        <item x="342"/>
        <item x="286"/>
        <item x="366"/>
        <item x="478"/>
        <item x="475"/>
        <item x="257"/>
        <item x="500"/>
        <item x="280"/>
        <item x="72"/>
        <item x="263"/>
        <item x="194"/>
        <item x="330"/>
        <item x="28"/>
        <item x="310"/>
        <item x="448"/>
        <item x="375"/>
        <item x="214"/>
        <item x="389"/>
        <item x="46"/>
        <item x="278"/>
        <item x="463"/>
        <item x="259"/>
        <item x="339"/>
        <item x="401"/>
        <item x="11"/>
        <item x="314"/>
        <item x="427"/>
        <item x="106"/>
        <item x="171"/>
        <item x="15"/>
        <item x="309"/>
        <item x="541"/>
        <item x="367"/>
        <item x="352"/>
        <item x="421"/>
        <item x="90"/>
        <item x="98"/>
        <item x="64"/>
        <item x="131"/>
        <item x="148"/>
        <item x="85"/>
        <item x="456"/>
        <item x="78"/>
        <item x="287"/>
        <item x="79"/>
        <item x="398"/>
        <item x="322"/>
        <item x="455"/>
        <item x="231"/>
        <item x="67"/>
        <item x="111"/>
        <item x="492"/>
        <item x="501"/>
        <item x="304"/>
        <item x="498"/>
        <item x="451"/>
        <item x="146"/>
        <item x="308"/>
        <item x="504"/>
        <item x="254"/>
        <item x="444"/>
        <item x="415"/>
        <item x="432"/>
        <item x="411"/>
        <item x="169"/>
        <item x="221"/>
        <item x="449"/>
        <item x="101"/>
        <item x="513"/>
        <item x="178"/>
        <item x="208"/>
        <item x="1"/>
        <item x="58"/>
        <item x="198"/>
        <item x="47"/>
        <item x="81"/>
        <item x="528"/>
        <item m="1" x="547"/>
        <item x="267"/>
        <item x="525"/>
        <item x="526"/>
        <item x="374"/>
        <item x="196"/>
        <item x="395"/>
        <item x="353"/>
        <item x="467"/>
        <item x="307"/>
        <item x="461"/>
        <item x="373"/>
        <item x="284"/>
        <item x="503"/>
        <item x="294"/>
        <item x="300"/>
        <item x="130"/>
        <item x="145"/>
        <item x="407"/>
        <item x="439"/>
        <item x="303"/>
        <item x="92"/>
        <item x="325"/>
        <item x="408"/>
        <item x="523"/>
        <item x="422"/>
        <item x="137"/>
        <item x="185"/>
        <item x="497"/>
        <item x="543"/>
        <item x="33"/>
        <item x="215"/>
        <item x="251"/>
        <item x="290"/>
        <item x="167"/>
        <item x="360"/>
        <item x="13"/>
        <item x="129"/>
        <item x="331"/>
        <item x="405"/>
        <item x="476"/>
        <item x="243"/>
        <item x="119"/>
        <item x="241"/>
        <item x="166"/>
        <item x="70"/>
        <item x="515"/>
        <item x="203"/>
        <item x="93"/>
        <item x="390"/>
        <item x="372"/>
        <item x="230"/>
        <item x="511"/>
        <item x="520"/>
        <item x="7"/>
        <item x="165"/>
        <item x="261"/>
        <item x="493"/>
        <item x="163"/>
        <item x="397"/>
        <item x="162"/>
        <item x="229"/>
        <item x="320"/>
        <item x="213"/>
        <item x="160"/>
        <item x="36"/>
        <item x="8"/>
        <item x="29"/>
        <item x="52"/>
        <item x="201"/>
        <item x="124"/>
        <item x="182"/>
        <item m="1" x="549"/>
        <item x="379"/>
        <item x="537"/>
        <item x="117"/>
        <item x="210"/>
        <item x="88"/>
        <item x="376"/>
        <item x="223"/>
        <item x="206"/>
        <item x="181"/>
        <item x="23"/>
        <item x="544"/>
        <item x="134"/>
        <item x="99"/>
        <item x="262"/>
        <item x="293"/>
        <item x="384"/>
        <item x="532"/>
        <item x="158"/>
        <item x="446"/>
        <item x="103"/>
        <item x="122"/>
        <item x="440"/>
        <item x="236"/>
        <item x="506"/>
        <item x="16"/>
        <item x="521"/>
        <item x="414"/>
        <item x="380"/>
        <item x="157"/>
        <item x="319"/>
        <item x="9"/>
        <item x="199"/>
        <item x="105"/>
        <item x="315"/>
        <item x="516"/>
        <item x="436"/>
        <item x="510"/>
        <item x="155"/>
        <item x="499"/>
        <item x="51"/>
        <item x="387"/>
        <item x="247"/>
        <item x="403"/>
        <item x="479"/>
        <item x="468"/>
        <item x="197"/>
        <item x="188"/>
        <item x="61"/>
        <item x="418"/>
        <item x="496"/>
        <item x="460"/>
        <item x="332"/>
        <item x="425"/>
        <item x="217"/>
        <item x="486"/>
        <item x="195"/>
        <item x="45"/>
        <item x="371"/>
        <item x="139"/>
        <item x="250"/>
        <item x="459"/>
        <item x="295"/>
        <item x="469"/>
        <item x="187"/>
        <item x="530"/>
        <item x="233"/>
        <item x="396"/>
        <item x="77"/>
        <item x="282"/>
        <item x="485"/>
        <item x="242"/>
        <item x="110"/>
        <item x="362"/>
        <item x="152"/>
        <item x="18"/>
        <item x="299"/>
        <item x="274"/>
        <item x="382"/>
        <item x="519"/>
        <item x="345"/>
        <item x="37"/>
        <item x="312"/>
        <item x="524"/>
        <item x="4"/>
        <item x="186"/>
        <item x="69"/>
        <item x="10"/>
        <item x="296"/>
        <item x="324"/>
        <item x="271"/>
        <item x="269"/>
        <item x="149"/>
        <item x="471"/>
        <item x="311"/>
        <item x="222"/>
        <item x="334"/>
        <item x="115"/>
        <item x="386"/>
        <item x="112"/>
        <item x="170"/>
        <item x="388"/>
        <item x="489"/>
        <item x="147"/>
        <item x="83"/>
        <item x="273"/>
        <item x="220"/>
        <item x="121"/>
        <item x="56"/>
        <item x="424"/>
        <item x="491"/>
        <item x="2"/>
        <item x="417"/>
        <item x="413"/>
        <item x="288"/>
        <item x="430"/>
        <item x="234"/>
        <item x="248"/>
        <item x="120"/>
        <item x="84"/>
        <item x="138"/>
        <item x="252"/>
        <item x="80"/>
        <item x="540"/>
        <item m="1" x="548"/>
        <item x="41"/>
        <item x="228"/>
        <item x="488"/>
        <item x="168"/>
        <item x="318"/>
        <item x="546"/>
        <item x="420"/>
        <item x="268"/>
        <item x="205"/>
        <item x="385"/>
        <item x="445"/>
        <item x="204"/>
        <item x="494"/>
        <item x="412"/>
        <item x="323"/>
        <item x="54"/>
        <item x="482"/>
        <item x="472"/>
        <item x="539"/>
        <item x="431"/>
        <item x="44"/>
        <item x="529"/>
        <item x="177"/>
        <item x="416"/>
        <item x="281"/>
        <item x="34"/>
        <item x="27"/>
        <item x="357"/>
        <item x="326"/>
        <item x="321"/>
        <item x="335"/>
        <item x="370"/>
        <item x="76"/>
        <item x="240"/>
        <item x="406"/>
        <item x="394"/>
        <item x="95"/>
        <item x="297"/>
        <item x="89"/>
        <item x="346"/>
        <item x="189"/>
        <item x="136"/>
        <item x="226"/>
        <item x="465"/>
        <item x="144"/>
        <item x="452"/>
        <item x="202"/>
        <item x="114"/>
        <item x="458"/>
        <item x="347"/>
        <item x="392"/>
        <item x="128"/>
        <item x="62"/>
        <item x="227"/>
        <item x="377"/>
        <item x="542"/>
        <item x="238"/>
        <item x="399"/>
        <item x="428"/>
        <item x="212"/>
        <item x="505"/>
        <item x="0"/>
        <item x="141"/>
        <item x="211"/>
        <item x="63"/>
        <item x="433"/>
        <item x="368"/>
        <item x="104"/>
        <item x="277"/>
        <item x="363"/>
        <item x="272"/>
        <item x="285"/>
        <item x="328"/>
        <item x="127"/>
        <item x="60"/>
        <item x="291"/>
        <item x="365"/>
        <item x="333"/>
        <item x="161"/>
        <item x="183"/>
        <item x="473"/>
        <item x="35"/>
        <item x="317"/>
        <item x="174"/>
        <item x="175"/>
        <item x="209"/>
        <item x="42"/>
        <item x="30"/>
        <item x="140"/>
        <item x="340"/>
        <item x="474"/>
        <item x="173"/>
        <item x="200"/>
        <item x="344"/>
        <item x="536"/>
        <item x="108"/>
        <item x="94"/>
        <item x="354"/>
        <item x="68"/>
        <item x="426"/>
        <item x="464"/>
        <item x="279"/>
        <item x="512"/>
        <item x="17"/>
        <item x="116"/>
        <item x="218"/>
        <item x="437"/>
        <item x="429"/>
        <item x="484"/>
        <item x="180"/>
        <item x="125"/>
        <item x="21"/>
        <item x="466"/>
        <item x="483"/>
        <item x="216"/>
        <item x="435"/>
        <item x="191"/>
        <item x="369"/>
        <item x="256"/>
        <item x="225"/>
        <item x="260"/>
        <item x="349"/>
        <item x="393"/>
        <item x="179"/>
        <item x="237"/>
        <item x="404"/>
        <item x="31"/>
        <item x="264"/>
        <item x="514"/>
        <item x="59"/>
        <item x="381"/>
        <item x="545"/>
        <item x="172"/>
        <item x="423"/>
        <item x="450"/>
        <item x="356"/>
        <item x="457"/>
        <item x="538"/>
        <item x="14"/>
        <item x="454"/>
        <item x="132"/>
        <item x="443"/>
        <item x="355"/>
        <item x="82"/>
        <item x="74"/>
        <item x="224"/>
        <item x="531"/>
        <item x="361"/>
        <item x="109"/>
        <item x="97"/>
        <item x="57"/>
        <item x="453"/>
        <item x="329"/>
        <item x="351"/>
        <item x="37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sortType="descending" defaultSubtotal="0">
      <items count="5">
        <item x="4"/>
        <item x="0"/>
        <item x="3"/>
        <item x="1"/>
        <item x="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outline="0" showAll="0"/>
    <pivotField axis="axisRow" compact="0" outline="0" showAll="0">
      <items count="92">
        <item x="12"/>
        <item x="10"/>
        <item x="3"/>
        <item x="5"/>
        <item x="1"/>
        <item x="9"/>
        <item x="4"/>
        <item m="1" x="51"/>
        <item x="0"/>
        <item m="1" x="59"/>
        <item m="1" x="60"/>
        <item m="1" x="57"/>
        <item m="1" x="56"/>
        <item m="1" x="58"/>
        <item m="1" x="69"/>
        <item x="19"/>
        <item m="1" x="65"/>
        <item m="1" x="64"/>
        <item m="1" x="63"/>
        <item m="1" x="62"/>
        <item m="1" x="61"/>
        <item m="1" x="70"/>
        <item m="1" x="81"/>
        <item m="1" x="75"/>
        <item m="1" x="82"/>
        <item m="1" x="74"/>
        <item m="1" x="78"/>
        <item m="1" x="67"/>
        <item m="1" x="66"/>
        <item m="1" x="83"/>
        <item m="1" x="80"/>
        <item m="1" x="84"/>
        <item m="1" x="73"/>
        <item m="1" x="76"/>
        <item m="1" x="68"/>
        <item m="1" x="71"/>
        <item m="1" x="77"/>
        <item m="1" x="79"/>
        <item m="1" x="72"/>
        <item x="46"/>
        <item m="1" x="85"/>
        <item m="1" x="89"/>
        <item m="1" x="88"/>
        <item m="1" x="87"/>
        <item m="1" x="86"/>
        <item m="1" x="90"/>
        <item x="2"/>
        <item x="6"/>
        <item m="1" x="48"/>
        <item x="8"/>
        <item m="1" x="49"/>
        <item m="1" x="50"/>
        <item x="15"/>
        <item x="18"/>
        <item x="17"/>
        <item x="20"/>
        <item x="21"/>
        <item x="22"/>
        <item x="23"/>
        <item m="1" x="52"/>
        <item x="25"/>
        <item x="26"/>
        <item x="27"/>
        <item m="1" x="53"/>
        <item x="29"/>
        <item x="30"/>
        <item x="31"/>
        <item x="32"/>
        <item x="28"/>
        <item x="33"/>
        <item x="34"/>
        <item x="35"/>
        <item x="36"/>
        <item m="1" x="54"/>
        <item x="38"/>
        <item x="39"/>
        <item x="40"/>
        <item m="1" x="55"/>
        <item x="42"/>
        <item x="43"/>
        <item x="44"/>
        <item x="45"/>
        <item m="1" x="47"/>
        <item x="7"/>
        <item x="11"/>
        <item x="13"/>
        <item x="14"/>
        <item x="16"/>
        <item x="24"/>
        <item x="37"/>
        <item x="41"/>
        <item t="default"/>
      </items>
    </pivotField>
    <pivotField compact="0" numFmtId="164" outline="0" showAll="0"/>
    <pivotField dataField="1" compact="0" numFmtId="164" outline="0" showAll="0"/>
    <pivotField dataField="1" compact="0" numFmtId="164" outline="0" showAll="0"/>
    <pivotField axis="axisPage" compact="0" outline="0" showAll="0">
      <items count="3">
        <item m="1" x="1"/>
        <item x="0"/>
        <item t="default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1"/>
    <field x="30"/>
  </rowFields>
  <rowItems count="517">
    <i>
      <x v="358"/>
      <x v="1"/>
      <x v="46"/>
    </i>
    <i>
      <x v="235"/>
      <x v="1"/>
      <x v="46"/>
    </i>
    <i>
      <x v="93"/>
      <x v="2"/>
      <x v="15"/>
    </i>
    <i>
      <x v="302"/>
      <x v="1"/>
      <x v="3"/>
    </i>
    <i>
      <x v="422"/>
      <x v="1"/>
      <x v="86"/>
    </i>
    <i>
      <x v="151"/>
      <x v="1"/>
      <x v="49"/>
    </i>
    <i>
      <x v="25"/>
      <x v="1"/>
      <x v="46"/>
    </i>
    <i>
      <x v="281"/>
      <x v="1"/>
      <x v="46"/>
    </i>
    <i>
      <x v="1"/>
      <x v="1"/>
      <x v="46"/>
    </i>
    <i>
      <x v="37"/>
      <x v="2"/>
      <x v="76"/>
    </i>
    <i>
      <x v="97"/>
      <x v="1"/>
      <x/>
    </i>
    <i>
      <x v="77"/>
      <x v="4"/>
      <x v="46"/>
    </i>
    <i>
      <x v="34"/>
      <x v="1"/>
      <x v="85"/>
    </i>
    <i>
      <x v="51"/>
      <x v="2"/>
      <x v="46"/>
    </i>
    <i>
      <x v="265"/>
      <x v="1"/>
      <x v="46"/>
    </i>
    <i>
      <x v="112"/>
      <x v="1"/>
      <x v="2"/>
    </i>
    <i>
      <x v="355"/>
      <x v="1"/>
      <x v="2"/>
    </i>
    <i>
      <x v="291"/>
      <x v="2"/>
      <x v="80"/>
    </i>
    <i>
      <x v="318"/>
      <x v="1"/>
      <x v="46"/>
    </i>
    <i>
      <x v="534"/>
      <x v="1"/>
      <x v="83"/>
    </i>
    <i>
      <x v="66"/>
      <x v="1"/>
      <x v="46"/>
    </i>
    <i>
      <x v="244"/>
      <x v="4"/>
      <x v="68"/>
    </i>
    <i>
      <x v="296"/>
      <x v="1"/>
      <x v="5"/>
    </i>
    <i>
      <x v="382"/>
      <x v="1"/>
      <x v="46"/>
    </i>
    <i>
      <x v="346"/>
      <x v="1"/>
      <x v="46"/>
    </i>
    <i>
      <x v="61"/>
      <x v="1"/>
      <x v="84"/>
    </i>
    <i>
      <x v="499"/>
      <x v="1"/>
      <x v="46"/>
    </i>
    <i>
      <x v="59"/>
      <x v="1"/>
      <x v="3"/>
    </i>
    <i>
      <x v="525"/>
      <x v="4"/>
      <x v="46"/>
    </i>
    <i>
      <x v="463"/>
      <x v="2"/>
      <x v="76"/>
    </i>
    <i>
      <x v="146"/>
      <x v="1"/>
      <x v="47"/>
    </i>
    <i>
      <x v="121"/>
      <x v="1"/>
      <x v="46"/>
    </i>
    <i>
      <x v="319"/>
      <x v="4"/>
      <x v="46"/>
    </i>
    <i>
      <x v="195"/>
      <x v="1"/>
      <x v="46"/>
    </i>
    <i>
      <x v="149"/>
      <x v="2"/>
      <x v="81"/>
    </i>
    <i>
      <x v="507"/>
      <x v="1"/>
      <x v="1"/>
    </i>
    <i>
      <x v="90"/>
      <x v="4"/>
      <x v="64"/>
    </i>
    <i>
      <x v="220"/>
      <x v="2"/>
      <x v="76"/>
    </i>
    <i>
      <x v="20"/>
      <x v="4"/>
      <x v="46"/>
    </i>
    <i>
      <x v="356"/>
      <x v="2"/>
      <x v="46"/>
    </i>
    <i>
      <x v="428"/>
      <x v="4"/>
      <x v="46"/>
    </i>
    <i>
      <x v="194"/>
      <x v="4"/>
      <x v="46"/>
    </i>
    <i>
      <x v="253"/>
      <x v="1"/>
      <x v="6"/>
    </i>
    <i>
      <x v="226"/>
      <x v="2"/>
      <x v="46"/>
    </i>
    <i>
      <x v="68"/>
      <x v="4"/>
      <x v="55"/>
    </i>
    <i>
      <x v="9"/>
      <x v="4"/>
      <x v="46"/>
    </i>
    <i>
      <x v="166"/>
      <x v="4"/>
      <x v="56"/>
    </i>
    <i>
      <x v="432"/>
      <x v="2"/>
      <x v="46"/>
    </i>
    <i>
      <x v="482"/>
      <x v="4"/>
      <x v="57"/>
    </i>
    <i>
      <x v="16"/>
      <x v="2"/>
      <x v="79"/>
    </i>
    <i>
      <x v="492"/>
      <x v="2"/>
      <x v="46"/>
    </i>
    <i>
      <x v="284"/>
      <x v="2"/>
      <x v="76"/>
    </i>
    <i>
      <x v="411"/>
      <x v="4"/>
      <x v="56"/>
    </i>
    <i>
      <x v="470"/>
      <x v="4"/>
      <x v="65"/>
    </i>
    <i>
      <x v="140"/>
      <x v="4"/>
      <x v="61"/>
    </i>
    <i>
      <x v="393"/>
      <x v="4"/>
      <x v="46"/>
    </i>
    <i>
      <x v="164"/>
      <x v="4"/>
      <x v="70"/>
    </i>
    <i>
      <x v="162"/>
      <x v="4"/>
      <x v="74"/>
    </i>
    <i>
      <x v="247"/>
      <x v="2"/>
      <x v="46"/>
    </i>
    <i>
      <x v="172"/>
      <x v="1"/>
      <x v="46"/>
    </i>
    <i>
      <x v="455"/>
      <x v="1"/>
      <x v="46"/>
    </i>
    <i>
      <x v="335"/>
      <x v="2"/>
      <x v="46"/>
    </i>
    <i>
      <x v="130"/>
      <x v="4"/>
      <x v="46"/>
    </i>
    <i>
      <x v="159"/>
      <x v="4"/>
      <x v="67"/>
    </i>
    <i>
      <x v="379"/>
      <x v="4"/>
      <x v="46"/>
    </i>
    <i>
      <x v="477"/>
      <x v="4"/>
      <x v="54"/>
    </i>
    <i>
      <x v="197"/>
      <x v="4"/>
      <x v="71"/>
    </i>
    <i>
      <x v="390"/>
      <x v="4"/>
      <x v="89"/>
    </i>
    <i>
      <x v="41"/>
      <x v="1"/>
      <x v="46"/>
    </i>
    <i>
      <x v="87"/>
      <x v="4"/>
      <x v="52"/>
    </i>
    <i>
      <x v="171"/>
      <x v="4"/>
      <x v="46"/>
    </i>
    <i>
      <x v="304"/>
      <x v="2"/>
      <x v="46"/>
    </i>
    <i>
      <x v="17"/>
      <x v="4"/>
      <x v="62"/>
    </i>
    <i>
      <x v="546"/>
      <x v="4"/>
      <x v="46"/>
    </i>
    <i>
      <x v="46"/>
      <x v="4"/>
      <x v="46"/>
    </i>
    <i>
      <x v="94"/>
      <x v="4"/>
      <x v="55"/>
    </i>
    <i>
      <x v="104"/>
      <x v="4"/>
      <x v="46"/>
    </i>
    <i>
      <x v="267"/>
      <x v="4"/>
      <x v="46"/>
    </i>
    <i>
      <x v="370"/>
      <x v="4"/>
      <x v="46"/>
    </i>
    <i>
      <x v="158"/>
      <x v="2"/>
      <x v="46"/>
    </i>
    <i>
      <x v="328"/>
      <x v="4"/>
      <x v="60"/>
    </i>
    <i>
      <x v="189"/>
      <x v="2"/>
      <x v="78"/>
    </i>
    <i>
      <x v="457"/>
      <x v="1"/>
      <x v="8"/>
    </i>
    <i>
      <x v="545"/>
      <x v="2"/>
      <x v="90"/>
    </i>
    <i>
      <x v="264"/>
      <x v="4"/>
      <x v="53"/>
    </i>
    <i>
      <x v="119"/>
      <x v="2"/>
      <x v="46"/>
    </i>
    <i>
      <x v="436"/>
      <x v="4"/>
      <x v="46"/>
    </i>
    <i>
      <x v="276"/>
      <x v="4"/>
      <x v="75"/>
    </i>
    <i>
      <x v="442"/>
      <x v="2"/>
      <x v="46"/>
    </i>
    <i>
      <x v="92"/>
      <x v="4"/>
      <x v="46"/>
    </i>
    <i>
      <x v="375"/>
      <x v="3"/>
      <x v="46"/>
    </i>
    <i>
      <x v="132"/>
      <x v="2"/>
      <x v="46"/>
    </i>
    <i>
      <x v="108"/>
      <x v="4"/>
      <x v="68"/>
    </i>
    <i>
      <x v="434"/>
      <x v="2"/>
      <x v="46"/>
    </i>
    <i>
      <x v="494"/>
      <x v="3"/>
      <x v="46"/>
    </i>
    <i>
      <x v="448"/>
      <x v="4"/>
      <x v="66"/>
    </i>
    <i>
      <x v="460"/>
      <x v="3"/>
      <x v="46"/>
    </i>
    <i>
      <x v="55"/>
      <x v="2"/>
      <x v="46"/>
    </i>
    <i>
      <x v="404"/>
      <x v="2"/>
      <x v="46"/>
    </i>
    <i>
      <x v="246"/>
      <x v="2"/>
      <x v="46"/>
    </i>
    <i>
      <x/>
      <x v="2"/>
      <x v="46"/>
    </i>
    <i>
      <x v="483"/>
      <x v="4"/>
      <x v="46"/>
    </i>
    <i>
      <x v="540"/>
      <x v="4"/>
      <x v="56"/>
    </i>
    <i>
      <x v="339"/>
      <x v="4"/>
      <x v="69"/>
    </i>
    <i>
      <x v="3"/>
      <x v="4"/>
      <x v="58"/>
    </i>
    <i>
      <x v="157"/>
      <x v="2"/>
      <x v="46"/>
    </i>
    <i>
      <x v="266"/>
      <x v="4"/>
      <x v="46"/>
    </i>
    <i>
      <x v="294"/>
      <x v="4"/>
      <x v="46"/>
    </i>
    <i>
      <x v="262"/>
      <x v="2"/>
      <x v="46"/>
    </i>
    <i>
      <x v="396"/>
      <x v="4"/>
      <x v="56"/>
    </i>
    <i>
      <x v="357"/>
      <x v="4"/>
      <x v="46"/>
    </i>
    <i>
      <x v="268"/>
      <x v="2"/>
      <x v="46"/>
    </i>
    <i>
      <x v="196"/>
      <x v="3"/>
      <x v="46"/>
    </i>
    <i>
      <x v="56"/>
      <x v="4"/>
      <x v="46"/>
    </i>
    <i>
      <x v="512"/>
      <x v="2"/>
      <x v="46"/>
    </i>
    <i>
      <x v="30"/>
      <x v="2"/>
      <x v="46"/>
    </i>
    <i>
      <x v="127"/>
      <x v="4"/>
      <x v="46"/>
    </i>
    <i>
      <x v="81"/>
      <x v="2"/>
      <x v="46"/>
    </i>
    <i>
      <x v="138"/>
      <x v="4"/>
      <x v="46"/>
    </i>
    <i>
      <x v="192"/>
      <x v="4"/>
      <x v="46"/>
    </i>
    <i>
      <x v="491"/>
      <x v="2"/>
      <x v="46"/>
    </i>
    <i>
      <x v="352"/>
      <x v="3"/>
      <x v="46"/>
    </i>
    <i>
      <x v="501"/>
      <x v="3"/>
      <x v="46"/>
    </i>
    <i>
      <x v="279"/>
      <x v="2"/>
      <x v="46"/>
    </i>
    <i>
      <x v="187"/>
      <x v="3"/>
      <x v="46"/>
    </i>
    <i>
      <x v="134"/>
      <x v="3"/>
      <x v="46"/>
    </i>
    <i>
      <x v="230"/>
      <x v="4"/>
      <x v="46"/>
    </i>
    <i>
      <x v="143"/>
      <x v="4"/>
      <x v="46"/>
    </i>
    <i>
      <x v="204"/>
      <x v="2"/>
      <x v="46"/>
    </i>
    <i>
      <x v="250"/>
      <x v="4"/>
      <x v="46"/>
    </i>
    <i>
      <x v="110"/>
      <x v="4"/>
      <x v="46"/>
    </i>
    <i>
      <x v="522"/>
      <x v="4"/>
      <x v="46"/>
    </i>
    <i>
      <x v="229"/>
      <x v="3"/>
      <x v="46"/>
    </i>
    <i>
      <x v="311"/>
      <x v="4"/>
      <x v="46"/>
    </i>
    <i>
      <x v="544"/>
      <x v="2"/>
      <x v="39"/>
    </i>
    <i>
      <x v="438"/>
      <x v="4"/>
      <x v="46"/>
    </i>
    <i>
      <x v="292"/>
      <x v="2"/>
      <x v="46"/>
    </i>
    <i>
      <x v="45"/>
      <x v="4"/>
      <x v="46"/>
    </i>
    <i>
      <x v="514"/>
      <x v="2"/>
      <x v="46"/>
    </i>
    <i>
      <x v="407"/>
      <x v="2"/>
      <x v="46"/>
    </i>
    <i>
      <x v="142"/>
      <x v="4"/>
      <x v="46"/>
    </i>
    <i>
      <x v="421"/>
      <x v="3"/>
      <x v="87"/>
    </i>
    <i>
      <x v="26"/>
      <x v="2"/>
      <x v="46"/>
    </i>
    <i>
      <x v="343"/>
      <x v="4"/>
      <x v="46"/>
    </i>
    <i>
      <x v="510"/>
      <x v="2"/>
      <x v="46"/>
    </i>
    <i>
      <x v="115"/>
      <x v="3"/>
      <x v="15"/>
    </i>
    <i>
      <x v="95"/>
      <x v="2"/>
      <x v="46"/>
    </i>
    <i>
      <x v="539"/>
      <x v="4"/>
      <x v="72"/>
    </i>
    <i>
      <x v="275"/>
      <x v="2"/>
      <x v="46"/>
    </i>
    <i>
      <x v="113"/>
      <x v="3"/>
      <x v="46"/>
    </i>
    <i>
      <x v="541"/>
      <x v="2"/>
      <x v="46"/>
    </i>
    <i>
      <x v="377"/>
      <x v="4"/>
      <x v="46"/>
    </i>
    <i>
      <x v="392"/>
      <x v="4"/>
      <x v="46"/>
    </i>
    <i>
      <x v="241"/>
      <x v="4"/>
      <x v="46"/>
    </i>
    <i>
      <x v="6"/>
      <x v="1"/>
      <x v="46"/>
    </i>
    <i>
      <x v="449"/>
      <x v="4"/>
      <x v="46"/>
    </i>
    <i>
      <x v="163"/>
      <x v="4"/>
      <x v="46"/>
    </i>
    <i>
      <x v="58"/>
      <x v="3"/>
      <x v="46"/>
    </i>
    <i>
      <x v="488"/>
      <x v="3"/>
      <x v="46"/>
    </i>
    <i>
      <x v="116"/>
      <x v="3"/>
      <x v="46"/>
    </i>
    <i>
      <x v="481"/>
      <x v="3"/>
      <x v="46"/>
    </i>
    <i>
      <x v="5"/>
      <x v="4"/>
      <x v="46"/>
    </i>
    <i>
      <x v="231"/>
      <x v="2"/>
      <x v="46"/>
    </i>
    <i>
      <x v="170"/>
      <x v="4"/>
      <x v="46"/>
    </i>
    <i>
      <x v="496"/>
      <x v="4"/>
      <x v="46"/>
    </i>
    <i>
      <x v="532"/>
      <x v="4"/>
      <x v="46"/>
    </i>
    <i>
      <x v="240"/>
      <x v="4"/>
      <x v="46"/>
    </i>
    <i>
      <x v="500"/>
      <x v="2"/>
      <x v="46"/>
    </i>
    <i>
      <x v="515"/>
      <x v="4"/>
      <x v="46"/>
    </i>
    <i>
      <x v="332"/>
      <x v="4"/>
      <x v="46"/>
    </i>
    <i>
      <x v="516"/>
      <x v="3"/>
      <x v="46"/>
    </i>
    <i>
      <x v="38"/>
      <x v="2"/>
      <x v="46"/>
    </i>
    <i>
      <x v="239"/>
      <x v="4"/>
      <x v="46"/>
    </i>
    <i>
      <x v="439"/>
      <x v="4"/>
      <x v="46"/>
    </i>
    <i>
      <x v="342"/>
      <x v="2"/>
      <x v="46"/>
    </i>
    <i>
      <x v="444"/>
      <x v="2"/>
      <x v="46"/>
    </i>
    <i>
      <x v="322"/>
      <x v="3"/>
      <x v="46"/>
    </i>
    <i>
      <x v="98"/>
      <x v="2"/>
      <x v="46"/>
    </i>
    <i>
      <x v="126"/>
      <x v="4"/>
      <x v="46"/>
    </i>
    <i>
      <x v="416"/>
      <x v="4"/>
      <x v="88"/>
    </i>
    <i>
      <x v="303"/>
      <x v="4"/>
      <x v="46"/>
    </i>
    <i>
      <x v="83"/>
      <x v="3"/>
      <x v="46"/>
    </i>
    <i>
      <x v="486"/>
      <x v="4"/>
      <x v="46"/>
    </i>
    <i>
      <x v="209"/>
      <x v="3"/>
      <x v="46"/>
    </i>
    <i>
      <x v="331"/>
      <x v="2"/>
      <x v="46"/>
    </i>
    <i>
      <x v="64"/>
      <x v="3"/>
      <x v="46"/>
    </i>
    <i>
      <x v="236"/>
      <x v="4"/>
      <x v="46"/>
    </i>
    <i>
      <x v="14"/>
      <x v="2"/>
      <x v="46"/>
    </i>
    <i>
      <x v="429"/>
      <x v="4"/>
      <x v="46"/>
    </i>
    <i>
      <x v="101"/>
      <x v="3"/>
      <x v="46"/>
    </i>
    <i>
      <x v="274"/>
      <x v="4"/>
      <x v="46"/>
    </i>
    <i>
      <x v="413"/>
      <x v="3"/>
      <x v="46"/>
    </i>
    <i>
      <x v="502"/>
      <x v="4"/>
      <x v="46"/>
    </i>
    <i>
      <x v="380"/>
      <x v="4"/>
      <x v="46"/>
    </i>
    <i>
      <x v="363"/>
      <x v="4"/>
      <x v="46"/>
    </i>
    <i>
      <x v="207"/>
      <x v="3"/>
      <x v="46"/>
    </i>
    <i>
      <x v="397"/>
      <x v="2"/>
      <x v="46"/>
    </i>
    <i>
      <x v="378"/>
      <x v="2"/>
      <x v="46"/>
    </i>
    <i>
      <x v="317"/>
      <x v="1"/>
      <x v="46"/>
    </i>
    <i>
      <x v="218"/>
      <x v="3"/>
      <x v="46"/>
    </i>
    <i>
      <x v="508"/>
      <x v="3"/>
      <x v="46"/>
    </i>
    <i>
      <x v="181"/>
      <x v="2"/>
      <x v="46"/>
    </i>
    <i>
      <x v="63"/>
      <x v="2"/>
      <x v="46"/>
    </i>
    <i>
      <x v="368"/>
      <x v="4"/>
      <x v="46"/>
    </i>
    <i>
      <x v="44"/>
      <x v="2"/>
      <x v="46"/>
    </i>
    <i>
      <x v="307"/>
      <x v="4"/>
      <x v="46"/>
    </i>
    <i>
      <x v="440"/>
      <x v="2"/>
      <x v="46"/>
    </i>
    <i>
      <x v="476"/>
      <x v="2"/>
      <x v="46"/>
    </i>
    <i>
      <x v="443"/>
      <x v="4"/>
      <x v="46"/>
    </i>
    <i>
      <x v="136"/>
      <x v="3"/>
      <x v="46"/>
    </i>
    <i>
      <x v="293"/>
      <x v="3"/>
      <x v="46"/>
    </i>
    <i>
      <x v="394"/>
      <x v="3"/>
      <x v="46"/>
    </i>
    <i>
      <x v="21"/>
      <x v="4"/>
      <x v="46"/>
    </i>
    <i>
      <x v="324"/>
      <x v="4"/>
      <x v="46"/>
    </i>
    <i>
      <x v="242"/>
      <x v="2"/>
      <x v="46"/>
    </i>
    <i>
      <x v="530"/>
      <x v="4"/>
      <x v="46"/>
    </i>
    <i>
      <x v="441"/>
      <x v="4"/>
      <x v="46"/>
    </i>
    <i>
      <x v="177"/>
      <x v="4"/>
      <x v="46"/>
    </i>
    <i>
      <x v="354"/>
      <x v="3"/>
      <x v="46"/>
    </i>
    <i>
      <x v="484"/>
      <x v="3"/>
      <x v="46"/>
    </i>
    <i>
      <x v="334"/>
      <x v="2"/>
      <x v="46"/>
    </i>
    <i>
      <x v="193"/>
      <x v="1"/>
      <x v="4"/>
    </i>
    <i>
      <x v="75"/>
      <x v="4"/>
      <x v="46"/>
    </i>
    <i>
      <x v="364"/>
      <x v="3"/>
      <x v="46"/>
    </i>
    <i>
      <x v="100"/>
      <x v="3"/>
      <x v="46"/>
    </i>
    <i>
      <x v="528"/>
      <x v="2"/>
      <x v="46"/>
    </i>
    <i>
      <x v="408"/>
      <x v="1"/>
      <x v="46"/>
    </i>
    <i>
      <x v="290"/>
      <x v="4"/>
      <x v="46"/>
    </i>
    <i>
      <x v="169"/>
      <x v="2"/>
      <x v="46"/>
    </i>
    <i>
      <x v="118"/>
      <x v="2"/>
      <x v="46"/>
    </i>
    <i>
      <x v="198"/>
      <x v="3"/>
      <x v="46"/>
    </i>
    <i>
      <x v="547"/>
      <x v="4"/>
      <x v="46"/>
    </i>
    <i>
      <x v="406"/>
      <x v="4"/>
      <x v="46"/>
    </i>
    <i>
      <x v="36"/>
      <x v="3"/>
      <x v="46"/>
    </i>
    <i>
      <x v="182"/>
      <x v="4"/>
      <x v="46"/>
    </i>
    <i>
      <x v="542"/>
      <x v="3"/>
      <x v="46"/>
    </i>
    <i>
      <x v="316"/>
      <x v="2"/>
      <x v="46"/>
    </i>
    <i>
      <x v="414"/>
      <x v="3"/>
      <x v="46"/>
    </i>
    <i>
      <x v="202"/>
      <x v="3"/>
      <x v="46"/>
    </i>
    <i>
      <x v="520"/>
      <x v="3"/>
      <x v="46"/>
    </i>
    <i>
      <x v="537"/>
      <x v="4"/>
      <x v="46"/>
    </i>
    <i>
      <x v="223"/>
      <x v="1"/>
      <x v="46"/>
    </i>
    <i>
      <x v="417"/>
      <x v="4"/>
      <x v="46"/>
    </i>
    <i>
      <x v="224"/>
      <x v="4"/>
      <x v="46"/>
    </i>
    <i>
      <x v="490"/>
      <x v="3"/>
      <x v="46"/>
    </i>
    <i>
      <x v="388"/>
      <x v="3"/>
      <x v="46"/>
    </i>
    <i>
      <x v="511"/>
      <x v="2"/>
      <x v="46"/>
    </i>
    <i>
      <x v="201"/>
      <x v="4"/>
      <x v="46"/>
    </i>
    <i>
      <x v="67"/>
      <x v="4"/>
      <x v="46"/>
    </i>
    <i>
      <x v="216"/>
      <x v="2"/>
      <x v="46"/>
    </i>
    <i>
      <x v="452"/>
      <x v="2"/>
      <x v="46"/>
    </i>
    <i>
      <x v="184"/>
      <x v="2"/>
      <x v="46"/>
    </i>
    <i>
      <x v="533"/>
      <x v="3"/>
      <x v="46"/>
    </i>
    <i>
      <x v="326"/>
      <x v="4"/>
      <x v="46"/>
    </i>
    <i>
      <x v="459"/>
      <x v="1"/>
      <x v="46"/>
    </i>
    <i>
      <x v="269"/>
      <x v="2"/>
      <x v="46"/>
    </i>
    <i>
      <x v="341"/>
      <x v="4"/>
      <x v="46"/>
    </i>
    <i>
      <x v="461"/>
      <x v="2"/>
      <x v="46"/>
    </i>
    <i>
      <x v="504"/>
      <x v="4"/>
      <x v="46"/>
    </i>
    <i>
      <x v="447"/>
      <x v="4"/>
      <x v="46"/>
    </i>
    <i>
      <x v="503"/>
      <x v="2"/>
      <x v="46"/>
    </i>
    <i>
      <x v="260"/>
      <x v="4"/>
      <x v="46"/>
    </i>
    <i>
      <x v="509"/>
      <x v="4"/>
      <x v="46"/>
    </i>
    <i>
      <x v="386"/>
      <x v="2"/>
      <x v="46"/>
    </i>
    <i>
      <x v="273"/>
      <x v="3"/>
      <x v="46"/>
    </i>
    <i>
      <x v="173"/>
      <x v="1"/>
      <x v="46"/>
    </i>
    <i>
      <x v="31"/>
      <x v="3"/>
      <x v="46"/>
    </i>
    <i>
      <x v="454"/>
      <x v="2"/>
      <x v="46"/>
    </i>
    <i>
      <x v="148"/>
      <x v="2"/>
      <x v="46"/>
    </i>
    <i>
      <x v="256"/>
      <x v="1"/>
      <x v="46"/>
    </i>
    <i>
      <x v="327"/>
      <x v="2"/>
      <x v="46"/>
    </i>
    <i>
      <x v="415"/>
      <x v="2"/>
      <x v="46"/>
    </i>
    <i>
      <x v="412"/>
      <x v="4"/>
      <x v="46"/>
    </i>
    <i>
      <x v="188"/>
      <x v="2"/>
      <x v="46"/>
    </i>
    <i>
      <x v="103"/>
      <x v="3"/>
      <x v="46"/>
    </i>
    <i>
      <x v="15"/>
      <x v="4"/>
      <x v="46"/>
    </i>
    <i>
      <x v="76"/>
      <x v="4"/>
      <x v="46"/>
    </i>
    <i>
      <x v="321"/>
      <x v="4"/>
      <x v="46"/>
    </i>
    <i>
      <x v="82"/>
      <x v="2"/>
      <x v="46"/>
    </i>
    <i>
      <x v="495"/>
      <x v="2"/>
      <x v="46"/>
    </i>
    <i>
      <x v="10"/>
      <x v="2"/>
      <x v="46"/>
    </i>
    <i>
      <x v="228"/>
      <x v="1"/>
      <x v="46"/>
    </i>
    <i>
      <x v="227"/>
      <x v="4"/>
      <x v="46"/>
    </i>
    <i>
      <x v="72"/>
      <x v="1"/>
      <x v="46"/>
    </i>
    <i>
      <x v="48"/>
      <x v="4"/>
      <x v="46"/>
    </i>
    <i>
      <x v="398"/>
      <x v="1"/>
      <x v="46"/>
    </i>
    <i>
      <x v="4"/>
      <x v="3"/>
      <x v="46"/>
    </i>
    <i>
      <x v="259"/>
      <x v="3"/>
      <x v="46"/>
    </i>
    <i>
      <x v="288"/>
      <x v="3"/>
      <x v="46"/>
    </i>
    <i>
      <x v="306"/>
      <x v="3"/>
      <x v="46"/>
    </i>
    <i>
      <x v="105"/>
      <x v="1"/>
      <x v="46"/>
    </i>
    <i>
      <x v="310"/>
      <x v="1"/>
      <x v="46"/>
    </i>
    <i>
      <x v="524"/>
      <x v="4"/>
      <x v="46"/>
    </i>
    <i>
      <x v="160"/>
      <x v="4"/>
      <x v="46"/>
    </i>
    <i>
      <x v="120"/>
      <x v="3"/>
      <x v="46"/>
    </i>
    <i>
      <x v="506"/>
      <x v="4"/>
      <x v="46"/>
    </i>
    <i>
      <x v="190"/>
      <x v="3"/>
      <x v="46"/>
    </i>
    <i>
      <x v="278"/>
      <x v="1"/>
      <x v="46"/>
    </i>
    <i>
      <x v="529"/>
      <x v="1"/>
      <x v="46"/>
    </i>
    <i>
      <x v="345"/>
      <x v="2"/>
      <x v="46"/>
    </i>
    <i>
      <x v="373"/>
      <x v="1"/>
      <x v="46"/>
    </i>
    <i>
      <x v="465"/>
      <x v="1"/>
      <x v="46"/>
    </i>
    <i>
      <x v="29"/>
      <x v="2"/>
      <x v="46"/>
    </i>
    <i>
      <x v="305"/>
      <x v="1"/>
      <x v="46"/>
    </i>
    <i>
      <x v="91"/>
      <x v="2"/>
      <x v="46"/>
    </i>
    <i>
      <x v="527"/>
      <x v="1"/>
      <x v="46"/>
    </i>
    <i>
      <x v="498"/>
      <x v="4"/>
      <x v="46"/>
    </i>
    <i>
      <x v="73"/>
      <x v="1"/>
      <x v="46"/>
    </i>
    <i>
      <x v="337"/>
      <x v="1"/>
      <x v="46"/>
    </i>
    <i>
      <x v="19"/>
      <x v="2"/>
      <x v="46"/>
    </i>
    <i>
      <x v="353"/>
      <x v="1"/>
      <x v="46"/>
    </i>
    <i>
      <x v="389"/>
      <x v="1"/>
      <x v="46"/>
    </i>
    <i>
      <x v="152"/>
      <x v="1"/>
      <x v="46"/>
    </i>
    <i>
      <x v="179"/>
      <x v="1"/>
      <x v="46"/>
    </i>
    <i>
      <x v="62"/>
      <x v="4"/>
      <x v="46"/>
    </i>
    <i>
      <x v="13"/>
      <x v="4"/>
      <x v="46"/>
    </i>
    <i>
      <x v="308"/>
      <x v="3"/>
      <x v="46"/>
    </i>
    <i>
      <x v="366"/>
      <x v="1"/>
      <x v="46"/>
    </i>
    <i>
      <x v="125"/>
      <x v="2"/>
      <x v="46"/>
    </i>
    <i>
      <x v="60"/>
      <x v="3"/>
      <x v="46"/>
    </i>
    <i>
      <x v="208"/>
      <x v="1"/>
      <x v="46"/>
    </i>
    <i>
      <x v="469"/>
      <x v="1"/>
      <x v="46"/>
    </i>
    <i>
      <x v="251"/>
      <x v="4"/>
      <x v="46"/>
    </i>
    <i>
      <x v="297"/>
      <x v="2"/>
      <x v="46"/>
    </i>
    <i>
      <x v="381"/>
      <x v="1"/>
      <x v="46"/>
    </i>
    <i>
      <x v="106"/>
      <x v="2"/>
      <x v="46"/>
    </i>
    <i>
      <x v="23"/>
      <x v="1"/>
      <x v="46"/>
    </i>
    <i>
      <x v="456"/>
      <x v="4"/>
      <x v="46"/>
    </i>
    <i>
      <x v="245"/>
      <x v="1"/>
      <x v="46"/>
    </i>
    <i>
      <x v="295"/>
      <x v="3"/>
      <x v="46"/>
    </i>
    <i>
      <x v="315"/>
      <x v="2"/>
      <x v="46"/>
    </i>
    <i>
      <x v="176"/>
      <x v="3"/>
      <x v="46"/>
    </i>
    <i>
      <x v="336"/>
      <x v="2"/>
      <x v="46"/>
    </i>
    <i>
      <x v="109"/>
      <x v="2"/>
      <x v="46"/>
    </i>
    <i>
      <x v="212"/>
      <x v="3"/>
      <x v="46"/>
    </i>
    <i>
      <x v="180"/>
      <x v="3"/>
      <x v="46"/>
    </i>
    <i>
      <x v="174"/>
      <x v="3"/>
      <x v="46"/>
    </i>
    <i>
      <x v="128"/>
      <x v="3"/>
      <x v="46"/>
    </i>
    <i>
      <x v="282"/>
      <x v="1"/>
      <x v="46"/>
    </i>
    <i>
      <x v="535"/>
      <x v="3"/>
      <x v="46"/>
    </i>
    <i>
      <x v="548"/>
      <x v="1"/>
      <x v="46"/>
    </i>
    <i>
      <x v="365"/>
      <x v="3"/>
      <x v="46"/>
    </i>
    <i>
      <x v="135"/>
      <x v="3"/>
      <x v="46"/>
    </i>
    <i>
      <x v="147"/>
      <x v="4"/>
      <x v="46"/>
    </i>
    <i>
      <x v="74"/>
      <x v="4"/>
      <x v="46"/>
    </i>
    <i>
      <x v="54"/>
      <x v="3"/>
      <x v="46"/>
    </i>
    <i>
      <x v="536"/>
      <x v="2"/>
      <x v="46"/>
    </i>
    <i>
      <x v="371"/>
      <x v="4"/>
      <x v="46"/>
    </i>
    <i>
      <x v="257"/>
      <x v="2"/>
      <x v="46"/>
    </i>
    <i>
      <x v="400"/>
      <x v="3"/>
      <x v="46"/>
    </i>
    <i>
      <x v="468"/>
      <x v="4"/>
      <x v="46"/>
    </i>
    <i>
      <x v="252"/>
      <x v="2"/>
      <x v="46"/>
    </i>
    <i>
      <x v="40"/>
      <x v="4"/>
      <x v="46"/>
    </i>
    <i>
      <x v="301"/>
      <x v="4"/>
      <x v="46"/>
    </i>
    <i>
      <x v="53"/>
      <x v="3"/>
      <x v="46"/>
    </i>
    <i>
      <x v="215"/>
      <x v="2"/>
      <x v="46"/>
    </i>
    <i>
      <x v="175"/>
      <x v="3"/>
      <x v="46"/>
    </i>
    <i>
      <x v="156"/>
      <x v="4"/>
      <x v="46"/>
    </i>
    <i>
      <x v="350"/>
      <x v="2"/>
      <x v="46"/>
    </i>
    <i>
      <x v="323"/>
      <x v="4"/>
      <x v="46"/>
    </i>
    <i>
      <x v="451"/>
      <x v="2"/>
      <x v="46"/>
    </i>
    <i>
      <x v="367"/>
      <x v="4"/>
      <x v="46"/>
    </i>
    <i>
      <x v="478"/>
      <x v="3"/>
      <x v="46"/>
    </i>
    <i>
      <x v="219"/>
      <x v="4"/>
      <x v="46"/>
    </i>
    <i>
      <x v="473"/>
      <x v="3"/>
      <x v="46"/>
    </i>
    <i>
      <x v="426"/>
      <x v="3"/>
      <x v="46"/>
    </i>
    <i>
      <x v="221"/>
      <x v="2"/>
      <x v="46"/>
    </i>
    <i>
      <x v="237"/>
      <x v="4"/>
      <x v="46"/>
    </i>
    <i>
      <x v="133"/>
      <x v="4"/>
      <x v="46"/>
    </i>
    <i>
      <x v="153"/>
      <x v="2"/>
      <x v="46"/>
    </i>
    <i>
      <x v="178"/>
      <x v="2"/>
      <x v="46"/>
    </i>
    <i>
      <x v="71"/>
      <x v="2"/>
      <x v="46"/>
    </i>
    <i>
      <x v="261"/>
      <x v="4"/>
      <x v="46"/>
    </i>
    <i>
      <x v="424"/>
      <x v="3"/>
      <x v="46"/>
    </i>
    <i>
      <x v="8"/>
      <x v="3"/>
      <x v="46"/>
    </i>
    <i>
      <x v="12"/>
      <x v="2"/>
      <x v="46"/>
    </i>
    <i>
      <x v="410"/>
      <x v="4"/>
      <x v="46"/>
    </i>
    <i>
      <x v="168"/>
      <x v="4"/>
      <x v="46"/>
    </i>
    <i>
      <x v="425"/>
      <x v="3"/>
      <x v="46"/>
    </i>
    <i>
      <x v="360"/>
      <x v="4"/>
      <x v="46"/>
    </i>
    <i>
      <x v="289"/>
      <x v="4"/>
      <x v="46"/>
    </i>
    <i>
      <x v="214"/>
      <x v="3"/>
      <x v="46"/>
    </i>
    <i>
      <x v="186"/>
      <x v="3"/>
      <x v="46"/>
    </i>
    <i>
      <x v="466"/>
      <x v="2"/>
      <x v="46"/>
    </i>
    <i>
      <x v="403"/>
      <x v="2"/>
      <x v="46"/>
    </i>
    <i>
      <x v="80"/>
      <x v="3"/>
      <x v="46"/>
    </i>
    <i>
      <x v="376"/>
      <x v="4"/>
      <x v="46"/>
    </i>
    <i>
      <x v="84"/>
      <x v="4"/>
      <x v="46"/>
    </i>
    <i>
      <x v="437"/>
      <x v="2"/>
      <x v="46"/>
    </i>
    <i>
      <x v="347"/>
      <x v="4"/>
      <x v="46"/>
    </i>
    <i>
      <x v="348"/>
      <x v="3"/>
      <x v="46"/>
    </i>
    <i>
      <x v="362"/>
      <x v="3"/>
      <x v="46"/>
    </i>
    <i>
      <x v="255"/>
      <x v="2"/>
      <x v="46"/>
    </i>
    <i>
      <x v="361"/>
      <x v="3"/>
      <x v="46"/>
    </i>
    <i>
      <x v="52"/>
      <x v="4"/>
      <x v="46"/>
    </i>
    <i>
      <x v="200"/>
      <x v="3"/>
      <x v="46"/>
    </i>
    <i>
      <x v="523"/>
      <x v="4"/>
      <x v="46"/>
    </i>
    <i>
      <x v="487"/>
      <x v="3"/>
      <x v="46"/>
    </i>
    <i>
      <x v="69"/>
      <x v="2"/>
      <x v="46"/>
    </i>
    <i>
      <x v="285"/>
      <x v="3"/>
      <x v="46"/>
    </i>
    <i>
      <x v="85"/>
      <x v="2"/>
      <x v="46"/>
    </i>
    <i>
      <x v="464"/>
      <x v="4"/>
      <x v="46"/>
    </i>
    <i>
      <x v="131"/>
      <x v="4"/>
      <x v="46"/>
    </i>
    <i>
      <x v="89"/>
      <x v="4"/>
      <x v="46"/>
    </i>
    <i>
      <x v="359"/>
      <x v="2"/>
      <x v="46"/>
    </i>
    <i>
      <x v="497"/>
      <x v="4"/>
      <x v="46"/>
    </i>
    <i>
      <x v="24"/>
      <x v="4"/>
      <x v="46"/>
    </i>
    <i>
      <x v="232"/>
      <x v="4"/>
      <x v="46"/>
    </i>
    <i>
      <x v="433"/>
      <x v="2"/>
      <x v="46"/>
    </i>
    <i>
      <x v="286"/>
      <x v="4"/>
      <x v="46"/>
    </i>
    <i>
      <x v="467"/>
      <x v="2"/>
      <x v="46"/>
    </i>
    <i>
      <x v="213"/>
      <x v="4"/>
      <x v="46"/>
    </i>
    <i>
      <x v="129"/>
      <x v="2"/>
      <x v="46"/>
    </i>
    <i>
      <x v="385"/>
      <x v="2"/>
      <x v="46"/>
    </i>
    <i>
      <x v="471"/>
      <x v="4"/>
      <x v="46"/>
    </i>
    <i>
      <x v="49"/>
      <x v="4"/>
      <x v="46"/>
    </i>
    <i>
      <x v="141"/>
      <x v="2"/>
      <x v="46"/>
    </i>
    <i>
      <x v="123"/>
      <x v="2"/>
      <x v="46"/>
    </i>
    <i>
      <x v="144"/>
      <x v="2"/>
      <x v="46"/>
    </i>
    <i>
      <x v="165"/>
      <x v="4"/>
      <x v="46"/>
    </i>
    <i>
      <x v="340"/>
      <x v="2"/>
      <x v="46"/>
    </i>
    <i>
      <x v="211"/>
      <x v="2"/>
      <x v="46"/>
    </i>
    <i>
      <x v="333"/>
      <x v="2"/>
      <x v="46"/>
    </i>
    <i>
      <x v="22"/>
      <x v="2"/>
      <x v="46"/>
    </i>
    <i>
      <x v="33"/>
      <x v="2"/>
      <x v="46"/>
    </i>
    <i>
      <x v="420"/>
      <x v="4"/>
      <x v="46"/>
    </i>
    <i>
      <x v="2"/>
      <x v="2"/>
      <x v="46"/>
    </i>
    <i>
      <x v="518"/>
      <x v="2"/>
      <x v="46"/>
    </i>
    <i>
      <x v="28"/>
      <x v="4"/>
      <x v="46"/>
    </i>
    <i>
      <x v="254"/>
      <x v="3"/>
      <x v="46"/>
    </i>
    <i>
      <x v="287"/>
      <x v="3"/>
      <x v="46"/>
    </i>
    <i>
      <x v="453"/>
      <x v="3"/>
      <x v="46"/>
    </i>
    <i>
      <x v="167"/>
      <x v="3"/>
      <x v="46"/>
    </i>
    <i>
      <x v="258"/>
      <x v="4"/>
      <x v="46"/>
    </i>
    <i>
      <x v="78"/>
      <x v="4"/>
      <x v="46"/>
    </i>
    <i>
      <x v="65"/>
      <x v="3"/>
      <x v="46"/>
    </i>
    <i>
      <x v="114"/>
      <x v="3"/>
      <x v="46"/>
    </i>
    <i>
      <x v="338"/>
      <x v="3"/>
      <x v="46"/>
    </i>
    <i>
      <x v="384"/>
      <x v="4"/>
      <x v="46"/>
    </i>
    <i>
      <x v="431"/>
      <x v="3"/>
      <x v="46"/>
    </i>
    <i>
      <x v="205"/>
      <x v="3"/>
      <x v="46"/>
    </i>
    <i>
      <x v="372"/>
      <x v="3"/>
      <x v="46"/>
    </i>
    <i>
      <x v="248"/>
      <x v="3"/>
      <x v="46"/>
    </i>
    <i>
      <x v="11"/>
      <x v="3"/>
      <x v="46"/>
    </i>
    <i>
      <x v="521"/>
      <x v="4"/>
      <x v="46"/>
    </i>
    <i>
      <x v="183"/>
      <x v="4"/>
      <x v="46"/>
    </i>
    <i>
      <x v="446"/>
      <x v="3"/>
      <x v="46"/>
    </i>
    <i>
      <x v="383"/>
      <x v="4"/>
      <x v="46"/>
    </i>
    <i>
      <x v="320"/>
      <x v="4"/>
      <x v="46"/>
    </i>
    <i>
      <x v="369"/>
      <x v="4"/>
      <x v="46"/>
    </i>
    <i>
      <x v="402"/>
      <x v="3"/>
      <x v="46"/>
    </i>
    <i>
      <x v="314"/>
      <x v="3"/>
      <x v="46"/>
    </i>
    <i>
      <x v="312"/>
      <x v="3"/>
      <x v="46"/>
    </i>
    <i>
      <x v="409"/>
      <x v="3"/>
      <x v="46"/>
    </i>
    <i>
      <x v="96"/>
      <x v="2"/>
      <x v="46"/>
    </i>
    <i>
      <x v="419"/>
      <x v="4"/>
      <x v="46"/>
    </i>
    <i>
      <x v="222"/>
      <x v="4"/>
      <x v="46"/>
    </i>
    <i>
      <x v="185"/>
      <x v="3"/>
      <x v="46"/>
    </i>
    <i>
      <x v="88"/>
      <x v="3"/>
      <x v="46"/>
    </i>
    <i>
      <x v="50"/>
      <x v="3"/>
      <x v="46"/>
    </i>
    <i>
      <x v="298"/>
      <x v="3"/>
      <x v="46"/>
    </i>
    <i>
      <x v="139"/>
      <x v="4"/>
      <x v="46"/>
    </i>
    <i>
      <x v="243"/>
      <x v="4"/>
      <x v="46"/>
    </i>
    <i>
      <x v="217"/>
      <x v="4"/>
      <x v="46"/>
    </i>
    <i>
      <x v="39"/>
      <x v="3"/>
      <x v="46"/>
    </i>
    <i>
      <x v="225"/>
      <x v="3"/>
      <x v="46"/>
    </i>
    <i>
      <x v="7"/>
      <x v="4"/>
      <x v="46"/>
    </i>
    <i>
      <x v="79"/>
      <x v="3"/>
      <x v="46"/>
    </i>
    <i>
      <x v="405"/>
      <x v="3"/>
      <x v="46"/>
    </i>
    <i>
      <x v="430"/>
      <x v="4"/>
      <x v="46"/>
    </i>
    <i>
      <x v="485"/>
      <x v="4"/>
      <x v="46"/>
    </i>
    <i>
      <x v="349"/>
      <x v="4"/>
      <x v="46"/>
    </i>
    <i>
      <x v="145"/>
      <x v="4"/>
      <x v="46"/>
    </i>
    <i>
      <x v="47"/>
      <x v="4"/>
      <x v="46"/>
    </i>
    <i>
      <x v="27"/>
      <x v="4"/>
      <x v="46"/>
    </i>
    <i>
      <x v="206"/>
      <x v="2"/>
      <x v="46"/>
    </i>
    <i>
      <x v="423"/>
      <x v="2"/>
      <x v="46"/>
    </i>
    <i>
      <x v="538"/>
      <x v="4"/>
      <x v="46"/>
    </i>
    <i>
      <x v="493"/>
      <x v="2"/>
      <x v="46"/>
    </i>
    <i>
      <x v="531"/>
      <x v="4"/>
      <x v="46"/>
    </i>
    <i>
      <x v="549"/>
      <x v="2"/>
      <x v="46"/>
    </i>
    <i>
      <x v="155"/>
      <x v="3"/>
      <x v="46"/>
    </i>
    <i>
      <x v="445"/>
      <x v="4"/>
      <x v="46"/>
    </i>
    <i>
      <x v="35"/>
      <x v="3"/>
      <x v="46"/>
    </i>
    <i>
      <x v="435"/>
      <x v="4"/>
      <x v="46"/>
    </i>
    <i>
      <x v="517"/>
      <x v="3"/>
      <x v="46"/>
    </i>
    <i>
      <x v="489"/>
      <x v="4"/>
      <x v="46"/>
    </i>
    <i>
      <x v="43"/>
      <x v="3"/>
      <x v="46"/>
    </i>
    <i>
      <x v="122"/>
      <x v="4"/>
      <x v="46"/>
    </i>
    <i>
      <x v="70"/>
      <x v="3"/>
      <x v="46"/>
    </i>
    <i>
      <x v="234"/>
      <x v="4"/>
      <x v="46"/>
    </i>
    <i>
      <x v="351"/>
      <x v="4"/>
      <x v="46"/>
    </i>
    <i>
      <x v="238"/>
      <x v="4"/>
      <x v="46"/>
    </i>
    <i>
      <x v="102"/>
      <x v="3"/>
      <x v="46"/>
    </i>
    <i>
      <x v="543"/>
      <x v="3"/>
      <x v="46"/>
    </i>
    <i>
      <x v="344"/>
      <x v="2"/>
      <x v="46"/>
    </i>
    <i>
      <x v="526"/>
      <x v="2"/>
      <x v="46"/>
    </i>
    <i>
      <x v="210"/>
      <x v="3"/>
      <x v="46"/>
    </i>
    <i>
      <x v="299"/>
      <x v="2"/>
      <x v="46"/>
    </i>
    <i>
      <x v="272"/>
      <x v="2"/>
      <x v="46"/>
    </i>
    <i>
      <x v="550"/>
      <x v="4"/>
      <x v="46"/>
    </i>
    <i>
      <x v="427"/>
      <x v="2"/>
      <x v="46"/>
    </i>
    <i>
      <x v="401"/>
      <x v="4"/>
      <x v="46"/>
    </i>
    <i>
      <x v="277"/>
      <x v="4"/>
      <x v="46"/>
    </i>
    <i>
      <x v="329"/>
      <x v="2"/>
      <x v="46"/>
    </i>
    <i>
      <x v="450"/>
      <x v="4"/>
      <x v="46"/>
    </i>
    <i>
      <x v="472"/>
      <x v="4"/>
      <x v="46"/>
    </i>
    <i>
      <x v="513"/>
      <x v="4"/>
      <x v="46"/>
    </i>
    <i>
      <x v="462"/>
      <x v="4"/>
      <x v="46"/>
    </i>
    <i>
      <x v="124"/>
      <x v="4"/>
      <x v="46"/>
    </i>
    <i>
      <x v="249"/>
      <x v="4"/>
      <x v="46"/>
    </i>
    <i>
      <x v="203"/>
      <x v="4"/>
      <x v="46"/>
    </i>
    <i>
      <x v="137"/>
      <x v="4"/>
      <x v="46"/>
    </i>
    <i>
      <x v="154"/>
      <x v="4"/>
      <x v="46"/>
    </i>
    <i>
      <x v="86"/>
      <x v="2"/>
      <x v="46"/>
    </i>
    <i>
      <x v="57"/>
      <x v="4"/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4" item="1" hier="-1"/>
  </pageFields>
  <dataFields count="3">
    <dataField name="Sum of total_score_DK" fld="33" baseField="30" baseItem="3" numFmtId="3"/>
    <dataField name="Scoring Diff" fld="32" baseField="30" baseItem="64" numFmtId="38"/>
    <dataField name="Sum of abs_diff" fld="35" baseField="0" baseItem="0" numFmtId="164"/>
  </dataFields>
  <formats count="3">
    <format dxfId="6">
      <pivotArea type="origin" dataOnly="0" labelOnly="1" outline="0" fieldPosition="0"/>
    </format>
    <format dxfId="5">
      <pivotArea outline="0" fieldPosition="0">
        <references count="1">
          <reference field="4294967294" count="1">
            <x v="1"/>
          </reference>
        </references>
      </pivotArea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06CFA-A8F0-41DA-BBA3-C2B5B46F43DC}">
  <sheetPr codeName="Sheet6"/>
  <dimension ref="A1:AG522"/>
  <sheetViews>
    <sheetView tabSelected="1" workbookViewId="0"/>
  </sheetViews>
  <sheetFormatPr defaultRowHeight="15" x14ac:dyDescent="0.25"/>
  <cols>
    <col min="1" max="1" width="26.28515625" bestFit="1" customWidth="1"/>
    <col min="3" max="3" width="34.7109375" bestFit="1" customWidth="1"/>
    <col min="4" max="4" width="21.5703125" bestFit="1" customWidth="1"/>
    <col min="5" max="5" width="11.5703125" bestFit="1" customWidth="1"/>
    <col min="6" max="6" width="15" hidden="1" customWidth="1"/>
    <col min="7" max="7" width="11.5703125" customWidth="1"/>
    <col min="8" max="8" width="26.28515625" bestFit="1" customWidth="1"/>
    <col min="9" max="9" width="10.7109375" bestFit="1" customWidth="1"/>
    <col min="10" max="10" width="5.42578125" bestFit="1" customWidth="1"/>
    <col min="13" max="13" width="26.28515625" bestFit="1" customWidth="1"/>
    <col min="14" max="14" width="10.7109375" bestFit="1" customWidth="1"/>
    <col min="15" max="15" width="9.140625" bestFit="1" customWidth="1"/>
    <col min="18" max="18" width="23.7109375" bestFit="1" customWidth="1"/>
    <col min="19" max="19" width="10.7109375" bestFit="1" customWidth="1"/>
    <col min="20" max="20" width="8" bestFit="1" customWidth="1"/>
    <col min="22" max="22" width="15" hidden="1" customWidth="1"/>
    <col min="23" max="23" width="17.42578125" bestFit="1" customWidth="1"/>
  </cols>
  <sheetData>
    <row r="1" spans="1:33" x14ac:dyDescent="0.25">
      <c r="A1" s="9" t="s">
        <v>640</v>
      </c>
      <c r="B1" t="s">
        <v>605</v>
      </c>
      <c r="H1" s="9" t="s">
        <v>640</v>
      </c>
      <c r="I1" t="s">
        <v>605</v>
      </c>
      <c r="M1" s="9" t="s">
        <v>640</v>
      </c>
      <c r="N1" t="s">
        <v>605</v>
      </c>
      <c r="R1" s="9" t="s">
        <v>640</v>
      </c>
      <c r="S1" t="s">
        <v>605</v>
      </c>
    </row>
    <row r="3" spans="1:33" x14ac:dyDescent="0.25">
      <c r="A3" s="10"/>
      <c r="B3" s="10"/>
      <c r="C3" s="10"/>
      <c r="D3" s="9" t="s">
        <v>637</v>
      </c>
      <c r="H3" s="9" t="s">
        <v>641</v>
      </c>
      <c r="M3" s="9" t="s">
        <v>636</v>
      </c>
      <c r="R3" s="9" t="s">
        <v>639</v>
      </c>
    </row>
    <row r="4" spans="1:33" x14ac:dyDescent="0.25">
      <c r="A4" s="9" t="s">
        <v>0</v>
      </c>
      <c r="B4" s="9" t="s">
        <v>599</v>
      </c>
      <c r="C4" s="9" t="s">
        <v>586</v>
      </c>
      <c r="D4" t="s">
        <v>644</v>
      </c>
      <c r="E4" t="s">
        <v>638</v>
      </c>
      <c r="F4" t="s">
        <v>635</v>
      </c>
      <c r="H4" s="9" t="s">
        <v>0</v>
      </c>
      <c r="I4" s="9" t="s">
        <v>599</v>
      </c>
      <c r="J4" t="s">
        <v>634</v>
      </c>
      <c r="M4" s="9" t="s">
        <v>0</v>
      </c>
      <c r="N4" s="9" t="s">
        <v>599</v>
      </c>
      <c r="O4" t="s">
        <v>634</v>
      </c>
      <c r="R4" s="9" t="s">
        <v>0</v>
      </c>
      <c r="S4" s="9" t="s">
        <v>599</v>
      </c>
      <c r="T4" t="s">
        <v>634</v>
      </c>
    </row>
    <row r="5" spans="1:33" x14ac:dyDescent="0.25">
      <c r="A5" t="s">
        <v>19</v>
      </c>
      <c r="B5" t="s">
        <v>602</v>
      </c>
      <c r="C5" t="s">
        <v>605</v>
      </c>
      <c r="D5" s="6">
        <v>318.75712321200001</v>
      </c>
      <c r="E5" s="11">
        <v>9.5935616060000051</v>
      </c>
      <c r="F5" s="2">
        <v>9.5935616060000051</v>
      </c>
      <c r="G5" s="11"/>
      <c r="H5" t="s">
        <v>88</v>
      </c>
      <c r="I5" t="s">
        <v>600</v>
      </c>
      <c r="J5" s="25">
        <v>57</v>
      </c>
      <c r="M5" t="s">
        <v>31</v>
      </c>
      <c r="N5" t="s">
        <v>602</v>
      </c>
      <c r="O5" s="6">
        <v>135</v>
      </c>
      <c r="R5" t="s">
        <v>64</v>
      </c>
      <c r="S5" t="s">
        <v>601</v>
      </c>
      <c r="T5" s="25">
        <v>700</v>
      </c>
    </row>
    <row r="6" spans="1:33" x14ac:dyDescent="0.25">
      <c r="A6" t="s">
        <v>22</v>
      </c>
      <c r="B6" t="s">
        <v>602</v>
      </c>
      <c r="C6" t="s">
        <v>605</v>
      </c>
      <c r="D6" s="6">
        <v>313.16409100800007</v>
      </c>
      <c r="E6" s="11">
        <v>-5.9529544959999461</v>
      </c>
      <c r="F6" s="2">
        <v>5.9529544959999461</v>
      </c>
      <c r="G6" s="11"/>
      <c r="H6" t="s">
        <v>96</v>
      </c>
      <c r="I6" t="s">
        <v>600</v>
      </c>
      <c r="J6" s="25">
        <v>56</v>
      </c>
      <c r="M6" t="s">
        <v>17</v>
      </c>
      <c r="N6" t="s">
        <v>602</v>
      </c>
      <c r="O6" s="6">
        <v>500</v>
      </c>
      <c r="R6" t="s">
        <v>88</v>
      </c>
      <c r="S6" t="s">
        <v>600</v>
      </c>
      <c r="T6" s="25">
        <v>850</v>
      </c>
    </row>
    <row r="7" spans="1:33" x14ac:dyDescent="0.25">
      <c r="A7" t="s">
        <v>88</v>
      </c>
      <c r="B7" t="s">
        <v>600</v>
      </c>
      <c r="C7" t="s">
        <v>597</v>
      </c>
      <c r="D7" s="6">
        <v>313.00970019599993</v>
      </c>
      <c r="E7" s="11">
        <v>10.32985009799993</v>
      </c>
      <c r="F7" s="2">
        <v>10.32985009799993</v>
      </c>
      <c r="G7" s="11"/>
      <c r="H7" t="s">
        <v>78</v>
      </c>
      <c r="I7" t="s">
        <v>601</v>
      </c>
      <c r="J7" s="25">
        <v>55</v>
      </c>
      <c r="M7" t="s">
        <v>499</v>
      </c>
      <c r="N7" t="s">
        <v>601</v>
      </c>
      <c r="O7" s="6">
        <v>650</v>
      </c>
      <c r="R7" t="s">
        <v>78</v>
      </c>
      <c r="S7" t="s">
        <v>601</v>
      </c>
      <c r="T7" s="25">
        <v>1000</v>
      </c>
    </row>
    <row r="8" spans="1:33" x14ac:dyDescent="0.25">
      <c r="A8" t="s">
        <v>18</v>
      </c>
      <c r="B8" t="s">
        <v>602</v>
      </c>
      <c r="C8" t="s">
        <v>593</v>
      </c>
      <c r="D8" s="6">
        <v>296.40651778399996</v>
      </c>
      <c r="E8" s="11">
        <v>-21.831741108000003</v>
      </c>
      <c r="F8" s="2">
        <v>21.831741108000003</v>
      </c>
      <c r="G8" s="11"/>
      <c r="H8" t="s">
        <v>92</v>
      </c>
      <c r="I8" t="s">
        <v>600</v>
      </c>
      <c r="J8" s="25">
        <v>55</v>
      </c>
      <c r="M8" t="s">
        <v>14</v>
      </c>
      <c r="N8" t="s">
        <v>602</v>
      </c>
      <c r="O8" s="6">
        <v>1000</v>
      </c>
      <c r="R8" t="s">
        <v>74</v>
      </c>
      <c r="S8" t="s">
        <v>601</v>
      </c>
      <c r="T8" s="25">
        <v>1200</v>
      </c>
    </row>
    <row r="9" spans="1:33" x14ac:dyDescent="0.25">
      <c r="A9" t="s">
        <v>35</v>
      </c>
      <c r="B9" t="s">
        <v>602</v>
      </c>
      <c r="C9" t="s">
        <v>652</v>
      </c>
      <c r="D9" s="6">
        <v>290.94361183000012</v>
      </c>
      <c r="E9" s="11">
        <v>-20.805592619999921</v>
      </c>
      <c r="F9" s="2">
        <v>20.805592619999921</v>
      </c>
      <c r="G9" s="11"/>
      <c r="H9" t="s">
        <v>64</v>
      </c>
      <c r="I9" t="s">
        <v>601</v>
      </c>
      <c r="J9" s="25">
        <v>54</v>
      </c>
      <c r="M9" t="s">
        <v>215</v>
      </c>
      <c r="N9" t="s">
        <v>602</v>
      </c>
      <c r="O9" s="6">
        <v>1300</v>
      </c>
      <c r="R9" t="s">
        <v>66</v>
      </c>
      <c r="S9" t="s">
        <v>601</v>
      </c>
      <c r="T9" s="25">
        <v>1300</v>
      </c>
    </row>
    <row r="10" spans="1:33" x14ac:dyDescent="0.25">
      <c r="A10" t="s">
        <v>24</v>
      </c>
      <c r="B10" t="s">
        <v>602</v>
      </c>
      <c r="C10" t="s">
        <v>607</v>
      </c>
      <c r="D10" s="6">
        <v>285.90313173999999</v>
      </c>
      <c r="E10" s="11">
        <v>21.760778299999977</v>
      </c>
      <c r="F10" s="2">
        <v>21.760778299999977</v>
      </c>
      <c r="G10" s="11"/>
      <c r="H10" t="s">
        <v>69</v>
      </c>
      <c r="I10" t="s">
        <v>601</v>
      </c>
      <c r="J10" s="25">
        <v>53</v>
      </c>
      <c r="M10" t="s">
        <v>474</v>
      </c>
      <c r="N10" t="s">
        <v>601</v>
      </c>
      <c r="O10" s="6">
        <v>1400</v>
      </c>
      <c r="R10" t="s">
        <v>92</v>
      </c>
      <c r="S10" t="s">
        <v>600</v>
      </c>
      <c r="T10" s="25">
        <v>1500</v>
      </c>
    </row>
    <row r="11" spans="1:33" x14ac:dyDescent="0.25">
      <c r="A11" t="s">
        <v>12</v>
      </c>
      <c r="B11" t="s">
        <v>602</v>
      </c>
      <c r="C11" t="s">
        <v>605</v>
      </c>
      <c r="D11" s="6">
        <v>284.91946996800004</v>
      </c>
      <c r="E11" s="11">
        <v>0.92473498400000231</v>
      </c>
      <c r="F11" s="2">
        <v>0.92473498400000231</v>
      </c>
      <c r="G11" s="11"/>
      <c r="H11" t="s">
        <v>74</v>
      </c>
      <c r="I11" t="s">
        <v>601</v>
      </c>
      <c r="J11" s="25">
        <v>53</v>
      </c>
      <c r="M11" t="s">
        <v>77</v>
      </c>
      <c r="N11" t="s">
        <v>601</v>
      </c>
      <c r="O11" s="6">
        <v>2200</v>
      </c>
      <c r="R11" t="s">
        <v>96</v>
      </c>
      <c r="S11" t="s">
        <v>600</v>
      </c>
      <c r="T11" s="25">
        <v>1800</v>
      </c>
    </row>
    <row r="12" spans="1:33" x14ac:dyDescent="0.25">
      <c r="A12" t="s">
        <v>32</v>
      </c>
      <c r="B12" t="s">
        <v>602</v>
      </c>
      <c r="C12" t="s">
        <v>605</v>
      </c>
      <c r="D12" s="6">
        <v>276.92039083399993</v>
      </c>
      <c r="E12" s="11">
        <v>-5.4768194000000401</v>
      </c>
      <c r="F12" s="2">
        <v>5.4768194000000401</v>
      </c>
      <c r="G12" s="11"/>
      <c r="H12" t="s">
        <v>66</v>
      </c>
      <c r="I12" t="s">
        <v>601</v>
      </c>
      <c r="J12" s="25">
        <v>52</v>
      </c>
      <c r="M12" t="s">
        <v>73</v>
      </c>
      <c r="N12" t="s">
        <v>601</v>
      </c>
      <c r="O12" s="6">
        <v>3500</v>
      </c>
      <c r="R12" t="s">
        <v>69</v>
      </c>
      <c r="S12" t="s">
        <v>601</v>
      </c>
      <c r="T12" s="25">
        <v>1800</v>
      </c>
    </row>
    <row r="13" spans="1:33" x14ac:dyDescent="0.25">
      <c r="A13" t="s">
        <v>21</v>
      </c>
      <c r="B13" t="s">
        <v>602</v>
      </c>
      <c r="C13" t="s">
        <v>605</v>
      </c>
      <c r="D13" s="6">
        <v>276.27648724000005</v>
      </c>
      <c r="E13" s="11">
        <v>7.9229766900000236</v>
      </c>
      <c r="F13" s="2">
        <v>7.9229766900000236</v>
      </c>
      <c r="G13" s="11"/>
      <c r="H13" t="s">
        <v>103</v>
      </c>
      <c r="I13" t="s">
        <v>600</v>
      </c>
      <c r="J13" s="25">
        <v>51</v>
      </c>
      <c r="M13" t="s">
        <v>80</v>
      </c>
      <c r="N13" t="s">
        <v>601</v>
      </c>
      <c r="O13" s="6">
        <v>3500</v>
      </c>
      <c r="R13" t="s">
        <v>104</v>
      </c>
      <c r="S13" t="s">
        <v>600</v>
      </c>
      <c r="T13" s="25">
        <v>2200</v>
      </c>
    </row>
    <row r="14" spans="1:33" x14ac:dyDescent="0.25">
      <c r="A14" t="s">
        <v>96</v>
      </c>
      <c r="B14" t="s">
        <v>600</v>
      </c>
      <c r="C14" t="s">
        <v>629</v>
      </c>
      <c r="D14" s="6">
        <v>272.85566681100005</v>
      </c>
      <c r="E14" s="11">
        <v>10.265148536000009</v>
      </c>
      <c r="F14" s="2">
        <v>10.265148536000009</v>
      </c>
      <c r="G14" s="11"/>
      <c r="H14" t="s">
        <v>104</v>
      </c>
      <c r="I14" t="s">
        <v>600</v>
      </c>
      <c r="J14" s="25">
        <v>50</v>
      </c>
      <c r="M14" t="s">
        <v>500</v>
      </c>
      <c r="N14" t="s">
        <v>601</v>
      </c>
      <c r="O14" s="6">
        <v>5000</v>
      </c>
      <c r="R14" t="s">
        <v>79</v>
      </c>
      <c r="S14" t="s">
        <v>601</v>
      </c>
      <c r="T14" s="25">
        <v>2800</v>
      </c>
    </row>
    <row r="15" spans="1:33" x14ac:dyDescent="0.25">
      <c r="A15" t="s">
        <v>490</v>
      </c>
      <c r="B15" t="s">
        <v>602</v>
      </c>
      <c r="C15" t="s">
        <v>596</v>
      </c>
      <c r="D15" s="6">
        <v>268.30548165800008</v>
      </c>
      <c r="E15" s="11">
        <v>-13.005085219999973</v>
      </c>
      <c r="F15" s="2">
        <v>13.005085219999973</v>
      </c>
      <c r="G15" s="11"/>
      <c r="H15" t="s">
        <v>491</v>
      </c>
      <c r="I15" t="s">
        <v>601</v>
      </c>
      <c r="J15" s="25">
        <v>48</v>
      </c>
      <c r="M15" t="s">
        <v>70</v>
      </c>
      <c r="N15" t="s">
        <v>603</v>
      </c>
      <c r="O15" s="6">
        <v>5000</v>
      </c>
      <c r="R15" t="s">
        <v>103</v>
      </c>
      <c r="S15" t="s">
        <v>600</v>
      </c>
      <c r="T15" s="25">
        <v>2800</v>
      </c>
      <c r="AG15" t="b">
        <v>1</v>
      </c>
    </row>
    <row r="16" spans="1:33" x14ac:dyDescent="0.25">
      <c r="A16" t="s">
        <v>78</v>
      </c>
      <c r="B16" t="s">
        <v>601</v>
      </c>
      <c r="C16" t="s">
        <v>605</v>
      </c>
      <c r="D16" s="6">
        <v>265.94157211900006</v>
      </c>
      <c r="E16" s="11">
        <v>4.1748556799999905</v>
      </c>
      <c r="F16" s="2">
        <v>4.1748556799999905</v>
      </c>
      <c r="G16" s="11"/>
      <c r="H16" t="s">
        <v>79</v>
      </c>
      <c r="I16" t="s">
        <v>601</v>
      </c>
      <c r="J16" s="25">
        <v>46</v>
      </c>
      <c r="M16" t="s">
        <v>67</v>
      </c>
      <c r="N16" t="s">
        <v>601</v>
      </c>
      <c r="O16" s="6">
        <v>7000</v>
      </c>
      <c r="R16" t="s">
        <v>469</v>
      </c>
      <c r="S16" t="s">
        <v>600</v>
      </c>
      <c r="T16" s="25">
        <v>2800</v>
      </c>
    </row>
    <row r="17" spans="1:20" x14ac:dyDescent="0.25">
      <c r="A17" t="s">
        <v>34</v>
      </c>
      <c r="B17" t="s">
        <v>602</v>
      </c>
      <c r="C17" t="s">
        <v>651</v>
      </c>
      <c r="D17" s="6">
        <v>262.90229878399998</v>
      </c>
      <c r="E17" s="11">
        <v>13.069030219999995</v>
      </c>
      <c r="F17" s="2">
        <v>13.069030219999995</v>
      </c>
      <c r="G17" s="11"/>
      <c r="H17" t="s">
        <v>63</v>
      </c>
      <c r="I17" t="s">
        <v>601</v>
      </c>
      <c r="J17" s="25">
        <v>45</v>
      </c>
      <c r="M17" t="s">
        <v>188</v>
      </c>
      <c r="N17" t="s">
        <v>601</v>
      </c>
      <c r="O17" s="6">
        <v>7500</v>
      </c>
      <c r="R17" t="s">
        <v>63</v>
      </c>
      <c r="S17" t="s">
        <v>601</v>
      </c>
      <c r="T17" s="25">
        <v>3000</v>
      </c>
    </row>
    <row r="18" spans="1:20" x14ac:dyDescent="0.25">
      <c r="A18" t="s">
        <v>92</v>
      </c>
      <c r="B18" t="s">
        <v>600</v>
      </c>
      <c r="C18" t="s">
        <v>605</v>
      </c>
      <c r="D18" s="6">
        <v>259.747280289</v>
      </c>
      <c r="E18" s="11">
        <v>2.9644713980000028</v>
      </c>
      <c r="F18" s="2">
        <v>2.9644713980000028</v>
      </c>
      <c r="G18" s="11"/>
      <c r="H18" t="s">
        <v>469</v>
      </c>
      <c r="I18" t="s">
        <v>600</v>
      </c>
      <c r="J18" s="25">
        <v>43</v>
      </c>
      <c r="M18" t="s">
        <v>113</v>
      </c>
      <c r="N18" t="s">
        <v>600</v>
      </c>
      <c r="O18" s="6">
        <v>7500</v>
      </c>
      <c r="R18" t="s">
        <v>491</v>
      </c>
      <c r="S18" t="s">
        <v>601</v>
      </c>
      <c r="T18" s="25">
        <v>3500</v>
      </c>
    </row>
    <row r="19" spans="1:20" x14ac:dyDescent="0.25">
      <c r="A19" t="s">
        <v>17</v>
      </c>
      <c r="B19" t="s">
        <v>602</v>
      </c>
      <c r="C19" t="s">
        <v>605</v>
      </c>
      <c r="D19" s="6">
        <v>258.43446460000013</v>
      </c>
      <c r="E19" s="11">
        <v>-2.3177676999999606</v>
      </c>
      <c r="F19" s="2">
        <v>2.3177676999999606</v>
      </c>
      <c r="G19" s="11"/>
      <c r="H19" t="s">
        <v>470</v>
      </c>
      <c r="I19" t="s">
        <v>600</v>
      </c>
      <c r="J19" s="25">
        <v>42</v>
      </c>
      <c r="M19" t="s">
        <v>84</v>
      </c>
      <c r="N19" t="s">
        <v>601</v>
      </c>
      <c r="O19" s="6">
        <v>7500</v>
      </c>
      <c r="R19" t="s">
        <v>470</v>
      </c>
      <c r="S19" t="s">
        <v>600</v>
      </c>
      <c r="T19" s="25">
        <v>4000</v>
      </c>
    </row>
    <row r="20" spans="1:20" x14ac:dyDescent="0.25">
      <c r="A20" t="s">
        <v>29</v>
      </c>
      <c r="B20" t="s">
        <v>602</v>
      </c>
      <c r="C20" t="s">
        <v>591</v>
      </c>
      <c r="D20" s="6">
        <v>257.47469788800004</v>
      </c>
      <c r="E20" s="11">
        <v>-22.277917959999961</v>
      </c>
      <c r="F20" s="2">
        <v>22.277917959999961</v>
      </c>
      <c r="G20" s="11"/>
      <c r="H20" t="s">
        <v>93</v>
      </c>
      <c r="I20" t="s">
        <v>600</v>
      </c>
      <c r="J20" s="25">
        <v>40</v>
      </c>
      <c r="M20" t="s">
        <v>151</v>
      </c>
      <c r="N20" t="s">
        <v>601</v>
      </c>
      <c r="O20" s="6">
        <v>7500</v>
      </c>
      <c r="R20" t="s">
        <v>106</v>
      </c>
      <c r="S20" t="s">
        <v>600</v>
      </c>
      <c r="T20" s="25">
        <v>5000</v>
      </c>
    </row>
    <row r="21" spans="1:20" x14ac:dyDescent="0.25">
      <c r="A21" t="s">
        <v>13</v>
      </c>
      <c r="B21" t="s">
        <v>602</v>
      </c>
      <c r="C21" t="s">
        <v>591</v>
      </c>
      <c r="D21" s="6">
        <v>257.04129102000007</v>
      </c>
      <c r="E21" s="11">
        <v>-12.63175759999994</v>
      </c>
      <c r="F21" s="2">
        <v>12.63175759999994</v>
      </c>
      <c r="G21" s="11"/>
      <c r="H21" t="s">
        <v>502</v>
      </c>
      <c r="I21" t="s">
        <v>600</v>
      </c>
      <c r="J21" s="25">
        <v>38</v>
      </c>
      <c r="M21" t="s">
        <v>115</v>
      </c>
      <c r="N21" t="s">
        <v>600</v>
      </c>
      <c r="O21" s="6">
        <v>7500</v>
      </c>
      <c r="R21" t="s">
        <v>53</v>
      </c>
      <c r="S21" t="s">
        <v>601</v>
      </c>
      <c r="T21" s="25">
        <v>5000</v>
      </c>
    </row>
    <row r="22" spans="1:20" x14ac:dyDescent="0.25">
      <c r="A22" t="s">
        <v>103</v>
      </c>
      <c r="B22" t="s">
        <v>600</v>
      </c>
      <c r="C22" t="s">
        <v>632</v>
      </c>
      <c r="D22" s="6">
        <v>255.61721789899991</v>
      </c>
      <c r="E22" s="11">
        <v>17.996192295999901</v>
      </c>
      <c r="F22" s="2">
        <v>17.996192295999901</v>
      </c>
      <c r="G22" s="11"/>
      <c r="H22" t="s">
        <v>60</v>
      </c>
      <c r="I22" t="s">
        <v>601</v>
      </c>
      <c r="J22" s="25">
        <v>37</v>
      </c>
      <c r="M22" t="s">
        <v>131</v>
      </c>
      <c r="N22" t="s">
        <v>601</v>
      </c>
      <c r="O22" s="6">
        <v>7500</v>
      </c>
      <c r="R22" t="s">
        <v>12</v>
      </c>
      <c r="S22" t="s">
        <v>602</v>
      </c>
      <c r="T22" s="25">
        <v>5000</v>
      </c>
    </row>
    <row r="23" spans="1:20" x14ac:dyDescent="0.25">
      <c r="A23" t="s">
        <v>152</v>
      </c>
      <c r="B23" t="s">
        <v>602</v>
      </c>
      <c r="C23" t="s">
        <v>605</v>
      </c>
      <c r="D23" s="6">
        <v>255.05876834200001</v>
      </c>
      <c r="E23" s="11">
        <v>0</v>
      </c>
      <c r="F23" s="2">
        <v>0</v>
      </c>
      <c r="G23" s="11"/>
      <c r="H23" t="s">
        <v>75</v>
      </c>
      <c r="I23" t="s">
        <v>601</v>
      </c>
      <c r="J23" s="25">
        <v>36</v>
      </c>
      <c r="M23" t="s">
        <v>191</v>
      </c>
      <c r="N23" t="s">
        <v>601</v>
      </c>
      <c r="O23" s="6">
        <v>7500</v>
      </c>
      <c r="R23" t="s">
        <v>71</v>
      </c>
      <c r="S23" t="s">
        <v>601</v>
      </c>
      <c r="T23" s="25">
        <v>5000</v>
      </c>
    </row>
    <row r="24" spans="1:20" x14ac:dyDescent="0.25">
      <c r="A24" t="s">
        <v>23</v>
      </c>
      <c r="B24" t="s">
        <v>602</v>
      </c>
      <c r="C24" t="s">
        <v>649</v>
      </c>
      <c r="D24" s="6">
        <v>253.62073385799999</v>
      </c>
      <c r="E24" s="11">
        <v>16.052447499999957</v>
      </c>
      <c r="F24" s="2">
        <v>16.052447499999957</v>
      </c>
      <c r="G24" s="11"/>
      <c r="H24" t="s">
        <v>501</v>
      </c>
      <c r="I24" t="s">
        <v>601</v>
      </c>
      <c r="J24" s="25">
        <v>35</v>
      </c>
      <c r="M24" t="s">
        <v>148</v>
      </c>
      <c r="N24" t="s">
        <v>601</v>
      </c>
      <c r="O24" s="6">
        <v>10000</v>
      </c>
      <c r="R24" t="s">
        <v>35</v>
      </c>
      <c r="S24" t="s">
        <v>602</v>
      </c>
      <c r="T24" s="25">
        <v>5500</v>
      </c>
    </row>
    <row r="25" spans="1:20" x14ac:dyDescent="0.25">
      <c r="A25" t="s">
        <v>31</v>
      </c>
      <c r="B25" t="s">
        <v>602</v>
      </c>
      <c r="C25" t="s">
        <v>605</v>
      </c>
      <c r="D25" s="6">
        <v>252.73220424800002</v>
      </c>
      <c r="E25" s="11">
        <v>-4.1961423399999962</v>
      </c>
      <c r="F25" s="2">
        <v>4.1961423399999962</v>
      </c>
      <c r="G25" s="11"/>
      <c r="H25" t="s">
        <v>82</v>
      </c>
      <c r="I25" t="s">
        <v>601</v>
      </c>
      <c r="J25" s="25">
        <v>34</v>
      </c>
      <c r="M25" t="s">
        <v>125</v>
      </c>
      <c r="N25" t="s">
        <v>600</v>
      </c>
      <c r="O25" s="6">
        <v>10000</v>
      </c>
      <c r="R25" t="s">
        <v>22</v>
      </c>
      <c r="S25" t="s">
        <v>602</v>
      </c>
      <c r="T25" s="25">
        <v>6000</v>
      </c>
    </row>
    <row r="26" spans="1:20" x14ac:dyDescent="0.25">
      <c r="A26" t="s">
        <v>74</v>
      </c>
      <c r="B26" t="s">
        <v>601</v>
      </c>
      <c r="C26" t="s">
        <v>622</v>
      </c>
      <c r="D26" s="6">
        <v>252.51663894799998</v>
      </c>
      <c r="E26" s="11">
        <v>12.232952915999991</v>
      </c>
      <c r="F26" s="2">
        <v>12.232952915999991</v>
      </c>
      <c r="G26" s="11"/>
      <c r="H26" t="s">
        <v>499</v>
      </c>
      <c r="I26" t="s">
        <v>601</v>
      </c>
      <c r="J26" s="25">
        <v>33</v>
      </c>
      <c r="M26" t="s">
        <v>135</v>
      </c>
      <c r="N26" t="s">
        <v>600</v>
      </c>
      <c r="O26" s="6">
        <v>10000</v>
      </c>
      <c r="R26" t="s">
        <v>471</v>
      </c>
      <c r="S26" t="s">
        <v>601</v>
      </c>
      <c r="T26" s="25">
        <v>6000</v>
      </c>
    </row>
    <row r="27" spans="1:20" x14ac:dyDescent="0.25">
      <c r="A27" t="s">
        <v>25</v>
      </c>
      <c r="B27" t="s">
        <v>602</v>
      </c>
      <c r="C27" t="s">
        <v>594</v>
      </c>
      <c r="D27" s="6">
        <v>249.98476269400004</v>
      </c>
      <c r="E27" s="11">
        <v>-15.617249519999959</v>
      </c>
      <c r="F27" s="2">
        <v>15.617249519999959</v>
      </c>
      <c r="G27" s="11"/>
      <c r="H27" t="s">
        <v>106</v>
      </c>
      <c r="I27" t="s">
        <v>600</v>
      </c>
      <c r="J27" s="25">
        <v>32</v>
      </c>
      <c r="M27" t="s">
        <v>518</v>
      </c>
      <c r="N27" t="s">
        <v>602</v>
      </c>
      <c r="O27" s="6">
        <v>10000</v>
      </c>
      <c r="R27" t="s">
        <v>98</v>
      </c>
      <c r="S27" t="s">
        <v>600</v>
      </c>
      <c r="T27" s="25">
        <v>6000</v>
      </c>
    </row>
    <row r="28" spans="1:20" x14ac:dyDescent="0.25">
      <c r="A28" t="s">
        <v>11</v>
      </c>
      <c r="B28" t="s">
        <v>602</v>
      </c>
      <c r="C28" t="s">
        <v>605</v>
      </c>
      <c r="D28" s="6">
        <v>247.92541193999998</v>
      </c>
      <c r="E28" s="11">
        <v>5.1169922199999807</v>
      </c>
      <c r="F28" s="2">
        <v>5.1169922199999807</v>
      </c>
      <c r="G28" s="11"/>
      <c r="H28" t="s">
        <v>71</v>
      </c>
      <c r="I28" t="s">
        <v>601</v>
      </c>
      <c r="J28" s="25">
        <v>32</v>
      </c>
      <c r="M28" t="s">
        <v>165</v>
      </c>
      <c r="N28" t="s">
        <v>600</v>
      </c>
      <c r="O28" s="6">
        <v>10000</v>
      </c>
      <c r="R28" t="s">
        <v>76</v>
      </c>
      <c r="S28" t="s">
        <v>601</v>
      </c>
      <c r="T28" s="25">
        <v>6000</v>
      </c>
    </row>
    <row r="29" spans="1:20" x14ac:dyDescent="0.25">
      <c r="A29" t="s">
        <v>27</v>
      </c>
      <c r="B29" t="s">
        <v>602</v>
      </c>
      <c r="C29" t="s">
        <v>605</v>
      </c>
      <c r="D29" s="6">
        <v>247.69527283799999</v>
      </c>
      <c r="E29" s="11">
        <v>-9.320499060000019</v>
      </c>
      <c r="F29" s="2">
        <v>9.320499060000019</v>
      </c>
      <c r="G29" s="11"/>
      <c r="H29" t="s">
        <v>95</v>
      </c>
      <c r="I29" t="s">
        <v>600</v>
      </c>
      <c r="J29" s="25">
        <v>31</v>
      </c>
      <c r="M29" t="s">
        <v>477</v>
      </c>
      <c r="N29" t="s">
        <v>600</v>
      </c>
      <c r="O29" s="6">
        <v>10000</v>
      </c>
      <c r="R29" t="s">
        <v>18</v>
      </c>
      <c r="S29" t="s">
        <v>602</v>
      </c>
      <c r="T29" s="25">
        <v>6500</v>
      </c>
    </row>
    <row r="30" spans="1:20" x14ac:dyDescent="0.25">
      <c r="A30" t="s">
        <v>33</v>
      </c>
      <c r="B30" t="s">
        <v>602</v>
      </c>
      <c r="C30" t="s">
        <v>650</v>
      </c>
      <c r="D30" s="6">
        <v>246.66646865800001</v>
      </c>
      <c r="E30" s="11">
        <v>17.039114159999961</v>
      </c>
      <c r="F30" s="2">
        <v>17.039114159999961</v>
      </c>
      <c r="G30" s="11"/>
      <c r="H30" t="s">
        <v>61</v>
      </c>
      <c r="I30" t="s">
        <v>601</v>
      </c>
      <c r="J30" s="25">
        <v>30</v>
      </c>
      <c r="M30" t="s">
        <v>288</v>
      </c>
      <c r="N30" t="s">
        <v>601</v>
      </c>
      <c r="O30" s="6">
        <v>12000</v>
      </c>
      <c r="R30" t="s">
        <v>61</v>
      </c>
      <c r="S30" t="s">
        <v>601</v>
      </c>
      <c r="T30" s="25">
        <v>6500</v>
      </c>
    </row>
    <row r="31" spans="1:20" x14ac:dyDescent="0.25">
      <c r="A31" t="s">
        <v>26</v>
      </c>
      <c r="B31" t="s">
        <v>602</v>
      </c>
      <c r="C31" t="s">
        <v>605</v>
      </c>
      <c r="D31" s="6">
        <v>245.27974666599999</v>
      </c>
      <c r="E31" s="11">
        <v>-9.4069310799999997</v>
      </c>
      <c r="F31" s="2">
        <v>9.4069310799999997</v>
      </c>
      <c r="G31" s="11"/>
      <c r="H31" t="s">
        <v>474</v>
      </c>
      <c r="I31" t="s">
        <v>601</v>
      </c>
      <c r="J31" s="25">
        <v>30</v>
      </c>
      <c r="M31" t="s">
        <v>181</v>
      </c>
      <c r="N31" t="s">
        <v>600</v>
      </c>
      <c r="O31" s="6">
        <v>15000</v>
      </c>
      <c r="R31" t="s">
        <v>490</v>
      </c>
      <c r="S31" t="s">
        <v>602</v>
      </c>
      <c r="T31" s="25">
        <v>6500</v>
      </c>
    </row>
    <row r="32" spans="1:20" x14ac:dyDescent="0.25">
      <c r="A32" t="s">
        <v>28</v>
      </c>
      <c r="B32" t="s">
        <v>602</v>
      </c>
      <c r="C32" t="s">
        <v>593</v>
      </c>
      <c r="D32" s="6">
        <v>243.80421907800005</v>
      </c>
      <c r="E32" s="11">
        <v>-19.187529659999964</v>
      </c>
      <c r="F32" s="2">
        <v>19.187529659999964</v>
      </c>
      <c r="G32" s="11"/>
      <c r="H32" t="s">
        <v>102</v>
      </c>
      <c r="I32" t="s">
        <v>600</v>
      </c>
      <c r="J32" s="25">
        <v>29</v>
      </c>
      <c r="M32" t="s">
        <v>226</v>
      </c>
      <c r="N32" t="s">
        <v>600</v>
      </c>
      <c r="O32" s="6">
        <v>15000</v>
      </c>
      <c r="R32" t="s">
        <v>19</v>
      </c>
      <c r="S32" t="s">
        <v>602</v>
      </c>
      <c r="T32" s="25">
        <v>7000</v>
      </c>
    </row>
    <row r="33" spans="1:20" x14ac:dyDescent="0.25">
      <c r="A33" t="s">
        <v>64</v>
      </c>
      <c r="B33" t="s">
        <v>601</v>
      </c>
      <c r="C33" t="s">
        <v>605</v>
      </c>
      <c r="D33" s="6">
        <v>242.60258658800007</v>
      </c>
      <c r="E33" s="11">
        <v>-2.3947204079999551</v>
      </c>
      <c r="F33" s="2">
        <v>2.3947204079999551</v>
      </c>
      <c r="G33" s="11"/>
      <c r="H33" t="s">
        <v>94</v>
      </c>
      <c r="I33" t="s">
        <v>600</v>
      </c>
      <c r="J33" s="25">
        <v>28</v>
      </c>
      <c r="M33" t="s">
        <v>286</v>
      </c>
      <c r="N33" t="s">
        <v>601</v>
      </c>
      <c r="O33" s="6">
        <v>15000</v>
      </c>
      <c r="R33" t="s">
        <v>558</v>
      </c>
      <c r="S33" t="s">
        <v>600</v>
      </c>
      <c r="T33" s="25">
        <v>7500</v>
      </c>
    </row>
    <row r="34" spans="1:20" x14ac:dyDescent="0.25">
      <c r="A34" t="s">
        <v>104</v>
      </c>
      <c r="B34" t="s">
        <v>600</v>
      </c>
      <c r="C34" t="s">
        <v>629</v>
      </c>
      <c r="D34" s="6">
        <v>242.22500747499993</v>
      </c>
      <c r="E34" s="11">
        <v>11.93904026199994</v>
      </c>
      <c r="F34" s="2">
        <v>11.93904026199994</v>
      </c>
      <c r="G34" s="11"/>
      <c r="H34" t="s">
        <v>99</v>
      </c>
      <c r="I34" t="s">
        <v>600</v>
      </c>
      <c r="J34" s="25">
        <v>27</v>
      </c>
      <c r="M34" t="s">
        <v>276</v>
      </c>
      <c r="N34" t="s">
        <v>601</v>
      </c>
      <c r="O34" s="6">
        <v>15000</v>
      </c>
      <c r="R34" t="s">
        <v>25</v>
      </c>
      <c r="S34" t="s">
        <v>602</v>
      </c>
      <c r="T34" s="25">
        <v>7500</v>
      </c>
    </row>
    <row r="35" spans="1:20" x14ac:dyDescent="0.25">
      <c r="A35" t="s">
        <v>20</v>
      </c>
      <c r="B35" t="s">
        <v>602</v>
      </c>
      <c r="C35" t="s">
        <v>606</v>
      </c>
      <c r="D35" s="6">
        <v>239.55758316799998</v>
      </c>
      <c r="E35" s="11">
        <v>15.645967579999965</v>
      </c>
      <c r="F35" s="2">
        <v>15.645967579999965</v>
      </c>
      <c r="G35" s="11"/>
      <c r="H35" t="s">
        <v>471</v>
      </c>
      <c r="I35" t="s">
        <v>601</v>
      </c>
      <c r="J35" s="25">
        <v>26</v>
      </c>
      <c r="M35" t="s">
        <v>588</v>
      </c>
      <c r="N35">
        <v>0</v>
      </c>
      <c r="O35" s="6">
        <v>15000</v>
      </c>
      <c r="R35" t="s">
        <v>31</v>
      </c>
      <c r="S35" t="s">
        <v>602</v>
      </c>
      <c r="T35" s="25">
        <v>7500</v>
      </c>
    </row>
    <row r="36" spans="1:20" x14ac:dyDescent="0.25">
      <c r="A36" t="s">
        <v>15</v>
      </c>
      <c r="B36" t="s">
        <v>602</v>
      </c>
      <c r="C36" t="s">
        <v>605</v>
      </c>
      <c r="D36" s="6">
        <v>237.25632241199995</v>
      </c>
      <c r="E36" s="11">
        <v>4.8963048199999584</v>
      </c>
      <c r="F36" s="2">
        <v>4.8963048199999584</v>
      </c>
      <c r="G36" s="11"/>
      <c r="H36" t="s">
        <v>53</v>
      </c>
      <c r="I36" t="s">
        <v>601</v>
      </c>
      <c r="J36" s="25">
        <v>25</v>
      </c>
      <c r="M36" t="s">
        <v>323</v>
      </c>
      <c r="N36" t="s">
        <v>602</v>
      </c>
      <c r="O36" s="6">
        <v>15000</v>
      </c>
      <c r="R36" t="s">
        <v>94</v>
      </c>
      <c r="S36" t="s">
        <v>600</v>
      </c>
      <c r="T36" s="25">
        <v>7500</v>
      </c>
    </row>
    <row r="37" spans="1:20" x14ac:dyDescent="0.25">
      <c r="A37" t="s">
        <v>66</v>
      </c>
      <c r="B37" t="s">
        <v>601</v>
      </c>
      <c r="C37" t="s">
        <v>605</v>
      </c>
      <c r="D37" s="6">
        <v>235.28022357000003</v>
      </c>
      <c r="E37" s="11">
        <v>5.6868980999999996</v>
      </c>
      <c r="F37" s="2">
        <v>5.6868980999999996</v>
      </c>
      <c r="G37" s="11"/>
      <c r="H37" t="s">
        <v>81</v>
      </c>
      <c r="I37" t="s">
        <v>601</v>
      </c>
      <c r="J37" s="25">
        <v>24</v>
      </c>
      <c r="M37" t="s">
        <v>241</v>
      </c>
      <c r="N37" t="s">
        <v>600</v>
      </c>
      <c r="O37" s="6">
        <v>15000</v>
      </c>
      <c r="R37" t="s">
        <v>82</v>
      </c>
      <c r="S37" t="s">
        <v>601</v>
      </c>
      <c r="T37" s="25">
        <v>7500</v>
      </c>
    </row>
    <row r="38" spans="1:20" x14ac:dyDescent="0.25">
      <c r="A38" t="s">
        <v>178</v>
      </c>
      <c r="B38" t="s">
        <v>602</v>
      </c>
      <c r="C38" t="s">
        <v>605</v>
      </c>
      <c r="D38" s="6">
        <v>231.68107404200001</v>
      </c>
      <c r="E38" s="11">
        <v>0</v>
      </c>
      <c r="F38" s="2">
        <v>0</v>
      </c>
      <c r="G38" s="11"/>
      <c r="H38" t="s">
        <v>472</v>
      </c>
      <c r="I38" t="s">
        <v>601</v>
      </c>
      <c r="J38" s="25">
        <v>23</v>
      </c>
      <c r="M38" t="s">
        <v>222</v>
      </c>
      <c r="N38" t="s">
        <v>600</v>
      </c>
      <c r="O38" s="6">
        <v>15000</v>
      </c>
      <c r="R38" t="s">
        <v>502</v>
      </c>
      <c r="S38" t="s">
        <v>600</v>
      </c>
      <c r="T38" s="25">
        <v>7500</v>
      </c>
    </row>
    <row r="39" spans="1:20" x14ac:dyDescent="0.25">
      <c r="A39" t="s">
        <v>106</v>
      </c>
      <c r="B39" t="s">
        <v>600</v>
      </c>
      <c r="C39" t="s">
        <v>633</v>
      </c>
      <c r="D39" s="6">
        <v>231.64096568000002</v>
      </c>
      <c r="E39" s="11">
        <v>14.249893920000011</v>
      </c>
      <c r="F39" s="2">
        <v>14.249893920000011</v>
      </c>
      <c r="G39" s="11"/>
      <c r="H39" t="s">
        <v>68</v>
      </c>
      <c r="I39" t="s">
        <v>603</v>
      </c>
      <c r="J39" s="25">
        <v>22</v>
      </c>
      <c r="M39" t="s">
        <v>186</v>
      </c>
      <c r="N39" t="s">
        <v>601</v>
      </c>
      <c r="O39" s="6">
        <v>15000</v>
      </c>
      <c r="R39" t="s">
        <v>75</v>
      </c>
      <c r="S39" t="s">
        <v>601</v>
      </c>
      <c r="T39" s="25">
        <v>7500</v>
      </c>
    </row>
    <row r="40" spans="1:20" x14ac:dyDescent="0.25">
      <c r="A40" t="s">
        <v>30</v>
      </c>
      <c r="B40" t="s">
        <v>602</v>
      </c>
      <c r="C40" t="s">
        <v>595</v>
      </c>
      <c r="D40" s="6">
        <v>230.92846761799998</v>
      </c>
      <c r="E40" s="11">
        <v>-15.856709899999997</v>
      </c>
      <c r="F40" s="2">
        <v>15.856709899999997</v>
      </c>
      <c r="G40" s="11"/>
      <c r="H40" t="s">
        <v>18</v>
      </c>
      <c r="I40" t="s">
        <v>602</v>
      </c>
      <c r="J40" s="25">
        <v>22</v>
      </c>
      <c r="M40" t="s">
        <v>155</v>
      </c>
      <c r="N40" t="s">
        <v>603</v>
      </c>
      <c r="O40" s="6">
        <v>15000</v>
      </c>
      <c r="R40" t="s">
        <v>32</v>
      </c>
      <c r="S40" t="s">
        <v>602</v>
      </c>
      <c r="T40" s="25">
        <v>7500</v>
      </c>
    </row>
    <row r="41" spans="1:20" x14ac:dyDescent="0.25">
      <c r="A41" t="s">
        <v>60</v>
      </c>
      <c r="B41" t="s">
        <v>601</v>
      </c>
      <c r="C41" t="s">
        <v>618</v>
      </c>
      <c r="D41" s="6">
        <v>228.89892191200002</v>
      </c>
      <c r="E41" s="11">
        <v>26.049460955999997</v>
      </c>
      <c r="F41" s="2">
        <v>26.049460955999997</v>
      </c>
      <c r="G41" s="11"/>
      <c r="H41" t="s">
        <v>72</v>
      </c>
      <c r="I41" t="s">
        <v>603</v>
      </c>
      <c r="J41" s="25">
        <v>22</v>
      </c>
      <c r="M41" t="s">
        <v>529</v>
      </c>
      <c r="N41">
        <v>0</v>
      </c>
      <c r="O41" s="6">
        <v>20000</v>
      </c>
      <c r="R41" t="s">
        <v>65</v>
      </c>
      <c r="S41" t="s">
        <v>601</v>
      </c>
      <c r="T41" s="25">
        <v>7500</v>
      </c>
    </row>
    <row r="42" spans="1:20" x14ac:dyDescent="0.25">
      <c r="A42" t="s">
        <v>93</v>
      </c>
      <c r="B42" t="s">
        <v>600</v>
      </c>
      <c r="C42" t="s">
        <v>629</v>
      </c>
      <c r="D42" s="6">
        <v>228.13874431599999</v>
      </c>
      <c r="E42" s="11">
        <v>17.577127925999992</v>
      </c>
      <c r="F42" s="2">
        <v>17.577127925999992</v>
      </c>
      <c r="G42" s="11"/>
      <c r="H42" t="s">
        <v>105</v>
      </c>
      <c r="I42" t="s">
        <v>600</v>
      </c>
      <c r="J42" s="25">
        <v>21</v>
      </c>
      <c r="M42" t="s">
        <v>425</v>
      </c>
      <c r="N42" t="s">
        <v>603</v>
      </c>
      <c r="O42" s="6">
        <v>20000</v>
      </c>
      <c r="R42" t="s">
        <v>102</v>
      </c>
      <c r="S42" t="s">
        <v>600</v>
      </c>
      <c r="T42" s="25">
        <v>10000</v>
      </c>
    </row>
    <row r="43" spans="1:20" x14ac:dyDescent="0.25">
      <c r="A43" t="s">
        <v>69</v>
      </c>
      <c r="B43" t="s">
        <v>601</v>
      </c>
      <c r="C43" t="s">
        <v>605</v>
      </c>
      <c r="D43" s="6">
        <v>226.79209803500001</v>
      </c>
      <c r="E43" s="11">
        <v>-3.2440162160000154</v>
      </c>
      <c r="F43" s="2">
        <v>3.2440162160000154</v>
      </c>
      <c r="G43" s="11"/>
      <c r="H43" t="s">
        <v>22</v>
      </c>
      <c r="I43" t="s">
        <v>602</v>
      </c>
      <c r="J43" s="25">
        <v>21</v>
      </c>
      <c r="M43" t="s">
        <v>528</v>
      </c>
      <c r="N43">
        <v>0</v>
      </c>
      <c r="O43" s="6">
        <v>20000</v>
      </c>
      <c r="R43" t="s">
        <v>55</v>
      </c>
      <c r="S43" t="s">
        <v>601</v>
      </c>
      <c r="T43" s="25">
        <v>10000</v>
      </c>
    </row>
    <row r="44" spans="1:20" x14ac:dyDescent="0.25">
      <c r="A44" t="s">
        <v>470</v>
      </c>
      <c r="B44" t="s">
        <v>600</v>
      </c>
      <c r="C44" t="s">
        <v>605</v>
      </c>
      <c r="D44" s="6">
        <v>225.43535935400001</v>
      </c>
      <c r="E44" s="11">
        <v>0</v>
      </c>
      <c r="F44" s="2">
        <v>0</v>
      </c>
      <c r="G44" s="11"/>
      <c r="H44" t="s">
        <v>558</v>
      </c>
      <c r="I44" t="s">
        <v>600</v>
      </c>
      <c r="J44" s="25">
        <v>20</v>
      </c>
      <c r="M44" t="s">
        <v>227</v>
      </c>
      <c r="N44" t="s">
        <v>603</v>
      </c>
      <c r="O44" s="6">
        <v>20000</v>
      </c>
      <c r="R44" t="s">
        <v>93</v>
      </c>
      <c r="S44" t="s">
        <v>600</v>
      </c>
      <c r="T44" s="25">
        <v>10000</v>
      </c>
    </row>
    <row r="45" spans="1:20" x14ac:dyDescent="0.25">
      <c r="A45" t="s">
        <v>79</v>
      </c>
      <c r="B45" t="s">
        <v>601</v>
      </c>
      <c r="C45" t="s">
        <v>605</v>
      </c>
      <c r="D45" s="6">
        <v>221.777889348</v>
      </c>
      <c r="E45" s="11">
        <v>6.6610664419999903</v>
      </c>
      <c r="F45" s="2">
        <v>6.6610664419999903</v>
      </c>
      <c r="G45" s="11"/>
      <c r="H45" t="s">
        <v>473</v>
      </c>
      <c r="I45" t="s">
        <v>601</v>
      </c>
      <c r="J45" s="25">
        <v>19</v>
      </c>
      <c r="M45" t="s">
        <v>362</v>
      </c>
      <c r="N45" t="s">
        <v>600</v>
      </c>
      <c r="O45" s="6">
        <v>20000</v>
      </c>
      <c r="R45" t="s">
        <v>95</v>
      </c>
      <c r="S45" t="s">
        <v>600</v>
      </c>
      <c r="T45" s="25">
        <v>10000</v>
      </c>
    </row>
    <row r="46" spans="1:20" x14ac:dyDescent="0.25">
      <c r="A46" t="s">
        <v>63</v>
      </c>
      <c r="B46" t="s">
        <v>601</v>
      </c>
      <c r="C46" t="s">
        <v>605</v>
      </c>
      <c r="D46" s="6">
        <v>218.01898145200002</v>
      </c>
      <c r="E46" s="11">
        <v>5.8297750579999894</v>
      </c>
      <c r="F46" s="2">
        <v>5.8297750579999894</v>
      </c>
      <c r="G46" s="11"/>
      <c r="H46" t="s">
        <v>98</v>
      </c>
      <c r="I46" t="s">
        <v>600</v>
      </c>
      <c r="J46" s="25">
        <v>19</v>
      </c>
      <c r="M46" t="s">
        <v>536</v>
      </c>
      <c r="N46">
        <v>0</v>
      </c>
      <c r="O46" s="6">
        <v>25000</v>
      </c>
      <c r="R46" t="s">
        <v>13</v>
      </c>
      <c r="S46" t="s">
        <v>602</v>
      </c>
      <c r="T46" s="25">
        <v>10000</v>
      </c>
    </row>
    <row r="47" spans="1:20" x14ac:dyDescent="0.25">
      <c r="A47" t="s">
        <v>16</v>
      </c>
      <c r="B47" t="s">
        <v>602</v>
      </c>
      <c r="C47" t="s">
        <v>592</v>
      </c>
      <c r="D47" s="6">
        <v>217.96859593700012</v>
      </c>
      <c r="E47" s="11">
        <v>-20.570398279999921</v>
      </c>
      <c r="F47" s="2">
        <v>20.570398279999921</v>
      </c>
      <c r="G47" s="11"/>
      <c r="H47" t="s">
        <v>65</v>
      </c>
      <c r="I47" t="s">
        <v>601</v>
      </c>
      <c r="J47" s="25">
        <v>18</v>
      </c>
      <c r="M47" t="s">
        <v>535</v>
      </c>
      <c r="N47">
        <v>0</v>
      </c>
      <c r="O47" s="6">
        <v>25000</v>
      </c>
      <c r="R47" t="s">
        <v>90</v>
      </c>
      <c r="S47" t="s">
        <v>600</v>
      </c>
      <c r="T47" s="25">
        <v>10000</v>
      </c>
    </row>
    <row r="48" spans="1:20" x14ac:dyDescent="0.25">
      <c r="A48" t="s">
        <v>469</v>
      </c>
      <c r="B48" t="s">
        <v>600</v>
      </c>
      <c r="C48" t="s">
        <v>605</v>
      </c>
      <c r="D48" s="6">
        <v>214.502782137</v>
      </c>
      <c r="E48" s="11">
        <v>0</v>
      </c>
      <c r="F48" s="2">
        <v>0</v>
      </c>
      <c r="G48" s="11"/>
      <c r="H48" t="s">
        <v>76</v>
      </c>
      <c r="I48" t="s">
        <v>601</v>
      </c>
      <c r="J48" s="25">
        <v>17</v>
      </c>
      <c r="M48" t="s">
        <v>198</v>
      </c>
      <c r="N48" t="s">
        <v>600</v>
      </c>
      <c r="O48" s="6">
        <v>25000</v>
      </c>
      <c r="R48" t="s">
        <v>489</v>
      </c>
      <c r="S48" t="s">
        <v>600</v>
      </c>
      <c r="T48" s="25">
        <v>10000</v>
      </c>
    </row>
    <row r="49" spans="1:20" x14ac:dyDescent="0.25">
      <c r="A49" t="s">
        <v>87</v>
      </c>
      <c r="B49" t="s">
        <v>601</v>
      </c>
      <c r="C49" t="s">
        <v>611</v>
      </c>
      <c r="D49" s="6">
        <v>212.697492823</v>
      </c>
      <c r="E49" s="11">
        <v>29.452990331999999</v>
      </c>
      <c r="F49" s="2">
        <v>29.452990331999999</v>
      </c>
      <c r="G49" s="11"/>
      <c r="H49" t="s">
        <v>59</v>
      </c>
      <c r="I49" t="s">
        <v>601</v>
      </c>
      <c r="J49" s="25">
        <v>17</v>
      </c>
      <c r="M49" t="s">
        <v>395</v>
      </c>
      <c r="N49" t="s">
        <v>603</v>
      </c>
      <c r="O49" s="6">
        <v>25000</v>
      </c>
      <c r="R49" t="s">
        <v>483</v>
      </c>
      <c r="S49" t="s">
        <v>601</v>
      </c>
      <c r="T49" s="25">
        <v>10000</v>
      </c>
    </row>
    <row r="50" spans="1:20" x14ac:dyDescent="0.25">
      <c r="A50" t="s">
        <v>491</v>
      </c>
      <c r="B50" t="s">
        <v>601</v>
      </c>
      <c r="C50" t="s">
        <v>605</v>
      </c>
      <c r="D50" s="6">
        <v>211.72864388599999</v>
      </c>
      <c r="E50" s="11">
        <v>-4.0356780570000099</v>
      </c>
      <c r="F50" s="2">
        <v>4.0356780570000099</v>
      </c>
      <c r="G50" s="11"/>
      <c r="H50" t="s">
        <v>87</v>
      </c>
      <c r="I50" t="s">
        <v>601</v>
      </c>
      <c r="J50" s="25">
        <v>15</v>
      </c>
      <c r="M50" t="s">
        <v>532</v>
      </c>
      <c r="N50">
        <v>0</v>
      </c>
      <c r="O50" s="6">
        <v>25000</v>
      </c>
      <c r="R50" t="s">
        <v>28</v>
      </c>
      <c r="S50" t="s">
        <v>602</v>
      </c>
      <c r="T50" s="25">
        <v>10000</v>
      </c>
    </row>
    <row r="51" spans="1:20" x14ac:dyDescent="0.25">
      <c r="A51" t="s">
        <v>471</v>
      </c>
      <c r="B51" t="s">
        <v>601</v>
      </c>
      <c r="C51" t="s">
        <v>612</v>
      </c>
      <c r="D51" s="6">
        <v>211.29579646799999</v>
      </c>
      <c r="E51" s="11">
        <v>19.247898234000004</v>
      </c>
      <c r="F51" s="2">
        <v>19.247898234000004</v>
      </c>
      <c r="G51" s="11"/>
      <c r="H51" t="s">
        <v>62</v>
      </c>
      <c r="I51" t="s">
        <v>601</v>
      </c>
      <c r="J51" s="25">
        <v>15</v>
      </c>
      <c r="M51" t="s">
        <v>537</v>
      </c>
      <c r="N51">
        <v>0</v>
      </c>
      <c r="O51" s="6">
        <v>25000</v>
      </c>
      <c r="R51" t="s">
        <v>21</v>
      </c>
      <c r="S51" t="s">
        <v>602</v>
      </c>
      <c r="T51" s="25">
        <v>10000</v>
      </c>
    </row>
    <row r="52" spans="1:20" x14ac:dyDescent="0.25">
      <c r="A52" t="s">
        <v>95</v>
      </c>
      <c r="B52" t="s">
        <v>600</v>
      </c>
      <c r="C52" t="s">
        <v>605</v>
      </c>
      <c r="D52" s="6">
        <v>210.425359894</v>
      </c>
      <c r="E52" s="11">
        <v>9.2006554320000014</v>
      </c>
      <c r="F52" s="2">
        <v>9.2006554320000014</v>
      </c>
      <c r="G52" s="11"/>
      <c r="H52" t="s">
        <v>50</v>
      </c>
      <c r="I52" t="s">
        <v>601</v>
      </c>
      <c r="J52" s="25">
        <v>14</v>
      </c>
      <c r="M52" t="s">
        <v>531</v>
      </c>
      <c r="N52">
        <v>0</v>
      </c>
      <c r="O52" s="6">
        <v>25000</v>
      </c>
      <c r="R52" t="s">
        <v>152</v>
      </c>
      <c r="S52" t="s">
        <v>602</v>
      </c>
      <c r="T52" s="25">
        <v>10000</v>
      </c>
    </row>
    <row r="53" spans="1:20" x14ac:dyDescent="0.25">
      <c r="A53" t="s">
        <v>50</v>
      </c>
      <c r="B53" t="s">
        <v>601</v>
      </c>
      <c r="C53" t="s">
        <v>613</v>
      </c>
      <c r="D53" s="6">
        <v>210.0268851999999</v>
      </c>
      <c r="E53" s="11">
        <v>28.363442599999892</v>
      </c>
      <c r="F53" s="2">
        <v>28.363442599999892</v>
      </c>
      <c r="G53" s="11"/>
      <c r="H53" t="s">
        <v>19</v>
      </c>
      <c r="I53" t="s">
        <v>602</v>
      </c>
      <c r="J53" s="25">
        <v>13</v>
      </c>
      <c r="M53" t="s">
        <v>154</v>
      </c>
      <c r="N53" t="s">
        <v>600</v>
      </c>
      <c r="O53" s="6">
        <v>25000</v>
      </c>
      <c r="R53" t="s">
        <v>81</v>
      </c>
      <c r="S53" t="s">
        <v>601</v>
      </c>
      <c r="T53" s="25">
        <v>10000</v>
      </c>
    </row>
    <row r="54" spans="1:20" x14ac:dyDescent="0.25">
      <c r="A54" t="s">
        <v>102</v>
      </c>
      <c r="B54" t="s">
        <v>600</v>
      </c>
      <c r="C54" t="s">
        <v>631</v>
      </c>
      <c r="D54" s="6">
        <v>208.94049946299998</v>
      </c>
      <c r="E54" s="11">
        <v>13.160485006</v>
      </c>
      <c r="F54" s="2">
        <v>13.160485006</v>
      </c>
      <c r="G54" s="11"/>
      <c r="H54" t="s">
        <v>35</v>
      </c>
      <c r="I54" t="s">
        <v>602</v>
      </c>
      <c r="J54" s="25">
        <v>13</v>
      </c>
      <c r="M54" t="s">
        <v>355</v>
      </c>
      <c r="N54" t="s">
        <v>601</v>
      </c>
      <c r="O54" s="6">
        <v>25000</v>
      </c>
      <c r="R54" t="s">
        <v>29</v>
      </c>
      <c r="S54" t="s">
        <v>602</v>
      </c>
      <c r="T54" s="25">
        <v>10000</v>
      </c>
    </row>
    <row r="55" spans="1:20" x14ac:dyDescent="0.25">
      <c r="A55" t="s">
        <v>502</v>
      </c>
      <c r="B55" t="s">
        <v>600</v>
      </c>
      <c r="C55" t="s">
        <v>605</v>
      </c>
      <c r="D55" s="6">
        <v>207.73065791399998</v>
      </c>
      <c r="E55" s="11">
        <v>5.2452161019999846</v>
      </c>
      <c r="F55" s="2">
        <v>5.2452161019999846</v>
      </c>
      <c r="G55" s="11"/>
      <c r="H55" t="s">
        <v>85</v>
      </c>
      <c r="I55" t="s">
        <v>603</v>
      </c>
      <c r="J55" s="25">
        <v>12</v>
      </c>
      <c r="M55" t="s">
        <v>190</v>
      </c>
      <c r="N55" t="s">
        <v>601</v>
      </c>
      <c r="O55" s="6">
        <v>25000</v>
      </c>
      <c r="R55" t="s">
        <v>50</v>
      </c>
      <c r="S55" t="s">
        <v>601</v>
      </c>
      <c r="T55" s="25">
        <v>10000</v>
      </c>
    </row>
    <row r="56" spans="1:20" x14ac:dyDescent="0.25">
      <c r="A56" t="s">
        <v>99</v>
      </c>
      <c r="B56" t="s">
        <v>600</v>
      </c>
      <c r="C56" t="s">
        <v>629</v>
      </c>
      <c r="D56" s="6">
        <v>207.10678699399995</v>
      </c>
      <c r="E56" s="11">
        <v>10.39568042999994</v>
      </c>
      <c r="F56" s="2">
        <v>10.39568042999994</v>
      </c>
      <c r="G56" s="11"/>
      <c r="H56" t="s">
        <v>40</v>
      </c>
      <c r="I56" t="s">
        <v>601</v>
      </c>
      <c r="J56" s="25">
        <v>11</v>
      </c>
      <c r="M56" t="s">
        <v>533</v>
      </c>
      <c r="N56">
        <v>0</v>
      </c>
      <c r="O56" s="6">
        <v>25000</v>
      </c>
      <c r="R56" t="s">
        <v>60</v>
      </c>
      <c r="S56" t="s">
        <v>601</v>
      </c>
      <c r="T56" s="25">
        <v>10000</v>
      </c>
    </row>
    <row r="57" spans="1:20" x14ac:dyDescent="0.25">
      <c r="A57" t="s">
        <v>61</v>
      </c>
      <c r="B57" t="s">
        <v>601</v>
      </c>
      <c r="C57" t="s">
        <v>612</v>
      </c>
      <c r="D57" s="6">
        <v>204.85281416200002</v>
      </c>
      <c r="E57" s="11">
        <v>15.276407080999988</v>
      </c>
      <c r="F57" s="2">
        <v>15.276407080999988</v>
      </c>
      <c r="G57" s="11"/>
      <c r="H57" t="s">
        <v>83</v>
      </c>
      <c r="I57" t="s">
        <v>601</v>
      </c>
      <c r="J57" s="25">
        <v>11</v>
      </c>
      <c r="M57" t="s">
        <v>339</v>
      </c>
      <c r="N57" t="s">
        <v>601</v>
      </c>
      <c r="O57" s="6">
        <v>25000</v>
      </c>
      <c r="R57" t="s">
        <v>52</v>
      </c>
      <c r="S57" t="s">
        <v>601</v>
      </c>
      <c r="T57" s="25">
        <v>10000</v>
      </c>
    </row>
    <row r="58" spans="1:20" x14ac:dyDescent="0.25">
      <c r="A58" t="s">
        <v>65</v>
      </c>
      <c r="B58" t="s">
        <v>601</v>
      </c>
      <c r="C58" t="s">
        <v>619</v>
      </c>
      <c r="D58" s="6">
        <v>204.33839771899983</v>
      </c>
      <c r="E58" s="11">
        <v>21.194755176999848</v>
      </c>
      <c r="F58" s="2">
        <v>21.194755176999848</v>
      </c>
      <c r="G58" s="11"/>
      <c r="H58" t="s">
        <v>43</v>
      </c>
      <c r="I58" t="s">
        <v>601</v>
      </c>
      <c r="J58" s="25">
        <v>10</v>
      </c>
      <c r="M58" t="s">
        <v>394</v>
      </c>
      <c r="N58" t="s">
        <v>603</v>
      </c>
      <c r="O58" s="6">
        <v>25000</v>
      </c>
      <c r="R58" t="s">
        <v>501</v>
      </c>
      <c r="S58" t="s">
        <v>601</v>
      </c>
      <c r="T58" s="25">
        <v>10000</v>
      </c>
    </row>
    <row r="59" spans="1:20" x14ac:dyDescent="0.25">
      <c r="A59" t="s">
        <v>53</v>
      </c>
      <c r="B59" t="s">
        <v>601</v>
      </c>
      <c r="C59" t="s">
        <v>616</v>
      </c>
      <c r="D59" s="6">
        <v>203.22493402800001</v>
      </c>
      <c r="E59" s="11">
        <v>12.823339573</v>
      </c>
      <c r="F59" s="2">
        <v>12.823339573</v>
      </c>
      <c r="G59" s="11"/>
      <c r="H59" t="s">
        <v>476</v>
      </c>
      <c r="I59" t="s">
        <v>603</v>
      </c>
      <c r="J59" s="25">
        <v>10</v>
      </c>
      <c r="M59" t="s">
        <v>360</v>
      </c>
      <c r="N59" t="s">
        <v>601</v>
      </c>
      <c r="O59" s="6">
        <v>25000</v>
      </c>
      <c r="R59" t="s">
        <v>72</v>
      </c>
      <c r="S59" t="s">
        <v>603</v>
      </c>
      <c r="T59" s="25">
        <v>10000</v>
      </c>
    </row>
    <row r="60" spans="1:20" x14ac:dyDescent="0.25">
      <c r="A60" t="s">
        <v>82</v>
      </c>
      <c r="B60" t="s">
        <v>601</v>
      </c>
      <c r="C60" t="s">
        <v>605</v>
      </c>
      <c r="D60" s="6">
        <v>202.70425285599998</v>
      </c>
      <c r="E60" s="11">
        <v>6.2021264279999953</v>
      </c>
      <c r="F60" s="2">
        <v>6.2021264279999953</v>
      </c>
      <c r="G60" s="11"/>
      <c r="H60" t="s">
        <v>480</v>
      </c>
      <c r="I60" t="s">
        <v>603</v>
      </c>
      <c r="J60" s="25">
        <v>10</v>
      </c>
      <c r="M60" t="s">
        <v>534</v>
      </c>
      <c r="N60">
        <v>0</v>
      </c>
      <c r="O60" s="6">
        <v>25000</v>
      </c>
      <c r="R60" t="s">
        <v>27</v>
      </c>
      <c r="S60" t="s">
        <v>602</v>
      </c>
      <c r="T60" s="25">
        <v>10000</v>
      </c>
    </row>
    <row r="61" spans="1:20" x14ac:dyDescent="0.25">
      <c r="A61" t="s">
        <v>81</v>
      </c>
      <c r="B61" t="s">
        <v>601</v>
      </c>
      <c r="C61" t="s">
        <v>624</v>
      </c>
      <c r="D61" s="6">
        <v>200.935309416</v>
      </c>
      <c r="E61" s="11">
        <v>15.399518832999984</v>
      </c>
      <c r="F61" s="2">
        <v>15.399518832999984</v>
      </c>
      <c r="G61" s="11"/>
      <c r="H61" t="s">
        <v>55</v>
      </c>
      <c r="I61" t="s">
        <v>601</v>
      </c>
      <c r="J61" s="25">
        <v>10</v>
      </c>
      <c r="M61" t="s">
        <v>253</v>
      </c>
      <c r="N61" t="s">
        <v>600</v>
      </c>
      <c r="O61" s="6">
        <v>25000</v>
      </c>
      <c r="R61" t="s">
        <v>484</v>
      </c>
      <c r="S61" t="s">
        <v>600</v>
      </c>
      <c r="T61" s="25">
        <v>10000</v>
      </c>
    </row>
    <row r="62" spans="1:20" x14ac:dyDescent="0.25">
      <c r="A62" t="s">
        <v>86</v>
      </c>
      <c r="B62" t="s">
        <v>601</v>
      </c>
      <c r="C62" t="s">
        <v>627</v>
      </c>
      <c r="D62" s="6">
        <v>199.7576807239999</v>
      </c>
      <c r="E62" s="11">
        <v>26.318664209999902</v>
      </c>
      <c r="F62" s="2">
        <v>26.318664209999902</v>
      </c>
      <c r="G62" s="11"/>
      <c r="H62" t="s">
        <v>490</v>
      </c>
      <c r="I62" t="s">
        <v>602</v>
      </c>
      <c r="J62" s="25">
        <v>9</v>
      </c>
      <c r="M62" t="s">
        <v>146</v>
      </c>
      <c r="N62" t="s">
        <v>600</v>
      </c>
      <c r="O62" s="6">
        <v>25000</v>
      </c>
      <c r="R62" t="s">
        <v>17</v>
      </c>
      <c r="S62" t="s">
        <v>602</v>
      </c>
      <c r="T62" s="25">
        <v>12000</v>
      </c>
    </row>
    <row r="63" spans="1:20" x14ac:dyDescent="0.25">
      <c r="A63" t="s">
        <v>94</v>
      </c>
      <c r="B63" t="s">
        <v>600</v>
      </c>
      <c r="C63" t="s">
        <v>605</v>
      </c>
      <c r="D63" s="6">
        <v>199.42994805200001</v>
      </c>
      <c r="E63" s="11">
        <v>0.21561603000000007</v>
      </c>
      <c r="F63" s="2">
        <v>0.21561603000000007</v>
      </c>
      <c r="G63" s="11"/>
      <c r="H63" t="s">
        <v>32</v>
      </c>
      <c r="I63" t="s">
        <v>602</v>
      </c>
      <c r="J63" s="25">
        <v>9</v>
      </c>
      <c r="M63" t="s">
        <v>347</v>
      </c>
      <c r="N63" t="s">
        <v>600</v>
      </c>
      <c r="O63" s="6">
        <v>25000</v>
      </c>
      <c r="R63" t="s">
        <v>147</v>
      </c>
      <c r="S63" t="s">
        <v>600</v>
      </c>
      <c r="T63" s="25">
        <v>12000</v>
      </c>
    </row>
    <row r="64" spans="1:20" x14ac:dyDescent="0.25">
      <c r="A64" t="s">
        <v>215</v>
      </c>
      <c r="B64" t="s">
        <v>602</v>
      </c>
      <c r="C64" t="s">
        <v>605</v>
      </c>
      <c r="D64" s="6">
        <v>197.24374173400003</v>
      </c>
      <c r="E64" s="11">
        <v>0</v>
      </c>
      <c r="F64" s="2">
        <v>0</v>
      </c>
      <c r="G64" s="11"/>
      <c r="H64" t="s">
        <v>12</v>
      </c>
      <c r="I64" t="s">
        <v>602</v>
      </c>
      <c r="J64" s="25">
        <v>9</v>
      </c>
      <c r="M64" t="s">
        <v>530</v>
      </c>
      <c r="N64">
        <v>0</v>
      </c>
      <c r="O64" s="6">
        <v>25000</v>
      </c>
      <c r="R64" t="s">
        <v>97</v>
      </c>
      <c r="S64" t="s">
        <v>600</v>
      </c>
      <c r="T64" s="25">
        <v>12000</v>
      </c>
    </row>
    <row r="65" spans="1:20" x14ac:dyDescent="0.25">
      <c r="A65" t="s">
        <v>179</v>
      </c>
      <c r="B65" t="s">
        <v>602</v>
      </c>
      <c r="C65" t="s">
        <v>605</v>
      </c>
      <c r="D65" s="6">
        <v>196.10860903599999</v>
      </c>
      <c r="E65" s="11">
        <v>0</v>
      </c>
      <c r="F65" s="2">
        <v>0</v>
      </c>
      <c r="G65" s="11"/>
      <c r="H65" t="s">
        <v>107</v>
      </c>
      <c r="I65" t="s">
        <v>600</v>
      </c>
      <c r="J65" s="25">
        <v>8</v>
      </c>
      <c r="M65" t="s">
        <v>541</v>
      </c>
      <c r="N65">
        <v>0</v>
      </c>
      <c r="O65" s="6">
        <v>30000</v>
      </c>
      <c r="R65" t="s">
        <v>472</v>
      </c>
      <c r="S65" t="s">
        <v>601</v>
      </c>
      <c r="T65" s="25">
        <v>12000</v>
      </c>
    </row>
    <row r="66" spans="1:20" x14ac:dyDescent="0.25">
      <c r="A66" t="s">
        <v>558</v>
      </c>
      <c r="B66" t="s">
        <v>600</v>
      </c>
      <c r="C66" t="s">
        <v>605</v>
      </c>
      <c r="D66" s="6">
        <v>195.79334896</v>
      </c>
      <c r="E66" s="11">
        <v>0</v>
      </c>
      <c r="F66" s="2">
        <v>0</v>
      </c>
      <c r="G66" s="11"/>
      <c r="H66" t="s">
        <v>475</v>
      </c>
      <c r="I66" t="s">
        <v>600</v>
      </c>
      <c r="J66" s="25">
        <v>8</v>
      </c>
      <c r="M66" t="s">
        <v>539</v>
      </c>
      <c r="N66">
        <v>0</v>
      </c>
      <c r="O66" s="6">
        <v>30000</v>
      </c>
      <c r="R66" t="s">
        <v>105</v>
      </c>
      <c r="S66" t="s">
        <v>600</v>
      </c>
      <c r="T66" s="25">
        <v>12000</v>
      </c>
    </row>
    <row r="67" spans="1:20" x14ac:dyDescent="0.25">
      <c r="A67" t="s">
        <v>75</v>
      </c>
      <c r="B67" t="s">
        <v>601</v>
      </c>
      <c r="C67" t="s">
        <v>605</v>
      </c>
      <c r="D67" s="6">
        <v>195.19301483399991</v>
      </c>
      <c r="E67" s="11">
        <v>5.6965074169999017</v>
      </c>
      <c r="F67" s="2">
        <v>5.6965074169999017</v>
      </c>
      <c r="G67" s="11"/>
      <c r="H67" t="s">
        <v>29</v>
      </c>
      <c r="I67" t="s">
        <v>602</v>
      </c>
      <c r="J67" s="25">
        <v>8</v>
      </c>
      <c r="M67" t="s">
        <v>540</v>
      </c>
      <c r="N67">
        <v>0</v>
      </c>
      <c r="O67" s="6">
        <v>30000</v>
      </c>
      <c r="R67" t="s">
        <v>473</v>
      </c>
      <c r="S67" t="s">
        <v>601</v>
      </c>
      <c r="T67" s="25">
        <v>12000</v>
      </c>
    </row>
    <row r="68" spans="1:20" x14ac:dyDescent="0.25">
      <c r="A68" t="s">
        <v>473</v>
      </c>
      <c r="B68" t="s">
        <v>601</v>
      </c>
      <c r="C68" t="s">
        <v>621</v>
      </c>
      <c r="D68" s="6">
        <v>194.93150729200002</v>
      </c>
      <c r="E68" s="11">
        <v>11.065753646000001</v>
      </c>
      <c r="F68" s="2">
        <v>11.065753646000001</v>
      </c>
      <c r="G68" s="11"/>
      <c r="H68" t="s">
        <v>97</v>
      </c>
      <c r="I68" t="s">
        <v>600</v>
      </c>
      <c r="J68" s="25">
        <v>7</v>
      </c>
      <c r="M68" t="s">
        <v>543</v>
      </c>
      <c r="N68">
        <v>0</v>
      </c>
      <c r="O68" s="6">
        <v>30000</v>
      </c>
      <c r="R68" t="s">
        <v>499</v>
      </c>
      <c r="S68" t="s">
        <v>601</v>
      </c>
      <c r="T68" s="25">
        <v>12000</v>
      </c>
    </row>
    <row r="69" spans="1:20" x14ac:dyDescent="0.25">
      <c r="A69" t="s">
        <v>499</v>
      </c>
      <c r="B69" t="s">
        <v>601</v>
      </c>
      <c r="C69" t="s">
        <v>605</v>
      </c>
      <c r="D69" s="6">
        <v>194.65720448999988</v>
      </c>
      <c r="E69" s="11">
        <v>7.1786022449999018</v>
      </c>
      <c r="F69" s="2">
        <v>7.1786022449999018</v>
      </c>
      <c r="G69" s="11"/>
      <c r="H69" t="s">
        <v>86</v>
      </c>
      <c r="I69" t="s">
        <v>601</v>
      </c>
      <c r="J69" s="25">
        <v>7</v>
      </c>
      <c r="M69" t="s">
        <v>426</v>
      </c>
      <c r="N69" t="s">
        <v>601</v>
      </c>
      <c r="O69" s="6">
        <v>30000</v>
      </c>
      <c r="R69" t="s">
        <v>100</v>
      </c>
      <c r="S69" t="s">
        <v>600</v>
      </c>
      <c r="T69" s="25">
        <v>12000</v>
      </c>
    </row>
    <row r="70" spans="1:20" x14ac:dyDescent="0.25">
      <c r="A70" t="s">
        <v>43</v>
      </c>
      <c r="B70" t="s">
        <v>601</v>
      </c>
      <c r="C70" t="s">
        <v>610</v>
      </c>
      <c r="D70" s="6">
        <v>194.40364925600002</v>
      </c>
      <c r="E70" s="11">
        <v>18.540058911999999</v>
      </c>
      <c r="F70" s="2">
        <v>18.540058911999999</v>
      </c>
      <c r="G70" s="11"/>
      <c r="H70" t="s">
        <v>479</v>
      </c>
      <c r="I70" t="s">
        <v>600</v>
      </c>
      <c r="J70" s="25">
        <v>7</v>
      </c>
      <c r="M70" t="s">
        <v>391</v>
      </c>
      <c r="N70" t="s">
        <v>603</v>
      </c>
      <c r="O70" s="6">
        <v>30000</v>
      </c>
      <c r="R70" t="s">
        <v>107</v>
      </c>
      <c r="S70" t="s">
        <v>600</v>
      </c>
      <c r="T70" s="25">
        <v>12000</v>
      </c>
    </row>
    <row r="71" spans="1:20" x14ac:dyDescent="0.25">
      <c r="A71" t="s">
        <v>83</v>
      </c>
      <c r="B71" t="s">
        <v>601</v>
      </c>
      <c r="C71" t="s">
        <v>625</v>
      </c>
      <c r="D71" s="6">
        <v>193.55776257800002</v>
      </c>
      <c r="E71" s="11">
        <v>17.193383643999997</v>
      </c>
      <c r="F71" s="2">
        <v>17.193383643999997</v>
      </c>
      <c r="G71" s="11"/>
      <c r="H71" t="s">
        <v>100</v>
      </c>
      <c r="I71" t="s">
        <v>600</v>
      </c>
      <c r="J71" s="25">
        <v>7</v>
      </c>
      <c r="M71" t="s">
        <v>344</v>
      </c>
      <c r="N71" t="s">
        <v>603</v>
      </c>
      <c r="O71" s="6">
        <v>30000</v>
      </c>
      <c r="R71" t="s">
        <v>59</v>
      </c>
      <c r="S71" t="s">
        <v>601</v>
      </c>
      <c r="T71" s="25">
        <v>12000</v>
      </c>
    </row>
    <row r="72" spans="1:20" x14ac:dyDescent="0.25">
      <c r="A72" t="s">
        <v>501</v>
      </c>
      <c r="B72" t="s">
        <v>601</v>
      </c>
      <c r="C72" t="s">
        <v>655</v>
      </c>
      <c r="D72" s="6">
        <v>193.1601369519999</v>
      </c>
      <c r="E72" s="11">
        <v>11.18006847599991</v>
      </c>
      <c r="F72" s="2">
        <v>11.18006847599991</v>
      </c>
      <c r="G72" s="11"/>
      <c r="H72" t="s">
        <v>48</v>
      </c>
      <c r="I72" t="s">
        <v>601</v>
      </c>
      <c r="J72" s="25">
        <v>6</v>
      </c>
      <c r="M72" t="s">
        <v>324</v>
      </c>
      <c r="N72" t="s">
        <v>601</v>
      </c>
      <c r="O72" s="6">
        <v>30000</v>
      </c>
      <c r="R72" t="s">
        <v>478</v>
      </c>
      <c r="S72" t="s">
        <v>600</v>
      </c>
      <c r="T72" s="25">
        <v>12000</v>
      </c>
    </row>
    <row r="73" spans="1:20" x14ac:dyDescent="0.25">
      <c r="A73" t="s">
        <v>14</v>
      </c>
      <c r="B73" t="s">
        <v>602</v>
      </c>
      <c r="C73" t="s">
        <v>605</v>
      </c>
      <c r="D73" s="6">
        <v>193.06277786400003</v>
      </c>
      <c r="E73" s="11">
        <v>-4.6785142799999644</v>
      </c>
      <c r="F73" s="2">
        <v>4.6785142799999644</v>
      </c>
      <c r="G73" s="11"/>
      <c r="H73" t="s">
        <v>38</v>
      </c>
      <c r="I73" t="s">
        <v>601</v>
      </c>
      <c r="J73" s="25">
        <v>6</v>
      </c>
      <c r="M73" t="s">
        <v>263</v>
      </c>
      <c r="N73" t="s">
        <v>603</v>
      </c>
      <c r="O73" s="6">
        <v>30000</v>
      </c>
      <c r="R73" t="s">
        <v>37</v>
      </c>
      <c r="S73" t="s">
        <v>601</v>
      </c>
      <c r="T73" s="25">
        <v>12000</v>
      </c>
    </row>
    <row r="74" spans="1:20" x14ac:dyDescent="0.25">
      <c r="A74" t="s">
        <v>40</v>
      </c>
      <c r="B74" t="s">
        <v>601</v>
      </c>
      <c r="C74" t="s">
        <v>608</v>
      </c>
      <c r="D74" s="6">
        <v>190.71409630600004</v>
      </c>
      <c r="E74" s="11">
        <v>17.039168107999998</v>
      </c>
      <c r="F74" s="2">
        <v>17.039168107999998</v>
      </c>
      <c r="G74" s="11"/>
      <c r="H74" t="s">
        <v>54</v>
      </c>
      <c r="I74" t="s">
        <v>603</v>
      </c>
      <c r="J74" s="25">
        <v>6</v>
      </c>
      <c r="M74" t="s">
        <v>542</v>
      </c>
      <c r="N74">
        <v>0</v>
      </c>
      <c r="O74" s="6">
        <v>30000</v>
      </c>
      <c r="R74" t="s">
        <v>503</v>
      </c>
      <c r="S74" t="s">
        <v>600</v>
      </c>
      <c r="T74" s="25">
        <v>12000</v>
      </c>
    </row>
    <row r="75" spans="1:20" x14ac:dyDescent="0.25">
      <c r="A75" t="s">
        <v>71</v>
      </c>
      <c r="B75" t="s">
        <v>601</v>
      </c>
      <c r="C75" t="s">
        <v>605</v>
      </c>
      <c r="D75" s="6">
        <v>189.33518445599998</v>
      </c>
      <c r="E75" s="11">
        <v>4.7675922279999945</v>
      </c>
      <c r="F75" s="2">
        <v>4.7675922279999945</v>
      </c>
      <c r="G75" s="11"/>
      <c r="H75" t="s">
        <v>52</v>
      </c>
      <c r="I75" t="s">
        <v>601</v>
      </c>
      <c r="J75" s="25">
        <v>6</v>
      </c>
      <c r="M75" t="s">
        <v>357</v>
      </c>
      <c r="N75" t="s">
        <v>603</v>
      </c>
      <c r="O75" s="6">
        <v>30000</v>
      </c>
      <c r="R75" t="s">
        <v>83</v>
      </c>
      <c r="S75" t="s">
        <v>601</v>
      </c>
      <c r="T75" s="25">
        <v>12000</v>
      </c>
    </row>
    <row r="76" spans="1:20" x14ac:dyDescent="0.25">
      <c r="A76" t="s">
        <v>105</v>
      </c>
      <c r="B76" t="s">
        <v>600</v>
      </c>
      <c r="C76" t="s">
        <v>605</v>
      </c>
      <c r="D76" s="6">
        <v>186.58683220200004</v>
      </c>
      <c r="E76" s="11">
        <v>-3.2445252979999943</v>
      </c>
      <c r="F76" s="2">
        <v>3.2445252979999943</v>
      </c>
      <c r="G76" s="11"/>
      <c r="H76" t="s">
        <v>483</v>
      </c>
      <c r="I76" t="s">
        <v>601</v>
      </c>
      <c r="J76" s="25">
        <v>6</v>
      </c>
      <c r="M76" t="s">
        <v>240</v>
      </c>
      <c r="N76" t="s">
        <v>600</v>
      </c>
      <c r="O76" s="6">
        <v>30000</v>
      </c>
      <c r="R76" t="s">
        <v>38</v>
      </c>
      <c r="S76" t="s">
        <v>601</v>
      </c>
      <c r="T76" s="25">
        <v>12000</v>
      </c>
    </row>
    <row r="77" spans="1:20" x14ac:dyDescent="0.25">
      <c r="A77" t="s">
        <v>55</v>
      </c>
      <c r="B77" t="s">
        <v>601</v>
      </c>
      <c r="C77" t="s">
        <v>617</v>
      </c>
      <c r="D77" s="6">
        <v>186.10758240600003</v>
      </c>
      <c r="E77" s="11">
        <v>12.653791203000003</v>
      </c>
      <c r="F77" s="2">
        <v>12.653791203000003</v>
      </c>
      <c r="G77" s="11"/>
      <c r="H77" t="s">
        <v>44</v>
      </c>
      <c r="I77" t="s">
        <v>601</v>
      </c>
      <c r="J77" s="25">
        <v>6</v>
      </c>
      <c r="M77" t="s">
        <v>538</v>
      </c>
      <c r="N77">
        <v>0</v>
      </c>
      <c r="O77" s="6">
        <v>30000</v>
      </c>
      <c r="R77" t="s">
        <v>178</v>
      </c>
      <c r="S77" t="s">
        <v>602</v>
      </c>
      <c r="T77" s="25">
        <v>15000</v>
      </c>
    </row>
    <row r="78" spans="1:20" x14ac:dyDescent="0.25">
      <c r="A78" t="s">
        <v>62</v>
      </c>
      <c r="B78" t="s">
        <v>601</v>
      </c>
      <c r="C78" t="s">
        <v>605</v>
      </c>
      <c r="D78" s="6">
        <v>185.85167747300002</v>
      </c>
      <c r="E78" s="11">
        <v>7.7358670739999909</v>
      </c>
      <c r="F78" s="2">
        <v>7.7358670739999909</v>
      </c>
      <c r="G78" s="11"/>
      <c r="H78" t="s">
        <v>45</v>
      </c>
      <c r="I78" t="s">
        <v>603</v>
      </c>
      <c r="J78" s="25">
        <v>5</v>
      </c>
      <c r="M78" t="s">
        <v>517</v>
      </c>
      <c r="N78" t="s">
        <v>600</v>
      </c>
      <c r="O78" s="6">
        <v>30000</v>
      </c>
      <c r="R78" t="s">
        <v>482</v>
      </c>
      <c r="S78" t="s">
        <v>600</v>
      </c>
      <c r="T78" s="25">
        <v>15000</v>
      </c>
    </row>
    <row r="79" spans="1:20" x14ac:dyDescent="0.25">
      <c r="A79" t="s">
        <v>472</v>
      </c>
      <c r="B79" t="s">
        <v>601</v>
      </c>
      <c r="C79" t="s">
        <v>605</v>
      </c>
      <c r="D79" s="6">
        <v>185.323865372</v>
      </c>
      <c r="E79" s="11">
        <v>0</v>
      </c>
      <c r="F79" s="2">
        <v>0</v>
      </c>
      <c r="G79" s="11"/>
      <c r="H79" t="s">
        <v>503</v>
      </c>
      <c r="I79" t="s">
        <v>600</v>
      </c>
      <c r="J79" s="25">
        <v>5</v>
      </c>
      <c r="M79" t="s">
        <v>506</v>
      </c>
      <c r="N79" t="s">
        <v>603</v>
      </c>
      <c r="O79" s="6">
        <v>30000</v>
      </c>
      <c r="R79" t="s">
        <v>116</v>
      </c>
      <c r="S79" t="s">
        <v>600</v>
      </c>
      <c r="T79" s="25">
        <v>15000</v>
      </c>
    </row>
    <row r="80" spans="1:20" x14ac:dyDescent="0.25">
      <c r="A80" t="s">
        <v>47</v>
      </c>
      <c r="B80" t="s">
        <v>601</v>
      </c>
      <c r="C80" t="s">
        <v>611</v>
      </c>
      <c r="D80" s="6">
        <v>185.311368445</v>
      </c>
      <c r="E80" s="11">
        <v>22.037424821999991</v>
      </c>
      <c r="F80" s="2">
        <v>22.037424821999991</v>
      </c>
      <c r="G80" s="11"/>
      <c r="H80" t="s">
        <v>46</v>
      </c>
      <c r="I80" t="s">
        <v>603</v>
      </c>
      <c r="J80" s="25">
        <v>5</v>
      </c>
      <c r="M80" t="s">
        <v>544</v>
      </c>
      <c r="N80">
        <v>0</v>
      </c>
      <c r="O80" s="6">
        <v>40000</v>
      </c>
      <c r="R80" t="s">
        <v>99</v>
      </c>
      <c r="S80" t="s">
        <v>600</v>
      </c>
      <c r="T80" s="25">
        <v>15000</v>
      </c>
    </row>
    <row r="81" spans="1:20" x14ac:dyDescent="0.25">
      <c r="A81" t="s">
        <v>76</v>
      </c>
      <c r="B81" t="s">
        <v>601</v>
      </c>
      <c r="C81" t="s">
        <v>605</v>
      </c>
      <c r="D81" s="6">
        <v>183.48031955499999</v>
      </c>
      <c r="E81" s="11">
        <v>3.9300100490000065</v>
      </c>
      <c r="F81" s="2">
        <v>3.9300100490000065</v>
      </c>
      <c r="G81" s="11"/>
      <c r="H81" t="s">
        <v>482</v>
      </c>
      <c r="I81" t="s">
        <v>600</v>
      </c>
      <c r="J81" s="25">
        <v>5</v>
      </c>
      <c r="M81" t="s">
        <v>546</v>
      </c>
      <c r="N81">
        <v>0</v>
      </c>
      <c r="O81" s="6">
        <v>50000</v>
      </c>
      <c r="R81" t="s">
        <v>40</v>
      </c>
      <c r="S81" t="s">
        <v>601</v>
      </c>
      <c r="T81" s="25">
        <v>15000</v>
      </c>
    </row>
    <row r="82" spans="1:20" x14ac:dyDescent="0.25">
      <c r="A82" t="s">
        <v>59</v>
      </c>
      <c r="B82" t="s">
        <v>601</v>
      </c>
      <c r="C82" t="s">
        <v>605</v>
      </c>
      <c r="D82" s="6">
        <v>182.12124149399997</v>
      </c>
      <c r="E82" s="11">
        <v>3.9453031989999898</v>
      </c>
      <c r="F82" s="2">
        <v>3.9453031989999898</v>
      </c>
      <c r="G82" s="11"/>
      <c r="H82" t="s">
        <v>57</v>
      </c>
      <c r="I82" t="s">
        <v>601</v>
      </c>
      <c r="J82" s="25">
        <v>4</v>
      </c>
      <c r="M82" t="s">
        <v>548</v>
      </c>
      <c r="N82">
        <v>0</v>
      </c>
      <c r="O82" s="6">
        <v>50000</v>
      </c>
      <c r="R82" t="s">
        <v>16</v>
      </c>
      <c r="S82" t="s">
        <v>602</v>
      </c>
      <c r="T82" s="25">
        <v>15000</v>
      </c>
    </row>
    <row r="83" spans="1:20" x14ac:dyDescent="0.25">
      <c r="A83" t="s">
        <v>474</v>
      </c>
      <c r="B83" t="s">
        <v>601</v>
      </c>
      <c r="C83" t="s">
        <v>605</v>
      </c>
      <c r="D83" s="6">
        <v>181.96866344900002</v>
      </c>
      <c r="E83" s="11">
        <v>0</v>
      </c>
      <c r="F83" s="2">
        <v>0</v>
      </c>
      <c r="G83" s="11"/>
      <c r="H83" t="s">
        <v>67</v>
      </c>
      <c r="I83" t="s">
        <v>601</v>
      </c>
      <c r="J83" s="25">
        <v>4</v>
      </c>
      <c r="M83" t="s">
        <v>547</v>
      </c>
      <c r="N83">
        <v>0</v>
      </c>
      <c r="O83" s="6">
        <v>50000</v>
      </c>
      <c r="R83" t="s">
        <v>479</v>
      </c>
      <c r="S83" t="s">
        <v>600</v>
      </c>
      <c r="T83" s="25">
        <v>15000</v>
      </c>
    </row>
    <row r="84" spans="1:20" x14ac:dyDescent="0.25">
      <c r="A84" t="s">
        <v>98</v>
      </c>
      <c r="B84" t="s">
        <v>600</v>
      </c>
      <c r="C84" t="s">
        <v>605</v>
      </c>
      <c r="D84" s="6">
        <v>178.72871003</v>
      </c>
      <c r="E84" s="11">
        <v>-9.2617944799999989</v>
      </c>
      <c r="F84" s="2">
        <v>9.2617944799999989</v>
      </c>
      <c r="G84" s="11"/>
      <c r="H84" t="s">
        <v>37</v>
      </c>
      <c r="I84" t="s">
        <v>601</v>
      </c>
      <c r="J84" s="25">
        <v>4</v>
      </c>
      <c r="M84" t="s">
        <v>549</v>
      </c>
      <c r="N84">
        <v>0</v>
      </c>
      <c r="O84" s="6">
        <v>50000</v>
      </c>
      <c r="R84" t="s">
        <v>57</v>
      </c>
      <c r="S84" t="s">
        <v>601</v>
      </c>
      <c r="T84" s="25">
        <v>15000</v>
      </c>
    </row>
    <row r="85" spans="1:20" x14ac:dyDescent="0.25">
      <c r="A85" t="s">
        <v>52</v>
      </c>
      <c r="B85" t="s">
        <v>601</v>
      </c>
      <c r="C85" t="s">
        <v>615</v>
      </c>
      <c r="D85" s="6">
        <v>175.22463185999999</v>
      </c>
      <c r="E85" s="11">
        <v>14.058416182999995</v>
      </c>
      <c r="F85" s="2">
        <v>14.058416182999995</v>
      </c>
      <c r="G85" s="11"/>
      <c r="H85" t="s">
        <v>488</v>
      </c>
      <c r="I85" t="s">
        <v>601</v>
      </c>
      <c r="J85" s="25">
        <v>4</v>
      </c>
      <c r="M85" t="s">
        <v>552</v>
      </c>
      <c r="N85">
        <v>0</v>
      </c>
      <c r="O85" s="6">
        <v>50000</v>
      </c>
      <c r="R85" t="s">
        <v>475</v>
      </c>
      <c r="S85" t="s">
        <v>600</v>
      </c>
      <c r="T85" s="25">
        <v>15000</v>
      </c>
    </row>
    <row r="86" spans="1:20" x14ac:dyDescent="0.25">
      <c r="A86" t="s">
        <v>101</v>
      </c>
      <c r="B86" t="s">
        <v>600</v>
      </c>
      <c r="C86" t="s">
        <v>630</v>
      </c>
      <c r="D86" s="6">
        <v>175.04686704900001</v>
      </c>
      <c r="E86" s="11">
        <v>17.589517520000001</v>
      </c>
      <c r="F86" s="2">
        <v>17.589517520000001</v>
      </c>
      <c r="G86" s="11"/>
      <c r="H86" t="s">
        <v>481</v>
      </c>
      <c r="I86" t="s">
        <v>600</v>
      </c>
      <c r="J86" s="25">
        <v>4</v>
      </c>
      <c r="M86" t="s">
        <v>553</v>
      </c>
      <c r="N86">
        <v>0</v>
      </c>
      <c r="O86" s="6">
        <v>50000</v>
      </c>
      <c r="R86" t="s">
        <v>54</v>
      </c>
      <c r="S86" t="s">
        <v>603</v>
      </c>
      <c r="T86" s="25">
        <v>15000</v>
      </c>
    </row>
    <row r="87" spans="1:20" x14ac:dyDescent="0.25">
      <c r="A87" t="s">
        <v>9</v>
      </c>
      <c r="B87" t="s">
        <v>602</v>
      </c>
      <c r="C87" t="s">
        <v>589</v>
      </c>
      <c r="D87" s="6">
        <v>174.93270860000007</v>
      </c>
      <c r="E87" s="11">
        <v>-25.256393879999919</v>
      </c>
      <c r="F87" s="2">
        <v>25.256393879999919</v>
      </c>
      <c r="G87" s="11"/>
      <c r="H87" t="s">
        <v>77</v>
      </c>
      <c r="I87" t="s">
        <v>601</v>
      </c>
      <c r="J87" s="25">
        <v>4</v>
      </c>
      <c r="M87" t="s">
        <v>551</v>
      </c>
      <c r="N87">
        <v>0</v>
      </c>
      <c r="O87" s="6">
        <v>50000</v>
      </c>
      <c r="R87" t="s">
        <v>68</v>
      </c>
      <c r="S87" t="s">
        <v>603</v>
      </c>
      <c r="T87" s="25">
        <v>15000</v>
      </c>
    </row>
    <row r="88" spans="1:20" x14ac:dyDescent="0.25">
      <c r="A88" t="s">
        <v>97</v>
      </c>
      <c r="B88" t="s">
        <v>600</v>
      </c>
      <c r="C88" t="s">
        <v>656</v>
      </c>
      <c r="D88" s="6">
        <v>174.80279102999998</v>
      </c>
      <c r="E88" s="11">
        <v>10.381733425999984</v>
      </c>
      <c r="F88" s="2">
        <v>10.381733425999984</v>
      </c>
      <c r="G88" s="11"/>
      <c r="H88" t="s">
        <v>478</v>
      </c>
      <c r="I88" t="s">
        <v>600</v>
      </c>
      <c r="J88" s="25">
        <v>4</v>
      </c>
      <c r="M88" t="s">
        <v>550</v>
      </c>
      <c r="N88">
        <v>0</v>
      </c>
      <c r="O88" s="6">
        <v>50000</v>
      </c>
      <c r="R88" t="s">
        <v>474</v>
      </c>
      <c r="S88" t="s">
        <v>601</v>
      </c>
      <c r="T88" s="25">
        <v>15000</v>
      </c>
    </row>
    <row r="89" spans="1:20" x14ac:dyDescent="0.25">
      <c r="A89" t="s">
        <v>44</v>
      </c>
      <c r="B89" t="s">
        <v>601</v>
      </c>
      <c r="C89" t="s">
        <v>609</v>
      </c>
      <c r="D89" s="6">
        <v>173.90256712999988</v>
      </c>
      <c r="E89" s="11">
        <v>18.551283564999896</v>
      </c>
      <c r="F89" s="2">
        <v>18.551283564999896</v>
      </c>
      <c r="G89" s="11"/>
      <c r="H89" t="s">
        <v>47</v>
      </c>
      <c r="I89" t="s">
        <v>601</v>
      </c>
      <c r="J89" s="25">
        <v>4</v>
      </c>
      <c r="M89" t="s">
        <v>545</v>
      </c>
      <c r="N89">
        <v>0</v>
      </c>
      <c r="O89" s="6">
        <v>50000</v>
      </c>
      <c r="R89" t="s">
        <v>24</v>
      </c>
      <c r="S89" t="s">
        <v>602</v>
      </c>
      <c r="T89" s="25">
        <v>15000</v>
      </c>
    </row>
    <row r="90" spans="1:20" x14ac:dyDescent="0.25">
      <c r="A90" t="s">
        <v>107</v>
      </c>
      <c r="B90" t="s">
        <v>600</v>
      </c>
      <c r="C90" t="s">
        <v>605</v>
      </c>
      <c r="D90" s="6">
        <v>173.16192009000002</v>
      </c>
      <c r="E90" s="11">
        <v>8.4711738960000069</v>
      </c>
      <c r="F90" s="2">
        <v>8.4711738960000069</v>
      </c>
      <c r="G90" s="11"/>
      <c r="H90" t="s">
        <v>485</v>
      </c>
      <c r="I90" t="s">
        <v>600</v>
      </c>
      <c r="J90" s="25">
        <v>4</v>
      </c>
      <c r="M90" t="s">
        <v>604</v>
      </c>
      <c r="O90" s="6">
        <v>1820685</v>
      </c>
      <c r="R90" t="s">
        <v>119</v>
      </c>
      <c r="S90" t="s">
        <v>600</v>
      </c>
      <c r="T90" s="25">
        <v>15000</v>
      </c>
    </row>
    <row r="91" spans="1:20" x14ac:dyDescent="0.25">
      <c r="A91" t="s">
        <v>483</v>
      </c>
      <c r="B91" t="s">
        <v>601</v>
      </c>
      <c r="C91" t="s">
        <v>605</v>
      </c>
      <c r="D91" s="6">
        <v>172.18535918000003</v>
      </c>
      <c r="E91" s="11">
        <v>0</v>
      </c>
      <c r="F91" s="2">
        <v>0</v>
      </c>
      <c r="G91" s="11"/>
      <c r="H91" t="s">
        <v>25</v>
      </c>
      <c r="I91" t="s">
        <v>602</v>
      </c>
      <c r="J91" s="25">
        <v>3</v>
      </c>
      <c r="R91" t="s">
        <v>43</v>
      </c>
      <c r="S91" t="s">
        <v>601</v>
      </c>
      <c r="T91" s="25">
        <v>15000</v>
      </c>
    </row>
    <row r="92" spans="1:20" x14ac:dyDescent="0.25">
      <c r="A92" t="s">
        <v>89</v>
      </c>
      <c r="B92" t="s">
        <v>601</v>
      </c>
      <c r="C92" t="s">
        <v>628</v>
      </c>
      <c r="D92" s="6">
        <v>171.59720506100001</v>
      </c>
      <c r="E92" s="11">
        <v>24.946947148</v>
      </c>
      <c r="F92" s="2">
        <v>24.946947148</v>
      </c>
      <c r="G92" s="11"/>
      <c r="H92" t="s">
        <v>13</v>
      </c>
      <c r="I92" t="s">
        <v>602</v>
      </c>
      <c r="J92" s="25">
        <v>3</v>
      </c>
      <c r="R92" t="s">
        <v>47</v>
      </c>
      <c r="S92" t="s">
        <v>601</v>
      </c>
      <c r="T92" s="25">
        <v>15000</v>
      </c>
    </row>
    <row r="93" spans="1:20" x14ac:dyDescent="0.25">
      <c r="A93" t="s">
        <v>475</v>
      </c>
      <c r="B93" t="s">
        <v>600</v>
      </c>
      <c r="C93" t="s">
        <v>605</v>
      </c>
      <c r="D93" s="6">
        <v>170.069000902</v>
      </c>
      <c r="E93" s="11">
        <v>0</v>
      </c>
      <c r="F93" s="2">
        <v>0</v>
      </c>
      <c r="G93" s="11"/>
      <c r="H93" t="s">
        <v>108</v>
      </c>
      <c r="I93" t="s">
        <v>600</v>
      </c>
      <c r="J93" s="25">
        <v>3</v>
      </c>
      <c r="R93" t="s">
        <v>481</v>
      </c>
      <c r="S93" t="s">
        <v>600</v>
      </c>
      <c r="T93" s="25">
        <v>15000</v>
      </c>
    </row>
    <row r="94" spans="1:20" x14ac:dyDescent="0.25">
      <c r="A94" t="s">
        <v>48</v>
      </c>
      <c r="B94" t="s">
        <v>601</v>
      </c>
      <c r="C94" t="s">
        <v>605</v>
      </c>
      <c r="D94" s="6">
        <v>169.46789809100002</v>
      </c>
      <c r="E94" s="11">
        <v>4.4983369520000061</v>
      </c>
      <c r="F94" s="2">
        <v>4.4983369520000061</v>
      </c>
      <c r="G94" s="11"/>
      <c r="H94" t="s">
        <v>489</v>
      </c>
      <c r="I94" t="s">
        <v>600</v>
      </c>
      <c r="J94" s="25">
        <v>3</v>
      </c>
      <c r="R94" t="s">
        <v>242</v>
      </c>
      <c r="S94" t="s">
        <v>602</v>
      </c>
      <c r="T94" s="25">
        <v>15000</v>
      </c>
    </row>
    <row r="95" spans="1:20" x14ac:dyDescent="0.25">
      <c r="A95" t="s">
        <v>85</v>
      </c>
      <c r="B95" t="s">
        <v>603</v>
      </c>
      <c r="C95" t="s">
        <v>605</v>
      </c>
      <c r="D95" s="6">
        <v>168.423984262</v>
      </c>
      <c r="E95" s="11">
        <v>7.8119921309999931</v>
      </c>
      <c r="F95" s="2">
        <v>7.8119921309999931</v>
      </c>
      <c r="G95" s="11"/>
      <c r="H95" t="s">
        <v>484</v>
      </c>
      <c r="I95" t="s">
        <v>600</v>
      </c>
      <c r="J95" s="25">
        <v>3</v>
      </c>
      <c r="R95" t="s">
        <v>493</v>
      </c>
      <c r="S95" t="s">
        <v>603</v>
      </c>
      <c r="T95" s="25">
        <v>15000</v>
      </c>
    </row>
    <row r="96" spans="1:20" x14ac:dyDescent="0.25">
      <c r="A96" t="s">
        <v>478</v>
      </c>
      <c r="B96" t="s">
        <v>600</v>
      </c>
      <c r="C96" t="s">
        <v>605</v>
      </c>
      <c r="D96" s="6">
        <v>167.03192422000001</v>
      </c>
      <c r="E96" s="11">
        <v>0</v>
      </c>
      <c r="F96" s="2">
        <v>0</v>
      </c>
      <c r="G96" s="11"/>
      <c r="H96" t="s">
        <v>73</v>
      </c>
      <c r="I96" t="s">
        <v>601</v>
      </c>
      <c r="J96" s="25">
        <v>3</v>
      </c>
      <c r="R96" t="s">
        <v>62</v>
      </c>
      <c r="S96" t="s">
        <v>601</v>
      </c>
      <c r="T96" s="25">
        <v>15000</v>
      </c>
    </row>
    <row r="97" spans="1:20" x14ac:dyDescent="0.25">
      <c r="A97" t="s">
        <v>57</v>
      </c>
      <c r="B97" t="s">
        <v>601</v>
      </c>
      <c r="C97" t="s">
        <v>622</v>
      </c>
      <c r="D97" s="6">
        <v>166.12197927599999</v>
      </c>
      <c r="E97" s="11">
        <v>11.410989637999997</v>
      </c>
      <c r="F97" s="2">
        <v>11.410989637999997</v>
      </c>
      <c r="G97" s="11"/>
      <c r="H97" t="s">
        <v>28</v>
      </c>
      <c r="I97" t="s">
        <v>602</v>
      </c>
      <c r="J97" s="25">
        <v>3</v>
      </c>
      <c r="R97" t="s">
        <v>108</v>
      </c>
      <c r="S97" t="s">
        <v>600</v>
      </c>
      <c r="T97" s="25">
        <v>15000</v>
      </c>
    </row>
    <row r="98" spans="1:20" x14ac:dyDescent="0.25">
      <c r="A98" t="s">
        <v>90</v>
      </c>
      <c r="B98" t="s">
        <v>600</v>
      </c>
      <c r="C98" t="s">
        <v>605</v>
      </c>
      <c r="D98" s="6">
        <v>165.90952320400001</v>
      </c>
      <c r="E98" s="11">
        <v>7.3165175060000003</v>
      </c>
      <c r="F98" s="2">
        <v>7.3165175060000003</v>
      </c>
      <c r="G98" s="11"/>
      <c r="H98" t="s">
        <v>80</v>
      </c>
      <c r="I98" t="s">
        <v>601</v>
      </c>
      <c r="J98" s="25">
        <v>3</v>
      </c>
      <c r="R98" t="s">
        <v>49</v>
      </c>
      <c r="S98" t="s">
        <v>601</v>
      </c>
      <c r="T98" s="25">
        <v>15000</v>
      </c>
    </row>
    <row r="99" spans="1:20" x14ac:dyDescent="0.25">
      <c r="A99" t="s">
        <v>72</v>
      </c>
      <c r="B99" t="s">
        <v>603</v>
      </c>
      <c r="C99" t="s">
        <v>605</v>
      </c>
      <c r="D99" s="6">
        <v>165.5550946916</v>
      </c>
      <c r="E99" s="11">
        <v>-2.0248598050000117</v>
      </c>
      <c r="F99" s="2">
        <v>2.0248598050000117</v>
      </c>
      <c r="G99" s="11"/>
      <c r="H99" t="s">
        <v>91</v>
      </c>
      <c r="I99" t="s">
        <v>600</v>
      </c>
      <c r="J99" s="25">
        <v>3</v>
      </c>
      <c r="R99" t="s">
        <v>492</v>
      </c>
      <c r="S99" t="s">
        <v>600</v>
      </c>
      <c r="T99" s="25">
        <v>15000</v>
      </c>
    </row>
    <row r="100" spans="1:20" x14ac:dyDescent="0.25">
      <c r="A100" t="s">
        <v>67</v>
      </c>
      <c r="B100" t="s">
        <v>601</v>
      </c>
      <c r="C100" t="s">
        <v>620</v>
      </c>
      <c r="D100" s="6">
        <v>164.73678053399999</v>
      </c>
      <c r="E100" s="11">
        <v>19.223648768</v>
      </c>
      <c r="F100" s="2">
        <v>19.223648768</v>
      </c>
      <c r="G100" s="11"/>
      <c r="H100" t="s">
        <v>120</v>
      </c>
      <c r="I100" t="s">
        <v>600</v>
      </c>
      <c r="J100" s="25">
        <v>2</v>
      </c>
      <c r="R100" t="s">
        <v>87</v>
      </c>
      <c r="S100" t="s">
        <v>601</v>
      </c>
      <c r="T100" s="25">
        <v>15000</v>
      </c>
    </row>
    <row r="101" spans="1:20" x14ac:dyDescent="0.25">
      <c r="A101" t="s">
        <v>68</v>
      </c>
      <c r="B101" t="s">
        <v>603</v>
      </c>
      <c r="C101" t="s">
        <v>605</v>
      </c>
      <c r="D101" s="6">
        <v>164.03201714200003</v>
      </c>
      <c r="E101" s="11">
        <v>-3.6339914290000035</v>
      </c>
      <c r="F101" s="2">
        <v>3.6339914290000035</v>
      </c>
      <c r="G101" s="11"/>
      <c r="H101" t="s">
        <v>133</v>
      </c>
      <c r="I101" t="s">
        <v>603</v>
      </c>
      <c r="J101" s="25">
        <v>2</v>
      </c>
      <c r="R101" t="s">
        <v>26</v>
      </c>
      <c r="S101" t="s">
        <v>602</v>
      </c>
      <c r="T101" s="25">
        <v>15000</v>
      </c>
    </row>
    <row r="102" spans="1:20" x14ac:dyDescent="0.25">
      <c r="A102" t="s">
        <v>503</v>
      </c>
      <c r="B102" t="s">
        <v>600</v>
      </c>
      <c r="C102" t="s">
        <v>605</v>
      </c>
      <c r="D102" s="6">
        <v>162.83877800100001</v>
      </c>
      <c r="E102" s="11">
        <v>0</v>
      </c>
      <c r="F102" s="2">
        <v>0</v>
      </c>
      <c r="G102" s="11"/>
      <c r="H102" t="s">
        <v>39</v>
      </c>
      <c r="I102" t="s">
        <v>601</v>
      </c>
      <c r="J102" s="25">
        <v>2</v>
      </c>
      <c r="R102" t="s">
        <v>145</v>
      </c>
      <c r="S102" t="s">
        <v>601</v>
      </c>
      <c r="T102" s="25">
        <v>15000</v>
      </c>
    </row>
    <row r="103" spans="1:20" x14ac:dyDescent="0.25">
      <c r="A103" t="s">
        <v>482</v>
      </c>
      <c r="B103" t="s">
        <v>600</v>
      </c>
      <c r="C103" t="s">
        <v>605</v>
      </c>
      <c r="D103" s="6">
        <v>162.46186639699999</v>
      </c>
      <c r="E103" s="11">
        <v>0</v>
      </c>
      <c r="F103" s="2">
        <v>0</v>
      </c>
      <c r="G103" s="11"/>
      <c r="H103" t="s">
        <v>27</v>
      </c>
      <c r="I103" t="s">
        <v>602</v>
      </c>
      <c r="J103" s="25">
        <v>2</v>
      </c>
      <c r="R103" t="s">
        <v>30</v>
      </c>
      <c r="S103" t="s">
        <v>602</v>
      </c>
      <c r="T103" s="25">
        <v>15000</v>
      </c>
    </row>
    <row r="104" spans="1:20" x14ac:dyDescent="0.25">
      <c r="A104" t="s">
        <v>479</v>
      </c>
      <c r="B104" t="s">
        <v>600</v>
      </c>
      <c r="C104" t="s">
        <v>605</v>
      </c>
      <c r="D104" s="6">
        <v>161.64802160100001</v>
      </c>
      <c r="E104" s="11">
        <v>0</v>
      </c>
      <c r="F104" s="2">
        <v>0</v>
      </c>
      <c r="G104" s="11"/>
      <c r="H104" t="s">
        <v>493</v>
      </c>
      <c r="I104" t="s">
        <v>603</v>
      </c>
      <c r="J104" s="25">
        <v>2</v>
      </c>
      <c r="R104" t="s">
        <v>44</v>
      </c>
      <c r="S104" t="s">
        <v>601</v>
      </c>
      <c r="T104" s="25">
        <v>15000</v>
      </c>
    </row>
    <row r="105" spans="1:20" x14ac:dyDescent="0.25">
      <c r="A105" t="s">
        <v>100</v>
      </c>
      <c r="B105" t="s">
        <v>600</v>
      </c>
      <c r="C105" t="s">
        <v>605</v>
      </c>
      <c r="D105" s="6">
        <v>159.9376301640001</v>
      </c>
      <c r="E105" s="11">
        <v>-7.4969835819999364</v>
      </c>
      <c r="F105" s="2">
        <v>7.4969835819999364</v>
      </c>
      <c r="G105" s="11"/>
      <c r="H105" t="s">
        <v>500</v>
      </c>
      <c r="I105" t="s">
        <v>601</v>
      </c>
      <c r="J105" s="25">
        <v>2</v>
      </c>
      <c r="R105" t="s">
        <v>39</v>
      </c>
      <c r="S105" t="s">
        <v>601</v>
      </c>
      <c r="T105" s="25">
        <v>15000</v>
      </c>
    </row>
    <row r="106" spans="1:20" x14ac:dyDescent="0.25">
      <c r="A106" t="s">
        <v>38</v>
      </c>
      <c r="B106" t="s">
        <v>601</v>
      </c>
      <c r="C106" t="s">
        <v>605</v>
      </c>
      <c r="D106" s="6">
        <v>158.96523264000007</v>
      </c>
      <c r="E106" s="11">
        <v>1.0852543600000502</v>
      </c>
      <c r="F106" s="2">
        <v>1.0852543600000502</v>
      </c>
      <c r="G106" s="11"/>
      <c r="H106" t="s">
        <v>49</v>
      </c>
      <c r="I106" t="s">
        <v>601</v>
      </c>
      <c r="J106" s="25">
        <v>2</v>
      </c>
      <c r="R106" t="s">
        <v>80</v>
      </c>
      <c r="S106" t="s">
        <v>601</v>
      </c>
      <c r="T106" s="25">
        <v>20000</v>
      </c>
    </row>
    <row r="107" spans="1:20" x14ac:dyDescent="0.25">
      <c r="A107" t="s">
        <v>77</v>
      </c>
      <c r="B107" t="s">
        <v>601</v>
      </c>
      <c r="C107" t="s">
        <v>612</v>
      </c>
      <c r="D107" s="6">
        <v>158.89887547999996</v>
      </c>
      <c r="E107" s="11">
        <v>11.71824597999999</v>
      </c>
      <c r="F107" s="2">
        <v>11.71824597999999</v>
      </c>
      <c r="G107" s="11"/>
      <c r="H107" t="s">
        <v>90</v>
      </c>
      <c r="I107" t="s">
        <v>600</v>
      </c>
      <c r="J107" s="25">
        <v>2</v>
      </c>
      <c r="R107" t="s">
        <v>110</v>
      </c>
      <c r="S107" t="s">
        <v>601</v>
      </c>
      <c r="T107" s="25">
        <v>20000</v>
      </c>
    </row>
    <row r="108" spans="1:20" x14ac:dyDescent="0.25">
      <c r="A108" t="s">
        <v>80</v>
      </c>
      <c r="B108" t="s">
        <v>601</v>
      </c>
      <c r="C108" t="s">
        <v>623</v>
      </c>
      <c r="D108" s="6">
        <v>157.5405314439999</v>
      </c>
      <c r="E108" s="11">
        <v>16.777942611999901</v>
      </c>
      <c r="F108" s="2">
        <v>16.777942611999901</v>
      </c>
      <c r="G108" s="11"/>
      <c r="H108" t="s">
        <v>119</v>
      </c>
      <c r="I108" t="s">
        <v>600</v>
      </c>
      <c r="J108" s="25">
        <v>2</v>
      </c>
      <c r="R108" t="s">
        <v>161</v>
      </c>
      <c r="S108" t="s">
        <v>603</v>
      </c>
      <c r="T108" s="25">
        <v>20000</v>
      </c>
    </row>
    <row r="109" spans="1:20" x14ac:dyDescent="0.25">
      <c r="A109" t="s">
        <v>51</v>
      </c>
      <c r="B109" t="s">
        <v>601</v>
      </c>
      <c r="C109" t="s">
        <v>614</v>
      </c>
      <c r="D109" s="6">
        <v>157.28082932799984</v>
      </c>
      <c r="E109" s="11">
        <v>22.144641913999841</v>
      </c>
      <c r="F109" s="2">
        <v>22.144641913999841</v>
      </c>
      <c r="G109" s="11"/>
      <c r="H109" t="s">
        <v>143</v>
      </c>
      <c r="I109" t="s">
        <v>600</v>
      </c>
      <c r="J109" s="25">
        <v>2</v>
      </c>
      <c r="R109" t="s">
        <v>118</v>
      </c>
      <c r="S109" t="s">
        <v>600</v>
      </c>
      <c r="T109" s="25">
        <v>20000</v>
      </c>
    </row>
    <row r="110" spans="1:20" x14ac:dyDescent="0.25">
      <c r="A110" t="s">
        <v>91</v>
      </c>
      <c r="B110" t="s">
        <v>600</v>
      </c>
      <c r="C110" t="s">
        <v>605</v>
      </c>
      <c r="D110" s="6">
        <v>156.18969279899997</v>
      </c>
      <c r="E110" s="11">
        <v>6.3933585399999906</v>
      </c>
      <c r="F110" s="2">
        <v>6.3933585399999906</v>
      </c>
      <c r="G110" s="11"/>
      <c r="H110" t="s">
        <v>486</v>
      </c>
      <c r="I110" t="s">
        <v>601</v>
      </c>
      <c r="J110" s="25">
        <v>2</v>
      </c>
      <c r="R110" t="s">
        <v>127</v>
      </c>
      <c r="S110" t="s">
        <v>601</v>
      </c>
      <c r="T110" s="25">
        <v>20000</v>
      </c>
    </row>
    <row r="111" spans="1:20" x14ac:dyDescent="0.25">
      <c r="A111" t="s">
        <v>37</v>
      </c>
      <c r="B111" t="s">
        <v>601</v>
      </c>
      <c r="C111" t="s">
        <v>605</v>
      </c>
      <c r="D111" s="6">
        <v>153.97519065900002</v>
      </c>
      <c r="E111" s="11">
        <v>2.9440326519999966</v>
      </c>
      <c r="F111" s="2">
        <v>2.9440326519999966</v>
      </c>
      <c r="G111" s="11"/>
      <c r="H111" t="s">
        <v>36</v>
      </c>
      <c r="I111" t="s">
        <v>603</v>
      </c>
      <c r="J111" s="25">
        <v>2</v>
      </c>
      <c r="R111" t="s">
        <v>486</v>
      </c>
      <c r="S111" t="s">
        <v>601</v>
      </c>
      <c r="T111" s="25">
        <v>20000</v>
      </c>
    </row>
    <row r="112" spans="1:20" x14ac:dyDescent="0.25">
      <c r="A112" t="s">
        <v>488</v>
      </c>
      <c r="B112" t="s">
        <v>601</v>
      </c>
      <c r="C112" t="s">
        <v>605</v>
      </c>
      <c r="D112" s="6">
        <v>153.60966797899999</v>
      </c>
      <c r="E112" s="11">
        <v>0</v>
      </c>
      <c r="F112" s="2">
        <v>0</v>
      </c>
      <c r="G112" s="11"/>
      <c r="H112" t="s">
        <v>70</v>
      </c>
      <c r="I112" t="s">
        <v>603</v>
      </c>
      <c r="J112" s="25">
        <v>2</v>
      </c>
      <c r="R112" t="s">
        <v>143</v>
      </c>
      <c r="S112" t="s">
        <v>600</v>
      </c>
      <c r="T112" s="25">
        <v>20000</v>
      </c>
    </row>
    <row r="113" spans="1:20" x14ac:dyDescent="0.25">
      <c r="A113" t="s">
        <v>485</v>
      </c>
      <c r="B113" t="s">
        <v>600</v>
      </c>
      <c r="C113" t="s">
        <v>605</v>
      </c>
      <c r="D113" s="6">
        <v>153.109591051</v>
      </c>
      <c r="E113" s="11">
        <v>0</v>
      </c>
      <c r="F113" s="2">
        <v>0</v>
      </c>
      <c r="G113" s="11"/>
      <c r="H113" t="s">
        <v>41</v>
      </c>
      <c r="I113" t="s">
        <v>603</v>
      </c>
      <c r="J113" s="25">
        <v>2</v>
      </c>
      <c r="R113" t="s">
        <v>20</v>
      </c>
      <c r="S113" t="s">
        <v>602</v>
      </c>
      <c r="T113" s="25">
        <v>20000</v>
      </c>
    </row>
    <row r="114" spans="1:20" x14ac:dyDescent="0.25">
      <c r="A114" t="s">
        <v>49</v>
      </c>
      <c r="B114" t="s">
        <v>601</v>
      </c>
      <c r="C114" t="s">
        <v>612</v>
      </c>
      <c r="D114" s="6">
        <v>151.65387754700001</v>
      </c>
      <c r="E114" s="11">
        <v>11.886593255999991</v>
      </c>
      <c r="F114" s="2">
        <v>11.886593255999991</v>
      </c>
      <c r="G114" s="11"/>
      <c r="H114" t="s">
        <v>477</v>
      </c>
      <c r="I114" t="s">
        <v>600</v>
      </c>
      <c r="J114" s="25">
        <v>2</v>
      </c>
      <c r="R114" t="s">
        <v>11</v>
      </c>
      <c r="S114" t="s">
        <v>602</v>
      </c>
      <c r="T114" s="25">
        <v>20000</v>
      </c>
    </row>
    <row r="115" spans="1:20" x14ac:dyDescent="0.25">
      <c r="A115" t="s">
        <v>73</v>
      </c>
      <c r="B115" t="s">
        <v>601</v>
      </c>
      <c r="C115" t="s">
        <v>605</v>
      </c>
      <c r="D115" s="6">
        <v>151.618469855</v>
      </c>
      <c r="E115" s="11">
        <v>9.24255507999999</v>
      </c>
      <c r="F115" s="2">
        <v>9.24255507999999</v>
      </c>
      <c r="G115" s="11"/>
      <c r="H115" t="s">
        <v>487</v>
      </c>
      <c r="I115" t="s">
        <v>601</v>
      </c>
      <c r="J115" s="25">
        <v>2</v>
      </c>
      <c r="R115" t="s">
        <v>67</v>
      </c>
      <c r="S115" t="s">
        <v>601</v>
      </c>
      <c r="T115" s="25">
        <v>20000</v>
      </c>
    </row>
    <row r="116" spans="1:20" x14ac:dyDescent="0.25">
      <c r="A116" t="s">
        <v>481</v>
      </c>
      <c r="B116" t="s">
        <v>600</v>
      </c>
      <c r="C116" t="s">
        <v>605</v>
      </c>
      <c r="D116" s="6">
        <v>150.88718279800003</v>
      </c>
      <c r="E116" s="11">
        <v>0</v>
      </c>
      <c r="F116" s="2">
        <v>0</v>
      </c>
      <c r="G116" s="11"/>
      <c r="H116" t="s">
        <v>152</v>
      </c>
      <c r="I116" t="s">
        <v>602</v>
      </c>
      <c r="J116" s="25">
        <v>2</v>
      </c>
      <c r="R116" t="s">
        <v>70</v>
      </c>
      <c r="S116" t="s">
        <v>603</v>
      </c>
      <c r="T116" s="25">
        <v>20000</v>
      </c>
    </row>
    <row r="117" spans="1:20" x14ac:dyDescent="0.25">
      <c r="A117" t="s">
        <v>54</v>
      </c>
      <c r="B117" t="s">
        <v>603</v>
      </c>
      <c r="C117" t="s">
        <v>605</v>
      </c>
      <c r="D117" s="6">
        <v>150.16904671999998</v>
      </c>
      <c r="E117" s="11">
        <v>6.184523359999992</v>
      </c>
      <c r="F117" s="2">
        <v>6.184523359999992</v>
      </c>
      <c r="G117" s="11"/>
      <c r="H117" t="s">
        <v>127</v>
      </c>
      <c r="I117" t="s">
        <v>601</v>
      </c>
      <c r="J117" s="25">
        <v>2</v>
      </c>
      <c r="R117" t="s">
        <v>247</v>
      </c>
      <c r="S117" t="s">
        <v>602</v>
      </c>
      <c r="T117" s="25">
        <v>20000</v>
      </c>
    </row>
    <row r="118" spans="1:20" x14ac:dyDescent="0.25">
      <c r="A118" t="s">
        <v>500</v>
      </c>
      <c r="B118" t="s">
        <v>601</v>
      </c>
      <c r="C118" t="s">
        <v>605</v>
      </c>
      <c r="D118" s="6">
        <v>149.33788236299998</v>
      </c>
      <c r="E118" s="11">
        <v>8.2941497939999955</v>
      </c>
      <c r="F118" s="2">
        <v>8.2941497939999955</v>
      </c>
      <c r="G118" s="11"/>
      <c r="H118" t="s">
        <v>116</v>
      </c>
      <c r="I118" t="s">
        <v>600</v>
      </c>
      <c r="J118" s="25">
        <v>2</v>
      </c>
      <c r="R118" t="s">
        <v>518</v>
      </c>
      <c r="S118" t="s">
        <v>602</v>
      </c>
      <c r="T118" s="25">
        <v>20000</v>
      </c>
    </row>
    <row r="119" spans="1:20" x14ac:dyDescent="0.25">
      <c r="A119" t="s">
        <v>484</v>
      </c>
      <c r="B119" t="s">
        <v>600</v>
      </c>
      <c r="C119" t="s">
        <v>605</v>
      </c>
      <c r="D119" s="6">
        <v>147.89976250699999</v>
      </c>
      <c r="E119" s="11">
        <v>0</v>
      </c>
      <c r="F119" s="2">
        <v>0</v>
      </c>
      <c r="G119" s="11"/>
      <c r="H119" t="s">
        <v>118</v>
      </c>
      <c r="I119" t="s">
        <v>600</v>
      </c>
      <c r="J119" s="25">
        <v>2</v>
      </c>
      <c r="R119" t="s">
        <v>10</v>
      </c>
      <c r="S119" t="s">
        <v>602</v>
      </c>
      <c r="T119" s="25">
        <v>20000</v>
      </c>
    </row>
    <row r="120" spans="1:20" x14ac:dyDescent="0.25">
      <c r="A120" t="s">
        <v>489</v>
      </c>
      <c r="B120" t="s">
        <v>600</v>
      </c>
      <c r="C120" t="s">
        <v>605</v>
      </c>
      <c r="D120" s="6">
        <v>147.75298108500002</v>
      </c>
      <c r="E120" s="11">
        <v>0</v>
      </c>
      <c r="F120" s="2">
        <v>0</v>
      </c>
      <c r="G120" s="11"/>
      <c r="H120" t="s">
        <v>109</v>
      </c>
      <c r="I120" t="s">
        <v>600</v>
      </c>
      <c r="J120" s="25">
        <v>2</v>
      </c>
      <c r="R120" t="s">
        <v>14</v>
      </c>
      <c r="S120" t="s">
        <v>602</v>
      </c>
      <c r="T120" s="25">
        <v>20000</v>
      </c>
    </row>
    <row r="121" spans="1:20" x14ac:dyDescent="0.25">
      <c r="A121" t="s">
        <v>126</v>
      </c>
      <c r="B121" t="s">
        <v>601</v>
      </c>
      <c r="C121" t="s">
        <v>605</v>
      </c>
      <c r="D121" s="6">
        <v>146.47733818600003</v>
      </c>
      <c r="E121" s="11">
        <v>0</v>
      </c>
      <c r="F121" s="2">
        <v>0</v>
      </c>
      <c r="G121" s="11"/>
      <c r="H121" t="s">
        <v>492</v>
      </c>
      <c r="I121" t="s">
        <v>600</v>
      </c>
      <c r="J121" s="25">
        <v>2</v>
      </c>
      <c r="R121" t="s">
        <v>36</v>
      </c>
      <c r="S121" t="s">
        <v>603</v>
      </c>
      <c r="T121" s="25">
        <v>20000</v>
      </c>
    </row>
    <row r="122" spans="1:20" x14ac:dyDescent="0.25">
      <c r="A122" t="s">
        <v>120</v>
      </c>
      <c r="B122" t="s">
        <v>600</v>
      </c>
      <c r="C122" t="s">
        <v>605</v>
      </c>
      <c r="D122" s="6">
        <v>146.223357647</v>
      </c>
      <c r="E122" s="11">
        <v>0</v>
      </c>
      <c r="F122" s="2">
        <v>0</v>
      </c>
      <c r="G122" s="11"/>
      <c r="H122" t="s">
        <v>101</v>
      </c>
      <c r="I122" t="s">
        <v>600</v>
      </c>
      <c r="J122" s="25">
        <v>2</v>
      </c>
      <c r="R122" t="s">
        <v>15</v>
      </c>
      <c r="S122" t="s">
        <v>602</v>
      </c>
      <c r="T122" s="25">
        <v>20000</v>
      </c>
    </row>
    <row r="123" spans="1:20" x14ac:dyDescent="0.25">
      <c r="A123" t="s">
        <v>486</v>
      </c>
      <c r="B123" t="s">
        <v>601</v>
      </c>
      <c r="C123" t="s">
        <v>605</v>
      </c>
      <c r="D123" s="6">
        <v>146.04137725800001</v>
      </c>
      <c r="E123" s="11">
        <v>0</v>
      </c>
      <c r="F123" s="2">
        <v>0</v>
      </c>
      <c r="G123" s="11"/>
      <c r="H123" t="s">
        <v>21</v>
      </c>
      <c r="I123" t="s">
        <v>602</v>
      </c>
      <c r="J123" s="25">
        <v>2</v>
      </c>
      <c r="R123" t="s">
        <v>89</v>
      </c>
      <c r="S123" t="s">
        <v>601</v>
      </c>
      <c r="T123" s="25">
        <v>20000</v>
      </c>
    </row>
    <row r="124" spans="1:20" x14ac:dyDescent="0.25">
      <c r="A124" t="s">
        <v>138</v>
      </c>
      <c r="B124" t="s">
        <v>601</v>
      </c>
      <c r="C124" t="s">
        <v>605</v>
      </c>
      <c r="D124" s="6">
        <v>144.80697690900001</v>
      </c>
      <c r="E124" s="11">
        <v>0</v>
      </c>
      <c r="F124" s="2">
        <v>0</v>
      </c>
      <c r="G124" s="11"/>
      <c r="H124" t="s">
        <v>17</v>
      </c>
      <c r="I124" t="s">
        <v>602</v>
      </c>
      <c r="J124" s="25">
        <v>2</v>
      </c>
      <c r="R124" t="s">
        <v>128</v>
      </c>
      <c r="S124" t="s">
        <v>600</v>
      </c>
      <c r="T124" s="25">
        <v>20000</v>
      </c>
    </row>
    <row r="125" spans="1:20" x14ac:dyDescent="0.25">
      <c r="A125" t="s">
        <v>108</v>
      </c>
      <c r="B125" t="s">
        <v>600</v>
      </c>
      <c r="C125" t="s">
        <v>605</v>
      </c>
      <c r="D125" s="6">
        <v>144.38533186399999</v>
      </c>
      <c r="E125" s="11">
        <v>-7.9085430999999904</v>
      </c>
      <c r="F125" s="2">
        <v>7.9085430999999904</v>
      </c>
      <c r="G125" s="11"/>
      <c r="H125" t="s">
        <v>156</v>
      </c>
      <c r="I125" t="s">
        <v>603</v>
      </c>
      <c r="J125" s="25">
        <v>1</v>
      </c>
      <c r="R125" t="s">
        <v>485</v>
      </c>
      <c r="S125" t="s">
        <v>600</v>
      </c>
      <c r="T125" s="25">
        <v>20000</v>
      </c>
    </row>
    <row r="126" spans="1:20" x14ac:dyDescent="0.25">
      <c r="A126" t="s">
        <v>45</v>
      </c>
      <c r="B126" t="s">
        <v>603</v>
      </c>
      <c r="C126" t="s">
        <v>605</v>
      </c>
      <c r="D126" s="6">
        <v>142.24301697500002</v>
      </c>
      <c r="E126" s="11">
        <v>5.1291100000000061</v>
      </c>
      <c r="F126" s="2">
        <v>5.1291100000000061</v>
      </c>
      <c r="G126" s="11"/>
      <c r="H126" t="s">
        <v>137</v>
      </c>
      <c r="I126" t="s">
        <v>601</v>
      </c>
      <c r="J126" s="25">
        <v>1</v>
      </c>
      <c r="R126" t="s">
        <v>33</v>
      </c>
      <c r="S126" t="s">
        <v>602</v>
      </c>
      <c r="T126" s="25">
        <v>20000</v>
      </c>
    </row>
    <row r="127" spans="1:20" x14ac:dyDescent="0.25">
      <c r="A127" t="s">
        <v>476</v>
      </c>
      <c r="B127" t="s">
        <v>603</v>
      </c>
      <c r="C127" t="s">
        <v>605</v>
      </c>
      <c r="D127" s="6">
        <v>142.06654452000001</v>
      </c>
      <c r="E127" s="11">
        <v>0</v>
      </c>
      <c r="F127" s="2">
        <v>0</v>
      </c>
      <c r="G127" s="11"/>
      <c r="H127" t="s">
        <v>132</v>
      </c>
      <c r="I127" t="s">
        <v>600</v>
      </c>
      <c r="J127" s="25">
        <v>1</v>
      </c>
      <c r="R127" t="s">
        <v>554</v>
      </c>
      <c r="S127">
        <v>0</v>
      </c>
      <c r="T127" s="25">
        <v>20000</v>
      </c>
    </row>
    <row r="128" spans="1:20" x14ac:dyDescent="0.25">
      <c r="A128" t="s">
        <v>492</v>
      </c>
      <c r="B128" t="s">
        <v>600</v>
      </c>
      <c r="C128" t="s">
        <v>605</v>
      </c>
      <c r="D128" s="6">
        <v>140.97227449100001</v>
      </c>
      <c r="E128" s="11">
        <v>0</v>
      </c>
      <c r="F128" s="2">
        <v>0</v>
      </c>
      <c r="G128" s="11"/>
      <c r="H128" t="s">
        <v>126</v>
      </c>
      <c r="I128" t="s">
        <v>601</v>
      </c>
      <c r="J128" s="25">
        <v>1</v>
      </c>
      <c r="R128" t="s">
        <v>86</v>
      </c>
      <c r="S128" t="s">
        <v>601</v>
      </c>
      <c r="T128" s="25">
        <v>20000</v>
      </c>
    </row>
    <row r="129" spans="1:20" x14ac:dyDescent="0.25">
      <c r="A129" t="s">
        <v>480</v>
      </c>
      <c r="B129" t="s">
        <v>603</v>
      </c>
      <c r="C129" t="s">
        <v>605</v>
      </c>
      <c r="D129" s="6">
        <v>140.750670466</v>
      </c>
      <c r="E129" s="11">
        <v>0</v>
      </c>
      <c r="F129" s="2">
        <v>0</v>
      </c>
      <c r="G129" s="11"/>
      <c r="H129" t="s">
        <v>24</v>
      </c>
      <c r="I129" t="s">
        <v>602</v>
      </c>
      <c r="J129" s="25">
        <v>1</v>
      </c>
      <c r="R129" t="s">
        <v>138</v>
      </c>
      <c r="S129" t="s">
        <v>601</v>
      </c>
      <c r="T129" s="25">
        <v>20000</v>
      </c>
    </row>
    <row r="130" spans="1:20" x14ac:dyDescent="0.25">
      <c r="A130" t="s">
        <v>36</v>
      </c>
      <c r="B130" t="s">
        <v>603</v>
      </c>
      <c r="C130" t="s">
        <v>605</v>
      </c>
      <c r="D130" s="6">
        <v>139.63214958600003</v>
      </c>
      <c r="E130" s="11">
        <v>0.66607479299999639</v>
      </c>
      <c r="F130" s="2">
        <v>0.66607479299999639</v>
      </c>
      <c r="G130" s="11"/>
      <c r="H130" t="s">
        <v>148</v>
      </c>
      <c r="I130" t="s">
        <v>601</v>
      </c>
      <c r="J130" s="25">
        <v>1</v>
      </c>
      <c r="R130" t="s">
        <v>23</v>
      </c>
      <c r="S130" t="s">
        <v>602</v>
      </c>
      <c r="T130" s="25">
        <v>20000</v>
      </c>
    </row>
    <row r="131" spans="1:20" x14ac:dyDescent="0.25">
      <c r="A131" t="s">
        <v>127</v>
      </c>
      <c r="B131" t="s">
        <v>601</v>
      </c>
      <c r="C131" t="s">
        <v>605</v>
      </c>
      <c r="D131" s="6">
        <v>139.0657328094</v>
      </c>
      <c r="E131" s="11">
        <v>0</v>
      </c>
      <c r="F131" s="2">
        <v>0</v>
      </c>
      <c r="G131" s="11"/>
      <c r="H131" t="s">
        <v>56</v>
      </c>
      <c r="I131" t="s">
        <v>603</v>
      </c>
      <c r="J131" s="25">
        <v>1</v>
      </c>
      <c r="R131" t="s">
        <v>179</v>
      </c>
      <c r="S131" t="s">
        <v>602</v>
      </c>
      <c r="T131" s="25">
        <v>20000</v>
      </c>
    </row>
    <row r="132" spans="1:20" x14ac:dyDescent="0.25">
      <c r="A132" t="s">
        <v>129</v>
      </c>
      <c r="B132" t="s">
        <v>601</v>
      </c>
      <c r="C132" t="s">
        <v>605</v>
      </c>
      <c r="D132" s="6">
        <v>135.86341292399999</v>
      </c>
      <c r="E132" s="11">
        <v>0</v>
      </c>
      <c r="F132" s="2">
        <v>0</v>
      </c>
      <c r="G132" s="11"/>
      <c r="H132" t="s">
        <v>145</v>
      </c>
      <c r="I132" t="s">
        <v>601</v>
      </c>
      <c r="J132" s="25">
        <v>1</v>
      </c>
      <c r="R132" t="s">
        <v>113</v>
      </c>
      <c r="S132" t="s">
        <v>600</v>
      </c>
      <c r="T132" s="25">
        <v>20000</v>
      </c>
    </row>
    <row r="133" spans="1:20" x14ac:dyDescent="0.25">
      <c r="A133" t="s">
        <v>119</v>
      </c>
      <c r="B133" t="s">
        <v>600</v>
      </c>
      <c r="C133" t="s">
        <v>605</v>
      </c>
      <c r="D133" s="6">
        <v>135.81501666899999</v>
      </c>
      <c r="E133" s="11">
        <v>0</v>
      </c>
      <c r="F133" s="2">
        <v>0</v>
      </c>
      <c r="G133" s="11"/>
      <c r="H133" t="s">
        <v>129</v>
      </c>
      <c r="I133" t="s">
        <v>601</v>
      </c>
      <c r="J133" s="25">
        <v>1</v>
      </c>
      <c r="R133" t="s">
        <v>45</v>
      </c>
      <c r="S133" t="s">
        <v>603</v>
      </c>
      <c r="T133" s="25">
        <v>25000</v>
      </c>
    </row>
    <row r="134" spans="1:20" x14ac:dyDescent="0.25">
      <c r="A134" t="s">
        <v>114</v>
      </c>
      <c r="B134" t="s">
        <v>601</v>
      </c>
      <c r="C134" t="s">
        <v>605</v>
      </c>
      <c r="D134" s="6">
        <v>135.62496517900004</v>
      </c>
      <c r="E134" s="11">
        <v>0</v>
      </c>
      <c r="F134" s="2">
        <v>0</v>
      </c>
      <c r="G134" s="11"/>
      <c r="H134" t="s">
        <v>42</v>
      </c>
      <c r="I134" t="s">
        <v>603</v>
      </c>
      <c r="J134" s="25">
        <v>1</v>
      </c>
      <c r="R134" t="s">
        <v>48</v>
      </c>
      <c r="S134" t="s">
        <v>601</v>
      </c>
      <c r="T134" s="25">
        <v>25000</v>
      </c>
    </row>
    <row r="135" spans="1:20" x14ac:dyDescent="0.25">
      <c r="A135" t="s">
        <v>123</v>
      </c>
      <c r="B135" t="s">
        <v>601</v>
      </c>
      <c r="C135" t="s">
        <v>605</v>
      </c>
      <c r="D135" s="6">
        <v>135.367748186</v>
      </c>
      <c r="E135" s="11">
        <v>0</v>
      </c>
      <c r="F135" s="2">
        <v>0</v>
      </c>
      <c r="G135" s="11"/>
      <c r="H135" t="s">
        <v>26</v>
      </c>
      <c r="I135" t="s">
        <v>602</v>
      </c>
      <c r="J135" s="25">
        <v>1</v>
      </c>
      <c r="R135" t="s">
        <v>51</v>
      </c>
      <c r="S135" t="s">
        <v>601</v>
      </c>
      <c r="T135" s="25">
        <v>25000</v>
      </c>
    </row>
    <row r="136" spans="1:20" x14ac:dyDescent="0.25">
      <c r="A136" t="s">
        <v>39</v>
      </c>
      <c r="B136" t="s">
        <v>601</v>
      </c>
      <c r="C136" t="s">
        <v>605</v>
      </c>
      <c r="D136" s="6">
        <v>133.93893625899997</v>
      </c>
      <c r="E136" s="11">
        <v>-2.6427992779999991</v>
      </c>
      <c r="F136" s="2">
        <v>2.6427992779999991</v>
      </c>
      <c r="G136" s="11"/>
      <c r="H136" t="s">
        <v>51</v>
      </c>
      <c r="I136" t="s">
        <v>601</v>
      </c>
      <c r="J136" s="25">
        <v>1</v>
      </c>
      <c r="R136" t="s">
        <v>117</v>
      </c>
      <c r="S136" t="s">
        <v>600</v>
      </c>
      <c r="T136" s="25">
        <v>25000</v>
      </c>
    </row>
    <row r="137" spans="1:20" x14ac:dyDescent="0.25">
      <c r="A137" t="s">
        <v>41</v>
      </c>
      <c r="B137" t="s">
        <v>603</v>
      </c>
      <c r="C137" t="s">
        <v>605</v>
      </c>
      <c r="D137" s="6">
        <v>132.55871924599998</v>
      </c>
      <c r="E137" s="11">
        <v>-0.35392800199999608</v>
      </c>
      <c r="F137" s="2">
        <v>0.35392800199999608</v>
      </c>
      <c r="G137" s="11"/>
      <c r="H137" t="s">
        <v>31</v>
      </c>
      <c r="I137" t="s">
        <v>602</v>
      </c>
      <c r="J137" s="25">
        <v>1</v>
      </c>
      <c r="R137" t="s">
        <v>272</v>
      </c>
      <c r="S137" t="s">
        <v>602</v>
      </c>
      <c r="T137" s="25">
        <v>25000</v>
      </c>
    </row>
    <row r="138" spans="1:20" x14ac:dyDescent="0.25">
      <c r="A138" t="s">
        <v>58</v>
      </c>
      <c r="B138" t="s">
        <v>601</v>
      </c>
      <c r="C138" t="s">
        <v>605</v>
      </c>
      <c r="D138" s="6">
        <v>131.06476087400003</v>
      </c>
      <c r="E138" s="11">
        <v>2.3443408200000002</v>
      </c>
      <c r="F138" s="2">
        <v>2.3443408200000002</v>
      </c>
      <c r="G138" s="11"/>
      <c r="H138" t="s">
        <v>58</v>
      </c>
      <c r="I138" t="s">
        <v>601</v>
      </c>
      <c r="J138" s="25">
        <v>1</v>
      </c>
      <c r="R138" t="s">
        <v>150</v>
      </c>
      <c r="S138" t="s">
        <v>603</v>
      </c>
      <c r="T138" s="25">
        <v>25000</v>
      </c>
    </row>
    <row r="139" spans="1:20" x14ac:dyDescent="0.25">
      <c r="A139" t="s">
        <v>109</v>
      </c>
      <c r="B139" t="s">
        <v>600</v>
      </c>
      <c r="C139" t="s">
        <v>598</v>
      </c>
      <c r="D139" s="6">
        <v>129.49730390800002</v>
      </c>
      <c r="E139" s="11">
        <v>-10.836408613999989</v>
      </c>
      <c r="F139" s="2">
        <v>10.836408613999989</v>
      </c>
      <c r="G139" s="11"/>
      <c r="H139" t="s">
        <v>131</v>
      </c>
      <c r="I139" t="s">
        <v>601</v>
      </c>
      <c r="J139" s="25">
        <v>1</v>
      </c>
      <c r="R139" t="s">
        <v>46</v>
      </c>
      <c r="S139" t="s">
        <v>603</v>
      </c>
      <c r="T139" s="25">
        <v>25000</v>
      </c>
    </row>
    <row r="140" spans="1:20" x14ac:dyDescent="0.25">
      <c r="A140" t="s">
        <v>121</v>
      </c>
      <c r="B140" t="s">
        <v>601</v>
      </c>
      <c r="C140" t="s">
        <v>605</v>
      </c>
      <c r="D140" s="6">
        <v>129.08066667600002</v>
      </c>
      <c r="E140" s="11">
        <v>0</v>
      </c>
      <c r="F140" s="2">
        <v>0</v>
      </c>
      <c r="G140" s="11"/>
      <c r="H140" t="s">
        <v>140</v>
      </c>
      <c r="I140" t="s">
        <v>601</v>
      </c>
      <c r="J140" s="25">
        <v>1</v>
      </c>
      <c r="R140" t="s">
        <v>34</v>
      </c>
      <c r="S140" t="s">
        <v>602</v>
      </c>
      <c r="T140" s="25">
        <v>25000</v>
      </c>
    </row>
    <row r="141" spans="1:20" x14ac:dyDescent="0.25">
      <c r="A141" t="s">
        <v>477</v>
      </c>
      <c r="B141" t="s">
        <v>600</v>
      </c>
      <c r="C141" t="s">
        <v>605</v>
      </c>
      <c r="D141" s="6">
        <v>128.407919623</v>
      </c>
      <c r="E141" s="11">
        <v>0</v>
      </c>
      <c r="F141" s="2">
        <v>0</v>
      </c>
      <c r="G141" s="11"/>
      <c r="H141" t="s">
        <v>157</v>
      </c>
      <c r="I141" t="s">
        <v>601</v>
      </c>
      <c r="J141" s="25">
        <v>1</v>
      </c>
      <c r="R141" t="s">
        <v>91</v>
      </c>
      <c r="S141" t="s">
        <v>600</v>
      </c>
      <c r="T141" s="25">
        <v>25000</v>
      </c>
    </row>
    <row r="142" spans="1:20" x14ac:dyDescent="0.25">
      <c r="A142" t="s">
        <v>137</v>
      </c>
      <c r="B142" t="s">
        <v>601</v>
      </c>
      <c r="C142" t="s">
        <v>605</v>
      </c>
      <c r="D142" s="6">
        <v>127.33801942000001</v>
      </c>
      <c r="E142" s="11">
        <v>0</v>
      </c>
      <c r="F142" s="2">
        <v>0</v>
      </c>
      <c r="G142" s="11"/>
      <c r="H142" t="s">
        <v>160</v>
      </c>
      <c r="I142" t="s">
        <v>600</v>
      </c>
      <c r="J142" s="25">
        <v>1</v>
      </c>
      <c r="R142" t="s">
        <v>41</v>
      </c>
      <c r="S142" t="s">
        <v>603</v>
      </c>
      <c r="T142" s="25">
        <v>25000</v>
      </c>
    </row>
    <row r="143" spans="1:20" x14ac:dyDescent="0.25">
      <c r="A143" t="s">
        <v>124</v>
      </c>
      <c r="B143" t="s">
        <v>600</v>
      </c>
      <c r="C143" t="s">
        <v>605</v>
      </c>
      <c r="D143" s="6">
        <v>127.316666973</v>
      </c>
      <c r="E143" s="11">
        <v>0</v>
      </c>
      <c r="F143" s="2">
        <v>0</v>
      </c>
      <c r="G143" s="11"/>
      <c r="H143" t="s">
        <v>123</v>
      </c>
      <c r="I143" t="s">
        <v>601</v>
      </c>
      <c r="J143" s="25">
        <v>1</v>
      </c>
      <c r="R143" t="s">
        <v>56</v>
      </c>
      <c r="S143" t="s">
        <v>603</v>
      </c>
      <c r="T143" s="25">
        <v>25000</v>
      </c>
    </row>
    <row r="144" spans="1:20" x14ac:dyDescent="0.25">
      <c r="A144" t="s">
        <v>116</v>
      </c>
      <c r="B144" t="s">
        <v>600</v>
      </c>
      <c r="C144" t="s">
        <v>605</v>
      </c>
      <c r="D144" s="6">
        <v>126.30837256800001</v>
      </c>
      <c r="E144" s="11">
        <v>0</v>
      </c>
      <c r="F144" s="2">
        <v>0</v>
      </c>
      <c r="G144" s="11"/>
      <c r="H144" t="s">
        <v>114</v>
      </c>
      <c r="I144" t="s">
        <v>601</v>
      </c>
      <c r="J144" s="25">
        <v>1</v>
      </c>
      <c r="R144" t="s">
        <v>480</v>
      </c>
      <c r="S144" t="s">
        <v>603</v>
      </c>
      <c r="T144" s="25">
        <v>25000</v>
      </c>
    </row>
    <row r="145" spans="1:20" x14ac:dyDescent="0.25">
      <c r="A145" t="s">
        <v>166</v>
      </c>
      <c r="B145" t="s">
        <v>601</v>
      </c>
      <c r="C145" t="s">
        <v>605</v>
      </c>
      <c r="D145" s="6">
        <v>124.90468696400001</v>
      </c>
      <c r="E145" s="11">
        <v>0</v>
      </c>
      <c r="F145" s="2">
        <v>0</v>
      </c>
      <c r="G145" s="11"/>
      <c r="H145" t="s">
        <v>135</v>
      </c>
      <c r="I145" t="s">
        <v>600</v>
      </c>
      <c r="J145" s="25">
        <v>1</v>
      </c>
      <c r="R145" t="s">
        <v>317</v>
      </c>
      <c r="S145" t="s">
        <v>602</v>
      </c>
      <c r="T145" s="25">
        <v>25000</v>
      </c>
    </row>
    <row r="146" spans="1:20" x14ac:dyDescent="0.25">
      <c r="A146" t="s">
        <v>42</v>
      </c>
      <c r="B146" t="s">
        <v>603</v>
      </c>
      <c r="C146" t="s">
        <v>653</v>
      </c>
      <c r="D146" s="6">
        <v>124.5152290179999</v>
      </c>
      <c r="E146" s="11">
        <v>13.770308513999902</v>
      </c>
      <c r="F146" s="2">
        <v>13.770308513999902</v>
      </c>
      <c r="G146" s="11"/>
      <c r="H146" t="s">
        <v>121</v>
      </c>
      <c r="I146" t="s">
        <v>601</v>
      </c>
      <c r="J146" s="25">
        <v>1</v>
      </c>
      <c r="R146" t="s">
        <v>136</v>
      </c>
      <c r="S146" t="s">
        <v>601</v>
      </c>
      <c r="T146" s="25">
        <v>25000</v>
      </c>
    </row>
    <row r="147" spans="1:20" x14ac:dyDescent="0.25">
      <c r="A147" t="s">
        <v>130</v>
      </c>
      <c r="B147" t="s">
        <v>600</v>
      </c>
      <c r="C147" t="s">
        <v>605</v>
      </c>
      <c r="D147" s="6">
        <v>122.94165840100001</v>
      </c>
      <c r="E147" s="11">
        <v>0</v>
      </c>
      <c r="F147" s="2">
        <v>0</v>
      </c>
      <c r="G147" s="11"/>
      <c r="H147" t="s">
        <v>89</v>
      </c>
      <c r="I147" t="s">
        <v>601</v>
      </c>
      <c r="J147" s="25">
        <v>1</v>
      </c>
      <c r="R147" t="s">
        <v>476</v>
      </c>
      <c r="S147" t="s">
        <v>603</v>
      </c>
      <c r="T147" s="25">
        <v>25000</v>
      </c>
    </row>
    <row r="148" spans="1:20" x14ac:dyDescent="0.25">
      <c r="A148" t="s">
        <v>110</v>
      </c>
      <c r="B148" t="s">
        <v>601</v>
      </c>
      <c r="C148" t="s">
        <v>605</v>
      </c>
      <c r="D148" s="6">
        <v>122.89102318</v>
      </c>
      <c r="E148" s="11">
        <v>-1.106093054999995</v>
      </c>
      <c r="F148" s="2">
        <v>1.106093054999995</v>
      </c>
      <c r="G148" s="11"/>
      <c r="H148" t="s">
        <v>146</v>
      </c>
      <c r="I148" t="s">
        <v>600</v>
      </c>
      <c r="J148" s="25">
        <v>1</v>
      </c>
      <c r="R148" t="s">
        <v>279</v>
      </c>
      <c r="S148" t="s">
        <v>601</v>
      </c>
      <c r="T148" s="25">
        <v>25000</v>
      </c>
    </row>
    <row r="149" spans="1:20" x14ac:dyDescent="0.25">
      <c r="A149" t="s">
        <v>128</v>
      </c>
      <c r="B149" t="s">
        <v>600</v>
      </c>
      <c r="C149" t="s">
        <v>605</v>
      </c>
      <c r="D149" s="6">
        <v>122.394859052</v>
      </c>
      <c r="E149" s="11">
        <v>0</v>
      </c>
      <c r="F149" s="2">
        <v>0</v>
      </c>
      <c r="G149" s="11"/>
      <c r="H149" t="s">
        <v>115</v>
      </c>
      <c r="I149" t="s">
        <v>600</v>
      </c>
      <c r="J149" s="25">
        <v>1</v>
      </c>
      <c r="R149" t="s">
        <v>101</v>
      </c>
      <c r="S149" t="s">
        <v>600</v>
      </c>
      <c r="T149" s="25">
        <v>25000</v>
      </c>
    </row>
    <row r="150" spans="1:20" x14ac:dyDescent="0.25">
      <c r="A150" t="s">
        <v>46</v>
      </c>
      <c r="B150" t="s">
        <v>603</v>
      </c>
      <c r="C150" t="s">
        <v>597</v>
      </c>
      <c r="D150" s="6">
        <v>121.97468060400003</v>
      </c>
      <c r="E150" s="11">
        <v>-13.162659697999985</v>
      </c>
      <c r="F150" s="2">
        <v>13.162659697999985</v>
      </c>
      <c r="G150" s="11"/>
      <c r="H150" t="s">
        <v>122</v>
      </c>
      <c r="I150" t="s">
        <v>600</v>
      </c>
      <c r="J150" s="25">
        <v>1</v>
      </c>
      <c r="R150" t="s">
        <v>498</v>
      </c>
      <c r="S150" t="s">
        <v>601</v>
      </c>
      <c r="T150" s="25">
        <v>25000</v>
      </c>
    </row>
    <row r="151" spans="1:20" x14ac:dyDescent="0.25">
      <c r="A151" t="s">
        <v>143</v>
      </c>
      <c r="B151" t="s">
        <v>600</v>
      </c>
      <c r="C151" t="s">
        <v>605</v>
      </c>
      <c r="D151" s="6">
        <v>121.320390984</v>
      </c>
      <c r="E151" s="11">
        <v>0</v>
      </c>
      <c r="F151" s="2">
        <v>0</v>
      </c>
      <c r="G151" s="11"/>
      <c r="H151" t="s">
        <v>128</v>
      </c>
      <c r="I151" t="s">
        <v>600</v>
      </c>
      <c r="J151" s="25">
        <v>1</v>
      </c>
      <c r="R151" t="s">
        <v>85</v>
      </c>
      <c r="S151" t="s">
        <v>603</v>
      </c>
      <c r="T151" s="25">
        <v>25000</v>
      </c>
    </row>
    <row r="152" spans="1:20" x14ac:dyDescent="0.25">
      <c r="A152" t="s">
        <v>84</v>
      </c>
      <c r="B152" t="s">
        <v>601</v>
      </c>
      <c r="C152" t="s">
        <v>626</v>
      </c>
      <c r="D152" s="6">
        <v>121.23690260000002</v>
      </c>
      <c r="E152" s="11">
        <v>10.272657102000005</v>
      </c>
      <c r="F152" s="2">
        <v>10.272657102000005</v>
      </c>
      <c r="G152" s="11"/>
      <c r="H152" t="s">
        <v>139</v>
      </c>
      <c r="I152" t="s">
        <v>600</v>
      </c>
      <c r="J152" s="25">
        <v>1</v>
      </c>
      <c r="R152" t="s">
        <v>121</v>
      </c>
      <c r="S152" t="s">
        <v>601</v>
      </c>
      <c r="T152" s="25">
        <v>25000</v>
      </c>
    </row>
    <row r="153" spans="1:20" x14ac:dyDescent="0.25">
      <c r="A153" t="s">
        <v>118</v>
      </c>
      <c r="B153" t="s">
        <v>600</v>
      </c>
      <c r="C153" t="s">
        <v>605</v>
      </c>
      <c r="D153" s="6">
        <v>120.41818709100001</v>
      </c>
      <c r="E153" s="11">
        <v>0</v>
      </c>
      <c r="F153" s="2">
        <v>0</v>
      </c>
      <c r="G153" s="11"/>
      <c r="H153" t="s">
        <v>124</v>
      </c>
      <c r="I153" t="s">
        <v>600</v>
      </c>
      <c r="J153" s="25">
        <v>1</v>
      </c>
      <c r="R153" t="s">
        <v>168</v>
      </c>
      <c r="S153" t="s">
        <v>601</v>
      </c>
      <c r="T153" s="25">
        <v>25000</v>
      </c>
    </row>
    <row r="154" spans="1:20" x14ac:dyDescent="0.25">
      <c r="A154" t="s">
        <v>133</v>
      </c>
      <c r="B154" t="s">
        <v>603</v>
      </c>
      <c r="C154" t="s">
        <v>605</v>
      </c>
      <c r="D154" s="6">
        <v>119.355341221</v>
      </c>
      <c r="E154" s="11">
        <v>0</v>
      </c>
      <c r="F154" s="2">
        <v>0</v>
      </c>
      <c r="G154" s="11"/>
      <c r="H154" t="s">
        <v>136</v>
      </c>
      <c r="I154" t="s">
        <v>601</v>
      </c>
      <c r="J154" s="25">
        <v>1</v>
      </c>
      <c r="R154" t="s">
        <v>158</v>
      </c>
      <c r="S154" t="s">
        <v>600</v>
      </c>
      <c r="T154" s="25">
        <v>25000</v>
      </c>
    </row>
    <row r="155" spans="1:20" x14ac:dyDescent="0.25">
      <c r="A155" t="s">
        <v>117</v>
      </c>
      <c r="B155" t="s">
        <v>600</v>
      </c>
      <c r="C155" t="s">
        <v>605</v>
      </c>
      <c r="D155" s="6">
        <v>119.183478826</v>
      </c>
      <c r="E155" s="11">
        <v>0</v>
      </c>
      <c r="F155" s="2">
        <v>0</v>
      </c>
      <c r="G155" s="11"/>
      <c r="H155" t="s">
        <v>125</v>
      </c>
      <c r="I155" t="s">
        <v>600</v>
      </c>
      <c r="J155" s="25">
        <v>1</v>
      </c>
      <c r="R155" t="s">
        <v>487</v>
      </c>
      <c r="S155" t="s">
        <v>601</v>
      </c>
      <c r="T155" s="25">
        <v>25000</v>
      </c>
    </row>
    <row r="156" spans="1:20" x14ac:dyDescent="0.25">
      <c r="A156" t="s">
        <v>487</v>
      </c>
      <c r="B156" t="s">
        <v>601</v>
      </c>
      <c r="C156" t="s">
        <v>605</v>
      </c>
      <c r="D156" s="6">
        <v>118.36624069800001</v>
      </c>
      <c r="E156" s="11">
        <v>0</v>
      </c>
      <c r="F156" s="2">
        <v>0</v>
      </c>
      <c r="G156" s="11"/>
      <c r="H156" t="s">
        <v>149</v>
      </c>
      <c r="I156" t="s">
        <v>600</v>
      </c>
      <c r="J156" s="25">
        <v>1</v>
      </c>
      <c r="R156" t="s">
        <v>273</v>
      </c>
      <c r="S156" t="s">
        <v>602</v>
      </c>
      <c r="T156" s="25">
        <v>25000</v>
      </c>
    </row>
    <row r="157" spans="1:20" x14ac:dyDescent="0.25">
      <c r="A157" t="s">
        <v>157</v>
      </c>
      <c r="B157" t="s">
        <v>601</v>
      </c>
      <c r="C157" t="s">
        <v>605</v>
      </c>
      <c r="D157" s="6">
        <v>114.924437458</v>
      </c>
      <c r="E157" s="11">
        <v>0</v>
      </c>
      <c r="F157" s="2">
        <v>0</v>
      </c>
      <c r="G157" s="11"/>
      <c r="H157" t="s">
        <v>84</v>
      </c>
      <c r="I157" t="s">
        <v>601</v>
      </c>
      <c r="J157" s="25">
        <v>1</v>
      </c>
      <c r="R157" t="s">
        <v>140</v>
      </c>
      <c r="S157" t="s">
        <v>601</v>
      </c>
      <c r="T157" s="25">
        <v>25000</v>
      </c>
    </row>
    <row r="158" spans="1:20" x14ac:dyDescent="0.25">
      <c r="A158" t="s">
        <v>148</v>
      </c>
      <c r="B158" t="s">
        <v>601</v>
      </c>
      <c r="C158" t="s">
        <v>605</v>
      </c>
      <c r="D158" s="6">
        <v>114.881890205</v>
      </c>
      <c r="E158" s="11">
        <v>0</v>
      </c>
      <c r="F158" s="2">
        <v>0</v>
      </c>
      <c r="G158" s="11"/>
      <c r="H158" t="s">
        <v>159</v>
      </c>
      <c r="I158" t="s">
        <v>600</v>
      </c>
      <c r="J158" s="25">
        <v>1</v>
      </c>
      <c r="R158" t="s">
        <v>137</v>
      </c>
      <c r="S158" t="s">
        <v>601</v>
      </c>
      <c r="T158" s="25">
        <v>25000</v>
      </c>
    </row>
    <row r="159" spans="1:20" x14ac:dyDescent="0.25">
      <c r="A159" t="s">
        <v>233</v>
      </c>
      <c r="B159" t="s">
        <v>602</v>
      </c>
      <c r="C159" t="s">
        <v>605</v>
      </c>
      <c r="D159" s="6">
        <v>114.41652422499999</v>
      </c>
      <c r="E159" s="11">
        <v>0</v>
      </c>
      <c r="F159" s="2">
        <v>0</v>
      </c>
      <c r="G159" s="11"/>
      <c r="H159" t="s">
        <v>117</v>
      </c>
      <c r="I159" t="s">
        <v>600</v>
      </c>
      <c r="J159" s="25">
        <v>1</v>
      </c>
      <c r="R159" t="s">
        <v>114</v>
      </c>
      <c r="S159" t="s">
        <v>601</v>
      </c>
      <c r="T159" s="25">
        <v>25000</v>
      </c>
    </row>
    <row r="160" spans="1:20" x14ac:dyDescent="0.25">
      <c r="A160" t="s">
        <v>136</v>
      </c>
      <c r="B160" t="s">
        <v>601</v>
      </c>
      <c r="C160" t="s">
        <v>605</v>
      </c>
      <c r="D160" s="6">
        <v>112.708483367</v>
      </c>
      <c r="E160" s="11">
        <v>0</v>
      </c>
      <c r="F160" s="2">
        <v>0</v>
      </c>
      <c r="G160" s="11"/>
      <c r="H160" t="s">
        <v>110</v>
      </c>
      <c r="I160" t="s">
        <v>601</v>
      </c>
      <c r="J160" s="25">
        <v>1</v>
      </c>
      <c r="R160" t="s">
        <v>555</v>
      </c>
      <c r="S160">
        <v>0</v>
      </c>
      <c r="T160" s="25">
        <v>30000</v>
      </c>
    </row>
    <row r="161" spans="1:20" x14ac:dyDescent="0.25">
      <c r="A161" t="s">
        <v>516</v>
      </c>
      <c r="B161" t="s">
        <v>601</v>
      </c>
      <c r="C161" t="s">
        <v>605</v>
      </c>
      <c r="D161" s="6">
        <v>112.587462762</v>
      </c>
      <c r="E161" s="11">
        <v>0</v>
      </c>
      <c r="F161" s="2">
        <v>0</v>
      </c>
      <c r="G161" s="11"/>
      <c r="H161" t="s">
        <v>130</v>
      </c>
      <c r="I161" t="s">
        <v>600</v>
      </c>
      <c r="J161" s="25">
        <v>1</v>
      </c>
      <c r="R161" t="s">
        <v>131</v>
      </c>
      <c r="S161" t="s">
        <v>601</v>
      </c>
      <c r="T161" s="25">
        <v>30000</v>
      </c>
    </row>
    <row r="162" spans="1:20" x14ac:dyDescent="0.25">
      <c r="A162" t="s">
        <v>70</v>
      </c>
      <c r="B162" t="s">
        <v>603</v>
      </c>
      <c r="C162" t="s">
        <v>605</v>
      </c>
      <c r="D162" s="6">
        <v>111.105624545</v>
      </c>
      <c r="E162" s="11">
        <v>-4.6417850499999895</v>
      </c>
      <c r="F162" s="2">
        <v>4.6417850499999895</v>
      </c>
      <c r="G162" s="11"/>
      <c r="H162" t="s">
        <v>113</v>
      </c>
      <c r="I162" t="s">
        <v>600</v>
      </c>
      <c r="J162" s="25">
        <v>1</v>
      </c>
      <c r="R162" t="s">
        <v>488</v>
      </c>
      <c r="S162" t="s">
        <v>601</v>
      </c>
      <c r="T162" s="25">
        <v>30000</v>
      </c>
    </row>
    <row r="163" spans="1:20" x14ac:dyDescent="0.25">
      <c r="A163" t="s">
        <v>493</v>
      </c>
      <c r="B163" t="s">
        <v>603</v>
      </c>
      <c r="C163" t="s">
        <v>605</v>
      </c>
      <c r="D163" s="6">
        <v>109.84981781100001</v>
      </c>
      <c r="E163" s="11">
        <v>0</v>
      </c>
      <c r="F163" s="2">
        <v>0</v>
      </c>
      <c r="G163" s="11"/>
      <c r="H163" t="s">
        <v>158</v>
      </c>
      <c r="I163" t="s">
        <v>600</v>
      </c>
      <c r="J163" s="25">
        <v>1</v>
      </c>
      <c r="R163" t="s">
        <v>215</v>
      </c>
      <c r="S163" t="s">
        <v>602</v>
      </c>
      <c r="T163" s="25">
        <v>30000</v>
      </c>
    </row>
    <row r="164" spans="1:20" x14ac:dyDescent="0.25">
      <c r="A164" t="s">
        <v>56</v>
      </c>
      <c r="B164" t="s">
        <v>603</v>
      </c>
      <c r="C164" t="s">
        <v>605</v>
      </c>
      <c r="D164" s="6">
        <v>109.07174308200001</v>
      </c>
      <c r="E164" s="11">
        <v>3.1892512059999998</v>
      </c>
      <c r="F164" s="2">
        <v>3.1892512059999998</v>
      </c>
      <c r="G164" s="11"/>
      <c r="H164" t="s">
        <v>138</v>
      </c>
      <c r="I164" t="s">
        <v>601</v>
      </c>
      <c r="J164" s="25">
        <v>1</v>
      </c>
      <c r="R164" t="s">
        <v>286</v>
      </c>
      <c r="S164" t="s">
        <v>601</v>
      </c>
      <c r="T164" s="25">
        <v>30000</v>
      </c>
    </row>
    <row r="165" spans="1:20" x14ac:dyDescent="0.25">
      <c r="A165" t="s">
        <v>161</v>
      </c>
      <c r="B165" t="s">
        <v>603</v>
      </c>
      <c r="C165" t="s">
        <v>605</v>
      </c>
      <c r="D165" s="6">
        <v>107.9429630882</v>
      </c>
      <c r="E165" s="11">
        <v>0</v>
      </c>
      <c r="F165" s="2">
        <v>0</v>
      </c>
      <c r="G165" s="11"/>
      <c r="H165" t="s">
        <v>604</v>
      </c>
      <c r="J165" s="25">
        <v>2000</v>
      </c>
      <c r="R165" t="s">
        <v>192</v>
      </c>
      <c r="S165" t="s">
        <v>600</v>
      </c>
      <c r="T165" s="25">
        <v>30000</v>
      </c>
    </row>
    <row r="166" spans="1:20" x14ac:dyDescent="0.25">
      <c r="A166" t="s">
        <v>131</v>
      </c>
      <c r="B166" t="s">
        <v>601</v>
      </c>
      <c r="C166" t="s">
        <v>605</v>
      </c>
      <c r="D166" s="6">
        <v>107.87320950600001</v>
      </c>
      <c r="E166" s="11">
        <v>0</v>
      </c>
      <c r="F166" s="2">
        <v>0</v>
      </c>
      <c r="G166" s="11"/>
      <c r="R166" t="s">
        <v>214</v>
      </c>
      <c r="S166" t="s">
        <v>600</v>
      </c>
      <c r="T166" s="25">
        <v>30000</v>
      </c>
    </row>
    <row r="167" spans="1:20" x14ac:dyDescent="0.25">
      <c r="A167" t="s">
        <v>132</v>
      </c>
      <c r="B167" t="s">
        <v>600</v>
      </c>
      <c r="C167" t="s">
        <v>605</v>
      </c>
      <c r="D167" s="6">
        <v>106.10749451500001</v>
      </c>
      <c r="E167" s="11">
        <v>0</v>
      </c>
      <c r="F167" s="2">
        <v>0</v>
      </c>
      <c r="G167" s="11"/>
      <c r="R167" t="s">
        <v>133</v>
      </c>
      <c r="S167" t="s">
        <v>603</v>
      </c>
      <c r="T167" s="25">
        <v>30000</v>
      </c>
    </row>
    <row r="168" spans="1:20" x14ac:dyDescent="0.25">
      <c r="A168" t="s">
        <v>140</v>
      </c>
      <c r="B168" t="s">
        <v>601</v>
      </c>
      <c r="C168" t="s">
        <v>605</v>
      </c>
      <c r="D168" s="6">
        <v>104.232489585</v>
      </c>
      <c r="E168" s="11">
        <v>0</v>
      </c>
      <c r="F168" s="2">
        <v>0</v>
      </c>
      <c r="G168" s="11"/>
      <c r="R168" t="s">
        <v>255</v>
      </c>
      <c r="S168" t="s">
        <v>603</v>
      </c>
      <c r="T168" s="25">
        <v>30000</v>
      </c>
    </row>
    <row r="169" spans="1:20" x14ac:dyDescent="0.25">
      <c r="A169" t="s">
        <v>169</v>
      </c>
      <c r="B169" t="s">
        <v>601</v>
      </c>
      <c r="C169" t="s">
        <v>605</v>
      </c>
      <c r="D169" s="6">
        <v>103.690208872</v>
      </c>
      <c r="E169" s="11">
        <v>0</v>
      </c>
      <c r="F169" s="2">
        <v>0</v>
      </c>
      <c r="G169" s="11"/>
      <c r="R169" t="s">
        <v>556</v>
      </c>
      <c r="S169">
        <v>0</v>
      </c>
      <c r="T169" s="25">
        <v>30000</v>
      </c>
    </row>
    <row r="170" spans="1:20" x14ac:dyDescent="0.25">
      <c r="A170" t="s">
        <v>167</v>
      </c>
      <c r="B170" t="s">
        <v>601</v>
      </c>
      <c r="C170" t="s">
        <v>605</v>
      </c>
      <c r="D170" s="6">
        <v>103.560012082</v>
      </c>
      <c r="E170" s="11">
        <v>0</v>
      </c>
      <c r="F170" s="2">
        <v>0</v>
      </c>
      <c r="G170" s="11"/>
      <c r="R170" t="s">
        <v>174</v>
      </c>
      <c r="S170" t="s">
        <v>600</v>
      </c>
      <c r="T170" s="25">
        <v>30000</v>
      </c>
    </row>
    <row r="171" spans="1:20" x14ac:dyDescent="0.25">
      <c r="A171" t="s">
        <v>172</v>
      </c>
      <c r="B171" t="s">
        <v>601</v>
      </c>
      <c r="C171" t="s">
        <v>605</v>
      </c>
      <c r="D171" s="6">
        <v>103.41951755400001</v>
      </c>
      <c r="E171" s="11">
        <v>0</v>
      </c>
      <c r="F171" s="2">
        <v>0</v>
      </c>
      <c r="G171" s="11"/>
      <c r="R171" t="s">
        <v>159</v>
      </c>
      <c r="S171" t="s">
        <v>600</v>
      </c>
      <c r="T171" s="25">
        <v>30000</v>
      </c>
    </row>
    <row r="172" spans="1:20" x14ac:dyDescent="0.25">
      <c r="A172" t="s">
        <v>115</v>
      </c>
      <c r="B172" t="s">
        <v>600</v>
      </c>
      <c r="C172" t="s">
        <v>605</v>
      </c>
      <c r="D172" s="6">
        <v>103.306452092</v>
      </c>
      <c r="E172" s="11">
        <v>0</v>
      </c>
      <c r="F172" s="2">
        <v>0</v>
      </c>
      <c r="G172" s="11"/>
      <c r="R172" t="s">
        <v>288</v>
      </c>
      <c r="S172" t="s">
        <v>601</v>
      </c>
      <c r="T172" s="25">
        <v>30000</v>
      </c>
    </row>
    <row r="173" spans="1:20" x14ac:dyDescent="0.25">
      <c r="A173" t="s">
        <v>168</v>
      </c>
      <c r="B173" t="s">
        <v>601</v>
      </c>
      <c r="C173" t="s">
        <v>605</v>
      </c>
      <c r="D173" s="6">
        <v>102.95532278200001</v>
      </c>
      <c r="E173" s="11">
        <v>0</v>
      </c>
      <c r="F173" s="2">
        <v>0</v>
      </c>
      <c r="G173" s="11"/>
      <c r="R173" t="s">
        <v>189</v>
      </c>
      <c r="S173" t="s">
        <v>601</v>
      </c>
      <c r="T173" s="25">
        <v>30000</v>
      </c>
    </row>
    <row r="174" spans="1:20" x14ac:dyDescent="0.25">
      <c r="A174" t="s">
        <v>142</v>
      </c>
      <c r="B174" t="s">
        <v>601</v>
      </c>
      <c r="C174" t="s">
        <v>605</v>
      </c>
      <c r="D174" s="6">
        <v>102.515239275</v>
      </c>
      <c r="E174" s="11">
        <v>0</v>
      </c>
      <c r="F174" s="2">
        <v>0</v>
      </c>
      <c r="G174" s="11"/>
      <c r="R174" t="s">
        <v>196</v>
      </c>
      <c r="S174" t="s">
        <v>600</v>
      </c>
      <c r="T174" s="25">
        <v>30000</v>
      </c>
    </row>
    <row r="175" spans="1:20" x14ac:dyDescent="0.25">
      <c r="A175" t="s">
        <v>156</v>
      </c>
      <c r="B175" t="s">
        <v>603</v>
      </c>
      <c r="C175" t="s">
        <v>605</v>
      </c>
      <c r="D175" s="6">
        <v>102.285181615</v>
      </c>
      <c r="E175" s="11">
        <v>0</v>
      </c>
      <c r="F175" s="2">
        <v>0</v>
      </c>
      <c r="G175" s="11"/>
      <c r="R175" t="s">
        <v>172</v>
      </c>
      <c r="S175" t="s">
        <v>601</v>
      </c>
      <c r="T175" s="25">
        <v>30000</v>
      </c>
    </row>
    <row r="176" spans="1:20" x14ac:dyDescent="0.25">
      <c r="A176" t="s">
        <v>113</v>
      </c>
      <c r="B176" t="s">
        <v>600</v>
      </c>
      <c r="C176" t="s">
        <v>605</v>
      </c>
      <c r="D176" s="6">
        <v>99.926778708000001</v>
      </c>
      <c r="E176" s="11">
        <v>0</v>
      </c>
      <c r="F176" s="2">
        <v>0</v>
      </c>
      <c r="G176" s="11"/>
      <c r="R176" t="s">
        <v>130</v>
      </c>
      <c r="S176" t="s">
        <v>600</v>
      </c>
      <c r="T176" s="25">
        <v>40000</v>
      </c>
    </row>
    <row r="177" spans="1:20" x14ac:dyDescent="0.25">
      <c r="A177" t="s">
        <v>144</v>
      </c>
      <c r="B177" t="s">
        <v>601</v>
      </c>
      <c r="C177" t="s">
        <v>605</v>
      </c>
      <c r="D177" s="6">
        <v>99.885951462999998</v>
      </c>
      <c r="E177" s="11">
        <v>0</v>
      </c>
      <c r="F177" s="2">
        <v>0</v>
      </c>
      <c r="G177" s="11"/>
      <c r="R177" t="s">
        <v>500</v>
      </c>
      <c r="S177" t="s">
        <v>601</v>
      </c>
      <c r="T177" s="25">
        <v>50000</v>
      </c>
    </row>
    <row r="178" spans="1:20" x14ac:dyDescent="0.25">
      <c r="A178" t="s">
        <v>173</v>
      </c>
      <c r="B178" t="s">
        <v>601</v>
      </c>
      <c r="C178" t="s">
        <v>605</v>
      </c>
      <c r="D178" s="6">
        <v>98.83029112700001</v>
      </c>
      <c r="E178" s="11">
        <v>0</v>
      </c>
      <c r="F178" s="2">
        <v>0</v>
      </c>
      <c r="G178" s="11"/>
      <c r="R178" t="s">
        <v>73</v>
      </c>
      <c r="S178" t="s">
        <v>601</v>
      </c>
      <c r="T178" s="25">
        <v>50000</v>
      </c>
    </row>
    <row r="179" spans="1:20" x14ac:dyDescent="0.25">
      <c r="A179" t="s">
        <v>159</v>
      </c>
      <c r="B179" t="s">
        <v>600</v>
      </c>
      <c r="C179" t="s">
        <v>605</v>
      </c>
      <c r="D179" s="6">
        <v>97.248722031</v>
      </c>
      <c r="E179" s="11">
        <v>0</v>
      </c>
      <c r="F179" s="2">
        <v>0</v>
      </c>
      <c r="G179" s="11"/>
      <c r="R179" t="s">
        <v>557</v>
      </c>
      <c r="S179">
        <v>0</v>
      </c>
      <c r="T179" s="25">
        <v>50000</v>
      </c>
    </row>
    <row r="180" spans="1:20" x14ac:dyDescent="0.25">
      <c r="A180" t="s">
        <v>134</v>
      </c>
      <c r="B180" t="s">
        <v>600</v>
      </c>
      <c r="C180" t="s">
        <v>605</v>
      </c>
      <c r="D180" s="6">
        <v>97.135067503000002</v>
      </c>
      <c r="E180" s="11">
        <v>0</v>
      </c>
      <c r="F180" s="2">
        <v>0</v>
      </c>
      <c r="G180" s="11"/>
      <c r="R180" t="s">
        <v>246</v>
      </c>
      <c r="S180" t="s">
        <v>603</v>
      </c>
      <c r="T180" s="25">
        <v>50000</v>
      </c>
    </row>
    <row r="181" spans="1:20" x14ac:dyDescent="0.25">
      <c r="A181" t="s">
        <v>164</v>
      </c>
      <c r="B181" t="s">
        <v>603</v>
      </c>
      <c r="C181" t="s">
        <v>605</v>
      </c>
      <c r="D181" s="6">
        <v>97.113200188999997</v>
      </c>
      <c r="E181" s="11">
        <v>0</v>
      </c>
      <c r="F181" s="2">
        <v>0</v>
      </c>
      <c r="G181" s="11"/>
      <c r="R181" t="s">
        <v>604</v>
      </c>
      <c r="T181" s="25">
        <v>2924750</v>
      </c>
    </row>
    <row r="182" spans="1:20" x14ac:dyDescent="0.25">
      <c r="A182" t="s">
        <v>160</v>
      </c>
      <c r="B182" t="s">
        <v>600</v>
      </c>
      <c r="C182" t="s">
        <v>605</v>
      </c>
      <c r="D182" s="6">
        <v>97.089450988999999</v>
      </c>
      <c r="E182" s="11">
        <v>0</v>
      </c>
      <c r="F182" s="2">
        <v>0</v>
      </c>
      <c r="G182" s="11"/>
    </row>
    <row r="183" spans="1:20" x14ac:dyDescent="0.25">
      <c r="A183" t="s">
        <v>182</v>
      </c>
      <c r="B183" t="s">
        <v>601</v>
      </c>
      <c r="C183" t="s">
        <v>605</v>
      </c>
      <c r="D183" s="6">
        <v>96.006396273000007</v>
      </c>
      <c r="E183" s="11">
        <v>0</v>
      </c>
      <c r="F183" s="2">
        <v>0</v>
      </c>
      <c r="G183" s="11"/>
    </row>
    <row r="184" spans="1:20" x14ac:dyDescent="0.25">
      <c r="A184" t="s">
        <v>498</v>
      </c>
      <c r="B184" t="s">
        <v>601</v>
      </c>
      <c r="C184" t="s">
        <v>654</v>
      </c>
      <c r="D184" s="6">
        <v>95.136015023999988</v>
      </c>
      <c r="E184" s="11">
        <v>12.096089351999984</v>
      </c>
      <c r="F184" s="2">
        <v>12.096089351999984</v>
      </c>
      <c r="G184" s="11"/>
    </row>
    <row r="185" spans="1:20" x14ac:dyDescent="0.25">
      <c r="A185" t="s">
        <v>145</v>
      </c>
      <c r="B185" t="s">
        <v>601</v>
      </c>
      <c r="C185" t="s">
        <v>605</v>
      </c>
      <c r="D185" s="6">
        <v>94.886273993999993</v>
      </c>
      <c r="E185" s="11">
        <v>0</v>
      </c>
      <c r="F185" s="2">
        <v>0</v>
      </c>
      <c r="G185" s="11"/>
    </row>
    <row r="186" spans="1:20" x14ac:dyDescent="0.25">
      <c r="A186" t="s">
        <v>162</v>
      </c>
      <c r="B186" t="s">
        <v>603</v>
      </c>
      <c r="C186" t="s">
        <v>605</v>
      </c>
      <c r="D186" s="6">
        <v>93.760104662200007</v>
      </c>
      <c r="E186" s="11">
        <v>0</v>
      </c>
      <c r="F186" s="2">
        <v>0</v>
      </c>
      <c r="G186" s="11"/>
    </row>
    <row r="187" spans="1:20" x14ac:dyDescent="0.25">
      <c r="A187" t="s">
        <v>185</v>
      </c>
      <c r="B187" t="s">
        <v>601</v>
      </c>
      <c r="C187" t="s">
        <v>605</v>
      </c>
      <c r="D187" s="6">
        <v>90.943397661999995</v>
      </c>
      <c r="E187" s="11">
        <v>0</v>
      </c>
      <c r="F187" s="2">
        <v>0</v>
      </c>
      <c r="G187" s="11"/>
    </row>
    <row r="188" spans="1:20" x14ac:dyDescent="0.25">
      <c r="A188" t="s">
        <v>163</v>
      </c>
      <c r="B188" t="s">
        <v>603</v>
      </c>
      <c r="C188" t="s">
        <v>605</v>
      </c>
      <c r="D188" s="6">
        <v>88.537331229000017</v>
      </c>
      <c r="E188" s="11">
        <v>0</v>
      </c>
      <c r="F188" s="2">
        <v>0</v>
      </c>
      <c r="G188" s="11"/>
    </row>
    <row r="189" spans="1:20" x14ac:dyDescent="0.25">
      <c r="A189" t="s">
        <v>122</v>
      </c>
      <c r="B189" t="s">
        <v>600</v>
      </c>
      <c r="C189" t="s">
        <v>605</v>
      </c>
      <c r="D189" s="6">
        <v>88.13574275900001</v>
      </c>
      <c r="E189" s="11">
        <v>0</v>
      </c>
      <c r="F189" s="2">
        <v>0</v>
      </c>
      <c r="G189" s="11"/>
    </row>
    <row r="190" spans="1:20" x14ac:dyDescent="0.25">
      <c r="A190" t="s">
        <v>176</v>
      </c>
      <c r="B190" t="s">
        <v>603</v>
      </c>
      <c r="C190" t="s">
        <v>605</v>
      </c>
      <c r="D190" s="6">
        <v>87.958008608</v>
      </c>
      <c r="E190" s="11">
        <v>0</v>
      </c>
      <c r="F190" s="2">
        <v>0</v>
      </c>
      <c r="G190" s="11"/>
    </row>
    <row r="191" spans="1:20" x14ac:dyDescent="0.25">
      <c r="A191" t="s">
        <v>186</v>
      </c>
      <c r="B191" t="s">
        <v>601</v>
      </c>
      <c r="C191" t="s">
        <v>605</v>
      </c>
      <c r="D191" s="6">
        <v>86.903645920999992</v>
      </c>
      <c r="E191" s="11">
        <v>0</v>
      </c>
      <c r="F191" s="2">
        <v>0</v>
      </c>
      <c r="G191" s="11"/>
    </row>
    <row r="192" spans="1:20" x14ac:dyDescent="0.25">
      <c r="A192" t="s">
        <v>149</v>
      </c>
      <c r="B192" t="s">
        <v>600</v>
      </c>
      <c r="C192" t="s">
        <v>605</v>
      </c>
      <c r="D192" s="6">
        <v>86.276686224999992</v>
      </c>
      <c r="E192" s="11">
        <v>0</v>
      </c>
      <c r="F192" s="2">
        <v>0</v>
      </c>
      <c r="G192" s="11"/>
    </row>
    <row r="193" spans="1:7" x14ac:dyDescent="0.25">
      <c r="A193" t="s">
        <v>189</v>
      </c>
      <c r="B193" t="s">
        <v>601</v>
      </c>
      <c r="C193" t="s">
        <v>605</v>
      </c>
      <c r="D193" s="6">
        <v>84.030959375999998</v>
      </c>
      <c r="E193" s="11">
        <v>0</v>
      </c>
      <c r="F193" s="2">
        <v>0</v>
      </c>
      <c r="G193" s="11"/>
    </row>
    <row r="194" spans="1:7" x14ac:dyDescent="0.25">
      <c r="A194" t="s">
        <v>150</v>
      </c>
      <c r="B194" t="s">
        <v>603</v>
      </c>
      <c r="C194" t="s">
        <v>605</v>
      </c>
      <c r="D194" s="6">
        <v>81.689606146299994</v>
      </c>
      <c r="E194" s="11">
        <v>0</v>
      </c>
      <c r="F194" s="2">
        <v>0</v>
      </c>
      <c r="G194" s="11"/>
    </row>
    <row r="195" spans="1:7" x14ac:dyDescent="0.25">
      <c r="A195" t="s">
        <v>188</v>
      </c>
      <c r="B195" t="s">
        <v>601</v>
      </c>
      <c r="C195" t="s">
        <v>605</v>
      </c>
      <c r="D195" s="6">
        <v>81.660009254000016</v>
      </c>
      <c r="E195" s="11">
        <v>0</v>
      </c>
      <c r="F195" s="2">
        <v>0</v>
      </c>
      <c r="G195" s="11"/>
    </row>
    <row r="196" spans="1:7" x14ac:dyDescent="0.25">
      <c r="A196" t="s">
        <v>153</v>
      </c>
      <c r="B196" t="s">
        <v>603</v>
      </c>
      <c r="C196" t="s">
        <v>605</v>
      </c>
      <c r="D196" s="6">
        <v>80.157393794000001</v>
      </c>
      <c r="E196" s="11">
        <v>0</v>
      </c>
      <c r="F196" s="2">
        <v>0</v>
      </c>
      <c r="G196" s="11"/>
    </row>
    <row r="197" spans="1:7" x14ac:dyDescent="0.25">
      <c r="A197" t="s">
        <v>205</v>
      </c>
      <c r="B197" t="s">
        <v>601</v>
      </c>
      <c r="C197" t="s">
        <v>605</v>
      </c>
      <c r="D197" s="6">
        <v>80.141282155999988</v>
      </c>
      <c r="E197" s="11">
        <v>0</v>
      </c>
      <c r="F197" s="2">
        <v>0</v>
      </c>
      <c r="G197" s="11"/>
    </row>
    <row r="198" spans="1:7" x14ac:dyDescent="0.25">
      <c r="A198" t="s">
        <v>504</v>
      </c>
      <c r="B198" t="s">
        <v>601</v>
      </c>
      <c r="C198" t="s">
        <v>605</v>
      </c>
      <c r="D198" s="6">
        <v>80.06769511200001</v>
      </c>
      <c r="E198" s="11">
        <v>0</v>
      </c>
      <c r="F198" s="2">
        <v>0</v>
      </c>
      <c r="G198" s="11"/>
    </row>
    <row r="199" spans="1:7" x14ac:dyDescent="0.25">
      <c r="A199" t="s">
        <v>190</v>
      </c>
      <c r="B199" t="s">
        <v>601</v>
      </c>
      <c r="C199" t="s">
        <v>605</v>
      </c>
      <c r="D199" s="6">
        <v>80.053540264000006</v>
      </c>
      <c r="E199" s="11">
        <v>0</v>
      </c>
      <c r="F199" s="2">
        <v>0</v>
      </c>
      <c r="G199" s="11"/>
    </row>
    <row r="200" spans="1:7" x14ac:dyDescent="0.25">
      <c r="A200" t="s">
        <v>177</v>
      </c>
      <c r="B200" t="s">
        <v>603</v>
      </c>
      <c r="C200" t="s">
        <v>605</v>
      </c>
      <c r="D200" s="6">
        <v>78.955177075000009</v>
      </c>
      <c r="E200" s="11">
        <v>0</v>
      </c>
      <c r="F200" s="2">
        <v>0</v>
      </c>
      <c r="G200" s="11"/>
    </row>
    <row r="201" spans="1:7" x14ac:dyDescent="0.25">
      <c r="A201" t="s">
        <v>158</v>
      </c>
      <c r="B201" t="s">
        <v>600</v>
      </c>
      <c r="C201" t="s">
        <v>605</v>
      </c>
      <c r="D201" s="6">
        <v>76.635276687000015</v>
      </c>
      <c r="E201" s="11">
        <v>0</v>
      </c>
      <c r="F201" s="2">
        <v>0</v>
      </c>
      <c r="G201" s="11"/>
    </row>
    <row r="202" spans="1:7" x14ac:dyDescent="0.25">
      <c r="A202" t="s">
        <v>125</v>
      </c>
      <c r="B202" t="s">
        <v>600</v>
      </c>
      <c r="C202" t="s">
        <v>605</v>
      </c>
      <c r="D202" s="6">
        <v>74.398401312000004</v>
      </c>
      <c r="E202" s="11">
        <v>0</v>
      </c>
      <c r="F202" s="2">
        <v>0</v>
      </c>
      <c r="G202" s="11"/>
    </row>
    <row r="203" spans="1:7" x14ac:dyDescent="0.25">
      <c r="A203" t="s">
        <v>242</v>
      </c>
      <c r="B203" t="s">
        <v>602</v>
      </c>
      <c r="C203" t="s">
        <v>605</v>
      </c>
      <c r="D203" s="6">
        <v>74.175165574000005</v>
      </c>
      <c r="E203" s="11">
        <v>0</v>
      </c>
      <c r="F203" s="2">
        <v>0</v>
      </c>
      <c r="G203" s="11"/>
    </row>
    <row r="204" spans="1:7" x14ac:dyDescent="0.25">
      <c r="A204" t="s">
        <v>207</v>
      </c>
      <c r="B204" t="s">
        <v>603</v>
      </c>
      <c r="C204" t="s">
        <v>605</v>
      </c>
      <c r="D204" s="6">
        <v>73.033732482000005</v>
      </c>
      <c r="E204" s="11">
        <v>0</v>
      </c>
      <c r="F204" s="2">
        <v>0</v>
      </c>
      <c r="G204" s="11"/>
    </row>
    <row r="205" spans="1:7" x14ac:dyDescent="0.25">
      <c r="A205" t="s">
        <v>170</v>
      </c>
      <c r="B205" t="s">
        <v>603</v>
      </c>
      <c r="C205" t="s">
        <v>605</v>
      </c>
      <c r="D205" s="6">
        <v>72.433682099000009</v>
      </c>
      <c r="E205" s="11">
        <v>0</v>
      </c>
      <c r="F205" s="2">
        <v>0</v>
      </c>
      <c r="G205" s="11"/>
    </row>
    <row r="206" spans="1:7" x14ac:dyDescent="0.25">
      <c r="A206" t="s">
        <v>139</v>
      </c>
      <c r="B206" t="s">
        <v>600</v>
      </c>
      <c r="C206" t="s">
        <v>605</v>
      </c>
      <c r="D206" s="6">
        <v>70.797411011999998</v>
      </c>
      <c r="E206" s="11">
        <v>0</v>
      </c>
      <c r="F206" s="2">
        <v>0</v>
      </c>
      <c r="G206" s="11"/>
    </row>
    <row r="207" spans="1:7" x14ac:dyDescent="0.25">
      <c r="A207" t="s">
        <v>181</v>
      </c>
      <c r="B207" t="s">
        <v>600</v>
      </c>
      <c r="C207" t="s">
        <v>605</v>
      </c>
      <c r="D207" s="6">
        <v>69.956298191000002</v>
      </c>
      <c r="E207" s="11">
        <v>0</v>
      </c>
      <c r="F207" s="2">
        <v>0</v>
      </c>
      <c r="G207" s="11"/>
    </row>
    <row r="208" spans="1:7" x14ac:dyDescent="0.25">
      <c r="A208" t="s">
        <v>191</v>
      </c>
      <c r="B208" t="s">
        <v>601</v>
      </c>
      <c r="C208" t="s">
        <v>605</v>
      </c>
      <c r="D208" s="6">
        <v>69.608377584999999</v>
      </c>
      <c r="E208" s="11">
        <v>0</v>
      </c>
      <c r="F208" s="2">
        <v>0</v>
      </c>
      <c r="G208" s="11"/>
    </row>
    <row r="209" spans="1:7" x14ac:dyDescent="0.25">
      <c r="A209" t="s">
        <v>165</v>
      </c>
      <c r="B209" t="s">
        <v>600</v>
      </c>
      <c r="C209" t="s">
        <v>605</v>
      </c>
      <c r="D209" s="6">
        <v>69.277268844999995</v>
      </c>
      <c r="E209" s="11">
        <v>0</v>
      </c>
      <c r="F209" s="2">
        <v>0</v>
      </c>
      <c r="G209" s="11"/>
    </row>
    <row r="210" spans="1:7" x14ac:dyDescent="0.25">
      <c r="A210" t="s">
        <v>206</v>
      </c>
      <c r="B210" t="s">
        <v>601</v>
      </c>
      <c r="C210" t="s">
        <v>605</v>
      </c>
      <c r="D210" s="6">
        <v>69.165941490999998</v>
      </c>
      <c r="E210" s="11">
        <v>0</v>
      </c>
      <c r="F210" s="2">
        <v>0</v>
      </c>
      <c r="G210" s="11"/>
    </row>
    <row r="211" spans="1:7" x14ac:dyDescent="0.25">
      <c r="A211" t="s">
        <v>146</v>
      </c>
      <c r="B211" t="s">
        <v>600</v>
      </c>
      <c r="C211" t="s">
        <v>605</v>
      </c>
      <c r="D211" s="6">
        <v>69.156309481999998</v>
      </c>
      <c r="E211" s="11">
        <v>0</v>
      </c>
      <c r="F211" s="2">
        <v>0</v>
      </c>
      <c r="G211" s="11"/>
    </row>
    <row r="212" spans="1:7" x14ac:dyDescent="0.25">
      <c r="A212" t="s">
        <v>175</v>
      </c>
      <c r="B212" t="s">
        <v>600</v>
      </c>
      <c r="C212" t="s">
        <v>605</v>
      </c>
      <c r="D212" s="6">
        <v>68.742077894000005</v>
      </c>
      <c r="E212" s="11">
        <v>0</v>
      </c>
      <c r="F212" s="2">
        <v>0</v>
      </c>
      <c r="G212" s="11"/>
    </row>
    <row r="213" spans="1:7" x14ac:dyDescent="0.25">
      <c r="A213" t="s">
        <v>151</v>
      </c>
      <c r="B213" t="s">
        <v>601</v>
      </c>
      <c r="C213" t="s">
        <v>605</v>
      </c>
      <c r="D213" s="6">
        <v>67.911251104999991</v>
      </c>
      <c r="E213" s="11">
        <v>0</v>
      </c>
      <c r="F213" s="2">
        <v>0</v>
      </c>
      <c r="G213" s="11"/>
    </row>
    <row r="214" spans="1:7" x14ac:dyDescent="0.25">
      <c r="A214" t="s">
        <v>209</v>
      </c>
      <c r="B214" t="s">
        <v>603</v>
      </c>
      <c r="C214" t="s">
        <v>605</v>
      </c>
      <c r="D214" s="6">
        <v>67.811392077999997</v>
      </c>
      <c r="E214" s="11">
        <v>0</v>
      </c>
      <c r="F214" s="2">
        <v>0</v>
      </c>
      <c r="G214" s="11"/>
    </row>
    <row r="215" spans="1:7" x14ac:dyDescent="0.25">
      <c r="A215" t="s">
        <v>208</v>
      </c>
      <c r="B215" t="s">
        <v>603</v>
      </c>
      <c r="C215" t="s">
        <v>605</v>
      </c>
      <c r="D215" s="6">
        <v>67.514974947300004</v>
      </c>
      <c r="E215" s="11">
        <v>0</v>
      </c>
      <c r="F215" s="2">
        <v>0</v>
      </c>
      <c r="G215" s="11"/>
    </row>
    <row r="216" spans="1:7" x14ac:dyDescent="0.25">
      <c r="A216" t="s">
        <v>245</v>
      </c>
      <c r="B216" t="s">
        <v>603</v>
      </c>
      <c r="C216" t="s">
        <v>605</v>
      </c>
      <c r="D216" s="6">
        <v>67.479044823999999</v>
      </c>
      <c r="E216" s="11">
        <v>0</v>
      </c>
      <c r="F216" s="2">
        <v>0</v>
      </c>
      <c r="G216" s="11"/>
    </row>
    <row r="217" spans="1:7" x14ac:dyDescent="0.25">
      <c r="A217" t="s">
        <v>211</v>
      </c>
      <c r="B217" t="s">
        <v>601</v>
      </c>
      <c r="C217" t="s">
        <v>605</v>
      </c>
      <c r="D217" s="6">
        <v>67.288095728000002</v>
      </c>
      <c r="E217" s="11">
        <v>0</v>
      </c>
      <c r="F217" s="2">
        <v>0</v>
      </c>
      <c r="G217" s="11"/>
    </row>
    <row r="218" spans="1:7" x14ac:dyDescent="0.25">
      <c r="A218" t="s">
        <v>210</v>
      </c>
      <c r="B218" t="s">
        <v>601</v>
      </c>
      <c r="C218" t="s">
        <v>605</v>
      </c>
      <c r="D218" s="6">
        <v>67.088250576999997</v>
      </c>
      <c r="E218" s="11">
        <v>0</v>
      </c>
      <c r="F218" s="2">
        <v>0</v>
      </c>
      <c r="G218" s="11"/>
    </row>
    <row r="219" spans="1:7" x14ac:dyDescent="0.25">
      <c r="A219" t="s">
        <v>174</v>
      </c>
      <c r="B219" t="s">
        <v>600</v>
      </c>
      <c r="C219" t="s">
        <v>605</v>
      </c>
      <c r="D219" s="6">
        <v>67.023055962000001</v>
      </c>
      <c r="E219" s="11">
        <v>0</v>
      </c>
      <c r="F219" s="2">
        <v>0</v>
      </c>
      <c r="G219" s="11"/>
    </row>
    <row r="220" spans="1:7" x14ac:dyDescent="0.25">
      <c r="A220" t="s">
        <v>212</v>
      </c>
      <c r="B220" t="s">
        <v>601</v>
      </c>
      <c r="C220" t="s">
        <v>605</v>
      </c>
      <c r="D220" s="6">
        <v>66.013697007000005</v>
      </c>
      <c r="E220" s="11">
        <v>0</v>
      </c>
      <c r="F220" s="2">
        <v>0</v>
      </c>
      <c r="G220" s="11"/>
    </row>
    <row r="221" spans="1:7" x14ac:dyDescent="0.25">
      <c r="A221" t="s">
        <v>560</v>
      </c>
      <c r="B221" t="s">
        <v>601</v>
      </c>
      <c r="C221" t="s">
        <v>605</v>
      </c>
      <c r="D221" s="6">
        <v>65.569322851999999</v>
      </c>
      <c r="E221" s="11">
        <v>0</v>
      </c>
      <c r="F221" s="2">
        <v>0</v>
      </c>
      <c r="G221" s="11"/>
    </row>
    <row r="222" spans="1:7" x14ac:dyDescent="0.25">
      <c r="A222" t="s">
        <v>305</v>
      </c>
      <c r="B222" t="s">
        <v>601</v>
      </c>
      <c r="C222" t="s">
        <v>605</v>
      </c>
      <c r="D222" s="6">
        <v>65.528440431000007</v>
      </c>
      <c r="E222" s="11">
        <v>0</v>
      </c>
      <c r="F222" s="2">
        <v>0</v>
      </c>
      <c r="G222" s="11"/>
    </row>
    <row r="223" spans="1:7" x14ac:dyDescent="0.25">
      <c r="A223" t="s">
        <v>260</v>
      </c>
      <c r="B223" t="s">
        <v>603</v>
      </c>
      <c r="C223" t="s">
        <v>605</v>
      </c>
      <c r="D223" s="6">
        <v>65.509495513000005</v>
      </c>
      <c r="E223" s="11">
        <v>0</v>
      </c>
      <c r="F223" s="2">
        <v>0</v>
      </c>
      <c r="G223" s="11"/>
    </row>
    <row r="224" spans="1:7" x14ac:dyDescent="0.25">
      <c r="A224" t="s">
        <v>227</v>
      </c>
      <c r="B224" t="s">
        <v>603</v>
      </c>
      <c r="C224" t="s">
        <v>605</v>
      </c>
      <c r="D224" s="6">
        <v>65.197793505000007</v>
      </c>
      <c r="E224" s="11">
        <v>0</v>
      </c>
      <c r="F224" s="2">
        <v>0</v>
      </c>
      <c r="G224" s="11"/>
    </row>
    <row r="225" spans="1:7" x14ac:dyDescent="0.25">
      <c r="A225" t="s">
        <v>180</v>
      </c>
      <c r="B225" t="s">
        <v>600</v>
      </c>
      <c r="C225" t="s">
        <v>605</v>
      </c>
      <c r="D225" s="6">
        <v>65.076669101000007</v>
      </c>
      <c r="E225" s="11">
        <v>0</v>
      </c>
      <c r="F225" s="2">
        <v>0</v>
      </c>
      <c r="G225" s="11"/>
    </row>
    <row r="226" spans="1:7" x14ac:dyDescent="0.25">
      <c r="A226" t="s">
        <v>10</v>
      </c>
      <c r="B226" t="s">
        <v>602</v>
      </c>
      <c r="C226" t="s">
        <v>590</v>
      </c>
      <c r="D226" s="6">
        <v>65.031500512999983</v>
      </c>
      <c r="E226" s="11">
        <v>-65.907114348000007</v>
      </c>
      <c r="F226" s="2">
        <v>65.907114348000007</v>
      </c>
      <c r="G226" s="11"/>
    </row>
    <row r="227" spans="1:7" x14ac:dyDescent="0.25">
      <c r="A227" t="s">
        <v>216</v>
      </c>
      <c r="B227" t="s">
        <v>601</v>
      </c>
      <c r="C227" t="s">
        <v>605</v>
      </c>
      <c r="D227" s="6">
        <v>64.810021954999996</v>
      </c>
      <c r="E227" s="11">
        <v>0</v>
      </c>
      <c r="F227" s="2">
        <v>0</v>
      </c>
      <c r="G227" s="11"/>
    </row>
    <row r="228" spans="1:7" x14ac:dyDescent="0.25">
      <c r="A228" t="s">
        <v>171</v>
      </c>
      <c r="B228" t="s">
        <v>603</v>
      </c>
      <c r="C228" t="s">
        <v>605</v>
      </c>
      <c r="D228" s="6">
        <v>63.810883610000005</v>
      </c>
      <c r="E228" s="11">
        <v>0</v>
      </c>
      <c r="F228" s="2">
        <v>0</v>
      </c>
      <c r="G228" s="11"/>
    </row>
    <row r="229" spans="1:7" x14ac:dyDescent="0.25">
      <c r="A229" t="s">
        <v>229</v>
      </c>
      <c r="B229" t="s">
        <v>603</v>
      </c>
      <c r="C229" t="s">
        <v>605</v>
      </c>
      <c r="D229" s="6">
        <v>63.672269049000008</v>
      </c>
      <c r="E229" s="11">
        <v>0</v>
      </c>
      <c r="F229" s="2">
        <v>0</v>
      </c>
      <c r="G229" s="11"/>
    </row>
    <row r="230" spans="1:7" x14ac:dyDescent="0.25">
      <c r="A230" t="s">
        <v>517</v>
      </c>
      <c r="B230" t="s">
        <v>600</v>
      </c>
      <c r="C230" t="s">
        <v>605</v>
      </c>
      <c r="D230" s="6">
        <v>61.964603234999998</v>
      </c>
      <c r="E230" s="11">
        <v>0</v>
      </c>
      <c r="F230" s="2">
        <v>0</v>
      </c>
      <c r="G230" s="11"/>
    </row>
    <row r="231" spans="1:7" x14ac:dyDescent="0.25">
      <c r="A231" t="s">
        <v>267</v>
      </c>
      <c r="B231" t="s">
        <v>602</v>
      </c>
      <c r="C231" t="s">
        <v>605</v>
      </c>
      <c r="D231" s="6">
        <v>60.303793020000008</v>
      </c>
      <c r="E231" s="11">
        <v>0</v>
      </c>
      <c r="F231" s="2">
        <v>0</v>
      </c>
      <c r="G231" s="11"/>
    </row>
    <row r="232" spans="1:7" x14ac:dyDescent="0.25">
      <c r="A232" t="s">
        <v>217</v>
      </c>
      <c r="B232" t="s">
        <v>601</v>
      </c>
      <c r="C232" t="s">
        <v>605</v>
      </c>
      <c r="D232" s="6">
        <v>59.709973763000001</v>
      </c>
      <c r="E232" s="11">
        <v>0</v>
      </c>
      <c r="F232" s="2">
        <v>0</v>
      </c>
      <c r="G232" s="11"/>
    </row>
    <row r="233" spans="1:7" x14ac:dyDescent="0.25">
      <c r="A233" t="s">
        <v>184</v>
      </c>
      <c r="B233" t="s">
        <v>600</v>
      </c>
      <c r="C233" t="s">
        <v>605</v>
      </c>
      <c r="D233" s="6">
        <v>59.239838274</v>
      </c>
      <c r="E233" s="11">
        <v>0</v>
      </c>
      <c r="F233" s="2">
        <v>0</v>
      </c>
      <c r="G233" s="11"/>
    </row>
    <row r="234" spans="1:7" x14ac:dyDescent="0.25">
      <c r="A234" t="s">
        <v>192</v>
      </c>
      <c r="B234" t="s">
        <v>600</v>
      </c>
      <c r="C234" t="s">
        <v>605</v>
      </c>
      <c r="D234" s="6">
        <v>59.156979229999997</v>
      </c>
      <c r="E234" s="11">
        <v>0</v>
      </c>
      <c r="F234" s="2">
        <v>0</v>
      </c>
      <c r="G234" s="11"/>
    </row>
    <row r="235" spans="1:7" x14ac:dyDescent="0.25">
      <c r="A235" t="s">
        <v>228</v>
      </c>
      <c r="B235" t="s">
        <v>603</v>
      </c>
      <c r="C235" t="s">
        <v>605</v>
      </c>
      <c r="D235" s="6">
        <v>59.009912809900001</v>
      </c>
      <c r="E235" s="11">
        <v>0</v>
      </c>
      <c r="F235" s="2">
        <v>0</v>
      </c>
      <c r="G235" s="11"/>
    </row>
    <row r="236" spans="1:7" x14ac:dyDescent="0.25">
      <c r="A236" t="s">
        <v>187</v>
      </c>
      <c r="B236" t="s">
        <v>601</v>
      </c>
      <c r="C236" t="s">
        <v>605</v>
      </c>
      <c r="D236" s="6">
        <v>58.971268402000007</v>
      </c>
      <c r="E236" s="11">
        <v>0</v>
      </c>
      <c r="F236" s="2">
        <v>0</v>
      </c>
      <c r="G236" s="11"/>
    </row>
    <row r="237" spans="1:7" x14ac:dyDescent="0.25">
      <c r="A237" t="s">
        <v>218</v>
      </c>
      <c r="B237" t="s">
        <v>601</v>
      </c>
      <c r="C237" t="s">
        <v>605</v>
      </c>
      <c r="D237" s="6">
        <v>58.926062508000001</v>
      </c>
      <c r="E237" s="11">
        <v>0</v>
      </c>
      <c r="F237" s="2">
        <v>0</v>
      </c>
      <c r="G237" s="11"/>
    </row>
    <row r="238" spans="1:7" x14ac:dyDescent="0.25">
      <c r="A238" t="s">
        <v>155</v>
      </c>
      <c r="B238" t="s">
        <v>603</v>
      </c>
      <c r="C238" t="s">
        <v>605</v>
      </c>
      <c r="D238" s="6">
        <v>58.694149019999998</v>
      </c>
      <c r="E238" s="11">
        <v>0</v>
      </c>
      <c r="F238" s="2">
        <v>0</v>
      </c>
      <c r="G238" s="11"/>
    </row>
    <row r="239" spans="1:7" x14ac:dyDescent="0.25">
      <c r="A239" t="s">
        <v>219</v>
      </c>
      <c r="B239" t="s">
        <v>601</v>
      </c>
      <c r="C239" t="s">
        <v>605</v>
      </c>
      <c r="D239" s="6">
        <v>58.590700656000003</v>
      </c>
      <c r="E239" s="11">
        <v>0</v>
      </c>
      <c r="F239" s="2">
        <v>0</v>
      </c>
      <c r="G239" s="11"/>
    </row>
    <row r="240" spans="1:7" x14ac:dyDescent="0.25">
      <c r="A240" t="s">
        <v>244</v>
      </c>
      <c r="B240" t="s">
        <v>603</v>
      </c>
      <c r="C240" t="s">
        <v>605</v>
      </c>
      <c r="D240" s="6">
        <v>58.542301483000003</v>
      </c>
      <c r="E240" s="11">
        <v>0</v>
      </c>
      <c r="F240" s="2">
        <v>0</v>
      </c>
      <c r="G240" s="11"/>
    </row>
    <row r="241" spans="1:7" x14ac:dyDescent="0.25">
      <c r="A241" t="s">
        <v>183</v>
      </c>
      <c r="B241" t="s">
        <v>600</v>
      </c>
      <c r="C241" t="s">
        <v>605</v>
      </c>
      <c r="D241" s="6">
        <v>58.180901046000002</v>
      </c>
      <c r="E241" s="11">
        <v>0</v>
      </c>
      <c r="F241" s="2">
        <v>0</v>
      </c>
      <c r="G241" s="11"/>
    </row>
    <row r="242" spans="1:7" x14ac:dyDescent="0.25">
      <c r="A242" t="s">
        <v>256</v>
      </c>
      <c r="B242" t="s">
        <v>603</v>
      </c>
      <c r="C242" t="s">
        <v>605</v>
      </c>
      <c r="D242" s="6">
        <v>56.788358086000002</v>
      </c>
      <c r="E242" s="11">
        <v>0</v>
      </c>
      <c r="F242" s="2">
        <v>0</v>
      </c>
      <c r="G242" s="11"/>
    </row>
    <row r="243" spans="1:7" x14ac:dyDescent="0.25">
      <c r="A243" t="s">
        <v>230</v>
      </c>
      <c r="B243" t="s">
        <v>603</v>
      </c>
      <c r="C243" t="s">
        <v>605</v>
      </c>
      <c r="D243" s="6">
        <v>55.986562344999996</v>
      </c>
      <c r="E243" s="11">
        <v>0</v>
      </c>
      <c r="F243" s="2">
        <v>0</v>
      </c>
      <c r="G243" s="11"/>
    </row>
    <row r="244" spans="1:7" x14ac:dyDescent="0.25">
      <c r="A244" t="s">
        <v>255</v>
      </c>
      <c r="B244" t="s">
        <v>603</v>
      </c>
      <c r="C244" t="s">
        <v>605</v>
      </c>
      <c r="D244" s="6">
        <v>55.798185548999996</v>
      </c>
      <c r="E244" s="11">
        <v>0</v>
      </c>
      <c r="F244" s="2">
        <v>0</v>
      </c>
      <c r="G244" s="11"/>
    </row>
    <row r="245" spans="1:7" x14ac:dyDescent="0.25">
      <c r="A245" t="s">
        <v>220</v>
      </c>
      <c r="B245" t="s">
        <v>601</v>
      </c>
      <c r="C245" t="s">
        <v>605</v>
      </c>
      <c r="D245" s="6">
        <v>55.158419272000003</v>
      </c>
      <c r="E245" s="11">
        <v>0</v>
      </c>
      <c r="F245" s="2">
        <v>0</v>
      </c>
      <c r="G245" s="11"/>
    </row>
    <row r="246" spans="1:7" x14ac:dyDescent="0.25">
      <c r="A246" t="s">
        <v>234</v>
      </c>
      <c r="B246" t="s">
        <v>602</v>
      </c>
      <c r="C246" t="s">
        <v>605</v>
      </c>
      <c r="D246" s="6">
        <v>54.727128280999999</v>
      </c>
      <c r="E246" s="11">
        <v>0</v>
      </c>
      <c r="F246" s="2">
        <v>0</v>
      </c>
      <c r="G246" s="11"/>
    </row>
    <row r="247" spans="1:7" x14ac:dyDescent="0.25">
      <c r="A247" t="s">
        <v>364</v>
      </c>
      <c r="B247" t="s">
        <v>601</v>
      </c>
      <c r="C247" t="s">
        <v>605</v>
      </c>
      <c r="D247" s="6">
        <v>53.843992701999994</v>
      </c>
      <c r="E247" s="11">
        <v>0</v>
      </c>
      <c r="F247" s="2">
        <v>0</v>
      </c>
      <c r="G247" s="11"/>
    </row>
    <row r="248" spans="1:7" x14ac:dyDescent="0.25">
      <c r="A248" t="s">
        <v>141</v>
      </c>
      <c r="B248" t="s">
        <v>601</v>
      </c>
      <c r="C248" t="s">
        <v>605</v>
      </c>
      <c r="D248" s="6">
        <v>53.777426045000006</v>
      </c>
      <c r="E248" s="11">
        <v>0</v>
      </c>
      <c r="F248" s="2">
        <v>0</v>
      </c>
      <c r="G248" s="11"/>
    </row>
    <row r="249" spans="1:7" x14ac:dyDescent="0.25">
      <c r="A249" t="s">
        <v>259</v>
      </c>
      <c r="B249" t="s">
        <v>603</v>
      </c>
      <c r="C249" t="s">
        <v>605</v>
      </c>
      <c r="D249" s="6">
        <v>53.484078967000002</v>
      </c>
      <c r="E249" s="11">
        <v>0</v>
      </c>
      <c r="F249" s="2">
        <v>0</v>
      </c>
      <c r="G249" s="11"/>
    </row>
    <row r="250" spans="1:7" x14ac:dyDescent="0.25">
      <c r="A250" t="s">
        <v>246</v>
      </c>
      <c r="B250" t="s">
        <v>603</v>
      </c>
      <c r="C250" t="s">
        <v>605</v>
      </c>
      <c r="D250" s="6">
        <v>52.823555480000003</v>
      </c>
      <c r="E250" s="11">
        <v>0</v>
      </c>
      <c r="F250" s="2">
        <v>0</v>
      </c>
      <c r="G250" s="11"/>
    </row>
    <row r="251" spans="1:7" x14ac:dyDescent="0.25">
      <c r="A251" t="s">
        <v>193</v>
      </c>
      <c r="B251" t="s">
        <v>600</v>
      </c>
      <c r="C251" t="s">
        <v>605</v>
      </c>
      <c r="D251" s="6">
        <v>52.680016171000005</v>
      </c>
      <c r="E251" s="11">
        <v>0</v>
      </c>
      <c r="F251" s="2">
        <v>0</v>
      </c>
      <c r="G251" s="11"/>
    </row>
    <row r="252" spans="1:7" x14ac:dyDescent="0.25">
      <c r="A252" t="s">
        <v>281</v>
      </c>
      <c r="B252" t="s">
        <v>601</v>
      </c>
      <c r="C252" t="s">
        <v>605</v>
      </c>
      <c r="D252" s="6">
        <v>52.344499041999995</v>
      </c>
      <c r="E252" s="11">
        <v>0</v>
      </c>
      <c r="F252" s="2">
        <v>0</v>
      </c>
      <c r="G252" s="11"/>
    </row>
    <row r="253" spans="1:7" x14ac:dyDescent="0.25">
      <c r="A253" t="s">
        <v>561</v>
      </c>
      <c r="B253" t="s">
        <v>601</v>
      </c>
      <c r="C253" t="s">
        <v>605</v>
      </c>
      <c r="D253" s="6">
        <v>52.295901121000007</v>
      </c>
      <c r="E253" s="11">
        <v>0</v>
      </c>
      <c r="F253" s="2">
        <v>0</v>
      </c>
      <c r="G253" s="11"/>
    </row>
    <row r="254" spans="1:7" x14ac:dyDescent="0.25">
      <c r="A254" t="s">
        <v>198</v>
      </c>
      <c r="B254" t="s">
        <v>600</v>
      </c>
      <c r="C254" t="s">
        <v>605</v>
      </c>
      <c r="D254" s="6">
        <v>51.465295196</v>
      </c>
      <c r="E254" s="11">
        <v>0</v>
      </c>
      <c r="F254" s="2">
        <v>0</v>
      </c>
      <c r="G254" s="11"/>
    </row>
    <row r="255" spans="1:7" x14ac:dyDescent="0.25">
      <c r="A255" t="s">
        <v>196</v>
      </c>
      <c r="B255" t="s">
        <v>600</v>
      </c>
      <c r="C255" t="s">
        <v>605</v>
      </c>
      <c r="D255" s="6">
        <v>51.091159591999997</v>
      </c>
      <c r="E255" s="11">
        <v>0</v>
      </c>
      <c r="F255" s="2">
        <v>0</v>
      </c>
      <c r="G255" s="11"/>
    </row>
    <row r="256" spans="1:7" x14ac:dyDescent="0.25">
      <c r="A256" t="s">
        <v>197</v>
      </c>
      <c r="B256" t="s">
        <v>600</v>
      </c>
      <c r="C256" t="s">
        <v>605</v>
      </c>
      <c r="D256" s="6">
        <v>50.330743812999998</v>
      </c>
      <c r="E256" s="11">
        <v>0</v>
      </c>
      <c r="F256" s="2">
        <v>0</v>
      </c>
      <c r="G256" s="11"/>
    </row>
    <row r="257" spans="1:7" x14ac:dyDescent="0.25">
      <c r="A257" t="s">
        <v>257</v>
      </c>
      <c r="B257" t="s">
        <v>603</v>
      </c>
      <c r="C257" t="s">
        <v>605</v>
      </c>
      <c r="D257" s="6">
        <v>50.227778424999997</v>
      </c>
      <c r="E257" s="11">
        <v>0</v>
      </c>
      <c r="F257" s="2">
        <v>0</v>
      </c>
      <c r="G257" s="11"/>
    </row>
    <row r="258" spans="1:7" x14ac:dyDescent="0.25">
      <c r="A258" t="s">
        <v>231</v>
      </c>
      <c r="B258" t="s">
        <v>601</v>
      </c>
      <c r="C258" t="s">
        <v>605</v>
      </c>
      <c r="D258" s="6">
        <v>50.185269759999997</v>
      </c>
      <c r="E258" s="11">
        <v>0</v>
      </c>
      <c r="F258" s="2">
        <v>0</v>
      </c>
      <c r="G258" s="11"/>
    </row>
    <row r="259" spans="1:7" x14ac:dyDescent="0.25">
      <c r="A259" t="s">
        <v>247</v>
      </c>
      <c r="B259" t="s">
        <v>602</v>
      </c>
      <c r="C259" t="s">
        <v>605</v>
      </c>
      <c r="D259" s="6">
        <v>50.104022910000005</v>
      </c>
      <c r="E259" s="11">
        <v>0</v>
      </c>
      <c r="F259" s="2">
        <v>0</v>
      </c>
      <c r="G259" s="11"/>
    </row>
    <row r="260" spans="1:7" x14ac:dyDescent="0.25">
      <c r="A260" t="s">
        <v>135</v>
      </c>
      <c r="B260" t="s">
        <v>600</v>
      </c>
      <c r="C260" t="s">
        <v>605</v>
      </c>
      <c r="D260" s="6">
        <v>49.819778201000005</v>
      </c>
      <c r="E260" s="11">
        <v>0</v>
      </c>
      <c r="F260" s="2">
        <v>0</v>
      </c>
      <c r="G260" s="11"/>
    </row>
    <row r="261" spans="1:7" x14ac:dyDescent="0.25">
      <c r="A261" t="s">
        <v>232</v>
      </c>
      <c r="B261" t="s">
        <v>601</v>
      </c>
      <c r="C261" t="s">
        <v>605</v>
      </c>
      <c r="D261" s="6">
        <v>49.362515629000001</v>
      </c>
      <c r="E261" s="11">
        <v>0</v>
      </c>
      <c r="F261" s="2">
        <v>0</v>
      </c>
      <c r="G261" s="11"/>
    </row>
    <row r="262" spans="1:7" x14ac:dyDescent="0.25">
      <c r="A262" t="s">
        <v>194</v>
      </c>
      <c r="B262" t="s">
        <v>600</v>
      </c>
      <c r="C262" t="s">
        <v>605</v>
      </c>
      <c r="D262" s="6">
        <v>49.311650617000005</v>
      </c>
      <c r="E262" s="11">
        <v>0</v>
      </c>
      <c r="F262" s="2">
        <v>0</v>
      </c>
      <c r="G262" s="11"/>
    </row>
    <row r="263" spans="1:7" x14ac:dyDescent="0.25">
      <c r="A263" t="s">
        <v>277</v>
      </c>
      <c r="B263" t="s">
        <v>601</v>
      </c>
      <c r="C263" t="s">
        <v>605</v>
      </c>
      <c r="D263" s="6">
        <v>48.459744029000007</v>
      </c>
      <c r="E263" s="11">
        <v>0</v>
      </c>
      <c r="F263" s="2">
        <v>0</v>
      </c>
      <c r="G263" s="11"/>
    </row>
    <row r="264" spans="1:7" x14ac:dyDescent="0.25">
      <c r="A264" t="s">
        <v>276</v>
      </c>
      <c r="B264" t="s">
        <v>601</v>
      </c>
      <c r="C264" t="s">
        <v>605</v>
      </c>
      <c r="D264" s="6">
        <v>47.791057066</v>
      </c>
      <c r="E264" s="11">
        <v>0</v>
      </c>
      <c r="F264" s="2">
        <v>0</v>
      </c>
      <c r="G264" s="11"/>
    </row>
    <row r="265" spans="1:7" x14ac:dyDescent="0.25">
      <c r="A265" t="s">
        <v>201</v>
      </c>
      <c r="B265" t="s">
        <v>600</v>
      </c>
      <c r="C265" t="s">
        <v>605</v>
      </c>
      <c r="D265" s="6">
        <v>46.672737161000001</v>
      </c>
      <c r="E265" s="11">
        <v>0</v>
      </c>
      <c r="F265" s="2">
        <v>0</v>
      </c>
      <c r="G265" s="11"/>
    </row>
    <row r="266" spans="1:7" x14ac:dyDescent="0.25">
      <c r="A266" t="s">
        <v>279</v>
      </c>
      <c r="B266" t="s">
        <v>601</v>
      </c>
      <c r="C266" t="s">
        <v>605</v>
      </c>
      <c r="D266" s="6">
        <v>46.380212968999999</v>
      </c>
      <c r="E266" s="11">
        <v>0</v>
      </c>
      <c r="F266" s="2">
        <v>0</v>
      </c>
      <c r="G266" s="11"/>
    </row>
    <row r="267" spans="1:7" x14ac:dyDescent="0.25">
      <c r="A267" t="s">
        <v>278</v>
      </c>
      <c r="B267" t="s">
        <v>601</v>
      </c>
      <c r="C267" t="s">
        <v>605</v>
      </c>
      <c r="D267" s="6">
        <v>46.331012690000001</v>
      </c>
      <c r="E267" s="11">
        <v>0</v>
      </c>
      <c r="F267" s="2">
        <v>0</v>
      </c>
      <c r="G267" s="11"/>
    </row>
    <row r="268" spans="1:7" x14ac:dyDescent="0.25">
      <c r="A268" t="s">
        <v>200</v>
      </c>
      <c r="B268" t="s">
        <v>600</v>
      </c>
      <c r="C268" t="s">
        <v>605</v>
      </c>
      <c r="D268" s="6">
        <v>46.323435495000005</v>
      </c>
      <c r="E268" s="11">
        <v>0</v>
      </c>
      <c r="F268" s="2">
        <v>0</v>
      </c>
      <c r="G268" s="11"/>
    </row>
    <row r="269" spans="1:7" x14ac:dyDescent="0.25">
      <c r="A269" t="s">
        <v>258</v>
      </c>
      <c r="B269" t="s">
        <v>603</v>
      </c>
      <c r="C269" t="s">
        <v>605</v>
      </c>
      <c r="D269" s="6">
        <v>45.773635335000002</v>
      </c>
      <c r="E269" s="11">
        <v>0</v>
      </c>
      <c r="F269" s="2">
        <v>0</v>
      </c>
      <c r="G269" s="11"/>
    </row>
    <row r="270" spans="1:7" x14ac:dyDescent="0.25">
      <c r="A270" t="s">
        <v>269</v>
      </c>
      <c r="B270" t="s">
        <v>602</v>
      </c>
      <c r="C270" t="s">
        <v>605</v>
      </c>
      <c r="D270" s="6">
        <v>45.441022114000006</v>
      </c>
      <c r="E270" s="11">
        <v>0</v>
      </c>
      <c r="F270" s="2">
        <v>0</v>
      </c>
      <c r="G270" s="11"/>
    </row>
    <row r="271" spans="1:7" x14ac:dyDescent="0.25">
      <c r="A271" t="s">
        <v>261</v>
      </c>
      <c r="B271" t="s">
        <v>603</v>
      </c>
      <c r="C271" t="s">
        <v>605</v>
      </c>
      <c r="D271" s="6">
        <v>44.369006753000001</v>
      </c>
      <c r="E271" s="11">
        <v>0</v>
      </c>
      <c r="F271" s="2">
        <v>0</v>
      </c>
      <c r="G271" s="11"/>
    </row>
    <row r="272" spans="1:7" x14ac:dyDescent="0.25">
      <c r="A272" t="s">
        <v>202</v>
      </c>
      <c r="B272" t="s">
        <v>600</v>
      </c>
      <c r="C272" t="s">
        <v>605</v>
      </c>
      <c r="D272" s="6">
        <v>44.2730393995</v>
      </c>
      <c r="E272" s="11">
        <v>0</v>
      </c>
      <c r="F272" s="2">
        <v>0</v>
      </c>
      <c r="G272" s="11"/>
    </row>
    <row r="273" spans="1:7" x14ac:dyDescent="0.25">
      <c r="A273" t="s">
        <v>203</v>
      </c>
      <c r="B273" t="s">
        <v>600</v>
      </c>
      <c r="C273" t="s">
        <v>605</v>
      </c>
      <c r="D273" s="6">
        <v>43.873500693000004</v>
      </c>
      <c r="E273" s="11">
        <v>0</v>
      </c>
      <c r="F273" s="2">
        <v>0</v>
      </c>
      <c r="G273" s="11"/>
    </row>
    <row r="274" spans="1:7" x14ac:dyDescent="0.25">
      <c r="A274" t="s">
        <v>268</v>
      </c>
      <c r="B274" t="s">
        <v>602</v>
      </c>
      <c r="C274" t="s">
        <v>605</v>
      </c>
      <c r="D274" s="6">
        <v>43.573722447999998</v>
      </c>
      <c r="E274" s="11">
        <v>0</v>
      </c>
      <c r="F274" s="2">
        <v>0</v>
      </c>
      <c r="G274" s="11"/>
    </row>
    <row r="275" spans="1:7" x14ac:dyDescent="0.25">
      <c r="A275" t="s">
        <v>147</v>
      </c>
      <c r="B275" t="s">
        <v>600</v>
      </c>
      <c r="C275" t="s">
        <v>605</v>
      </c>
      <c r="D275" s="6">
        <v>42.697585412000002</v>
      </c>
      <c r="E275" s="11">
        <v>0</v>
      </c>
      <c r="F275" s="2">
        <v>0</v>
      </c>
      <c r="G275" s="11"/>
    </row>
    <row r="276" spans="1:7" x14ac:dyDescent="0.25">
      <c r="A276" t="s">
        <v>199</v>
      </c>
      <c r="B276" t="s">
        <v>600</v>
      </c>
      <c r="C276" t="s">
        <v>605</v>
      </c>
      <c r="D276" s="6">
        <v>42.101161836999999</v>
      </c>
      <c r="E276" s="11">
        <v>0</v>
      </c>
      <c r="F276" s="2">
        <v>0</v>
      </c>
      <c r="G276" s="11"/>
    </row>
    <row r="277" spans="1:7" x14ac:dyDescent="0.25">
      <c r="A277" t="s">
        <v>280</v>
      </c>
      <c r="B277" t="s">
        <v>601</v>
      </c>
      <c r="C277" t="s">
        <v>605</v>
      </c>
      <c r="D277" s="6">
        <v>41.868146721000002</v>
      </c>
      <c r="E277" s="11">
        <v>0</v>
      </c>
      <c r="F277" s="2">
        <v>0</v>
      </c>
      <c r="G277" s="11"/>
    </row>
    <row r="278" spans="1:7" x14ac:dyDescent="0.25">
      <c r="A278" t="s">
        <v>213</v>
      </c>
      <c r="B278" t="s">
        <v>600</v>
      </c>
      <c r="C278" t="s">
        <v>605</v>
      </c>
      <c r="D278" s="6">
        <v>40.262584128</v>
      </c>
      <c r="E278" s="11">
        <v>0</v>
      </c>
      <c r="F278" s="2">
        <v>0</v>
      </c>
      <c r="G278" s="11"/>
    </row>
    <row r="279" spans="1:7" x14ac:dyDescent="0.25">
      <c r="A279" t="s">
        <v>262</v>
      </c>
      <c r="B279" t="s">
        <v>603</v>
      </c>
      <c r="C279" t="s">
        <v>605</v>
      </c>
      <c r="D279" s="6">
        <v>39.920208797000001</v>
      </c>
      <c r="E279" s="11">
        <v>0</v>
      </c>
      <c r="F279" s="2">
        <v>0</v>
      </c>
      <c r="G279" s="11"/>
    </row>
    <row r="280" spans="1:7" x14ac:dyDescent="0.25">
      <c r="A280" t="s">
        <v>297</v>
      </c>
      <c r="B280" t="s">
        <v>601</v>
      </c>
      <c r="C280" t="s">
        <v>605</v>
      </c>
      <c r="D280" s="6">
        <v>39.629787698000001</v>
      </c>
      <c r="E280" s="11">
        <v>0</v>
      </c>
      <c r="F280" s="2">
        <v>0</v>
      </c>
      <c r="G280" s="11"/>
    </row>
    <row r="281" spans="1:7" x14ac:dyDescent="0.25">
      <c r="A281" t="s">
        <v>509</v>
      </c>
      <c r="B281" t="s">
        <v>601</v>
      </c>
      <c r="C281" t="s">
        <v>605</v>
      </c>
      <c r="D281" s="6">
        <v>39.618210637000004</v>
      </c>
      <c r="E281" s="11">
        <v>0</v>
      </c>
      <c r="F281" s="2">
        <v>0</v>
      </c>
      <c r="G281" s="11"/>
    </row>
    <row r="282" spans="1:7" x14ac:dyDescent="0.25">
      <c r="A282" t="s">
        <v>283</v>
      </c>
      <c r="B282" t="s">
        <v>601</v>
      </c>
      <c r="C282" t="s">
        <v>605</v>
      </c>
      <c r="D282" s="6">
        <v>39.279282957999996</v>
      </c>
      <c r="E282" s="11">
        <v>0</v>
      </c>
      <c r="F282" s="2">
        <v>0</v>
      </c>
      <c r="G282" s="11"/>
    </row>
    <row r="283" spans="1:7" x14ac:dyDescent="0.25">
      <c r="A283" t="s">
        <v>195</v>
      </c>
      <c r="B283" t="s">
        <v>600</v>
      </c>
      <c r="C283" t="s">
        <v>605</v>
      </c>
      <c r="D283" s="6">
        <v>38.823588071000003</v>
      </c>
      <c r="E283" s="11">
        <v>0</v>
      </c>
      <c r="F283" s="2">
        <v>0</v>
      </c>
      <c r="G283" s="11"/>
    </row>
    <row r="284" spans="1:7" x14ac:dyDescent="0.25">
      <c r="A284" t="s">
        <v>204</v>
      </c>
      <c r="B284" t="s">
        <v>600</v>
      </c>
      <c r="C284" t="s">
        <v>605</v>
      </c>
      <c r="D284" s="6">
        <v>38.615457324499999</v>
      </c>
      <c r="E284" s="11">
        <v>0</v>
      </c>
      <c r="F284" s="2">
        <v>0</v>
      </c>
      <c r="G284" s="11"/>
    </row>
    <row r="285" spans="1:7" x14ac:dyDescent="0.25">
      <c r="A285" t="s">
        <v>214</v>
      </c>
      <c r="B285" t="s">
        <v>600</v>
      </c>
      <c r="C285" t="s">
        <v>605</v>
      </c>
      <c r="D285" s="6">
        <v>38.404177318500004</v>
      </c>
      <c r="E285" s="11">
        <v>0</v>
      </c>
      <c r="F285" s="2">
        <v>0</v>
      </c>
      <c r="G285" s="11"/>
    </row>
    <row r="286" spans="1:7" x14ac:dyDescent="0.25">
      <c r="A286" t="s">
        <v>250</v>
      </c>
      <c r="B286" t="s">
        <v>602</v>
      </c>
      <c r="C286" t="s">
        <v>605</v>
      </c>
      <c r="D286" s="6">
        <v>37.831117038000002</v>
      </c>
      <c r="E286" s="11">
        <v>0</v>
      </c>
      <c r="F286" s="2">
        <v>0</v>
      </c>
      <c r="G286" s="11"/>
    </row>
    <row r="287" spans="1:7" x14ac:dyDescent="0.25">
      <c r="A287" t="s">
        <v>284</v>
      </c>
      <c r="B287" t="s">
        <v>601</v>
      </c>
      <c r="C287" t="s">
        <v>605</v>
      </c>
      <c r="D287" s="6">
        <v>37.643801531000001</v>
      </c>
      <c r="E287" s="11">
        <v>0</v>
      </c>
      <c r="F287" s="2">
        <v>0</v>
      </c>
      <c r="G287" s="11"/>
    </row>
    <row r="288" spans="1:7" x14ac:dyDescent="0.25">
      <c r="A288" t="s">
        <v>271</v>
      </c>
      <c r="B288" t="s">
        <v>602</v>
      </c>
      <c r="C288" t="s">
        <v>605</v>
      </c>
      <c r="D288" s="6">
        <v>37.509937667999999</v>
      </c>
      <c r="E288" s="11">
        <v>0</v>
      </c>
      <c r="F288" s="2">
        <v>0</v>
      </c>
      <c r="G288" s="11"/>
    </row>
    <row r="289" spans="1:7" x14ac:dyDescent="0.25">
      <c r="A289" t="s">
        <v>282</v>
      </c>
      <c r="B289" t="s">
        <v>601</v>
      </c>
      <c r="C289" t="s">
        <v>605</v>
      </c>
      <c r="D289" s="6">
        <v>37.104590260999998</v>
      </c>
      <c r="E289" s="11">
        <v>0</v>
      </c>
      <c r="F289" s="2">
        <v>0</v>
      </c>
      <c r="G289" s="11"/>
    </row>
    <row r="290" spans="1:7" x14ac:dyDescent="0.25">
      <c r="A290" t="s">
        <v>275</v>
      </c>
      <c r="B290" t="s">
        <v>602</v>
      </c>
      <c r="C290" t="s">
        <v>605</v>
      </c>
      <c r="D290" s="6">
        <v>36.973926465000005</v>
      </c>
      <c r="E290" s="11">
        <v>0</v>
      </c>
      <c r="F290" s="2">
        <v>0</v>
      </c>
      <c r="G290" s="11"/>
    </row>
    <row r="291" spans="1:7" x14ac:dyDescent="0.25">
      <c r="A291" t="s">
        <v>264</v>
      </c>
      <c r="B291" t="s">
        <v>603</v>
      </c>
      <c r="C291" t="s">
        <v>605</v>
      </c>
      <c r="D291" s="6">
        <v>36.837876612000002</v>
      </c>
      <c r="E291" s="11">
        <v>0</v>
      </c>
      <c r="F291" s="2">
        <v>0</v>
      </c>
      <c r="G291" s="11"/>
    </row>
    <row r="292" spans="1:7" x14ac:dyDescent="0.25">
      <c r="A292" t="s">
        <v>263</v>
      </c>
      <c r="B292" t="s">
        <v>603</v>
      </c>
      <c r="C292" t="s">
        <v>605</v>
      </c>
      <c r="D292" s="6">
        <v>36.624385199999999</v>
      </c>
      <c r="E292" s="11">
        <v>0</v>
      </c>
      <c r="F292" s="2">
        <v>0</v>
      </c>
      <c r="G292" s="11"/>
    </row>
    <row r="293" spans="1:7" x14ac:dyDescent="0.25">
      <c r="A293" t="s">
        <v>254</v>
      </c>
      <c r="B293" t="s">
        <v>603</v>
      </c>
      <c r="C293" t="s">
        <v>605</v>
      </c>
      <c r="D293" s="6">
        <v>36.093220819999999</v>
      </c>
      <c r="E293" s="11">
        <v>0</v>
      </c>
      <c r="F293" s="2">
        <v>0</v>
      </c>
      <c r="G293" s="11"/>
    </row>
    <row r="294" spans="1:7" x14ac:dyDescent="0.25">
      <c r="A294" t="s">
        <v>265</v>
      </c>
      <c r="B294" t="s">
        <v>603</v>
      </c>
      <c r="C294" t="s">
        <v>605</v>
      </c>
      <c r="D294" s="6">
        <v>35.866296513999998</v>
      </c>
      <c r="E294" s="11">
        <v>0</v>
      </c>
      <c r="F294" s="2">
        <v>0</v>
      </c>
      <c r="G294" s="11"/>
    </row>
    <row r="295" spans="1:7" x14ac:dyDescent="0.25">
      <c r="A295" t="s">
        <v>303</v>
      </c>
      <c r="B295" t="s">
        <v>602</v>
      </c>
      <c r="C295" t="s">
        <v>605</v>
      </c>
      <c r="D295" s="6">
        <v>35.026570984999999</v>
      </c>
      <c r="E295" s="11">
        <v>0</v>
      </c>
      <c r="F295" s="2">
        <v>0</v>
      </c>
      <c r="G295" s="11"/>
    </row>
    <row r="296" spans="1:7" x14ac:dyDescent="0.25">
      <c r="A296" t="s">
        <v>306</v>
      </c>
      <c r="B296" t="s">
        <v>602</v>
      </c>
      <c r="C296" t="s">
        <v>605</v>
      </c>
      <c r="D296" s="6">
        <v>34.856435662999999</v>
      </c>
      <c r="E296" s="11">
        <v>0</v>
      </c>
      <c r="F296" s="2">
        <v>0</v>
      </c>
      <c r="G296" s="11"/>
    </row>
    <row r="297" spans="1:7" x14ac:dyDescent="0.25">
      <c r="A297" t="s">
        <v>287</v>
      </c>
      <c r="B297" t="s">
        <v>601</v>
      </c>
      <c r="C297" t="s">
        <v>605</v>
      </c>
      <c r="D297" s="6">
        <v>34.818134166000007</v>
      </c>
      <c r="E297" s="11">
        <v>0</v>
      </c>
      <c r="F297" s="2">
        <v>0</v>
      </c>
      <c r="G297" s="11"/>
    </row>
    <row r="298" spans="1:7" x14ac:dyDescent="0.25">
      <c r="A298" t="s">
        <v>286</v>
      </c>
      <c r="B298" t="s">
        <v>601</v>
      </c>
      <c r="C298" t="s">
        <v>605</v>
      </c>
      <c r="D298" s="6">
        <v>34.518587013000001</v>
      </c>
      <c r="E298" s="11">
        <v>0</v>
      </c>
      <c r="F298" s="2">
        <v>0</v>
      </c>
      <c r="G298" s="11"/>
    </row>
    <row r="299" spans="1:7" x14ac:dyDescent="0.25">
      <c r="A299" t="s">
        <v>243</v>
      </c>
      <c r="B299" t="s">
        <v>603</v>
      </c>
      <c r="C299" t="s">
        <v>605</v>
      </c>
      <c r="D299" s="6">
        <v>34.074481994999999</v>
      </c>
      <c r="E299" s="11">
        <v>0</v>
      </c>
      <c r="F299" s="2">
        <v>0</v>
      </c>
      <c r="G299" s="11"/>
    </row>
    <row r="300" spans="1:7" x14ac:dyDescent="0.25">
      <c r="A300" t="s">
        <v>288</v>
      </c>
      <c r="B300" t="s">
        <v>601</v>
      </c>
      <c r="C300" t="s">
        <v>605</v>
      </c>
      <c r="D300" s="6">
        <v>33.992224645999997</v>
      </c>
      <c r="E300" s="11">
        <v>0</v>
      </c>
      <c r="F300" s="2">
        <v>0</v>
      </c>
      <c r="G300" s="11"/>
    </row>
    <row r="301" spans="1:7" x14ac:dyDescent="0.25">
      <c r="A301" t="s">
        <v>289</v>
      </c>
      <c r="B301" t="s">
        <v>603</v>
      </c>
      <c r="C301" t="s">
        <v>605</v>
      </c>
      <c r="D301" s="6">
        <v>33.789942199999999</v>
      </c>
      <c r="E301" s="11">
        <v>0</v>
      </c>
      <c r="F301" s="2">
        <v>0</v>
      </c>
      <c r="G301" s="11"/>
    </row>
    <row r="302" spans="1:7" x14ac:dyDescent="0.25">
      <c r="A302" t="s">
        <v>272</v>
      </c>
      <c r="B302" t="s">
        <v>602</v>
      </c>
      <c r="C302" t="s">
        <v>605</v>
      </c>
      <c r="D302" s="6">
        <v>33.720612155400005</v>
      </c>
      <c r="E302" s="11">
        <v>0</v>
      </c>
      <c r="F302" s="2">
        <v>0</v>
      </c>
      <c r="G302" s="11"/>
    </row>
    <row r="303" spans="1:7" x14ac:dyDescent="0.25">
      <c r="A303" t="s">
        <v>307</v>
      </c>
      <c r="B303" t="s">
        <v>602</v>
      </c>
      <c r="C303" t="s">
        <v>605</v>
      </c>
      <c r="D303" s="6">
        <v>33.625174082000001</v>
      </c>
      <c r="E303" s="11">
        <v>0</v>
      </c>
      <c r="F303" s="2">
        <v>0</v>
      </c>
      <c r="G303" s="11"/>
    </row>
    <row r="304" spans="1:7" x14ac:dyDescent="0.25">
      <c r="A304" t="s">
        <v>154</v>
      </c>
      <c r="B304" t="s">
        <v>600</v>
      </c>
      <c r="C304" t="s">
        <v>605</v>
      </c>
      <c r="D304" s="6">
        <v>33.527206243999998</v>
      </c>
      <c r="E304" s="11">
        <v>0</v>
      </c>
      <c r="F304" s="2">
        <v>0</v>
      </c>
      <c r="G304" s="11"/>
    </row>
    <row r="305" spans="1:7" x14ac:dyDescent="0.25">
      <c r="A305" t="s">
        <v>274</v>
      </c>
      <c r="B305" t="s">
        <v>602</v>
      </c>
      <c r="C305" t="s">
        <v>605</v>
      </c>
      <c r="D305" s="6">
        <v>33.239822338000003</v>
      </c>
      <c r="E305" s="11">
        <v>0</v>
      </c>
      <c r="F305" s="2">
        <v>0</v>
      </c>
      <c r="G305" s="11"/>
    </row>
    <row r="306" spans="1:7" x14ac:dyDescent="0.25">
      <c r="A306" t="s">
        <v>308</v>
      </c>
      <c r="B306" t="s">
        <v>602</v>
      </c>
      <c r="C306" t="s">
        <v>605</v>
      </c>
      <c r="D306" s="6">
        <v>33.140850374999999</v>
      </c>
      <c r="E306" s="11">
        <v>0</v>
      </c>
      <c r="F306" s="2">
        <v>0</v>
      </c>
      <c r="G306" s="11"/>
    </row>
    <row r="307" spans="1:7" x14ac:dyDescent="0.25">
      <c r="A307" t="s">
        <v>222</v>
      </c>
      <c r="B307" t="s">
        <v>600</v>
      </c>
      <c r="C307" t="s">
        <v>605</v>
      </c>
      <c r="D307" s="6">
        <v>33.122470918000005</v>
      </c>
      <c r="E307" s="11">
        <v>0</v>
      </c>
      <c r="F307" s="2">
        <v>0</v>
      </c>
      <c r="G307" s="11"/>
    </row>
    <row r="308" spans="1:7" x14ac:dyDescent="0.25">
      <c r="A308" t="s">
        <v>310</v>
      </c>
      <c r="B308" t="s">
        <v>602</v>
      </c>
      <c r="C308" t="s">
        <v>605</v>
      </c>
      <c r="D308" s="6">
        <v>32.958164845999995</v>
      </c>
      <c r="E308" s="11">
        <v>0</v>
      </c>
      <c r="F308" s="2">
        <v>0</v>
      </c>
      <c r="G308" s="11"/>
    </row>
    <row r="309" spans="1:7" x14ac:dyDescent="0.25">
      <c r="A309" t="s">
        <v>519</v>
      </c>
      <c r="B309" t="s">
        <v>600</v>
      </c>
      <c r="C309" t="s">
        <v>605</v>
      </c>
      <c r="D309" s="6">
        <v>32.951393154000002</v>
      </c>
      <c r="E309" s="11">
        <v>0</v>
      </c>
      <c r="F309" s="2">
        <v>0</v>
      </c>
      <c r="G309" s="11"/>
    </row>
    <row r="310" spans="1:7" x14ac:dyDescent="0.25">
      <c r="A310" t="s">
        <v>248</v>
      </c>
      <c r="B310" t="s">
        <v>602</v>
      </c>
      <c r="C310" t="s">
        <v>605</v>
      </c>
      <c r="D310" s="6">
        <v>32.921898628000001</v>
      </c>
      <c r="E310" s="11">
        <v>0</v>
      </c>
      <c r="F310" s="2">
        <v>0</v>
      </c>
      <c r="G310" s="11"/>
    </row>
    <row r="311" spans="1:7" x14ac:dyDescent="0.25">
      <c r="A311" t="s">
        <v>290</v>
      </c>
      <c r="B311" t="s">
        <v>601</v>
      </c>
      <c r="C311" t="s">
        <v>605</v>
      </c>
      <c r="D311" s="6">
        <v>32.746025869</v>
      </c>
      <c r="E311" s="11">
        <v>0</v>
      </c>
      <c r="F311" s="2">
        <v>0</v>
      </c>
      <c r="G311" s="11"/>
    </row>
    <row r="312" spans="1:7" x14ac:dyDescent="0.25">
      <c r="A312" t="s">
        <v>313</v>
      </c>
      <c r="B312" t="s">
        <v>602</v>
      </c>
      <c r="C312" t="s">
        <v>605</v>
      </c>
      <c r="D312" s="6">
        <v>32.466386698000001</v>
      </c>
      <c r="E312" s="11">
        <v>0</v>
      </c>
      <c r="F312" s="2">
        <v>0</v>
      </c>
      <c r="G312" s="11"/>
    </row>
    <row r="313" spans="1:7" x14ac:dyDescent="0.25">
      <c r="A313" t="s">
        <v>273</v>
      </c>
      <c r="B313" t="s">
        <v>602</v>
      </c>
      <c r="C313" t="s">
        <v>605</v>
      </c>
      <c r="D313" s="6">
        <v>32.438637793999995</v>
      </c>
      <c r="E313" s="11">
        <v>0</v>
      </c>
      <c r="F313" s="2">
        <v>0</v>
      </c>
      <c r="G313" s="11"/>
    </row>
    <row r="314" spans="1:7" x14ac:dyDescent="0.25">
      <c r="A314" t="s">
        <v>221</v>
      </c>
      <c r="B314" t="s">
        <v>600</v>
      </c>
      <c r="C314" t="s">
        <v>605</v>
      </c>
      <c r="D314" s="6">
        <v>32.291147961000007</v>
      </c>
      <c r="E314" s="11">
        <v>0</v>
      </c>
      <c r="F314" s="2">
        <v>0</v>
      </c>
      <c r="G314" s="11"/>
    </row>
    <row r="315" spans="1:7" x14ac:dyDescent="0.25">
      <c r="A315" t="s">
        <v>314</v>
      </c>
      <c r="B315" t="s">
        <v>602</v>
      </c>
      <c r="C315" t="s">
        <v>605</v>
      </c>
      <c r="D315" s="6">
        <v>32.277422469000001</v>
      </c>
      <c r="E315" s="11">
        <v>0</v>
      </c>
      <c r="F315" s="2">
        <v>0</v>
      </c>
      <c r="G315" s="11"/>
    </row>
    <row r="316" spans="1:7" x14ac:dyDescent="0.25">
      <c r="A316" t="s">
        <v>518</v>
      </c>
      <c r="B316" t="s">
        <v>602</v>
      </c>
      <c r="C316" t="s">
        <v>605</v>
      </c>
      <c r="D316" s="6">
        <v>31.963502875</v>
      </c>
      <c r="E316" s="11">
        <v>0</v>
      </c>
      <c r="F316" s="2">
        <v>0</v>
      </c>
      <c r="G316" s="11"/>
    </row>
    <row r="317" spans="1:7" x14ac:dyDescent="0.25">
      <c r="A317" t="s">
        <v>318</v>
      </c>
      <c r="B317" t="s">
        <v>602</v>
      </c>
      <c r="C317" t="s">
        <v>605</v>
      </c>
      <c r="D317" s="6">
        <v>31.794291746999999</v>
      </c>
      <c r="E317" s="11">
        <v>0</v>
      </c>
      <c r="F317" s="2">
        <v>0</v>
      </c>
      <c r="G317" s="11"/>
    </row>
    <row r="318" spans="1:7" x14ac:dyDescent="0.25">
      <c r="A318" t="s">
        <v>319</v>
      </c>
      <c r="B318" t="s">
        <v>602</v>
      </c>
      <c r="C318" t="s">
        <v>605</v>
      </c>
      <c r="D318" s="6">
        <v>31.515796878999996</v>
      </c>
      <c r="E318" s="11">
        <v>0</v>
      </c>
      <c r="F318" s="2">
        <v>0</v>
      </c>
      <c r="G318" s="11"/>
    </row>
    <row r="319" spans="1:7" x14ac:dyDescent="0.25">
      <c r="A319" t="s">
        <v>294</v>
      </c>
      <c r="B319" t="s">
        <v>601</v>
      </c>
      <c r="C319" t="s">
        <v>605</v>
      </c>
      <c r="D319" s="6">
        <v>31.39300648</v>
      </c>
      <c r="E319" s="11">
        <v>0</v>
      </c>
      <c r="F319" s="2">
        <v>0</v>
      </c>
      <c r="G319" s="11"/>
    </row>
    <row r="320" spans="1:7" x14ac:dyDescent="0.25">
      <c r="A320" t="s">
        <v>295</v>
      </c>
      <c r="B320" t="s">
        <v>601</v>
      </c>
      <c r="C320" t="s">
        <v>605</v>
      </c>
      <c r="D320" s="6">
        <v>31.38825533</v>
      </c>
      <c r="E320" s="11">
        <v>0</v>
      </c>
      <c r="F320" s="2">
        <v>0</v>
      </c>
      <c r="G320" s="11"/>
    </row>
    <row r="321" spans="1:7" x14ac:dyDescent="0.25">
      <c r="A321" t="s">
        <v>291</v>
      </c>
      <c r="B321" t="s">
        <v>603</v>
      </c>
      <c r="C321" t="s">
        <v>605</v>
      </c>
      <c r="D321" s="6">
        <v>31.372357783999998</v>
      </c>
      <c r="E321" s="11">
        <v>0</v>
      </c>
      <c r="F321" s="2">
        <v>0</v>
      </c>
      <c r="G321" s="11"/>
    </row>
    <row r="322" spans="1:7" x14ac:dyDescent="0.25">
      <c r="A322" t="s">
        <v>317</v>
      </c>
      <c r="B322" t="s">
        <v>602</v>
      </c>
      <c r="C322" t="s">
        <v>605</v>
      </c>
      <c r="D322" s="6">
        <v>31.350973365000005</v>
      </c>
      <c r="E322" s="11">
        <v>0</v>
      </c>
      <c r="F322" s="2">
        <v>0</v>
      </c>
      <c r="G322" s="11"/>
    </row>
    <row r="323" spans="1:7" x14ac:dyDescent="0.25">
      <c r="A323" t="s">
        <v>224</v>
      </c>
      <c r="B323" t="s">
        <v>600</v>
      </c>
      <c r="C323" t="s">
        <v>605</v>
      </c>
      <c r="D323" s="6">
        <v>31.343357402999999</v>
      </c>
      <c r="E323" s="11">
        <v>0</v>
      </c>
      <c r="F323" s="2">
        <v>0</v>
      </c>
      <c r="G323" s="11"/>
    </row>
    <row r="324" spans="1:7" x14ac:dyDescent="0.25">
      <c r="A324" t="s">
        <v>293</v>
      </c>
      <c r="B324" t="s">
        <v>603</v>
      </c>
      <c r="C324" t="s">
        <v>605</v>
      </c>
      <c r="D324" s="6">
        <v>31.054008358000001</v>
      </c>
      <c r="E324" s="11">
        <v>0</v>
      </c>
      <c r="F324" s="2">
        <v>0</v>
      </c>
      <c r="G324" s="11"/>
    </row>
    <row r="325" spans="1:7" x14ac:dyDescent="0.25">
      <c r="A325" t="s">
        <v>320</v>
      </c>
      <c r="B325" t="s">
        <v>602</v>
      </c>
      <c r="C325" t="s">
        <v>605</v>
      </c>
      <c r="D325" s="6">
        <v>30.838213656000001</v>
      </c>
      <c r="E325" s="11">
        <v>0</v>
      </c>
      <c r="F325" s="2">
        <v>0</v>
      </c>
      <c r="G325" s="11"/>
    </row>
    <row r="326" spans="1:7" x14ac:dyDescent="0.25">
      <c r="A326" t="s">
        <v>323</v>
      </c>
      <c r="B326" t="s">
        <v>602</v>
      </c>
      <c r="C326" t="s">
        <v>605</v>
      </c>
      <c r="D326" s="6">
        <v>30.465895377000002</v>
      </c>
      <c r="E326" s="11">
        <v>0</v>
      </c>
      <c r="F326" s="2">
        <v>0</v>
      </c>
      <c r="G326" s="11"/>
    </row>
    <row r="327" spans="1:7" x14ac:dyDescent="0.25">
      <c r="A327" t="s">
        <v>311</v>
      </c>
      <c r="B327" t="s">
        <v>601</v>
      </c>
      <c r="C327" t="s">
        <v>605</v>
      </c>
      <c r="D327" s="6">
        <v>30.383924684000004</v>
      </c>
      <c r="E327" s="11">
        <v>0</v>
      </c>
      <c r="F327" s="2">
        <v>0</v>
      </c>
      <c r="G327" s="11"/>
    </row>
    <row r="328" spans="1:7" x14ac:dyDescent="0.25">
      <c r="A328" t="s">
        <v>237</v>
      </c>
      <c r="B328" t="s">
        <v>600</v>
      </c>
      <c r="C328" t="s">
        <v>605</v>
      </c>
      <c r="D328" s="6">
        <v>29.971557188000002</v>
      </c>
      <c r="E328" s="11">
        <v>0</v>
      </c>
      <c r="F328" s="2">
        <v>0</v>
      </c>
      <c r="G328" s="11"/>
    </row>
    <row r="329" spans="1:7" x14ac:dyDescent="0.25">
      <c r="A329" t="s">
        <v>270</v>
      </c>
      <c r="B329" t="s">
        <v>602</v>
      </c>
      <c r="C329" t="s">
        <v>605</v>
      </c>
      <c r="D329" s="6">
        <v>29.779685977000003</v>
      </c>
      <c r="E329" s="11">
        <v>0</v>
      </c>
      <c r="F329" s="2">
        <v>0</v>
      </c>
      <c r="G329" s="11"/>
    </row>
    <row r="330" spans="1:7" x14ac:dyDescent="0.25">
      <c r="A330" t="s">
        <v>223</v>
      </c>
      <c r="B330" t="s">
        <v>600</v>
      </c>
      <c r="C330" t="s">
        <v>605</v>
      </c>
      <c r="D330" s="6">
        <v>29.325015898500002</v>
      </c>
      <c r="E330" s="11">
        <v>0</v>
      </c>
      <c r="F330" s="2">
        <v>0</v>
      </c>
      <c r="G330" s="11"/>
    </row>
    <row r="331" spans="1:7" x14ac:dyDescent="0.25">
      <c r="A331" t="s">
        <v>328</v>
      </c>
      <c r="B331" t="s">
        <v>602</v>
      </c>
      <c r="C331" t="s">
        <v>605</v>
      </c>
      <c r="D331" s="6">
        <v>29.070951733999998</v>
      </c>
      <c r="E331" s="11">
        <v>0</v>
      </c>
      <c r="F331" s="2">
        <v>0</v>
      </c>
      <c r="G331" s="11"/>
    </row>
    <row r="332" spans="1:7" x14ac:dyDescent="0.25">
      <c r="A332" t="s">
        <v>300</v>
      </c>
      <c r="B332" t="s">
        <v>601</v>
      </c>
      <c r="C332" t="s">
        <v>605</v>
      </c>
      <c r="D332" s="6">
        <v>29.048717007</v>
      </c>
      <c r="E332" s="11">
        <v>0</v>
      </c>
      <c r="F332" s="2">
        <v>0</v>
      </c>
      <c r="G332" s="11"/>
    </row>
    <row r="333" spans="1:7" x14ac:dyDescent="0.25">
      <c r="A333" t="s">
        <v>266</v>
      </c>
      <c r="B333" t="s">
        <v>602</v>
      </c>
      <c r="C333" t="s">
        <v>605</v>
      </c>
      <c r="D333" s="6">
        <v>28.781070044</v>
      </c>
      <c r="E333" s="11">
        <v>0</v>
      </c>
      <c r="F333" s="2">
        <v>0</v>
      </c>
      <c r="G333" s="11"/>
    </row>
    <row r="334" spans="1:7" x14ac:dyDescent="0.25">
      <c r="A334" t="s">
        <v>299</v>
      </c>
      <c r="B334" t="s">
        <v>603</v>
      </c>
      <c r="C334" t="s">
        <v>605</v>
      </c>
      <c r="D334" s="6">
        <v>28.779473666999998</v>
      </c>
      <c r="E334" s="11">
        <v>0</v>
      </c>
      <c r="F334" s="2">
        <v>0</v>
      </c>
      <c r="G334" s="11"/>
    </row>
    <row r="335" spans="1:7" x14ac:dyDescent="0.25">
      <c r="A335" t="s">
        <v>225</v>
      </c>
      <c r="B335" t="s">
        <v>600</v>
      </c>
      <c r="C335" t="s">
        <v>605</v>
      </c>
      <c r="D335" s="6">
        <v>28.646434737500002</v>
      </c>
      <c r="E335" s="11">
        <v>0</v>
      </c>
      <c r="F335" s="2">
        <v>0</v>
      </c>
      <c r="G335" s="11"/>
    </row>
    <row r="336" spans="1:7" x14ac:dyDescent="0.25">
      <c r="A336" t="s">
        <v>298</v>
      </c>
      <c r="B336" t="s">
        <v>603</v>
      </c>
      <c r="C336" t="s">
        <v>605</v>
      </c>
      <c r="D336" s="6">
        <v>28.416518005</v>
      </c>
      <c r="E336" s="11">
        <v>0</v>
      </c>
      <c r="F336" s="2">
        <v>0</v>
      </c>
      <c r="G336" s="11"/>
    </row>
    <row r="337" spans="1:7" x14ac:dyDescent="0.25">
      <c r="A337" t="s">
        <v>235</v>
      </c>
      <c r="B337" t="s">
        <v>600</v>
      </c>
      <c r="C337" t="s">
        <v>605</v>
      </c>
      <c r="D337" s="6">
        <v>28.299522650500002</v>
      </c>
      <c r="E337" s="11">
        <v>0</v>
      </c>
      <c r="F337" s="2">
        <v>0</v>
      </c>
      <c r="G337" s="11"/>
    </row>
    <row r="338" spans="1:7" x14ac:dyDescent="0.25">
      <c r="A338" t="s">
        <v>236</v>
      </c>
      <c r="B338" t="s">
        <v>600</v>
      </c>
      <c r="C338" t="s">
        <v>605</v>
      </c>
      <c r="D338" s="6">
        <v>27.980372876000001</v>
      </c>
      <c r="E338" s="11">
        <v>0</v>
      </c>
      <c r="F338" s="2">
        <v>0</v>
      </c>
      <c r="G338" s="11"/>
    </row>
    <row r="339" spans="1:7" x14ac:dyDescent="0.25">
      <c r="A339" t="s">
        <v>302</v>
      </c>
      <c r="B339" t="s">
        <v>603</v>
      </c>
      <c r="C339" t="s">
        <v>605</v>
      </c>
      <c r="D339" s="6">
        <v>27.912884097999999</v>
      </c>
      <c r="E339" s="11">
        <v>0</v>
      </c>
      <c r="F339" s="2">
        <v>0</v>
      </c>
      <c r="G339" s="11"/>
    </row>
    <row r="340" spans="1:7" x14ac:dyDescent="0.25">
      <c r="A340" t="s">
        <v>301</v>
      </c>
      <c r="B340" t="s">
        <v>603</v>
      </c>
      <c r="C340" t="s">
        <v>605</v>
      </c>
      <c r="D340" s="6">
        <v>27.658559367000002</v>
      </c>
      <c r="E340" s="11">
        <v>0</v>
      </c>
      <c r="F340" s="2">
        <v>0</v>
      </c>
      <c r="G340" s="11"/>
    </row>
    <row r="341" spans="1:7" x14ac:dyDescent="0.25">
      <c r="A341" t="s">
        <v>285</v>
      </c>
      <c r="B341" t="s">
        <v>603</v>
      </c>
      <c r="C341" t="s">
        <v>605</v>
      </c>
      <c r="D341" s="6">
        <v>27.504625786999998</v>
      </c>
      <c r="E341" s="11">
        <v>0</v>
      </c>
      <c r="F341" s="2">
        <v>0</v>
      </c>
      <c r="G341" s="11"/>
    </row>
    <row r="342" spans="1:7" x14ac:dyDescent="0.25">
      <c r="A342" t="s">
        <v>304</v>
      </c>
      <c r="B342" t="s">
        <v>603</v>
      </c>
      <c r="C342" t="s">
        <v>605</v>
      </c>
      <c r="D342" s="6">
        <v>27.124259022000004</v>
      </c>
      <c r="E342" s="11">
        <v>0</v>
      </c>
      <c r="F342" s="2">
        <v>0</v>
      </c>
      <c r="G342" s="11"/>
    </row>
    <row r="343" spans="1:7" x14ac:dyDescent="0.25">
      <c r="A343" t="s">
        <v>249</v>
      </c>
      <c r="B343" t="s">
        <v>602</v>
      </c>
      <c r="C343" t="s">
        <v>605</v>
      </c>
      <c r="D343" s="6">
        <v>26.057236776</v>
      </c>
      <c r="E343" s="11">
        <v>0</v>
      </c>
      <c r="F343" s="2">
        <v>0</v>
      </c>
      <c r="G343" s="11"/>
    </row>
    <row r="344" spans="1:7" x14ac:dyDescent="0.25">
      <c r="A344" t="s">
        <v>433</v>
      </c>
      <c r="B344" t="s">
        <v>603</v>
      </c>
      <c r="C344" t="s">
        <v>605</v>
      </c>
      <c r="D344" s="6">
        <v>25.942661000999998</v>
      </c>
      <c r="E344" s="11">
        <v>0</v>
      </c>
      <c r="F344" s="2">
        <v>0</v>
      </c>
      <c r="G344" s="11"/>
    </row>
    <row r="345" spans="1:7" x14ac:dyDescent="0.25">
      <c r="A345" t="s">
        <v>646</v>
      </c>
      <c r="B345" t="s">
        <v>602</v>
      </c>
      <c r="C345" t="s">
        <v>605</v>
      </c>
      <c r="D345" s="6">
        <v>25.833967225999999</v>
      </c>
      <c r="E345" s="11">
        <v>0</v>
      </c>
      <c r="F345" s="2">
        <v>0</v>
      </c>
      <c r="G345" s="11"/>
    </row>
    <row r="346" spans="1:7" x14ac:dyDescent="0.25">
      <c r="A346" t="s">
        <v>315</v>
      </c>
      <c r="B346" t="s">
        <v>603</v>
      </c>
      <c r="C346" t="s">
        <v>605</v>
      </c>
      <c r="D346" s="6">
        <v>25.485822143000004</v>
      </c>
      <c r="E346" s="11">
        <v>0</v>
      </c>
      <c r="F346" s="2">
        <v>0</v>
      </c>
      <c r="G346" s="11"/>
    </row>
    <row r="347" spans="1:7" x14ac:dyDescent="0.25">
      <c r="A347" t="s">
        <v>316</v>
      </c>
      <c r="B347" t="s">
        <v>603</v>
      </c>
      <c r="C347" t="s">
        <v>605</v>
      </c>
      <c r="D347" s="6">
        <v>24.771523237</v>
      </c>
      <c r="E347" s="11">
        <v>0</v>
      </c>
      <c r="F347" s="2">
        <v>0</v>
      </c>
      <c r="G347" s="11"/>
    </row>
    <row r="348" spans="1:7" x14ac:dyDescent="0.25">
      <c r="A348" t="s">
        <v>312</v>
      </c>
      <c r="B348" t="s">
        <v>601</v>
      </c>
      <c r="C348" t="s">
        <v>605</v>
      </c>
      <c r="D348" s="6">
        <v>24.567468998999999</v>
      </c>
      <c r="E348" s="11">
        <v>0</v>
      </c>
      <c r="F348" s="2">
        <v>0</v>
      </c>
      <c r="G348" s="11"/>
    </row>
    <row r="349" spans="1:7" x14ac:dyDescent="0.25">
      <c r="A349" t="s">
        <v>322</v>
      </c>
      <c r="B349" t="s">
        <v>601</v>
      </c>
      <c r="C349" t="s">
        <v>605</v>
      </c>
      <c r="D349" s="6">
        <v>24.355224886000002</v>
      </c>
      <c r="E349" s="11">
        <v>0</v>
      </c>
      <c r="F349" s="2">
        <v>0</v>
      </c>
      <c r="G349" s="11"/>
    </row>
    <row r="350" spans="1:7" x14ac:dyDescent="0.25">
      <c r="A350" t="s">
        <v>321</v>
      </c>
      <c r="B350" t="s">
        <v>603</v>
      </c>
      <c r="C350" t="s">
        <v>605</v>
      </c>
      <c r="D350" s="6">
        <v>24.162095935</v>
      </c>
      <c r="E350" s="11">
        <v>0</v>
      </c>
      <c r="F350" s="2">
        <v>0</v>
      </c>
      <c r="G350" s="11"/>
    </row>
    <row r="351" spans="1:7" x14ac:dyDescent="0.25">
      <c r="A351" t="s">
        <v>226</v>
      </c>
      <c r="B351" t="s">
        <v>600</v>
      </c>
      <c r="C351" t="s">
        <v>605</v>
      </c>
      <c r="D351" s="6">
        <v>24.138936369</v>
      </c>
      <c r="E351" s="11">
        <v>0</v>
      </c>
      <c r="F351" s="2">
        <v>0</v>
      </c>
      <c r="G351" s="11"/>
    </row>
    <row r="352" spans="1:7" x14ac:dyDescent="0.25">
      <c r="A352" t="s">
        <v>324</v>
      </c>
      <c r="B352" t="s">
        <v>601</v>
      </c>
      <c r="C352" t="s">
        <v>605</v>
      </c>
      <c r="D352" s="6">
        <v>23.824227148000006</v>
      </c>
      <c r="E352" s="11">
        <v>0</v>
      </c>
      <c r="F352" s="2">
        <v>0</v>
      </c>
      <c r="G352" s="11"/>
    </row>
    <row r="353" spans="1:7" x14ac:dyDescent="0.25">
      <c r="A353" t="s">
        <v>240</v>
      </c>
      <c r="B353" t="s">
        <v>600</v>
      </c>
      <c r="C353" t="s">
        <v>605</v>
      </c>
      <c r="D353" s="6">
        <v>23.804166954000003</v>
      </c>
      <c r="E353" s="11">
        <v>0</v>
      </c>
      <c r="F353" s="2">
        <v>0</v>
      </c>
      <c r="G353" s="11"/>
    </row>
    <row r="354" spans="1:7" x14ac:dyDescent="0.25">
      <c r="A354" t="s">
        <v>296</v>
      </c>
      <c r="B354" t="s">
        <v>603</v>
      </c>
      <c r="C354" t="s">
        <v>605</v>
      </c>
      <c r="D354" s="6">
        <v>23.247918364</v>
      </c>
      <c r="E354" s="11">
        <v>0</v>
      </c>
      <c r="F354" s="2">
        <v>0</v>
      </c>
      <c r="G354" s="11"/>
    </row>
    <row r="355" spans="1:7" x14ac:dyDescent="0.25">
      <c r="A355" t="s">
        <v>331</v>
      </c>
      <c r="B355" t="s">
        <v>601</v>
      </c>
      <c r="C355" t="s">
        <v>605</v>
      </c>
      <c r="D355" s="6">
        <v>23.138152912000002</v>
      </c>
      <c r="E355" s="11">
        <v>0</v>
      </c>
      <c r="F355" s="2">
        <v>0</v>
      </c>
      <c r="G355" s="11"/>
    </row>
    <row r="356" spans="1:7" x14ac:dyDescent="0.25">
      <c r="A356" t="s">
        <v>238</v>
      </c>
      <c r="B356" t="s">
        <v>600</v>
      </c>
      <c r="C356" t="s">
        <v>605</v>
      </c>
      <c r="D356" s="6">
        <v>23.045573985500003</v>
      </c>
      <c r="E356" s="11">
        <v>0</v>
      </c>
      <c r="F356" s="2">
        <v>0</v>
      </c>
      <c r="G356" s="11"/>
    </row>
    <row r="357" spans="1:7" x14ac:dyDescent="0.25">
      <c r="A357" t="s">
        <v>332</v>
      </c>
      <c r="B357" t="s">
        <v>601</v>
      </c>
      <c r="C357" t="s">
        <v>605</v>
      </c>
      <c r="D357" s="6">
        <v>23.037630370000002</v>
      </c>
      <c r="E357" s="11">
        <v>0</v>
      </c>
      <c r="F357" s="2">
        <v>0</v>
      </c>
      <c r="G357" s="11"/>
    </row>
    <row r="358" spans="1:7" x14ac:dyDescent="0.25">
      <c r="A358" t="s">
        <v>330</v>
      </c>
      <c r="B358" t="s">
        <v>601</v>
      </c>
      <c r="C358" t="s">
        <v>605</v>
      </c>
      <c r="D358" s="6">
        <v>23.030287585000004</v>
      </c>
      <c r="E358" s="11">
        <v>0</v>
      </c>
      <c r="F358" s="2">
        <v>0</v>
      </c>
      <c r="G358" s="11"/>
    </row>
    <row r="359" spans="1:7" x14ac:dyDescent="0.25">
      <c r="A359" t="s">
        <v>327</v>
      </c>
      <c r="B359" t="s">
        <v>603</v>
      </c>
      <c r="C359" t="s">
        <v>605</v>
      </c>
      <c r="D359" s="6">
        <v>23.002163365000001</v>
      </c>
      <c r="E359" s="11">
        <v>0</v>
      </c>
      <c r="F359" s="2">
        <v>0</v>
      </c>
      <c r="G359" s="11"/>
    </row>
    <row r="360" spans="1:7" x14ac:dyDescent="0.25">
      <c r="A360" t="s">
        <v>241</v>
      </c>
      <c r="B360" t="s">
        <v>600</v>
      </c>
      <c r="C360" t="s">
        <v>605</v>
      </c>
      <c r="D360" s="6">
        <v>22.940485737500001</v>
      </c>
      <c r="E360" s="11">
        <v>0</v>
      </c>
      <c r="F360" s="2">
        <v>0</v>
      </c>
      <c r="G360" s="11"/>
    </row>
    <row r="361" spans="1:7" x14ac:dyDescent="0.25">
      <c r="A361" t="s">
        <v>325</v>
      </c>
      <c r="B361" t="s">
        <v>603</v>
      </c>
      <c r="C361" t="s">
        <v>605</v>
      </c>
      <c r="D361" s="6">
        <v>22.907844408000003</v>
      </c>
      <c r="E361" s="11">
        <v>0</v>
      </c>
      <c r="F361" s="2">
        <v>0</v>
      </c>
      <c r="G361" s="11"/>
    </row>
    <row r="362" spans="1:7" x14ac:dyDescent="0.25">
      <c r="A362" t="s">
        <v>309</v>
      </c>
      <c r="B362" t="s">
        <v>601</v>
      </c>
      <c r="C362" t="s">
        <v>605</v>
      </c>
      <c r="D362" s="6">
        <v>22.862678925000001</v>
      </c>
      <c r="E362" s="11">
        <v>0</v>
      </c>
      <c r="F362" s="2">
        <v>0</v>
      </c>
      <c r="G362" s="11"/>
    </row>
    <row r="363" spans="1:7" x14ac:dyDescent="0.25">
      <c r="A363" t="s">
        <v>239</v>
      </c>
      <c r="B363" t="s">
        <v>600</v>
      </c>
      <c r="C363" t="s">
        <v>605</v>
      </c>
      <c r="D363" s="6">
        <v>22.849880827</v>
      </c>
      <c r="E363" s="11">
        <v>0</v>
      </c>
      <c r="F363" s="2">
        <v>0</v>
      </c>
      <c r="G363" s="11"/>
    </row>
    <row r="364" spans="1:7" x14ac:dyDescent="0.25">
      <c r="A364" t="s">
        <v>334</v>
      </c>
      <c r="B364" t="s">
        <v>601</v>
      </c>
      <c r="C364" t="s">
        <v>605</v>
      </c>
      <c r="D364" s="6">
        <v>22.636655846000004</v>
      </c>
      <c r="E364" s="11">
        <v>0</v>
      </c>
      <c r="F364" s="2">
        <v>0</v>
      </c>
      <c r="G364" s="11"/>
    </row>
    <row r="365" spans="1:7" x14ac:dyDescent="0.25">
      <c r="A365" t="s">
        <v>251</v>
      </c>
      <c r="B365" t="s">
        <v>600</v>
      </c>
      <c r="C365" t="s">
        <v>605</v>
      </c>
      <c r="D365" s="6">
        <v>22.626027553</v>
      </c>
      <c r="E365" s="11">
        <v>0</v>
      </c>
      <c r="F365" s="2">
        <v>0</v>
      </c>
      <c r="G365" s="11"/>
    </row>
    <row r="366" spans="1:7" x14ac:dyDescent="0.25">
      <c r="A366" t="s">
        <v>335</v>
      </c>
      <c r="B366" t="s">
        <v>601</v>
      </c>
      <c r="C366" t="s">
        <v>605</v>
      </c>
      <c r="D366" s="6">
        <v>22.611142327499998</v>
      </c>
      <c r="E366" s="11">
        <v>0</v>
      </c>
      <c r="F366" s="2">
        <v>0</v>
      </c>
      <c r="G366" s="11"/>
    </row>
    <row r="367" spans="1:7" x14ac:dyDescent="0.25">
      <c r="A367" t="s">
        <v>329</v>
      </c>
      <c r="B367" t="s">
        <v>603</v>
      </c>
      <c r="C367" t="s">
        <v>605</v>
      </c>
      <c r="D367" s="6">
        <v>22.052134107000001</v>
      </c>
      <c r="E367" s="11">
        <v>0</v>
      </c>
      <c r="F367" s="2">
        <v>0</v>
      </c>
      <c r="G367" s="11"/>
    </row>
    <row r="368" spans="1:7" x14ac:dyDescent="0.25">
      <c r="A368" t="s">
        <v>326</v>
      </c>
      <c r="B368" t="s">
        <v>601</v>
      </c>
      <c r="C368" t="s">
        <v>605</v>
      </c>
      <c r="D368" s="6">
        <v>22.045643176000002</v>
      </c>
      <c r="E368" s="11">
        <v>0</v>
      </c>
      <c r="F368" s="2">
        <v>0</v>
      </c>
      <c r="G368" s="11"/>
    </row>
    <row r="369" spans="1:7" x14ac:dyDescent="0.25">
      <c r="A369" t="s">
        <v>336</v>
      </c>
      <c r="B369" t="s">
        <v>603</v>
      </c>
      <c r="C369" t="s">
        <v>605</v>
      </c>
      <c r="D369" s="6">
        <v>21.905287325000003</v>
      </c>
      <c r="E369" s="11">
        <v>0</v>
      </c>
      <c r="F369" s="2">
        <v>0</v>
      </c>
      <c r="G369" s="11"/>
    </row>
    <row r="370" spans="1:7" x14ac:dyDescent="0.25">
      <c r="A370" t="s">
        <v>333</v>
      </c>
      <c r="B370" t="s">
        <v>603</v>
      </c>
      <c r="C370" t="s">
        <v>605</v>
      </c>
      <c r="D370" s="6">
        <v>21.839307300999998</v>
      </c>
      <c r="E370" s="11">
        <v>0</v>
      </c>
      <c r="F370" s="2">
        <v>0</v>
      </c>
      <c r="G370" s="11"/>
    </row>
    <row r="371" spans="1:7" x14ac:dyDescent="0.25">
      <c r="A371" t="s">
        <v>343</v>
      </c>
      <c r="B371" t="s">
        <v>600</v>
      </c>
      <c r="C371" t="s">
        <v>605</v>
      </c>
      <c r="D371" s="6">
        <v>21.632408936000001</v>
      </c>
      <c r="E371" s="11">
        <v>0</v>
      </c>
      <c r="F371" s="2">
        <v>0</v>
      </c>
      <c r="G371" s="11"/>
    </row>
    <row r="372" spans="1:7" x14ac:dyDescent="0.25">
      <c r="A372" t="s">
        <v>337</v>
      </c>
      <c r="B372" t="s">
        <v>601</v>
      </c>
      <c r="C372" t="s">
        <v>605</v>
      </c>
      <c r="D372" s="6">
        <v>21.496219027999999</v>
      </c>
      <c r="E372" s="11">
        <v>0</v>
      </c>
      <c r="F372" s="2">
        <v>0</v>
      </c>
      <c r="G372" s="11"/>
    </row>
    <row r="373" spans="1:7" x14ac:dyDescent="0.25">
      <c r="A373" t="s">
        <v>338</v>
      </c>
      <c r="B373" t="s">
        <v>601</v>
      </c>
      <c r="C373" t="s">
        <v>605</v>
      </c>
      <c r="D373" s="6">
        <v>21.138045327</v>
      </c>
      <c r="E373" s="11">
        <v>0</v>
      </c>
      <c r="F373" s="2">
        <v>0</v>
      </c>
      <c r="G373" s="11"/>
    </row>
    <row r="374" spans="1:7" x14ac:dyDescent="0.25">
      <c r="A374" t="s">
        <v>252</v>
      </c>
      <c r="B374" t="s">
        <v>600</v>
      </c>
      <c r="C374" t="s">
        <v>605</v>
      </c>
      <c r="D374" s="6">
        <v>20.851445668</v>
      </c>
      <c r="E374" s="11">
        <v>0</v>
      </c>
      <c r="F374" s="2">
        <v>0</v>
      </c>
      <c r="G374" s="11"/>
    </row>
    <row r="375" spans="1:7" x14ac:dyDescent="0.25">
      <c r="A375" t="s">
        <v>253</v>
      </c>
      <c r="B375" t="s">
        <v>600</v>
      </c>
      <c r="C375" t="s">
        <v>605</v>
      </c>
      <c r="D375" s="6">
        <v>19.946526813000002</v>
      </c>
      <c r="E375" s="11">
        <v>0</v>
      </c>
      <c r="F375" s="2">
        <v>0</v>
      </c>
      <c r="G375" s="11"/>
    </row>
    <row r="376" spans="1:7" x14ac:dyDescent="0.25">
      <c r="A376" t="s">
        <v>347</v>
      </c>
      <c r="B376" t="s">
        <v>600</v>
      </c>
      <c r="C376" t="s">
        <v>605</v>
      </c>
      <c r="D376" s="6">
        <v>19.654869681500003</v>
      </c>
      <c r="E376" s="11">
        <v>0</v>
      </c>
      <c r="F376" s="2">
        <v>0</v>
      </c>
      <c r="G376" s="11"/>
    </row>
    <row r="377" spans="1:7" x14ac:dyDescent="0.25">
      <c r="A377" t="s">
        <v>341</v>
      </c>
      <c r="B377" t="s">
        <v>601</v>
      </c>
      <c r="C377" t="s">
        <v>605</v>
      </c>
      <c r="D377" s="6">
        <v>19.529677341500001</v>
      </c>
      <c r="E377" s="11">
        <v>0</v>
      </c>
      <c r="F377" s="2">
        <v>0</v>
      </c>
      <c r="G377" s="11"/>
    </row>
    <row r="378" spans="1:7" x14ac:dyDescent="0.25">
      <c r="A378" t="s">
        <v>342</v>
      </c>
      <c r="B378" t="s">
        <v>603</v>
      </c>
      <c r="C378" t="s">
        <v>605</v>
      </c>
      <c r="D378" s="6">
        <v>19.423375233500003</v>
      </c>
      <c r="E378" s="11">
        <v>0</v>
      </c>
      <c r="F378" s="2">
        <v>0</v>
      </c>
      <c r="G378" s="11"/>
    </row>
    <row r="379" spans="1:7" x14ac:dyDescent="0.25">
      <c r="A379" t="s">
        <v>344</v>
      </c>
      <c r="B379" t="s">
        <v>603</v>
      </c>
      <c r="C379" t="s">
        <v>605</v>
      </c>
      <c r="D379" s="6">
        <v>18.709772790999999</v>
      </c>
      <c r="E379" s="11">
        <v>0</v>
      </c>
      <c r="F379" s="2">
        <v>0</v>
      </c>
      <c r="G379" s="11"/>
    </row>
    <row r="380" spans="1:7" x14ac:dyDescent="0.25">
      <c r="A380" t="s">
        <v>340</v>
      </c>
      <c r="B380" t="s">
        <v>600</v>
      </c>
      <c r="C380" t="s">
        <v>605</v>
      </c>
      <c r="D380" s="6">
        <v>18.637286537000001</v>
      </c>
      <c r="E380" s="11">
        <v>0</v>
      </c>
      <c r="F380" s="2">
        <v>0</v>
      </c>
      <c r="G380" s="11"/>
    </row>
    <row r="381" spans="1:7" x14ac:dyDescent="0.25">
      <c r="A381" t="s">
        <v>345</v>
      </c>
      <c r="B381" t="s">
        <v>601</v>
      </c>
      <c r="C381" t="s">
        <v>605</v>
      </c>
      <c r="D381" s="6">
        <v>18.212792216499999</v>
      </c>
      <c r="E381" s="11">
        <v>0</v>
      </c>
      <c r="F381" s="2">
        <v>0</v>
      </c>
      <c r="G381" s="11"/>
    </row>
    <row r="382" spans="1:7" x14ac:dyDescent="0.25">
      <c r="A382" t="s">
        <v>346</v>
      </c>
      <c r="B382" t="s">
        <v>601</v>
      </c>
      <c r="C382" t="s">
        <v>605</v>
      </c>
      <c r="D382" s="6">
        <v>17.887017052000001</v>
      </c>
      <c r="E382" s="11">
        <v>0</v>
      </c>
      <c r="F382" s="2">
        <v>0</v>
      </c>
      <c r="G382" s="11"/>
    </row>
    <row r="383" spans="1:7" x14ac:dyDescent="0.25">
      <c r="A383" t="s">
        <v>348</v>
      </c>
      <c r="B383" t="s">
        <v>603</v>
      </c>
      <c r="C383" t="s">
        <v>605</v>
      </c>
      <c r="D383" s="6">
        <v>17.228458586000002</v>
      </c>
      <c r="E383" s="11">
        <v>0</v>
      </c>
      <c r="F383" s="2">
        <v>0</v>
      </c>
      <c r="G383" s="11"/>
    </row>
    <row r="384" spans="1:7" x14ac:dyDescent="0.25">
      <c r="A384" t="s">
        <v>505</v>
      </c>
      <c r="B384" t="s">
        <v>601</v>
      </c>
      <c r="C384" t="s">
        <v>605</v>
      </c>
      <c r="D384" s="6">
        <v>17.164687660000002</v>
      </c>
      <c r="E384" s="11">
        <v>0</v>
      </c>
      <c r="F384" s="2">
        <v>0</v>
      </c>
      <c r="G384" s="11"/>
    </row>
    <row r="385" spans="1:7" x14ac:dyDescent="0.25">
      <c r="A385" t="s">
        <v>339</v>
      </c>
      <c r="B385" t="s">
        <v>601</v>
      </c>
      <c r="C385" t="s">
        <v>605</v>
      </c>
      <c r="D385" s="6">
        <v>17.025871385999999</v>
      </c>
      <c r="E385" s="11">
        <v>0</v>
      </c>
      <c r="F385" s="2">
        <v>0</v>
      </c>
      <c r="G385" s="11"/>
    </row>
    <row r="386" spans="1:7" x14ac:dyDescent="0.25">
      <c r="A386" t="s">
        <v>508</v>
      </c>
      <c r="B386" t="s">
        <v>603</v>
      </c>
      <c r="C386" t="s">
        <v>605</v>
      </c>
      <c r="D386" s="6">
        <v>16.579205921499998</v>
      </c>
      <c r="E386" s="11">
        <v>0</v>
      </c>
      <c r="F386" s="2">
        <v>0</v>
      </c>
      <c r="G386" s="11"/>
    </row>
    <row r="387" spans="1:7" x14ac:dyDescent="0.25">
      <c r="A387" t="s">
        <v>506</v>
      </c>
      <c r="B387" t="s">
        <v>603</v>
      </c>
      <c r="C387" t="s">
        <v>605</v>
      </c>
      <c r="D387" s="6">
        <v>16.286115565999999</v>
      </c>
      <c r="E387" s="11">
        <v>0</v>
      </c>
      <c r="F387" s="2">
        <v>0</v>
      </c>
      <c r="G387" s="11"/>
    </row>
    <row r="388" spans="1:7" x14ac:dyDescent="0.25">
      <c r="A388" t="s">
        <v>371</v>
      </c>
      <c r="B388" t="s">
        <v>600</v>
      </c>
      <c r="C388" t="s">
        <v>605</v>
      </c>
      <c r="D388" s="6">
        <v>16.230193598500001</v>
      </c>
      <c r="E388" s="11">
        <v>0</v>
      </c>
      <c r="F388" s="2">
        <v>0</v>
      </c>
      <c r="G388" s="11"/>
    </row>
    <row r="389" spans="1:7" x14ac:dyDescent="0.25">
      <c r="A389" t="s">
        <v>361</v>
      </c>
      <c r="B389" t="s">
        <v>600</v>
      </c>
      <c r="C389" t="s">
        <v>605</v>
      </c>
      <c r="D389" s="6">
        <v>16.164192981999999</v>
      </c>
      <c r="E389" s="11">
        <v>0</v>
      </c>
      <c r="F389" s="2">
        <v>0</v>
      </c>
      <c r="G389" s="11"/>
    </row>
    <row r="390" spans="1:7" x14ac:dyDescent="0.25">
      <c r="A390" t="s">
        <v>349</v>
      </c>
      <c r="B390" t="s">
        <v>603</v>
      </c>
      <c r="C390" t="s">
        <v>605</v>
      </c>
      <c r="D390" s="6">
        <v>15.775322987500001</v>
      </c>
      <c r="E390" s="11">
        <v>0</v>
      </c>
      <c r="F390" s="2">
        <v>0</v>
      </c>
      <c r="G390" s="11"/>
    </row>
    <row r="391" spans="1:7" x14ac:dyDescent="0.25">
      <c r="A391" t="s">
        <v>353</v>
      </c>
      <c r="B391" t="s">
        <v>601</v>
      </c>
      <c r="C391" t="s">
        <v>605</v>
      </c>
      <c r="D391" s="6">
        <v>15.7685718175</v>
      </c>
      <c r="E391" s="11">
        <v>0</v>
      </c>
      <c r="F391" s="2">
        <v>0</v>
      </c>
      <c r="G391" s="11"/>
    </row>
    <row r="392" spans="1:7" x14ac:dyDescent="0.25">
      <c r="A392" t="s">
        <v>350</v>
      </c>
      <c r="B392" t="s">
        <v>601</v>
      </c>
      <c r="C392" t="s">
        <v>605</v>
      </c>
      <c r="D392" s="6">
        <v>15.574295741</v>
      </c>
      <c r="E392" s="11">
        <v>0</v>
      </c>
      <c r="F392" s="2">
        <v>0</v>
      </c>
      <c r="G392" s="11"/>
    </row>
    <row r="393" spans="1:7" x14ac:dyDescent="0.25">
      <c r="A393" t="s">
        <v>362</v>
      </c>
      <c r="B393" t="s">
        <v>600</v>
      </c>
      <c r="C393" t="s">
        <v>605</v>
      </c>
      <c r="D393" s="6">
        <v>15.301273918</v>
      </c>
      <c r="E393" s="11">
        <v>0</v>
      </c>
      <c r="F393" s="2">
        <v>0</v>
      </c>
      <c r="G393" s="11"/>
    </row>
    <row r="394" spans="1:7" x14ac:dyDescent="0.25">
      <c r="A394" t="s">
        <v>494</v>
      </c>
      <c r="B394" t="s">
        <v>601</v>
      </c>
      <c r="C394" t="s">
        <v>605</v>
      </c>
      <c r="D394" s="6">
        <v>15.2373762165</v>
      </c>
      <c r="E394" s="11">
        <v>0</v>
      </c>
      <c r="F394" s="2">
        <v>0</v>
      </c>
      <c r="G394" s="11"/>
    </row>
    <row r="395" spans="1:7" x14ac:dyDescent="0.25">
      <c r="A395" t="s">
        <v>352</v>
      </c>
      <c r="B395" t="s">
        <v>603</v>
      </c>
      <c r="C395" t="s">
        <v>605</v>
      </c>
      <c r="D395" s="6">
        <v>14.991529861</v>
      </c>
      <c r="E395" s="11">
        <v>0</v>
      </c>
      <c r="F395" s="2">
        <v>0</v>
      </c>
      <c r="G395" s="11"/>
    </row>
    <row r="396" spans="1:7" x14ac:dyDescent="0.25">
      <c r="A396" t="s">
        <v>351</v>
      </c>
      <c r="B396" t="s">
        <v>603</v>
      </c>
      <c r="C396" t="s">
        <v>605</v>
      </c>
      <c r="D396" s="6">
        <v>14.897856265000001</v>
      </c>
      <c r="E396" s="11">
        <v>0</v>
      </c>
      <c r="F396" s="2">
        <v>0</v>
      </c>
      <c r="G396" s="11"/>
    </row>
    <row r="397" spans="1:7" x14ac:dyDescent="0.25">
      <c r="A397" t="s">
        <v>363</v>
      </c>
      <c r="B397" t="s">
        <v>600</v>
      </c>
      <c r="C397" t="s">
        <v>605</v>
      </c>
      <c r="D397" s="6">
        <v>14.8735737435</v>
      </c>
      <c r="E397" s="11">
        <v>0</v>
      </c>
      <c r="F397" s="2">
        <v>0</v>
      </c>
      <c r="G397" s="11"/>
    </row>
    <row r="398" spans="1:7" x14ac:dyDescent="0.25">
      <c r="A398" t="s">
        <v>354</v>
      </c>
      <c r="B398" t="s">
        <v>603</v>
      </c>
      <c r="C398" t="s">
        <v>605</v>
      </c>
      <c r="D398" s="6">
        <v>14.414799006500001</v>
      </c>
      <c r="E398" s="11">
        <v>0</v>
      </c>
      <c r="F398" s="2">
        <v>0</v>
      </c>
      <c r="G398" s="11"/>
    </row>
    <row r="399" spans="1:7" x14ac:dyDescent="0.25">
      <c r="A399" t="s">
        <v>355</v>
      </c>
      <c r="B399" t="s">
        <v>601</v>
      </c>
      <c r="C399" t="s">
        <v>605</v>
      </c>
      <c r="D399" s="6">
        <v>13.914135509500001</v>
      </c>
      <c r="E399" s="11">
        <v>0</v>
      </c>
      <c r="F399" s="2">
        <v>0</v>
      </c>
      <c r="G399" s="11"/>
    </row>
    <row r="400" spans="1:7" x14ac:dyDescent="0.25">
      <c r="A400" t="s">
        <v>358</v>
      </c>
      <c r="B400" t="s">
        <v>603</v>
      </c>
      <c r="C400" t="s">
        <v>605</v>
      </c>
      <c r="D400" s="6">
        <v>13.856010361499999</v>
      </c>
      <c r="E400" s="11">
        <v>0</v>
      </c>
      <c r="F400" s="2">
        <v>0</v>
      </c>
      <c r="G400" s="11"/>
    </row>
    <row r="401" spans="1:7" x14ac:dyDescent="0.25">
      <c r="A401" t="s">
        <v>366</v>
      </c>
      <c r="B401" t="s">
        <v>601</v>
      </c>
      <c r="C401" t="s">
        <v>605</v>
      </c>
      <c r="D401" s="6">
        <v>13.7631884965</v>
      </c>
      <c r="E401" s="11">
        <v>0</v>
      </c>
      <c r="F401" s="2">
        <v>0</v>
      </c>
      <c r="G401" s="11"/>
    </row>
    <row r="402" spans="1:7" x14ac:dyDescent="0.25">
      <c r="A402" t="s">
        <v>357</v>
      </c>
      <c r="B402" t="s">
        <v>603</v>
      </c>
      <c r="C402" t="s">
        <v>605</v>
      </c>
      <c r="D402" s="6">
        <v>13.717939544</v>
      </c>
      <c r="E402" s="11">
        <v>0</v>
      </c>
      <c r="F402" s="2">
        <v>0</v>
      </c>
      <c r="G402" s="11"/>
    </row>
    <row r="403" spans="1:7" x14ac:dyDescent="0.25">
      <c r="A403" t="s">
        <v>372</v>
      </c>
      <c r="B403" t="s">
        <v>600</v>
      </c>
      <c r="C403" t="s">
        <v>605</v>
      </c>
      <c r="D403" s="6">
        <v>13.698025142500001</v>
      </c>
      <c r="E403" s="11">
        <v>0</v>
      </c>
      <c r="F403" s="2">
        <v>0</v>
      </c>
      <c r="G403" s="11"/>
    </row>
    <row r="404" spans="1:7" x14ac:dyDescent="0.25">
      <c r="A404" t="s">
        <v>359</v>
      </c>
      <c r="B404" t="s">
        <v>603</v>
      </c>
      <c r="C404" t="s">
        <v>605</v>
      </c>
      <c r="D404" s="6">
        <v>13.382286933</v>
      </c>
      <c r="E404" s="11">
        <v>0</v>
      </c>
      <c r="F404" s="2">
        <v>0</v>
      </c>
      <c r="G404" s="11"/>
    </row>
    <row r="405" spans="1:7" x14ac:dyDescent="0.25">
      <c r="A405" t="s">
        <v>369</v>
      </c>
      <c r="B405" t="s">
        <v>600</v>
      </c>
      <c r="C405" t="s">
        <v>605</v>
      </c>
      <c r="D405" s="6">
        <v>13.1825360355</v>
      </c>
      <c r="E405" s="11">
        <v>0</v>
      </c>
      <c r="F405" s="2">
        <v>0</v>
      </c>
      <c r="G405" s="11"/>
    </row>
    <row r="406" spans="1:7" x14ac:dyDescent="0.25">
      <c r="A406" t="s">
        <v>368</v>
      </c>
      <c r="B406" t="s">
        <v>601</v>
      </c>
      <c r="C406" t="s">
        <v>605</v>
      </c>
      <c r="D406" s="6">
        <v>12.51359967</v>
      </c>
      <c r="E406" s="11">
        <v>0</v>
      </c>
      <c r="F406" s="2">
        <v>0</v>
      </c>
      <c r="G406" s="11"/>
    </row>
    <row r="407" spans="1:7" x14ac:dyDescent="0.25">
      <c r="A407" t="s">
        <v>367</v>
      </c>
      <c r="B407" t="s">
        <v>601</v>
      </c>
      <c r="C407" t="s">
        <v>605</v>
      </c>
      <c r="D407" s="6">
        <v>12.3585867365</v>
      </c>
      <c r="E407" s="11">
        <v>0</v>
      </c>
      <c r="F407" s="2">
        <v>0</v>
      </c>
      <c r="G407" s="11"/>
    </row>
    <row r="408" spans="1:7" x14ac:dyDescent="0.25">
      <c r="A408" t="s">
        <v>428</v>
      </c>
      <c r="B408" t="s">
        <v>601</v>
      </c>
      <c r="C408" t="s">
        <v>605</v>
      </c>
      <c r="D408" s="6">
        <v>12.3431803165</v>
      </c>
      <c r="E408" s="11">
        <v>0</v>
      </c>
      <c r="F408" s="2">
        <v>0</v>
      </c>
      <c r="G408" s="11"/>
    </row>
    <row r="409" spans="1:7" x14ac:dyDescent="0.25">
      <c r="A409" t="s">
        <v>374</v>
      </c>
      <c r="B409" t="s">
        <v>600</v>
      </c>
      <c r="C409" t="s">
        <v>605</v>
      </c>
      <c r="D409" s="6">
        <v>12.337083935500001</v>
      </c>
      <c r="E409" s="11">
        <v>0</v>
      </c>
      <c r="F409" s="2">
        <v>0</v>
      </c>
      <c r="G409" s="11"/>
    </row>
    <row r="410" spans="1:7" x14ac:dyDescent="0.25">
      <c r="A410" t="s">
        <v>507</v>
      </c>
      <c r="B410" t="s">
        <v>601</v>
      </c>
      <c r="C410" t="s">
        <v>605</v>
      </c>
      <c r="D410" s="6">
        <v>12.332249032</v>
      </c>
      <c r="E410" s="11">
        <v>0</v>
      </c>
      <c r="F410" s="2">
        <v>0</v>
      </c>
      <c r="G410" s="11"/>
    </row>
    <row r="411" spans="1:7" x14ac:dyDescent="0.25">
      <c r="A411" t="s">
        <v>356</v>
      </c>
      <c r="B411" t="s">
        <v>601</v>
      </c>
      <c r="C411" t="s">
        <v>605</v>
      </c>
      <c r="D411" s="6">
        <v>12.203198221499999</v>
      </c>
      <c r="E411" s="11">
        <v>0</v>
      </c>
      <c r="F411" s="2">
        <v>0</v>
      </c>
      <c r="G411" s="11"/>
    </row>
    <row r="412" spans="1:7" x14ac:dyDescent="0.25">
      <c r="A412" t="s">
        <v>370</v>
      </c>
      <c r="B412" t="s">
        <v>601</v>
      </c>
      <c r="C412" t="s">
        <v>605</v>
      </c>
      <c r="D412" s="6">
        <v>12.193666095000001</v>
      </c>
      <c r="E412" s="11">
        <v>0</v>
      </c>
      <c r="F412" s="2">
        <v>0</v>
      </c>
      <c r="G412" s="11"/>
    </row>
    <row r="413" spans="1:7" x14ac:dyDescent="0.25">
      <c r="A413" t="s">
        <v>373</v>
      </c>
      <c r="B413" t="s">
        <v>600</v>
      </c>
      <c r="C413" t="s">
        <v>605</v>
      </c>
      <c r="D413" s="6">
        <v>11.321679603</v>
      </c>
      <c r="E413" s="11">
        <v>0</v>
      </c>
      <c r="F413" s="2">
        <v>0</v>
      </c>
      <c r="G413" s="11"/>
    </row>
    <row r="414" spans="1:7" x14ac:dyDescent="0.25">
      <c r="A414" t="s">
        <v>559</v>
      </c>
      <c r="B414" t="s">
        <v>601</v>
      </c>
      <c r="C414" t="s">
        <v>605</v>
      </c>
      <c r="D414" s="6">
        <v>11.1562469775</v>
      </c>
      <c r="E414" s="11">
        <v>0</v>
      </c>
      <c r="F414" s="2">
        <v>0</v>
      </c>
      <c r="G414" s="11"/>
    </row>
    <row r="415" spans="1:7" x14ac:dyDescent="0.25">
      <c r="A415" t="s">
        <v>384</v>
      </c>
      <c r="B415" t="s">
        <v>600</v>
      </c>
      <c r="C415" t="s">
        <v>605</v>
      </c>
      <c r="D415" s="6">
        <v>10.813648361</v>
      </c>
      <c r="E415" s="11">
        <v>0</v>
      </c>
      <c r="F415" s="2">
        <v>0</v>
      </c>
      <c r="G415" s="11"/>
    </row>
    <row r="416" spans="1:7" x14ac:dyDescent="0.25">
      <c r="A416" t="s">
        <v>376</v>
      </c>
      <c r="B416" t="s">
        <v>601</v>
      </c>
      <c r="C416" t="s">
        <v>605</v>
      </c>
      <c r="D416" s="6">
        <v>10.674871657500001</v>
      </c>
      <c r="E416" s="11">
        <v>0</v>
      </c>
      <c r="F416" s="2">
        <v>0</v>
      </c>
      <c r="G416" s="11"/>
    </row>
    <row r="417" spans="1:7" x14ac:dyDescent="0.25">
      <c r="A417" t="s">
        <v>380</v>
      </c>
      <c r="B417" t="s">
        <v>600</v>
      </c>
      <c r="C417" t="s">
        <v>605</v>
      </c>
      <c r="D417" s="6">
        <v>10.6100375825</v>
      </c>
      <c r="E417" s="11">
        <v>0</v>
      </c>
      <c r="F417" s="2">
        <v>0</v>
      </c>
      <c r="G417" s="11"/>
    </row>
    <row r="418" spans="1:7" x14ac:dyDescent="0.25">
      <c r="A418" t="s">
        <v>381</v>
      </c>
      <c r="B418" t="s">
        <v>600</v>
      </c>
      <c r="C418" t="s">
        <v>605</v>
      </c>
      <c r="D418" s="6">
        <v>10.369956934000001</v>
      </c>
      <c r="E418" s="11">
        <v>0</v>
      </c>
      <c r="F418" s="2">
        <v>0</v>
      </c>
      <c r="G418" s="11"/>
    </row>
    <row r="419" spans="1:7" x14ac:dyDescent="0.25">
      <c r="A419" t="s">
        <v>378</v>
      </c>
      <c r="B419" t="s">
        <v>601</v>
      </c>
      <c r="C419" t="s">
        <v>605</v>
      </c>
      <c r="D419" s="6">
        <v>10.3300977685</v>
      </c>
      <c r="E419" s="11">
        <v>0</v>
      </c>
      <c r="F419" s="2">
        <v>0</v>
      </c>
      <c r="G419" s="11"/>
    </row>
    <row r="420" spans="1:7" x14ac:dyDescent="0.25">
      <c r="A420" t="s">
        <v>365</v>
      </c>
      <c r="B420" t="s">
        <v>601</v>
      </c>
      <c r="C420" t="s">
        <v>605</v>
      </c>
      <c r="D420" s="6">
        <v>10.207797874000001</v>
      </c>
      <c r="E420" s="11">
        <v>0</v>
      </c>
      <c r="F420" s="2">
        <v>0</v>
      </c>
      <c r="G420" s="11"/>
    </row>
    <row r="421" spans="1:7" x14ac:dyDescent="0.25">
      <c r="A421" t="s">
        <v>377</v>
      </c>
      <c r="B421" t="s">
        <v>600</v>
      </c>
      <c r="C421" t="s">
        <v>605</v>
      </c>
      <c r="D421" s="6">
        <v>10.034344640499999</v>
      </c>
      <c r="E421" s="11">
        <v>0</v>
      </c>
      <c r="F421" s="2">
        <v>0</v>
      </c>
      <c r="G421" s="11"/>
    </row>
    <row r="422" spans="1:7" x14ac:dyDescent="0.25">
      <c r="A422" t="s">
        <v>383</v>
      </c>
      <c r="B422" t="s">
        <v>600</v>
      </c>
      <c r="C422" t="s">
        <v>605</v>
      </c>
      <c r="D422" s="6">
        <v>10.01649836</v>
      </c>
      <c r="E422" s="11">
        <v>0</v>
      </c>
      <c r="F422" s="2">
        <v>0</v>
      </c>
      <c r="G422" s="11"/>
    </row>
    <row r="423" spans="1:7" x14ac:dyDescent="0.25">
      <c r="A423" t="s">
        <v>390</v>
      </c>
      <c r="B423" t="s">
        <v>600</v>
      </c>
      <c r="C423" t="s">
        <v>605</v>
      </c>
      <c r="D423" s="6">
        <v>9.8213927014999989</v>
      </c>
      <c r="E423" s="11">
        <v>0</v>
      </c>
      <c r="F423" s="2">
        <v>0</v>
      </c>
      <c r="G423" s="11"/>
    </row>
    <row r="424" spans="1:7" x14ac:dyDescent="0.25">
      <c r="A424" t="s">
        <v>382</v>
      </c>
      <c r="B424" t="s">
        <v>601</v>
      </c>
      <c r="C424" t="s">
        <v>605</v>
      </c>
      <c r="D424" s="6">
        <v>9.6839302400000005</v>
      </c>
      <c r="E424" s="11">
        <v>0</v>
      </c>
      <c r="F424" s="2">
        <v>0</v>
      </c>
      <c r="G424" s="11"/>
    </row>
    <row r="425" spans="1:7" x14ac:dyDescent="0.25">
      <c r="A425" t="s">
        <v>387</v>
      </c>
      <c r="B425" t="s">
        <v>600</v>
      </c>
      <c r="C425" t="s">
        <v>605</v>
      </c>
      <c r="D425" s="6">
        <v>9.6447607370000004</v>
      </c>
      <c r="E425" s="11">
        <v>0</v>
      </c>
      <c r="F425" s="2">
        <v>0</v>
      </c>
      <c r="G425" s="11"/>
    </row>
    <row r="426" spans="1:7" x14ac:dyDescent="0.25">
      <c r="A426" t="s">
        <v>385</v>
      </c>
      <c r="B426" t="s">
        <v>600</v>
      </c>
      <c r="C426" t="s">
        <v>605</v>
      </c>
      <c r="D426" s="6">
        <v>9.4755894289999993</v>
      </c>
      <c r="E426" s="11">
        <v>0</v>
      </c>
      <c r="F426" s="2">
        <v>0</v>
      </c>
      <c r="G426" s="11"/>
    </row>
    <row r="427" spans="1:7" x14ac:dyDescent="0.25">
      <c r="A427" t="s">
        <v>375</v>
      </c>
      <c r="B427" t="s">
        <v>600</v>
      </c>
      <c r="C427" t="s">
        <v>605</v>
      </c>
      <c r="D427" s="6">
        <v>9.1261291745000008</v>
      </c>
      <c r="E427" s="11">
        <v>0</v>
      </c>
      <c r="F427" s="2">
        <v>0</v>
      </c>
      <c r="G427" s="11"/>
    </row>
    <row r="428" spans="1:7" x14ac:dyDescent="0.25">
      <c r="A428" t="s">
        <v>388</v>
      </c>
      <c r="B428" t="s">
        <v>600</v>
      </c>
      <c r="C428" t="s">
        <v>605</v>
      </c>
      <c r="D428" s="6">
        <v>8.9730575270000017</v>
      </c>
      <c r="E428" s="11">
        <v>0</v>
      </c>
      <c r="F428" s="2">
        <v>0</v>
      </c>
      <c r="G428" s="11"/>
    </row>
    <row r="429" spans="1:7" x14ac:dyDescent="0.25">
      <c r="A429" t="s">
        <v>379</v>
      </c>
      <c r="B429" t="s">
        <v>600</v>
      </c>
      <c r="C429" t="s">
        <v>605</v>
      </c>
      <c r="D429" s="6">
        <v>8.9652174905000006</v>
      </c>
      <c r="E429" s="11">
        <v>0</v>
      </c>
      <c r="F429" s="2">
        <v>0</v>
      </c>
      <c r="G429" s="11"/>
    </row>
    <row r="430" spans="1:7" x14ac:dyDescent="0.25">
      <c r="A430" t="s">
        <v>292</v>
      </c>
      <c r="B430" t="s">
        <v>601</v>
      </c>
      <c r="C430" t="s">
        <v>605</v>
      </c>
      <c r="D430" s="6">
        <v>8.8133180964999998</v>
      </c>
      <c r="E430" s="11">
        <v>0</v>
      </c>
      <c r="F430" s="2">
        <v>0</v>
      </c>
      <c r="G430" s="11"/>
    </row>
    <row r="431" spans="1:7" x14ac:dyDescent="0.25">
      <c r="A431" t="s">
        <v>389</v>
      </c>
      <c r="B431" t="s">
        <v>600</v>
      </c>
      <c r="C431" t="s">
        <v>605</v>
      </c>
      <c r="D431" s="6">
        <v>8.7263513874999994</v>
      </c>
      <c r="E431" s="11">
        <v>0</v>
      </c>
      <c r="F431" s="2">
        <v>0</v>
      </c>
      <c r="G431" s="11"/>
    </row>
    <row r="432" spans="1:7" x14ac:dyDescent="0.25">
      <c r="A432" t="s">
        <v>400</v>
      </c>
      <c r="B432" t="s">
        <v>600</v>
      </c>
      <c r="C432" t="s">
        <v>605</v>
      </c>
      <c r="D432" s="6">
        <v>8.4199349560000005</v>
      </c>
      <c r="E432" s="11">
        <v>0</v>
      </c>
      <c r="F432" s="2">
        <v>0</v>
      </c>
      <c r="G432" s="11"/>
    </row>
    <row r="433" spans="1:7" x14ac:dyDescent="0.25">
      <c r="A433" t="s">
        <v>495</v>
      </c>
      <c r="B433" t="s">
        <v>601</v>
      </c>
      <c r="C433" t="s">
        <v>605</v>
      </c>
      <c r="D433" s="6">
        <v>8.1619903634999993</v>
      </c>
      <c r="E433" s="11">
        <v>0</v>
      </c>
      <c r="F433" s="2">
        <v>0</v>
      </c>
      <c r="G433" s="11"/>
    </row>
    <row r="434" spans="1:7" x14ac:dyDescent="0.25">
      <c r="A434" t="s">
        <v>391</v>
      </c>
      <c r="B434" t="s">
        <v>603</v>
      </c>
      <c r="C434" t="s">
        <v>605</v>
      </c>
      <c r="D434" s="6">
        <v>8.1407268715000001</v>
      </c>
      <c r="E434" s="11">
        <v>0</v>
      </c>
      <c r="F434" s="2">
        <v>0</v>
      </c>
      <c r="G434" s="11"/>
    </row>
    <row r="435" spans="1:7" x14ac:dyDescent="0.25">
      <c r="A435" t="s">
        <v>515</v>
      </c>
      <c r="B435" t="s">
        <v>603</v>
      </c>
      <c r="C435" t="s">
        <v>605</v>
      </c>
      <c r="D435" s="6">
        <v>8.099932922499999</v>
      </c>
      <c r="E435" s="11">
        <v>0</v>
      </c>
      <c r="F435" s="2">
        <v>0</v>
      </c>
      <c r="G435" s="11"/>
    </row>
    <row r="436" spans="1:7" x14ac:dyDescent="0.25">
      <c r="A436" t="s">
        <v>393</v>
      </c>
      <c r="B436" t="s">
        <v>603</v>
      </c>
      <c r="C436" t="s">
        <v>605</v>
      </c>
      <c r="D436" s="6">
        <v>7.9583241995000007</v>
      </c>
      <c r="E436" s="11">
        <v>0</v>
      </c>
      <c r="F436" s="2">
        <v>0</v>
      </c>
      <c r="G436" s="11"/>
    </row>
    <row r="437" spans="1:7" x14ac:dyDescent="0.25">
      <c r="A437" t="s">
        <v>514</v>
      </c>
      <c r="B437" t="s">
        <v>603</v>
      </c>
      <c r="C437" t="s">
        <v>605</v>
      </c>
      <c r="D437" s="6">
        <v>7.8592415635000004</v>
      </c>
      <c r="E437" s="11">
        <v>0</v>
      </c>
      <c r="F437" s="2">
        <v>0</v>
      </c>
      <c r="G437" s="11"/>
    </row>
    <row r="438" spans="1:7" x14ac:dyDescent="0.25">
      <c r="A438" t="s">
        <v>396</v>
      </c>
      <c r="B438" t="s">
        <v>601</v>
      </c>
      <c r="C438" t="s">
        <v>605</v>
      </c>
      <c r="D438" s="6">
        <v>7.7451763004999998</v>
      </c>
      <c r="E438" s="11">
        <v>0</v>
      </c>
      <c r="F438" s="2">
        <v>0</v>
      </c>
      <c r="G438" s="11"/>
    </row>
    <row r="439" spans="1:7" x14ac:dyDescent="0.25">
      <c r="A439" t="s">
        <v>386</v>
      </c>
      <c r="B439" t="s">
        <v>601</v>
      </c>
      <c r="C439" t="s">
        <v>605</v>
      </c>
      <c r="D439" s="6">
        <v>7.6309927465000005</v>
      </c>
      <c r="E439" s="11">
        <v>0</v>
      </c>
      <c r="F439" s="2">
        <v>0</v>
      </c>
      <c r="G439" s="11"/>
    </row>
    <row r="440" spans="1:7" x14ac:dyDescent="0.25">
      <c r="A440" t="s">
        <v>394</v>
      </c>
      <c r="B440" t="s">
        <v>603</v>
      </c>
      <c r="C440" t="s">
        <v>605</v>
      </c>
      <c r="D440" s="6">
        <v>7.5950522034999999</v>
      </c>
      <c r="E440" s="11">
        <v>0</v>
      </c>
      <c r="F440" s="2">
        <v>0</v>
      </c>
      <c r="G440" s="11"/>
    </row>
    <row r="441" spans="1:7" x14ac:dyDescent="0.25">
      <c r="A441" t="s">
        <v>395</v>
      </c>
      <c r="B441" t="s">
        <v>603</v>
      </c>
      <c r="C441" t="s">
        <v>605</v>
      </c>
      <c r="D441" s="6">
        <v>7.5563247415000001</v>
      </c>
      <c r="E441" s="11">
        <v>0</v>
      </c>
      <c r="F441" s="2">
        <v>0</v>
      </c>
      <c r="G441" s="11"/>
    </row>
    <row r="442" spans="1:7" x14ac:dyDescent="0.25">
      <c r="A442" t="s">
        <v>397</v>
      </c>
      <c r="B442" t="s">
        <v>603</v>
      </c>
      <c r="C442" t="s">
        <v>605</v>
      </c>
      <c r="D442" s="6">
        <v>7.5426683635000007</v>
      </c>
      <c r="E442" s="11">
        <v>0</v>
      </c>
      <c r="F442" s="2">
        <v>0</v>
      </c>
      <c r="G442" s="11"/>
    </row>
    <row r="443" spans="1:7" x14ac:dyDescent="0.25">
      <c r="A443" t="s">
        <v>417</v>
      </c>
      <c r="B443" t="s">
        <v>601</v>
      </c>
      <c r="C443" t="s">
        <v>605</v>
      </c>
      <c r="D443" s="6">
        <v>7.5039147564999995</v>
      </c>
      <c r="E443" s="11">
        <v>0</v>
      </c>
      <c r="F443" s="2">
        <v>0</v>
      </c>
      <c r="G443" s="11"/>
    </row>
    <row r="444" spans="1:7" x14ac:dyDescent="0.25">
      <c r="A444" t="s">
        <v>399</v>
      </c>
      <c r="B444" t="s">
        <v>603</v>
      </c>
      <c r="C444" t="s">
        <v>605</v>
      </c>
      <c r="D444" s="6">
        <v>7.490655769</v>
      </c>
      <c r="E444" s="11">
        <v>0</v>
      </c>
      <c r="F444" s="2">
        <v>0</v>
      </c>
      <c r="G444" s="11"/>
    </row>
    <row r="445" spans="1:7" x14ac:dyDescent="0.25">
      <c r="A445" t="s">
        <v>398</v>
      </c>
      <c r="B445" t="s">
        <v>603</v>
      </c>
      <c r="C445" t="s">
        <v>605</v>
      </c>
      <c r="D445" s="6">
        <v>7.4250698120000003</v>
      </c>
      <c r="E445" s="11">
        <v>0</v>
      </c>
      <c r="F445" s="2">
        <v>0</v>
      </c>
      <c r="G445" s="11"/>
    </row>
    <row r="446" spans="1:7" x14ac:dyDescent="0.25">
      <c r="A446" t="s">
        <v>404</v>
      </c>
      <c r="B446" t="s">
        <v>603</v>
      </c>
      <c r="C446" t="s">
        <v>605</v>
      </c>
      <c r="D446" s="6">
        <v>7.3174208954999997</v>
      </c>
      <c r="E446" s="11">
        <v>0</v>
      </c>
      <c r="F446" s="2">
        <v>0</v>
      </c>
      <c r="G446" s="11"/>
    </row>
    <row r="447" spans="1:7" x14ac:dyDescent="0.25">
      <c r="A447" t="s">
        <v>402</v>
      </c>
      <c r="B447" t="s">
        <v>603</v>
      </c>
      <c r="C447" t="s">
        <v>605</v>
      </c>
      <c r="D447" s="6">
        <v>7.2968965985000001</v>
      </c>
      <c r="E447" s="11">
        <v>0</v>
      </c>
      <c r="F447" s="2">
        <v>0</v>
      </c>
      <c r="G447" s="11"/>
    </row>
    <row r="448" spans="1:7" x14ac:dyDescent="0.25">
      <c r="A448" t="s">
        <v>511</v>
      </c>
      <c r="B448" t="s">
        <v>603</v>
      </c>
      <c r="C448" t="s">
        <v>605</v>
      </c>
      <c r="D448" s="6">
        <v>7.2569542310000008</v>
      </c>
      <c r="E448" s="11">
        <v>0</v>
      </c>
      <c r="F448" s="2">
        <v>0</v>
      </c>
      <c r="G448" s="11"/>
    </row>
    <row r="449" spans="1:7" x14ac:dyDescent="0.25">
      <c r="A449" t="s">
        <v>408</v>
      </c>
      <c r="B449" t="s">
        <v>601</v>
      </c>
      <c r="C449" t="s">
        <v>605</v>
      </c>
      <c r="D449" s="6">
        <v>7.2051508130000004</v>
      </c>
      <c r="E449" s="11">
        <v>0</v>
      </c>
      <c r="F449" s="2">
        <v>0</v>
      </c>
      <c r="G449" s="11"/>
    </row>
    <row r="450" spans="1:7" x14ac:dyDescent="0.25">
      <c r="A450" t="s">
        <v>496</v>
      </c>
      <c r="B450" t="s">
        <v>601</v>
      </c>
      <c r="C450" t="s">
        <v>605</v>
      </c>
      <c r="D450" s="6">
        <v>7.1878598309999999</v>
      </c>
      <c r="E450" s="11">
        <v>0</v>
      </c>
      <c r="F450" s="2">
        <v>0</v>
      </c>
      <c r="G450" s="11"/>
    </row>
    <row r="451" spans="1:7" x14ac:dyDescent="0.25">
      <c r="A451" t="s">
        <v>401</v>
      </c>
      <c r="B451" t="s">
        <v>603</v>
      </c>
      <c r="C451" t="s">
        <v>605</v>
      </c>
      <c r="D451" s="6">
        <v>7.1782481835</v>
      </c>
      <c r="E451" s="11">
        <v>0</v>
      </c>
      <c r="F451" s="2">
        <v>0</v>
      </c>
      <c r="G451" s="11"/>
    </row>
    <row r="452" spans="1:7" x14ac:dyDescent="0.25">
      <c r="A452" t="s">
        <v>413</v>
      </c>
      <c r="B452" t="s">
        <v>601</v>
      </c>
      <c r="C452" t="s">
        <v>605</v>
      </c>
      <c r="D452" s="6">
        <v>7.1738603210000012</v>
      </c>
      <c r="E452" s="11">
        <v>0</v>
      </c>
      <c r="F452" s="2">
        <v>0</v>
      </c>
      <c r="G452" s="11"/>
    </row>
    <row r="453" spans="1:7" x14ac:dyDescent="0.25">
      <c r="A453" t="s">
        <v>412</v>
      </c>
      <c r="B453" t="s">
        <v>601</v>
      </c>
      <c r="C453" t="s">
        <v>605</v>
      </c>
      <c r="D453" s="6">
        <v>7.1641152569999997</v>
      </c>
      <c r="E453" s="11">
        <v>0</v>
      </c>
      <c r="F453" s="2">
        <v>0</v>
      </c>
      <c r="G453" s="11"/>
    </row>
    <row r="454" spans="1:7" x14ac:dyDescent="0.25">
      <c r="A454" t="s">
        <v>406</v>
      </c>
      <c r="B454" t="s">
        <v>601</v>
      </c>
      <c r="C454" t="s">
        <v>605</v>
      </c>
      <c r="D454" s="6">
        <v>7.1569334785000001</v>
      </c>
      <c r="E454" s="11">
        <v>0</v>
      </c>
      <c r="F454" s="2">
        <v>0</v>
      </c>
      <c r="G454" s="11"/>
    </row>
    <row r="455" spans="1:7" x14ac:dyDescent="0.25">
      <c r="A455" t="s">
        <v>411</v>
      </c>
      <c r="B455" t="s">
        <v>603</v>
      </c>
      <c r="C455" t="s">
        <v>605</v>
      </c>
      <c r="D455" s="6">
        <v>7.1268714724999995</v>
      </c>
      <c r="E455" s="11">
        <v>0</v>
      </c>
      <c r="F455" s="2">
        <v>0</v>
      </c>
      <c r="G455" s="11"/>
    </row>
    <row r="456" spans="1:7" x14ac:dyDescent="0.25">
      <c r="A456" t="s">
        <v>407</v>
      </c>
      <c r="B456" t="s">
        <v>603</v>
      </c>
      <c r="C456" t="s">
        <v>605</v>
      </c>
      <c r="D456" s="6">
        <v>7.1178937465000001</v>
      </c>
      <c r="E456" s="11">
        <v>0</v>
      </c>
      <c r="F456" s="2">
        <v>0</v>
      </c>
      <c r="G456" s="11"/>
    </row>
    <row r="457" spans="1:7" x14ac:dyDescent="0.25">
      <c r="A457" t="s">
        <v>405</v>
      </c>
      <c r="B457" t="s">
        <v>603</v>
      </c>
      <c r="C457" t="s">
        <v>605</v>
      </c>
      <c r="D457" s="6">
        <v>7.0913325565000003</v>
      </c>
      <c r="E457" s="11">
        <v>0</v>
      </c>
      <c r="F457" s="2">
        <v>0</v>
      </c>
      <c r="G457" s="11"/>
    </row>
    <row r="458" spans="1:7" x14ac:dyDescent="0.25">
      <c r="A458" t="s">
        <v>409</v>
      </c>
      <c r="B458" t="s">
        <v>603</v>
      </c>
      <c r="C458" t="s">
        <v>605</v>
      </c>
      <c r="D458" s="6">
        <v>7.0164279755000001</v>
      </c>
      <c r="E458" s="11">
        <v>0</v>
      </c>
      <c r="F458" s="2">
        <v>0</v>
      </c>
      <c r="G458" s="11"/>
    </row>
    <row r="459" spans="1:7" x14ac:dyDescent="0.25">
      <c r="A459" t="s">
        <v>497</v>
      </c>
      <c r="B459" t="s">
        <v>600</v>
      </c>
      <c r="C459" t="s">
        <v>605</v>
      </c>
      <c r="D459" s="6">
        <v>6.9862376655000009</v>
      </c>
      <c r="E459" s="11">
        <v>0</v>
      </c>
      <c r="F459" s="2">
        <v>0</v>
      </c>
      <c r="G459" s="11"/>
    </row>
    <row r="460" spans="1:7" x14ac:dyDescent="0.25">
      <c r="A460" t="s">
        <v>414</v>
      </c>
      <c r="B460" t="s">
        <v>601</v>
      </c>
      <c r="C460" t="s">
        <v>605</v>
      </c>
      <c r="D460" s="6">
        <v>6.9693691720000004</v>
      </c>
      <c r="E460" s="11">
        <v>0</v>
      </c>
      <c r="F460" s="2">
        <v>0</v>
      </c>
      <c r="G460" s="11"/>
    </row>
    <row r="461" spans="1:7" x14ac:dyDescent="0.25">
      <c r="A461" t="s">
        <v>421</v>
      </c>
      <c r="B461" t="s">
        <v>601</v>
      </c>
      <c r="C461" t="s">
        <v>605</v>
      </c>
      <c r="D461" s="6">
        <v>6.9479946970000004</v>
      </c>
      <c r="E461" s="11">
        <v>0</v>
      </c>
      <c r="F461" s="2">
        <v>0</v>
      </c>
      <c r="G461" s="11"/>
    </row>
    <row r="462" spans="1:7" x14ac:dyDescent="0.25">
      <c r="A462" t="s">
        <v>418</v>
      </c>
      <c r="B462" t="s">
        <v>603</v>
      </c>
      <c r="C462" t="s">
        <v>605</v>
      </c>
      <c r="D462" s="6">
        <v>6.9249588094999996</v>
      </c>
      <c r="E462" s="11">
        <v>0</v>
      </c>
      <c r="F462" s="2">
        <v>0</v>
      </c>
      <c r="G462" s="11"/>
    </row>
    <row r="463" spans="1:7" x14ac:dyDescent="0.25">
      <c r="A463" t="s">
        <v>410</v>
      </c>
      <c r="B463" t="s">
        <v>603</v>
      </c>
      <c r="C463" t="s">
        <v>605</v>
      </c>
      <c r="D463" s="6">
        <v>6.9041086540000007</v>
      </c>
      <c r="E463" s="11">
        <v>0</v>
      </c>
      <c r="F463" s="2">
        <v>0</v>
      </c>
      <c r="G463" s="11"/>
    </row>
    <row r="464" spans="1:7" x14ac:dyDescent="0.25">
      <c r="A464" t="s">
        <v>420</v>
      </c>
      <c r="B464" t="s">
        <v>603</v>
      </c>
      <c r="C464" t="s">
        <v>605</v>
      </c>
      <c r="D464" s="6">
        <v>6.8754623190000004</v>
      </c>
      <c r="E464" s="11">
        <v>0</v>
      </c>
      <c r="F464" s="2">
        <v>0</v>
      </c>
      <c r="G464" s="11"/>
    </row>
    <row r="465" spans="1:7" x14ac:dyDescent="0.25">
      <c r="A465" t="s">
        <v>416</v>
      </c>
      <c r="B465" t="s">
        <v>603</v>
      </c>
      <c r="C465" t="s">
        <v>605</v>
      </c>
      <c r="D465" s="6">
        <v>6.8745239755000007</v>
      </c>
      <c r="E465" s="11">
        <v>0</v>
      </c>
      <c r="F465" s="2">
        <v>0</v>
      </c>
      <c r="G465" s="11"/>
    </row>
    <row r="466" spans="1:7" x14ac:dyDescent="0.25">
      <c r="A466" t="s">
        <v>403</v>
      </c>
      <c r="B466" t="s">
        <v>601</v>
      </c>
      <c r="C466" t="s">
        <v>605</v>
      </c>
      <c r="D466" s="6">
        <v>6.7849656085000003</v>
      </c>
      <c r="E466" s="11">
        <v>0</v>
      </c>
      <c r="F466" s="2">
        <v>0</v>
      </c>
      <c r="G466" s="11"/>
    </row>
    <row r="467" spans="1:7" x14ac:dyDescent="0.25">
      <c r="A467" t="s">
        <v>426</v>
      </c>
      <c r="B467" t="s">
        <v>601</v>
      </c>
      <c r="C467" t="s">
        <v>605</v>
      </c>
      <c r="D467" s="6">
        <v>6.7747144390000003</v>
      </c>
      <c r="E467" s="11">
        <v>0</v>
      </c>
      <c r="F467" s="2">
        <v>0</v>
      </c>
      <c r="G467" s="11"/>
    </row>
    <row r="468" spans="1:7" x14ac:dyDescent="0.25">
      <c r="A468" t="s">
        <v>423</v>
      </c>
      <c r="B468" t="s">
        <v>601</v>
      </c>
      <c r="C468" t="s">
        <v>605</v>
      </c>
      <c r="D468" s="6">
        <v>6.7239630654999996</v>
      </c>
      <c r="E468" s="11">
        <v>0</v>
      </c>
      <c r="F468" s="2">
        <v>0</v>
      </c>
      <c r="G468" s="11"/>
    </row>
    <row r="469" spans="1:7" x14ac:dyDescent="0.25">
      <c r="A469" t="s">
        <v>422</v>
      </c>
      <c r="B469" t="s">
        <v>603</v>
      </c>
      <c r="C469" t="s">
        <v>605</v>
      </c>
      <c r="D469" s="6">
        <v>6.6372560294999996</v>
      </c>
      <c r="E469" s="11">
        <v>0</v>
      </c>
      <c r="F469" s="2">
        <v>0</v>
      </c>
      <c r="G469" s="11"/>
    </row>
    <row r="470" spans="1:7" x14ac:dyDescent="0.25">
      <c r="A470" t="s">
        <v>425</v>
      </c>
      <c r="B470" t="s">
        <v>603</v>
      </c>
      <c r="C470" t="s">
        <v>605</v>
      </c>
      <c r="D470" s="6">
        <v>6.6197767274999997</v>
      </c>
      <c r="E470" s="11">
        <v>0</v>
      </c>
      <c r="F470" s="2">
        <v>0</v>
      </c>
      <c r="G470" s="11"/>
    </row>
    <row r="471" spans="1:7" x14ac:dyDescent="0.25">
      <c r="A471" t="s">
        <v>360</v>
      </c>
      <c r="B471" t="s">
        <v>601</v>
      </c>
      <c r="C471" t="s">
        <v>605</v>
      </c>
      <c r="D471" s="6">
        <v>6.6095543125000003</v>
      </c>
      <c r="E471" s="11">
        <v>0</v>
      </c>
      <c r="F471" s="2">
        <v>0</v>
      </c>
      <c r="G471" s="11"/>
    </row>
    <row r="472" spans="1:7" x14ac:dyDescent="0.25">
      <c r="A472" t="s">
        <v>429</v>
      </c>
      <c r="B472" t="s">
        <v>603</v>
      </c>
      <c r="C472" t="s">
        <v>605</v>
      </c>
      <c r="D472" s="6">
        <v>6.546431449</v>
      </c>
      <c r="E472" s="11">
        <v>0</v>
      </c>
      <c r="F472" s="2">
        <v>0</v>
      </c>
      <c r="G472" s="11"/>
    </row>
    <row r="473" spans="1:7" x14ac:dyDescent="0.25">
      <c r="A473" t="s">
        <v>427</v>
      </c>
      <c r="B473" t="s">
        <v>603</v>
      </c>
      <c r="C473" t="s">
        <v>605</v>
      </c>
      <c r="D473" s="6">
        <v>6.5296290380000013</v>
      </c>
      <c r="E473" s="11">
        <v>0</v>
      </c>
      <c r="F473" s="2">
        <v>0</v>
      </c>
      <c r="G473" s="11"/>
    </row>
    <row r="474" spans="1:7" x14ac:dyDescent="0.25">
      <c r="A474" t="s">
        <v>424</v>
      </c>
      <c r="B474" t="s">
        <v>601</v>
      </c>
      <c r="C474" t="s">
        <v>605</v>
      </c>
      <c r="D474" s="6">
        <v>6.4961249575000002</v>
      </c>
      <c r="E474" s="11">
        <v>0</v>
      </c>
      <c r="F474" s="2">
        <v>0</v>
      </c>
      <c r="G474" s="11"/>
    </row>
    <row r="475" spans="1:7" x14ac:dyDescent="0.25">
      <c r="A475" t="s">
        <v>430</v>
      </c>
      <c r="B475" t="s">
        <v>601</v>
      </c>
      <c r="C475" t="s">
        <v>605</v>
      </c>
      <c r="D475" s="6">
        <v>6.4942609899999999</v>
      </c>
      <c r="E475" s="11">
        <v>0</v>
      </c>
      <c r="F475" s="2">
        <v>0</v>
      </c>
      <c r="G475" s="11"/>
    </row>
    <row r="476" spans="1:7" x14ac:dyDescent="0.25">
      <c r="A476" t="s">
        <v>431</v>
      </c>
      <c r="B476" t="s">
        <v>601</v>
      </c>
      <c r="C476" t="s">
        <v>605</v>
      </c>
      <c r="D476" s="6">
        <v>6.4416772699999996</v>
      </c>
      <c r="E476" s="11">
        <v>0</v>
      </c>
      <c r="F476" s="2">
        <v>0</v>
      </c>
      <c r="G476" s="11"/>
    </row>
    <row r="477" spans="1:7" x14ac:dyDescent="0.25">
      <c r="A477" t="s">
        <v>392</v>
      </c>
      <c r="B477" t="s">
        <v>601</v>
      </c>
      <c r="C477" t="s">
        <v>605</v>
      </c>
      <c r="D477" s="6">
        <v>6.3608932925000001</v>
      </c>
      <c r="E477" s="11">
        <v>0</v>
      </c>
      <c r="F477" s="2">
        <v>0</v>
      </c>
      <c r="G477" s="11"/>
    </row>
    <row r="478" spans="1:7" x14ac:dyDescent="0.25">
      <c r="A478" t="s">
        <v>432</v>
      </c>
      <c r="B478" t="s">
        <v>601</v>
      </c>
      <c r="C478" t="s">
        <v>605</v>
      </c>
      <c r="D478" s="6">
        <v>6.3583771124999995</v>
      </c>
      <c r="E478" s="11">
        <v>0</v>
      </c>
      <c r="F478" s="2">
        <v>0</v>
      </c>
      <c r="G478" s="11"/>
    </row>
    <row r="479" spans="1:7" x14ac:dyDescent="0.25">
      <c r="A479" t="s">
        <v>434</v>
      </c>
      <c r="B479" t="s">
        <v>601</v>
      </c>
      <c r="C479" t="s">
        <v>605</v>
      </c>
      <c r="D479" s="6">
        <v>6.2485145614999995</v>
      </c>
      <c r="E479" s="11">
        <v>0</v>
      </c>
      <c r="F479" s="2">
        <v>0</v>
      </c>
      <c r="G479" s="11"/>
    </row>
    <row r="480" spans="1:7" x14ac:dyDescent="0.25">
      <c r="A480" t="s">
        <v>438</v>
      </c>
      <c r="B480" t="s">
        <v>600</v>
      </c>
      <c r="C480" t="s">
        <v>605</v>
      </c>
      <c r="D480" s="6">
        <v>6.1455077110000005</v>
      </c>
      <c r="E480" s="11">
        <v>0</v>
      </c>
      <c r="F480" s="2">
        <v>0</v>
      </c>
      <c r="G480" s="11"/>
    </row>
    <row r="481" spans="1:7" x14ac:dyDescent="0.25">
      <c r="A481" t="s">
        <v>435</v>
      </c>
      <c r="B481" t="s">
        <v>600</v>
      </c>
      <c r="C481" t="s">
        <v>605</v>
      </c>
      <c r="D481" s="6">
        <v>5.7121556550000001</v>
      </c>
      <c r="E481" s="11">
        <v>0</v>
      </c>
      <c r="F481" s="2">
        <v>0</v>
      </c>
      <c r="G481" s="11"/>
    </row>
    <row r="482" spans="1:7" x14ac:dyDescent="0.25">
      <c r="A482" t="s">
        <v>436</v>
      </c>
      <c r="B482" t="s">
        <v>601</v>
      </c>
      <c r="C482" t="s">
        <v>605</v>
      </c>
      <c r="D482" s="6">
        <v>5.5079316619999998</v>
      </c>
      <c r="E482" s="11">
        <v>0</v>
      </c>
      <c r="F482" s="2">
        <v>0</v>
      </c>
      <c r="G482" s="11"/>
    </row>
    <row r="483" spans="1:7" x14ac:dyDescent="0.25">
      <c r="A483" t="s">
        <v>437</v>
      </c>
      <c r="B483" t="s">
        <v>600</v>
      </c>
      <c r="C483" t="s">
        <v>605</v>
      </c>
      <c r="D483" s="6">
        <v>5.2570294694999999</v>
      </c>
      <c r="E483" s="11">
        <v>0</v>
      </c>
      <c r="F483" s="2">
        <v>0</v>
      </c>
      <c r="G483" s="11"/>
    </row>
    <row r="484" spans="1:7" x14ac:dyDescent="0.25">
      <c r="A484" t="s">
        <v>510</v>
      </c>
      <c r="B484" t="s">
        <v>601</v>
      </c>
      <c r="C484" t="s">
        <v>605</v>
      </c>
      <c r="D484" s="6">
        <v>5.1788381719999999</v>
      </c>
      <c r="E484" s="11">
        <v>0</v>
      </c>
      <c r="F484" s="2">
        <v>0</v>
      </c>
      <c r="G484" s="11"/>
    </row>
    <row r="485" spans="1:7" x14ac:dyDescent="0.25">
      <c r="A485" t="s">
        <v>647</v>
      </c>
      <c r="B485" t="s">
        <v>600</v>
      </c>
      <c r="C485" t="s">
        <v>605</v>
      </c>
      <c r="D485" s="6">
        <v>4.6155823179999995</v>
      </c>
      <c r="E485" s="11">
        <v>0</v>
      </c>
      <c r="F485" s="2">
        <v>0</v>
      </c>
      <c r="G485" s="11"/>
    </row>
    <row r="486" spans="1:7" x14ac:dyDescent="0.25">
      <c r="A486" t="s">
        <v>439</v>
      </c>
      <c r="B486" t="s">
        <v>603</v>
      </c>
      <c r="C486" t="s">
        <v>605</v>
      </c>
      <c r="D486" s="6">
        <v>3.6661075955000002</v>
      </c>
      <c r="E486" s="11">
        <v>0</v>
      </c>
      <c r="F486" s="2">
        <v>0</v>
      </c>
      <c r="G486" s="11"/>
    </row>
    <row r="487" spans="1:7" x14ac:dyDescent="0.25">
      <c r="A487" t="s">
        <v>442</v>
      </c>
      <c r="B487" t="s">
        <v>601</v>
      </c>
      <c r="C487" t="s">
        <v>605</v>
      </c>
      <c r="D487" s="6">
        <v>3.638755443</v>
      </c>
      <c r="E487" s="11">
        <v>0</v>
      </c>
      <c r="F487" s="2">
        <v>0</v>
      </c>
      <c r="G487" s="11"/>
    </row>
    <row r="488" spans="1:7" x14ac:dyDescent="0.25">
      <c r="A488" t="s">
        <v>440</v>
      </c>
      <c r="B488" t="s">
        <v>603</v>
      </c>
      <c r="C488" t="s">
        <v>605</v>
      </c>
      <c r="D488" s="6">
        <v>3.6272091115</v>
      </c>
      <c r="E488" s="11">
        <v>0</v>
      </c>
      <c r="F488" s="2">
        <v>0</v>
      </c>
      <c r="G488" s="11"/>
    </row>
    <row r="489" spans="1:7" x14ac:dyDescent="0.25">
      <c r="A489" t="s">
        <v>445</v>
      </c>
      <c r="B489" t="s">
        <v>601</v>
      </c>
      <c r="C489" t="s">
        <v>605</v>
      </c>
      <c r="D489" s="6">
        <v>3.6214352865000006</v>
      </c>
      <c r="E489" s="11">
        <v>0</v>
      </c>
      <c r="F489" s="2">
        <v>0</v>
      </c>
      <c r="G489" s="11"/>
    </row>
    <row r="490" spans="1:7" x14ac:dyDescent="0.25">
      <c r="A490" t="s">
        <v>441</v>
      </c>
      <c r="B490" t="s">
        <v>603</v>
      </c>
      <c r="C490" t="s">
        <v>605</v>
      </c>
      <c r="D490" s="6">
        <v>3.5818772084999999</v>
      </c>
      <c r="E490" s="11">
        <v>0</v>
      </c>
      <c r="F490" s="2">
        <v>0</v>
      </c>
      <c r="G490" s="11"/>
    </row>
    <row r="491" spans="1:7" x14ac:dyDescent="0.25">
      <c r="A491" t="s">
        <v>444</v>
      </c>
      <c r="B491" t="s">
        <v>601</v>
      </c>
      <c r="C491" t="s">
        <v>605</v>
      </c>
      <c r="D491" s="6">
        <v>3.5615681570000004</v>
      </c>
      <c r="E491" s="11">
        <v>0</v>
      </c>
      <c r="F491" s="2">
        <v>0</v>
      </c>
      <c r="G491" s="11"/>
    </row>
    <row r="492" spans="1:7" x14ac:dyDescent="0.25">
      <c r="A492" t="s">
        <v>443</v>
      </c>
      <c r="B492" t="s">
        <v>603</v>
      </c>
      <c r="C492" t="s">
        <v>605</v>
      </c>
      <c r="D492" s="6">
        <v>3.5495500780000002</v>
      </c>
      <c r="E492" s="11">
        <v>0</v>
      </c>
      <c r="F492" s="2">
        <v>0</v>
      </c>
      <c r="G492" s="11"/>
    </row>
    <row r="493" spans="1:7" x14ac:dyDescent="0.25">
      <c r="A493" t="s">
        <v>449</v>
      </c>
      <c r="B493" t="s">
        <v>601</v>
      </c>
      <c r="C493" t="s">
        <v>605</v>
      </c>
      <c r="D493" s="6">
        <v>3.4689545255000001</v>
      </c>
      <c r="E493" s="11">
        <v>0</v>
      </c>
      <c r="F493" s="2">
        <v>0</v>
      </c>
      <c r="G493" s="11"/>
    </row>
    <row r="494" spans="1:7" x14ac:dyDescent="0.25">
      <c r="A494" t="s">
        <v>447</v>
      </c>
      <c r="B494" t="s">
        <v>603</v>
      </c>
      <c r="C494" t="s">
        <v>605</v>
      </c>
      <c r="D494" s="6">
        <v>3.43538655</v>
      </c>
      <c r="E494" s="11">
        <v>0</v>
      </c>
      <c r="F494" s="2">
        <v>0</v>
      </c>
      <c r="G494" s="11"/>
    </row>
    <row r="495" spans="1:7" x14ac:dyDescent="0.25">
      <c r="A495" t="s">
        <v>450</v>
      </c>
      <c r="B495" t="s">
        <v>601</v>
      </c>
      <c r="C495" t="s">
        <v>605</v>
      </c>
      <c r="D495" s="6">
        <v>3.4256300075000001</v>
      </c>
      <c r="E495" s="11">
        <v>0</v>
      </c>
      <c r="F495" s="2">
        <v>0</v>
      </c>
      <c r="G495" s="11"/>
    </row>
    <row r="496" spans="1:7" x14ac:dyDescent="0.25">
      <c r="A496" t="s">
        <v>446</v>
      </c>
      <c r="B496" t="s">
        <v>601</v>
      </c>
      <c r="C496" t="s">
        <v>605</v>
      </c>
      <c r="D496" s="6">
        <v>3.2995806115000006</v>
      </c>
      <c r="E496" s="11">
        <v>0</v>
      </c>
      <c r="F496" s="2">
        <v>0</v>
      </c>
      <c r="G496" s="11"/>
    </row>
    <row r="497" spans="1:7" x14ac:dyDescent="0.25">
      <c r="A497" t="s">
        <v>419</v>
      </c>
      <c r="B497" t="s">
        <v>601</v>
      </c>
      <c r="C497" t="s">
        <v>605</v>
      </c>
      <c r="D497" s="6">
        <v>3.290131863</v>
      </c>
      <c r="E497" s="11">
        <v>0</v>
      </c>
      <c r="F497" s="2">
        <v>0</v>
      </c>
      <c r="G497" s="11"/>
    </row>
    <row r="498" spans="1:7" x14ac:dyDescent="0.25">
      <c r="A498" t="s">
        <v>448</v>
      </c>
      <c r="B498" t="s">
        <v>603</v>
      </c>
      <c r="C498" t="s">
        <v>605</v>
      </c>
      <c r="D498" s="6">
        <v>3.2789717439999997</v>
      </c>
      <c r="E498" s="11">
        <v>0</v>
      </c>
      <c r="F498" s="2">
        <v>0</v>
      </c>
      <c r="G498" s="11"/>
    </row>
    <row r="499" spans="1:7" x14ac:dyDescent="0.25">
      <c r="A499" t="s">
        <v>451</v>
      </c>
      <c r="B499" t="s">
        <v>603</v>
      </c>
      <c r="C499" t="s">
        <v>605</v>
      </c>
      <c r="D499" s="6">
        <v>3.1816476695000002</v>
      </c>
      <c r="E499" s="11">
        <v>0</v>
      </c>
      <c r="F499" s="2">
        <v>0</v>
      </c>
      <c r="G499" s="11"/>
    </row>
    <row r="500" spans="1:7" x14ac:dyDescent="0.25">
      <c r="A500" t="s">
        <v>452</v>
      </c>
      <c r="B500" t="s">
        <v>600</v>
      </c>
      <c r="C500" t="s">
        <v>605</v>
      </c>
      <c r="D500" s="6">
        <v>2.8203351460000001</v>
      </c>
      <c r="E500" s="11">
        <v>0</v>
      </c>
      <c r="F500" s="2">
        <v>0</v>
      </c>
      <c r="G500" s="11"/>
    </row>
    <row r="501" spans="1:7" x14ac:dyDescent="0.25">
      <c r="A501" t="s">
        <v>454</v>
      </c>
      <c r="B501" t="s">
        <v>600</v>
      </c>
      <c r="C501" t="s">
        <v>605</v>
      </c>
      <c r="D501" s="6">
        <v>2.453951633</v>
      </c>
      <c r="E501" s="11">
        <v>0</v>
      </c>
      <c r="F501" s="2">
        <v>0</v>
      </c>
      <c r="G501" s="11"/>
    </row>
    <row r="502" spans="1:7" x14ac:dyDescent="0.25">
      <c r="A502" t="s">
        <v>453</v>
      </c>
      <c r="B502" t="s">
        <v>603</v>
      </c>
      <c r="C502" t="s">
        <v>605</v>
      </c>
      <c r="D502" s="6">
        <v>2.3148324760000003</v>
      </c>
      <c r="E502" s="11">
        <v>0</v>
      </c>
      <c r="F502" s="2">
        <v>0</v>
      </c>
      <c r="G502" s="11"/>
    </row>
    <row r="503" spans="1:7" x14ac:dyDescent="0.25">
      <c r="A503" t="s">
        <v>455</v>
      </c>
      <c r="B503" t="s">
        <v>600</v>
      </c>
      <c r="C503" t="s">
        <v>605</v>
      </c>
      <c r="D503" s="6">
        <v>2.2698122519999999</v>
      </c>
      <c r="E503" s="11">
        <v>0</v>
      </c>
      <c r="F503" s="2">
        <v>0</v>
      </c>
      <c r="G503" s="11"/>
    </row>
    <row r="504" spans="1:7" x14ac:dyDescent="0.25">
      <c r="A504" t="s">
        <v>456</v>
      </c>
      <c r="B504" t="s">
        <v>600</v>
      </c>
      <c r="C504" t="s">
        <v>605</v>
      </c>
      <c r="D504" s="6">
        <v>2.1911599820000003</v>
      </c>
      <c r="E504" s="11">
        <v>0</v>
      </c>
      <c r="F504" s="2">
        <v>0</v>
      </c>
      <c r="G504" s="11"/>
    </row>
    <row r="505" spans="1:7" x14ac:dyDescent="0.25">
      <c r="A505" t="s">
        <v>648</v>
      </c>
      <c r="B505" t="s">
        <v>601</v>
      </c>
      <c r="C505" t="s">
        <v>605</v>
      </c>
      <c r="D505" s="6">
        <v>1.6496292983</v>
      </c>
      <c r="E505" s="11">
        <v>0</v>
      </c>
      <c r="F505" s="2">
        <v>0</v>
      </c>
      <c r="G505" s="11"/>
    </row>
    <row r="506" spans="1:7" x14ac:dyDescent="0.25">
      <c r="A506" t="s">
        <v>512</v>
      </c>
      <c r="B506" t="s">
        <v>600</v>
      </c>
      <c r="C506" t="s">
        <v>605</v>
      </c>
      <c r="D506" s="6">
        <v>0</v>
      </c>
      <c r="E506" s="11">
        <v>0</v>
      </c>
      <c r="F506" s="2">
        <v>0</v>
      </c>
      <c r="G506" s="11"/>
    </row>
    <row r="507" spans="1:7" x14ac:dyDescent="0.25">
      <c r="A507" t="s">
        <v>468</v>
      </c>
      <c r="B507" t="s">
        <v>601</v>
      </c>
      <c r="C507" t="s">
        <v>605</v>
      </c>
      <c r="D507" s="6">
        <v>0</v>
      </c>
      <c r="E507" s="11">
        <v>0</v>
      </c>
      <c r="F507" s="2">
        <v>0</v>
      </c>
      <c r="G507" s="11"/>
    </row>
    <row r="508" spans="1:7" x14ac:dyDescent="0.25">
      <c r="A508" t="s">
        <v>458</v>
      </c>
      <c r="B508" t="s">
        <v>601</v>
      </c>
      <c r="C508" t="s">
        <v>605</v>
      </c>
      <c r="D508" s="6">
        <v>0</v>
      </c>
      <c r="E508" s="11">
        <v>0</v>
      </c>
      <c r="F508" s="2">
        <v>0</v>
      </c>
      <c r="G508" s="11"/>
    </row>
    <row r="509" spans="1:7" x14ac:dyDescent="0.25">
      <c r="A509" t="s">
        <v>461</v>
      </c>
      <c r="B509" t="s">
        <v>600</v>
      </c>
      <c r="C509" t="s">
        <v>605</v>
      </c>
      <c r="D509" s="6">
        <v>0</v>
      </c>
      <c r="E509" s="11">
        <v>0</v>
      </c>
      <c r="F509" s="2">
        <v>0</v>
      </c>
      <c r="G509" s="11"/>
    </row>
    <row r="510" spans="1:7" x14ac:dyDescent="0.25">
      <c r="A510" t="s">
        <v>457</v>
      </c>
      <c r="B510" t="s">
        <v>601</v>
      </c>
      <c r="C510" t="s">
        <v>605</v>
      </c>
      <c r="D510" s="6">
        <v>0</v>
      </c>
      <c r="E510" s="11">
        <v>0</v>
      </c>
      <c r="F510" s="2">
        <v>0</v>
      </c>
      <c r="G510" s="11"/>
    </row>
    <row r="511" spans="1:7" x14ac:dyDescent="0.25">
      <c r="A511" t="s">
        <v>466</v>
      </c>
      <c r="B511" t="s">
        <v>601</v>
      </c>
      <c r="C511" t="s">
        <v>605</v>
      </c>
      <c r="D511" s="6">
        <v>0</v>
      </c>
      <c r="E511" s="11">
        <v>0</v>
      </c>
      <c r="F511" s="2">
        <v>0</v>
      </c>
      <c r="G511" s="11"/>
    </row>
    <row r="512" spans="1:7" x14ac:dyDescent="0.25">
      <c r="A512" t="s">
        <v>462</v>
      </c>
      <c r="B512" t="s">
        <v>601</v>
      </c>
      <c r="C512" t="s">
        <v>605</v>
      </c>
      <c r="D512" s="6">
        <v>0</v>
      </c>
      <c r="E512" s="11">
        <v>0</v>
      </c>
      <c r="F512" s="2">
        <v>0</v>
      </c>
      <c r="G512" s="11"/>
    </row>
    <row r="513" spans="1:7" x14ac:dyDescent="0.25">
      <c r="A513" t="s">
        <v>463</v>
      </c>
      <c r="B513" t="s">
        <v>601</v>
      </c>
      <c r="C513" t="s">
        <v>605</v>
      </c>
      <c r="D513" s="6">
        <v>0</v>
      </c>
      <c r="E513" s="11">
        <v>0</v>
      </c>
      <c r="F513" s="2">
        <v>0</v>
      </c>
      <c r="G513" s="11"/>
    </row>
    <row r="514" spans="1:7" x14ac:dyDescent="0.25">
      <c r="A514" t="s">
        <v>465</v>
      </c>
      <c r="B514" t="s">
        <v>601</v>
      </c>
      <c r="C514" t="s">
        <v>605</v>
      </c>
      <c r="D514" s="6">
        <v>0</v>
      </c>
      <c r="E514" s="11">
        <v>0</v>
      </c>
      <c r="F514" s="2">
        <v>0</v>
      </c>
      <c r="G514" s="11"/>
    </row>
    <row r="515" spans="1:7" x14ac:dyDescent="0.25">
      <c r="A515" t="s">
        <v>513</v>
      </c>
      <c r="B515" t="s">
        <v>601</v>
      </c>
      <c r="C515" t="s">
        <v>605</v>
      </c>
      <c r="D515" s="6">
        <v>0</v>
      </c>
      <c r="E515" s="11">
        <v>0</v>
      </c>
      <c r="F515" s="2">
        <v>0</v>
      </c>
      <c r="G515" s="11"/>
    </row>
    <row r="516" spans="1:7" x14ac:dyDescent="0.25">
      <c r="A516" t="s">
        <v>460</v>
      </c>
      <c r="B516" t="s">
        <v>601</v>
      </c>
      <c r="C516" t="s">
        <v>605</v>
      </c>
      <c r="D516" s="6">
        <v>0</v>
      </c>
      <c r="E516" s="11">
        <v>0</v>
      </c>
      <c r="F516" s="2">
        <v>0</v>
      </c>
      <c r="G516" s="11"/>
    </row>
    <row r="517" spans="1:7" x14ac:dyDescent="0.25">
      <c r="A517" t="s">
        <v>459</v>
      </c>
      <c r="B517" t="s">
        <v>601</v>
      </c>
      <c r="C517" t="s">
        <v>605</v>
      </c>
      <c r="D517" s="6">
        <v>0</v>
      </c>
      <c r="E517" s="11">
        <v>0</v>
      </c>
      <c r="F517" s="2">
        <v>0</v>
      </c>
      <c r="G517" s="11"/>
    </row>
    <row r="518" spans="1:7" x14ac:dyDescent="0.25">
      <c r="A518" t="s">
        <v>464</v>
      </c>
      <c r="B518" t="s">
        <v>601</v>
      </c>
      <c r="C518" t="s">
        <v>605</v>
      </c>
      <c r="D518" s="6">
        <v>0</v>
      </c>
      <c r="E518" s="11">
        <v>0</v>
      </c>
      <c r="F518" s="2">
        <v>0</v>
      </c>
      <c r="G518" s="11"/>
    </row>
    <row r="519" spans="1:7" x14ac:dyDescent="0.25">
      <c r="A519" t="s">
        <v>467</v>
      </c>
      <c r="B519" t="s">
        <v>600</v>
      </c>
      <c r="C519" t="s">
        <v>605</v>
      </c>
      <c r="D519" s="6">
        <v>0</v>
      </c>
      <c r="E519" s="11">
        <v>0</v>
      </c>
      <c r="F519" s="2">
        <v>0</v>
      </c>
      <c r="G519" s="11"/>
    </row>
    <row r="520" spans="1:7" x14ac:dyDescent="0.25">
      <c r="A520" t="s">
        <v>415</v>
      </c>
      <c r="B520" t="s">
        <v>601</v>
      </c>
      <c r="C520" t="s">
        <v>605</v>
      </c>
      <c r="D520" s="6">
        <v>0</v>
      </c>
      <c r="E520" s="11">
        <v>0</v>
      </c>
      <c r="F520" s="2">
        <v>0</v>
      </c>
      <c r="G520" s="11"/>
    </row>
    <row r="521" spans="1:7" x14ac:dyDescent="0.25">
      <c r="A521" t="s">
        <v>604</v>
      </c>
      <c r="D521" s="6">
        <v>41708.172270903095</v>
      </c>
      <c r="E521" s="11">
        <v>531.55274970299899</v>
      </c>
      <c r="F521" s="2">
        <v>531.55274970299899</v>
      </c>
      <c r="G521" s="11"/>
    </row>
    <row r="522" spans="1:7" x14ac:dyDescent="0.25">
      <c r="G522" s="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931C-9546-40E7-841E-9BABD19AA48F}">
  <sheetPr codeName="Sheet1"/>
  <dimension ref="B2:L10"/>
  <sheetViews>
    <sheetView showGridLines="0" zoomScale="145" zoomScaleNormal="145" workbookViewId="0"/>
  </sheetViews>
  <sheetFormatPr defaultRowHeight="15" x14ac:dyDescent="0.25"/>
  <cols>
    <col min="2" max="2" width="21.7109375" bestFit="1" customWidth="1"/>
  </cols>
  <sheetData>
    <row r="2" spans="2:12" ht="15.75" thickBot="1" x14ac:dyDescent="0.3">
      <c r="B2" s="12" t="s">
        <v>661</v>
      </c>
    </row>
    <row r="3" spans="2:12" x14ac:dyDescent="0.25">
      <c r="B3" s="16" t="s">
        <v>662</v>
      </c>
      <c r="C3" s="17" t="s">
        <v>663</v>
      </c>
      <c r="D3" s="17"/>
      <c r="E3" s="17"/>
      <c r="F3" s="17"/>
      <c r="G3" s="17"/>
      <c r="H3" s="17"/>
      <c r="I3" s="17"/>
      <c r="J3" s="17"/>
      <c r="K3" s="18"/>
    </row>
    <row r="4" spans="2:12" x14ac:dyDescent="0.25">
      <c r="B4" s="19"/>
      <c r="C4" s="20"/>
      <c r="D4" s="20"/>
      <c r="E4" s="20"/>
      <c r="F4" s="20"/>
      <c r="G4" s="20"/>
      <c r="H4" s="20"/>
      <c r="I4" s="20"/>
      <c r="J4" s="20"/>
      <c r="K4" s="21"/>
    </row>
    <row r="5" spans="2:12" ht="15.75" thickBot="1" x14ac:dyDescent="0.3">
      <c r="B5" s="22"/>
      <c r="C5" s="23"/>
      <c r="D5" s="23"/>
      <c r="E5" s="23"/>
      <c r="F5" s="23"/>
      <c r="G5" s="23"/>
      <c r="H5" s="23"/>
      <c r="I5" s="23"/>
      <c r="J5" s="23"/>
      <c r="K5" s="24"/>
    </row>
    <row r="7" spans="2:12" ht="15.75" thickBot="1" x14ac:dyDescent="0.3">
      <c r="B7" s="12" t="s">
        <v>524</v>
      </c>
      <c r="E7" s="12" t="s">
        <v>657</v>
      </c>
    </row>
    <row r="8" spans="2:12" x14ac:dyDescent="0.25">
      <c r="B8" s="14" t="s">
        <v>523</v>
      </c>
      <c r="C8" s="15" t="s">
        <v>525</v>
      </c>
      <c r="E8" s="16" t="s">
        <v>659</v>
      </c>
      <c r="F8" s="17"/>
      <c r="G8" s="17"/>
      <c r="H8" s="17"/>
      <c r="I8" s="17"/>
      <c r="J8" s="17"/>
      <c r="K8" s="17"/>
      <c r="L8" s="18"/>
    </row>
    <row r="9" spans="2:12" x14ac:dyDescent="0.25">
      <c r="B9" s="3" t="s">
        <v>522</v>
      </c>
      <c r="C9" s="5" t="str" cm="1">
        <f t="array" aca="1" ref="C9" ca="1">IF(SUMPRODUCT(--(ISNA(MATCH(rDK_Players, rESPN_Players, 0))),--NOT(rDK_OROY&gt;10000),--NOT(rDK_OPOY&gt;10000)),"Check Names in Scoring","OK")</f>
        <v>OK</v>
      </c>
      <c r="E9" s="19" t="s">
        <v>658</v>
      </c>
      <c r="F9" s="20"/>
      <c r="G9" s="20"/>
      <c r="H9" s="20"/>
      <c r="I9" s="20"/>
      <c r="J9" s="20"/>
      <c r="K9" s="20"/>
      <c r="L9" s="21"/>
    </row>
    <row r="10" spans="2:12" ht="15.75" thickBot="1" x14ac:dyDescent="0.3">
      <c r="B10" s="4" t="s">
        <v>645</v>
      </c>
      <c r="C10" s="13" t="str" cm="1">
        <f t="array" aca="1" ref="C10" ca="1">IF(SUMPRODUCT(--ISERROR(rPivotSource)),"Check formulas in Combined tab","OK")</f>
        <v>OK</v>
      </c>
      <c r="E10" s="22" t="s">
        <v>660</v>
      </c>
      <c r="F10" s="23"/>
      <c r="G10" s="23"/>
      <c r="H10" s="23"/>
      <c r="I10" s="23"/>
      <c r="J10" s="23"/>
      <c r="K10" s="23"/>
      <c r="L10" s="24"/>
    </row>
  </sheetData>
  <conditionalFormatting sqref="C9:C10">
    <cfRule type="containsText" dxfId="3" priority="1" operator="containsText" text="Check">
      <formula>NOT(ISERROR(SEARCH("Check",C9)))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6B01C-70DF-427F-ABBD-65098E5FD13E}">
  <sheetPr codeName="CombinedSheet"/>
  <dimension ref="A1:AI548"/>
  <sheetViews>
    <sheetView workbookViewId="0"/>
  </sheetViews>
  <sheetFormatPr defaultRowHeight="15" x14ac:dyDescent="0.25"/>
  <cols>
    <col min="1" max="1" width="24.28515625" bestFit="1" customWidth="1"/>
    <col min="2" max="2" width="8.28515625" bestFit="1" customWidth="1"/>
    <col min="3" max="3" width="6.5703125" bestFit="1" customWidth="1"/>
    <col min="4" max="4" width="8.7109375" bestFit="1" customWidth="1"/>
    <col min="5" max="5" width="7" bestFit="1" customWidth="1"/>
    <col min="6" max="6" width="14" bestFit="1" customWidth="1"/>
    <col min="7" max="7" width="16.140625" bestFit="1" customWidth="1"/>
    <col min="8" max="8" width="14.42578125" bestFit="1" customWidth="1"/>
    <col min="9" max="9" width="17.28515625" bestFit="1" customWidth="1"/>
    <col min="10" max="10" width="19.42578125" bestFit="1" customWidth="1"/>
    <col min="11" max="11" width="17.7109375" bestFit="1" customWidth="1"/>
    <col min="12" max="12" width="7" bestFit="1" customWidth="1"/>
    <col min="13" max="13" width="9.140625" bestFit="1" customWidth="1"/>
    <col min="14" max="14" width="9.5703125" bestFit="1" customWidth="1"/>
    <col min="15" max="15" width="11.7109375" bestFit="1" customWidth="1"/>
    <col min="16" max="16" width="10" bestFit="1" customWidth="1"/>
    <col min="17" max="17" width="12.7109375" bestFit="1" customWidth="1"/>
    <col min="18" max="18" width="15" bestFit="1" customWidth="1"/>
    <col min="19" max="19" width="13.28515625" bestFit="1" customWidth="1"/>
    <col min="20" max="20" width="7.42578125" bestFit="1" customWidth="1"/>
    <col min="21" max="21" width="10.85546875" bestFit="1" customWidth="1"/>
    <col min="22" max="22" width="13.140625" bestFit="1" customWidth="1"/>
    <col min="23" max="23" width="11.28515625" bestFit="1" customWidth="1"/>
    <col min="24" max="24" width="14.140625" bestFit="1" customWidth="1"/>
    <col min="25" max="25" width="16.28515625" bestFit="1" customWidth="1"/>
    <col min="26" max="26" width="14.5703125" bestFit="1" customWidth="1"/>
    <col min="27" max="27" width="8.85546875" bestFit="1" customWidth="1"/>
    <col min="28" max="28" width="11.140625" bestFit="1" customWidth="1"/>
    <col min="29" max="29" width="8" bestFit="1" customWidth="1"/>
    <col min="30" max="30" width="6" bestFit="1" customWidth="1"/>
    <col min="31" max="31" width="34.7109375" bestFit="1" customWidth="1"/>
    <col min="32" max="32" width="16.28515625" bestFit="1" customWidth="1"/>
    <col min="33" max="33" width="9.5703125" bestFit="1" customWidth="1"/>
    <col min="34" max="34" width="14.140625" bestFit="1" customWidth="1"/>
    <col min="35" max="35" width="5" bestFit="1" customWidth="1"/>
    <col min="39" max="39" width="8.140625" bestFit="1" customWidth="1"/>
    <col min="40" max="40" width="14.42578125" bestFit="1" customWidth="1"/>
    <col min="41" max="41" width="10" bestFit="1" customWidth="1"/>
    <col min="42" max="42" width="13.28515625" bestFit="1" customWidth="1"/>
    <col min="43" max="43" width="11.28515625" bestFit="1" customWidth="1"/>
  </cols>
  <sheetData>
    <row r="1" spans="1:35" x14ac:dyDescent="0.25">
      <c r="A1" t="s">
        <v>0</v>
      </c>
      <c r="B1" t="s">
        <v>599</v>
      </c>
      <c r="C1" t="s">
        <v>562</v>
      </c>
      <c r="D1" t="s">
        <v>563</v>
      </c>
      <c r="E1" t="s">
        <v>564</v>
      </c>
      <c r="F1" t="s">
        <v>565</v>
      </c>
      <c r="G1" t="s">
        <v>566</v>
      </c>
      <c r="H1" t="s">
        <v>567</v>
      </c>
      <c r="I1" t="s">
        <v>568</v>
      </c>
      <c r="J1" t="s">
        <v>569</v>
      </c>
      <c r="K1" t="s">
        <v>570</v>
      </c>
      <c r="L1" t="s">
        <v>571</v>
      </c>
      <c r="M1" t="s">
        <v>572</v>
      </c>
      <c r="N1" t="s">
        <v>573</v>
      </c>
      <c r="O1" t="s">
        <v>574</v>
      </c>
      <c r="P1" t="s">
        <v>575</v>
      </c>
      <c r="Q1" t="s">
        <v>576</v>
      </c>
      <c r="R1" t="s">
        <v>577</v>
      </c>
      <c r="S1" t="s">
        <v>578</v>
      </c>
      <c r="T1" t="s">
        <v>579</v>
      </c>
      <c r="U1" t="s">
        <v>580</v>
      </c>
      <c r="V1" t="s">
        <v>581</v>
      </c>
      <c r="W1" t="s">
        <v>582</v>
      </c>
      <c r="X1" t="s">
        <v>583</v>
      </c>
      <c r="Y1" t="s">
        <v>584</v>
      </c>
      <c r="Z1" t="s">
        <v>585</v>
      </c>
      <c r="AA1" t="s">
        <v>112</v>
      </c>
      <c r="AB1" t="s">
        <v>111</v>
      </c>
      <c r="AC1" t="s">
        <v>526</v>
      </c>
      <c r="AD1" t="s">
        <v>527</v>
      </c>
      <c r="AE1" t="s">
        <v>586</v>
      </c>
      <c r="AF1" s="7" t="s">
        <v>642</v>
      </c>
      <c r="AG1" s="7" t="s">
        <v>587</v>
      </c>
      <c r="AH1" s="7" t="s">
        <v>643</v>
      </c>
      <c r="AI1" s="7" t="s">
        <v>640</v>
      </c>
    </row>
    <row r="2" spans="1:35" x14ac:dyDescent="0.25">
      <c r="A2" t="s">
        <v>9</v>
      </c>
      <c r="B2" s="1" t="s">
        <v>602</v>
      </c>
      <c r="C2" s="1">
        <v>0</v>
      </c>
      <c r="D2" s="1">
        <v>12.615416400000001</v>
      </c>
      <c r="E2" s="1">
        <v>0</v>
      </c>
      <c r="F2" s="1">
        <v>19.5</v>
      </c>
      <c r="G2" s="1">
        <v>17.017514760000001</v>
      </c>
      <c r="H2" s="1">
        <v>2.4824852399999902</v>
      </c>
      <c r="I2" s="1">
        <v>3500.5</v>
      </c>
      <c r="J2" s="1">
        <v>3117.3386770000002</v>
      </c>
      <c r="K2" s="1">
        <v>383.16132299999902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2.4386921500000001</v>
      </c>
      <c r="W2" s="1">
        <v>0</v>
      </c>
      <c r="X2" s="1">
        <v>0</v>
      </c>
      <c r="Y2" s="1">
        <v>180.24176259999999</v>
      </c>
      <c r="Z2" s="1">
        <v>0</v>
      </c>
      <c r="AA2" s="1">
        <v>388</v>
      </c>
      <c r="AB2" s="1">
        <v>0</v>
      </c>
      <c r="AC2" s="1">
        <v>0</v>
      </c>
      <c r="AD2">
        <v>0</v>
      </c>
      <c r="AE2" t="s">
        <v>589</v>
      </c>
      <c r="AF2" s="8" cm="1">
        <f t="array" aca="1" ref="AF2" ca="1">fScore_Total("ESPN",aCols)</f>
        <v>200.18910248</v>
      </c>
      <c r="AG2" s="8" cm="1">
        <f t="array" aca="1" ref="AG2" ca="1">-fScore_Total("diff",aCols)</f>
        <v>-25.256393879999919</v>
      </c>
      <c r="AH2" s="8">
        <f ca="1">+AF2+AG2</f>
        <v>174.93270860000007</v>
      </c>
      <c r="AI2" s="8"/>
    </row>
    <row r="3" spans="1:35" x14ac:dyDescent="0.25">
      <c r="A3" t="s">
        <v>10</v>
      </c>
      <c r="B3" s="1" t="s">
        <v>602</v>
      </c>
      <c r="C3" s="1">
        <v>0</v>
      </c>
      <c r="D3" s="1">
        <v>6.7179459430000001</v>
      </c>
      <c r="E3" s="1">
        <v>0</v>
      </c>
      <c r="F3" s="1">
        <v>18.5</v>
      </c>
      <c r="G3" s="1">
        <v>9.6405947429999994</v>
      </c>
      <c r="H3" s="1">
        <v>8.8594052570000006</v>
      </c>
      <c r="I3" s="1">
        <v>2925.5</v>
      </c>
      <c r="J3" s="1">
        <v>2163.762667</v>
      </c>
      <c r="K3" s="1">
        <v>761.73733300000004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1.5445585020000001</v>
      </c>
      <c r="W3" s="1">
        <v>0</v>
      </c>
      <c r="X3" s="1">
        <v>0</v>
      </c>
      <c r="Y3" s="1">
        <v>99.942700830000007</v>
      </c>
      <c r="Z3" s="1">
        <v>0</v>
      </c>
      <c r="AA3" s="1">
        <v>423</v>
      </c>
      <c r="AB3" s="1">
        <v>0</v>
      </c>
      <c r="AC3" s="1">
        <v>20000</v>
      </c>
      <c r="AD3">
        <v>0</v>
      </c>
      <c r="AE3" t="s">
        <v>590</v>
      </c>
      <c r="AF3" s="8" cm="1">
        <f t="array" aca="1" ref="AF3" ca="1">fScore_Total("ESPN",aCols)</f>
        <v>130.93861486099999</v>
      </c>
      <c r="AG3" s="8" cm="1">
        <f t="array" aca="1" ref="AG3" ca="1">-fScore_Total("diff",aCols)</f>
        <v>-65.907114348000007</v>
      </c>
      <c r="AH3" s="8">
        <f t="shared" ref="AH3:AH21" ca="1" si="0">+AF3+AG3</f>
        <v>65.031500512999983</v>
      </c>
      <c r="AI3" s="8"/>
    </row>
    <row r="4" spans="1:35" x14ac:dyDescent="0.25">
      <c r="A4" t="s">
        <v>11</v>
      </c>
      <c r="B4" s="1" t="s">
        <v>602</v>
      </c>
      <c r="C4" s="1">
        <v>10.5</v>
      </c>
      <c r="D4" s="1">
        <v>12.42492549</v>
      </c>
      <c r="E4" s="1">
        <v>-1.9249254899999899</v>
      </c>
      <c r="F4" s="1">
        <v>22.5</v>
      </c>
      <c r="G4" s="1">
        <v>23.20573568</v>
      </c>
      <c r="H4" s="1">
        <v>-0.70573567999999998</v>
      </c>
      <c r="I4" s="1">
        <v>3900.5</v>
      </c>
      <c r="J4" s="1">
        <v>4054.0975119999998</v>
      </c>
      <c r="K4" s="1">
        <v>-153.597511999999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0.97455119999999995</v>
      </c>
      <c r="W4" s="1">
        <v>0</v>
      </c>
      <c r="X4" s="1">
        <v>0</v>
      </c>
      <c r="Y4" s="1">
        <v>68.241202999999999</v>
      </c>
      <c r="Z4" s="1">
        <v>0</v>
      </c>
      <c r="AA4" s="1">
        <v>270</v>
      </c>
      <c r="AB4" s="1">
        <v>0</v>
      </c>
      <c r="AC4" s="1">
        <v>20000</v>
      </c>
      <c r="AD4">
        <v>0</v>
      </c>
      <c r="AF4" s="8" cm="1">
        <f t="array" aca="1" ref="AF4" ca="1">fScore_Total("ESPN",aCols)</f>
        <v>242.80841971999999</v>
      </c>
      <c r="AG4" s="8" cm="1">
        <f t="array" aca="1" ref="AG4" ca="1">-fScore_Total("diff",aCols)</f>
        <v>5.1169922199999807</v>
      </c>
      <c r="AH4" s="8">
        <f t="shared" ca="1" si="0"/>
        <v>247.92541193999998</v>
      </c>
      <c r="AI4" s="8"/>
    </row>
    <row r="5" spans="1:35" x14ac:dyDescent="0.25">
      <c r="A5" t="s">
        <v>12</v>
      </c>
      <c r="B5" s="1" t="s">
        <v>602</v>
      </c>
      <c r="C5" s="1">
        <v>9.5</v>
      </c>
      <c r="D5" s="1">
        <v>11.757093019999999</v>
      </c>
      <c r="E5" s="1">
        <v>-2.2570930199999899</v>
      </c>
      <c r="F5" s="1">
        <v>18.5</v>
      </c>
      <c r="G5" s="1">
        <v>15.935090600000001</v>
      </c>
      <c r="H5" s="1">
        <v>2.5649093999999901</v>
      </c>
      <c r="I5" s="1">
        <v>3200.5</v>
      </c>
      <c r="J5" s="1">
        <v>3375.1021260000002</v>
      </c>
      <c r="K5" s="1">
        <v>-174.602126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7.5</v>
      </c>
      <c r="V5" s="1">
        <v>9.0343390489999997</v>
      </c>
      <c r="W5" s="1">
        <v>-1.53433904899999</v>
      </c>
      <c r="X5" s="1">
        <v>550.5</v>
      </c>
      <c r="Y5" s="1">
        <v>545.58439290000001</v>
      </c>
      <c r="Z5" s="1">
        <v>4.9156070999999804</v>
      </c>
      <c r="AA5" s="1">
        <v>62</v>
      </c>
      <c r="AB5" s="1">
        <v>9</v>
      </c>
      <c r="AC5" s="1">
        <v>5000</v>
      </c>
      <c r="AD5">
        <v>0</v>
      </c>
      <c r="AF5" s="8" cm="1">
        <f t="array" aca="1" ref="AF5" ca="1">fScore_Total("ESPN",aCols)</f>
        <v>283.99473498400005</v>
      </c>
      <c r="AG5" s="8" cm="1">
        <f t="array" aca="1" ref="AG5" ca="1">-fScore_Total("diff",aCols)</f>
        <v>0.92473498400000231</v>
      </c>
      <c r="AH5" s="8">
        <f t="shared" ca="1" si="0"/>
        <v>284.91946996800004</v>
      </c>
      <c r="AI5" s="8"/>
    </row>
    <row r="6" spans="1:35" x14ac:dyDescent="0.25">
      <c r="A6" t="s">
        <v>13</v>
      </c>
      <c r="B6" s="1" t="s">
        <v>602</v>
      </c>
      <c r="C6" s="1">
        <v>9.5</v>
      </c>
      <c r="D6" s="1">
        <v>11.569807539999999</v>
      </c>
      <c r="E6" s="1">
        <v>-2.06980753999999</v>
      </c>
      <c r="F6" s="1">
        <v>21.5</v>
      </c>
      <c r="G6" s="1">
        <v>17.504058350000001</v>
      </c>
      <c r="H6" s="1">
        <v>3.99594164999999</v>
      </c>
      <c r="I6" s="1">
        <v>3400.5</v>
      </c>
      <c r="J6" s="1">
        <v>3556.3353900000002</v>
      </c>
      <c r="K6" s="1">
        <v>-155.83538999999999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5.2891343700000002</v>
      </c>
      <c r="W6" s="1">
        <v>0</v>
      </c>
      <c r="X6" s="1">
        <v>475.5</v>
      </c>
      <c r="Y6" s="1">
        <v>488.08208480000002</v>
      </c>
      <c r="Z6" s="1">
        <v>-12.582084800000001</v>
      </c>
      <c r="AA6" s="1">
        <v>105</v>
      </c>
      <c r="AB6" s="1">
        <v>3</v>
      </c>
      <c r="AC6" s="1">
        <v>10000</v>
      </c>
      <c r="AD6">
        <v>0</v>
      </c>
      <c r="AE6" t="s">
        <v>591</v>
      </c>
      <c r="AF6" s="8" cm="1">
        <f t="array" aca="1" ref="AF6" ca="1">fScore_Total("ESPN",aCols)</f>
        <v>269.67304862000003</v>
      </c>
      <c r="AG6" s="8" cm="1">
        <f t="array" aca="1" ref="AG6" ca="1">-fScore_Total("diff",aCols)</f>
        <v>-12.63175759999994</v>
      </c>
      <c r="AH6" s="8">
        <f t="shared" ca="1" si="0"/>
        <v>257.04129102000007</v>
      </c>
      <c r="AI6" s="8"/>
    </row>
    <row r="7" spans="1:35" x14ac:dyDescent="0.25">
      <c r="A7" t="s">
        <v>14</v>
      </c>
      <c r="B7" s="1" t="s">
        <v>602</v>
      </c>
      <c r="C7" s="1">
        <v>0</v>
      </c>
      <c r="D7" s="1">
        <v>12.75093115</v>
      </c>
      <c r="E7" s="1">
        <v>0</v>
      </c>
      <c r="F7" s="1">
        <v>18.5</v>
      </c>
      <c r="G7" s="1">
        <v>16.811417670000001</v>
      </c>
      <c r="H7" s="1">
        <v>1.68858232999999</v>
      </c>
      <c r="I7" s="1">
        <v>3100.5</v>
      </c>
      <c r="J7" s="1">
        <v>3152.3953759999999</v>
      </c>
      <c r="K7" s="1">
        <v>-51.895375999999899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1.8235555640000001</v>
      </c>
      <c r="W7" s="1">
        <v>0</v>
      </c>
      <c r="X7" s="1">
        <v>0</v>
      </c>
      <c r="Y7" s="1">
        <v>189.6033534</v>
      </c>
      <c r="Z7" s="1">
        <v>0</v>
      </c>
      <c r="AA7" s="1">
        <v>381</v>
      </c>
      <c r="AB7" s="1">
        <v>0</v>
      </c>
      <c r="AC7" s="1">
        <v>20000</v>
      </c>
      <c r="AD7">
        <v>1000</v>
      </c>
      <c r="AF7" s="8" cm="1">
        <f t="array" aca="1" ref="AF7" ca="1">fScore_Total("ESPN",aCols)</f>
        <v>197.741292144</v>
      </c>
      <c r="AG7" s="8" cm="1">
        <f t="array" aca="1" ref="AG7" ca="1">-fScore_Total("diff",aCols)</f>
        <v>-4.6785142799999644</v>
      </c>
      <c r="AH7" s="8">
        <f t="shared" ca="1" si="0"/>
        <v>193.06277786400003</v>
      </c>
      <c r="AI7" s="8"/>
    </row>
    <row r="8" spans="1:35" x14ac:dyDescent="0.25">
      <c r="A8" t="s">
        <v>15</v>
      </c>
      <c r="B8" s="1" t="s">
        <v>602</v>
      </c>
      <c r="C8" s="1">
        <v>8.5</v>
      </c>
      <c r="D8" s="1">
        <v>10.643959150000001</v>
      </c>
      <c r="E8" s="1">
        <v>-2.1439591500000001</v>
      </c>
      <c r="F8" s="1">
        <v>16.5</v>
      </c>
      <c r="G8" s="1">
        <v>14.05152835</v>
      </c>
      <c r="H8" s="1">
        <v>2.4484716500000001</v>
      </c>
      <c r="I8" s="1">
        <v>2800.5</v>
      </c>
      <c r="J8" s="1">
        <v>3274.9527429999998</v>
      </c>
      <c r="K8" s="1">
        <v>-474.45274299999897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2.962614657</v>
      </c>
      <c r="W8" s="1">
        <v>0</v>
      </c>
      <c r="X8" s="1">
        <v>0</v>
      </c>
      <c r="Y8" s="1">
        <v>486.68024830000002</v>
      </c>
      <c r="Z8" s="1">
        <v>0</v>
      </c>
      <c r="AA8" s="1">
        <v>277</v>
      </c>
      <c r="AB8" s="1">
        <v>0</v>
      </c>
      <c r="AC8" s="1">
        <v>20000</v>
      </c>
      <c r="AD8">
        <v>0</v>
      </c>
      <c r="AF8" s="8" cm="1">
        <f t="array" aca="1" ref="AF8" ca="1">fScore_Total("ESPN",aCols)</f>
        <v>232.36001759199999</v>
      </c>
      <c r="AG8" s="8" cm="1">
        <f t="array" aca="1" ref="AG8" ca="1">-fScore_Total("diff",aCols)</f>
        <v>4.8963048199999584</v>
      </c>
      <c r="AH8" s="8">
        <f t="shared" ca="1" si="0"/>
        <v>237.25632241199995</v>
      </c>
      <c r="AI8" s="8"/>
    </row>
    <row r="9" spans="1:35" x14ac:dyDescent="0.25">
      <c r="A9" t="s">
        <v>16</v>
      </c>
      <c r="B9" s="1" t="s">
        <v>602</v>
      </c>
      <c r="C9" s="1">
        <v>10.5</v>
      </c>
      <c r="D9" s="1">
        <v>10.148004240000001</v>
      </c>
      <c r="E9" s="1">
        <v>0.35199575999999899</v>
      </c>
      <c r="F9" s="1">
        <v>25.5</v>
      </c>
      <c r="G9" s="1">
        <v>23.136184020000002</v>
      </c>
      <c r="H9" s="1">
        <v>2.3638159799999898</v>
      </c>
      <c r="I9" s="1">
        <v>4050.5</v>
      </c>
      <c r="J9" s="1">
        <v>3755.0218530000002</v>
      </c>
      <c r="K9" s="1">
        <v>295.47814699999901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1.8280933960000001</v>
      </c>
      <c r="W9" s="1">
        <v>0</v>
      </c>
      <c r="X9" s="1">
        <v>0</v>
      </c>
      <c r="Y9" s="1">
        <v>51.208321210000001</v>
      </c>
      <c r="Z9" s="1">
        <v>0</v>
      </c>
      <c r="AA9" s="1">
        <v>214</v>
      </c>
      <c r="AB9" s="1">
        <v>0</v>
      </c>
      <c r="AC9" s="1">
        <v>15000</v>
      </c>
      <c r="AD9">
        <v>0</v>
      </c>
      <c r="AE9" t="s">
        <v>592</v>
      </c>
      <c r="AF9" s="8" cm="1">
        <f t="array" aca="1" ref="AF9" ca="1">fScore_Total("ESPN",aCols)</f>
        <v>238.53899421700004</v>
      </c>
      <c r="AG9" s="8" cm="1">
        <f t="array" aca="1" ref="AG9" ca="1">-fScore_Total("diff",aCols)</f>
        <v>-20.570398279999921</v>
      </c>
      <c r="AH9" s="8">
        <f t="shared" ca="1" si="0"/>
        <v>217.96859593700012</v>
      </c>
      <c r="AI9" s="8"/>
    </row>
    <row r="10" spans="1:35" x14ac:dyDescent="0.25">
      <c r="A10" t="s">
        <v>17</v>
      </c>
      <c r="B10" s="1" t="s">
        <v>602</v>
      </c>
      <c r="C10" s="1">
        <v>12.5</v>
      </c>
      <c r="D10" s="1">
        <v>13.537195150000001</v>
      </c>
      <c r="E10" s="1">
        <v>-1.0371951500000001</v>
      </c>
      <c r="F10" s="1">
        <v>18.5</v>
      </c>
      <c r="G10" s="1">
        <v>15.192087190000001</v>
      </c>
      <c r="H10" s="1">
        <v>3.3079128099999902</v>
      </c>
      <c r="I10" s="1">
        <v>3150.5</v>
      </c>
      <c r="J10" s="1">
        <v>3451.718104</v>
      </c>
      <c r="K10" s="1">
        <v>-301.21810399999998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5.5</v>
      </c>
      <c r="V10" s="1">
        <v>5.05104679</v>
      </c>
      <c r="W10" s="1">
        <v>0.44895320999999999</v>
      </c>
      <c r="X10" s="1">
        <v>550.5</v>
      </c>
      <c r="Y10" s="1">
        <v>586.83268940000005</v>
      </c>
      <c r="Z10" s="1">
        <v>-36.3326894</v>
      </c>
      <c r="AA10" s="1">
        <v>117</v>
      </c>
      <c r="AB10" s="1">
        <v>2</v>
      </c>
      <c r="AC10" s="1">
        <v>12000</v>
      </c>
      <c r="AD10">
        <v>500</v>
      </c>
      <c r="AF10" s="8" cm="1">
        <f t="array" aca="1" ref="AF10" ca="1">fScore_Total("ESPN",aCols)</f>
        <v>260.75223230000006</v>
      </c>
      <c r="AG10" s="8" cm="1">
        <f t="array" aca="1" ref="AG10" ca="1">-fScore_Total("diff",aCols)</f>
        <v>-2.3177676999999606</v>
      </c>
      <c r="AH10" s="8">
        <f t="shared" ca="1" si="0"/>
        <v>258.43446460000013</v>
      </c>
      <c r="AI10" s="8"/>
    </row>
    <row r="11" spans="1:35" x14ac:dyDescent="0.25">
      <c r="A11" t="s">
        <v>18</v>
      </c>
      <c r="B11" s="1" t="s">
        <v>602</v>
      </c>
      <c r="C11" s="1">
        <v>12.5</v>
      </c>
      <c r="D11" s="1">
        <v>12.45991341</v>
      </c>
      <c r="E11" s="1">
        <v>4.0086589999999499E-2</v>
      </c>
      <c r="F11" s="1">
        <v>27.5</v>
      </c>
      <c r="G11" s="1">
        <v>23.054531539999999</v>
      </c>
      <c r="H11" s="1">
        <v>4.4454684599999998</v>
      </c>
      <c r="I11" s="1">
        <v>3750.5</v>
      </c>
      <c r="J11" s="1">
        <v>3747.244702</v>
      </c>
      <c r="K11" s="1">
        <v>3.25529800000003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9.5</v>
      </c>
      <c r="V11" s="1">
        <v>8.5729280019999994</v>
      </c>
      <c r="W11" s="1">
        <v>0.92707199799999995</v>
      </c>
      <c r="X11" s="1">
        <v>480.5</v>
      </c>
      <c r="Y11" s="1">
        <v>496.12603460000003</v>
      </c>
      <c r="Z11" s="1">
        <v>-15.626034600000001</v>
      </c>
      <c r="AA11" s="1">
        <v>35</v>
      </c>
      <c r="AB11" s="1">
        <v>22</v>
      </c>
      <c r="AC11" s="1">
        <v>6500</v>
      </c>
      <c r="AD11">
        <v>0</v>
      </c>
      <c r="AE11" t="s">
        <v>593</v>
      </c>
      <c r="AF11" s="8" cm="1">
        <f t="array" aca="1" ref="AF11" ca="1">fScore_Total("ESPN",aCols)</f>
        <v>318.23825889199998</v>
      </c>
      <c r="AG11" s="8" cm="1">
        <f t="array" aca="1" ref="AG11" ca="1">-fScore_Total("diff",aCols)</f>
        <v>-21.831741108000003</v>
      </c>
      <c r="AH11" s="8">
        <f t="shared" ca="1" si="0"/>
        <v>296.40651778399996</v>
      </c>
      <c r="AI11" s="8"/>
    </row>
    <row r="12" spans="1:35" x14ac:dyDescent="0.25">
      <c r="A12" t="s">
        <v>19</v>
      </c>
      <c r="B12" s="1" t="s">
        <v>602</v>
      </c>
      <c r="C12" s="1">
        <v>7.5</v>
      </c>
      <c r="D12" s="1">
        <v>11.14339341</v>
      </c>
      <c r="E12" s="1">
        <v>-3.6433934099999998</v>
      </c>
      <c r="F12" s="1">
        <v>22.5</v>
      </c>
      <c r="G12" s="1">
        <v>21.979898540000001</v>
      </c>
      <c r="H12" s="1">
        <v>0.52010145999999902</v>
      </c>
      <c r="I12" s="1">
        <v>3250.5</v>
      </c>
      <c r="J12" s="1">
        <v>3394.5702200000001</v>
      </c>
      <c r="K12" s="1">
        <v>-144.07022000000001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4.5</v>
      </c>
      <c r="V12" s="1">
        <v>5.6741160710000003</v>
      </c>
      <c r="W12" s="1">
        <v>-1.174116071</v>
      </c>
      <c r="X12" s="1">
        <v>675.5</v>
      </c>
      <c r="Y12" s="1">
        <v>737.03249040000003</v>
      </c>
      <c r="Z12" s="1">
        <v>-61.5324904</v>
      </c>
      <c r="AA12" s="1">
        <v>51</v>
      </c>
      <c r="AB12" s="1">
        <v>13</v>
      </c>
      <c r="AC12" s="1">
        <v>7000</v>
      </c>
      <c r="AD12">
        <v>0</v>
      </c>
      <c r="AF12" s="8" cm="1">
        <f t="array" aca="1" ref="AF12" ca="1">fScore_Total("ESPN",aCols)</f>
        <v>309.16356160600003</v>
      </c>
      <c r="AG12" s="8" cm="1">
        <f t="array" aca="1" ref="AG12" ca="1">-fScore_Total("diff",aCols)</f>
        <v>9.5935616060000051</v>
      </c>
      <c r="AH12" s="8">
        <f t="shared" ca="1" si="0"/>
        <v>318.75712321200001</v>
      </c>
      <c r="AI12" s="8"/>
    </row>
    <row r="13" spans="1:35" x14ac:dyDescent="0.25">
      <c r="A13" t="s">
        <v>20</v>
      </c>
      <c r="B13" s="1" t="s">
        <v>602</v>
      </c>
      <c r="C13" s="1">
        <v>11.5</v>
      </c>
      <c r="D13" s="1">
        <v>11.157614710000001</v>
      </c>
      <c r="E13" s="1">
        <v>0.34238528999999901</v>
      </c>
      <c r="F13" s="1">
        <v>21.5</v>
      </c>
      <c r="G13" s="1">
        <v>20.552749030000001</v>
      </c>
      <c r="H13" s="1">
        <v>0.94725096999999803</v>
      </c>
      <c r="I13" s="1">
        <v>3350.5</v>
      </c>
      <c r="J13" s="1">
        <v>3819.2550219999998</v>
      </c>
      <c r="K13" s="1">
        <v>-468.75502199999897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0.49104021199999998</v>
      </c>
      <c r="W13" s="1">
        <v>0</v>
      </c>
      <c r="X13" s="1">
        <v>0</v>
      </c>
      <c r="Y13" s="1">
        <v>82.994067360000003</v>
      </c>
      <c r="Z13" s="1">
        <v>0</v>
      </c>
      <c r="AA13" s="1">
        <v>383</v>
      </c>
      <c r="AB13" s="1">
        <v>0</v>
      </c>
      <c r="AC13" s="1">
        <v>20000</v>
      </c>
      <c r="AD13">
        <v>0</v>
      </c>
      <c r="AE13" t="s">
        <v>606</v>
      </c>
      <c r="AF13" s="8" cm="1">
        <f t="array" aca="1" ref="AF13" ca="1">fScore_Total("ESPN",aCols)</f>
        <v>223.91161558800002</v>
      </c>
      <c r="AG13" s="8" cm="1">
        <f t="array" aca="1" ref="AG13" ca="1">-fScore_Total("diff",aCols)</f>
        <v>15.645967579999965</v>
      </c>
      <c r="AH13" s="8">
        <f t="shared" ca="1" si="0"/>
        <v>239.55758316799998</v>
      </c>
      <c r="AI13" s="8"/>
    </row>
    <row r="14" spans="1:35" x14ac:dyDescent="0.25">
      <c r="A14" t="s">
        <v>21</v>
      </c>
      <c r="B14" s="1" t="s">
        <v>602</v>
      </c>
      <c r="C14" s="1">
        <v>7.5</v>
      </c>
      <c r="D14" s="1">
        <v>9.0516506349999997</v>
      </c>
      <c r="E14" s="1">
        <v>-1.5516506349999899</v>
      </c>
      <c r="F14" s="1">
        <v>26.5</v>
      </c>
      <c r="G14" s="1">
        <v>27.244305610000001</v>
      </c>
      <c r="H14" s="1">
        <v>-0.74430561000000095</v>
      </c>
      <c r="I14" s="1">
        <v>3650.5</v>
      </c>
      <c r="J14" s="1">
        <v>3851.726388</v>
      </c>
      <c r="K14" s="1">
        <v>-201.22638799999999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2.0749149349999998</v>
      </c>
      <c r="W14" s="1">
        <v>0</v>
      </c>
      <c r="X14" s="1">
        <v>0</v>
      </c>
      <c r="Y14" s="1">
        <v>109.6104425</v>
      </c>
      <c r="Z14" s="1">
        <v>0</v>
      </c>
      <c r="AA14" s="1">
        <v>144</v>
      </c>
      <c r="AB14" s="1">
        <v>2</v>
      </c>
      <c r="AC14" s="1">
        <v>10000</v>
      </c>
      <c r="AD14">
        <v>0</v>
      </c>
      <c r="AF14" s="8" cm="1">
        <f t="array" aca="1" ref="AF14" ca="1">fScore_Total("ESPN",aCols)</f>
        <v>268.35351055000001</v>
      </c>
      <c r="AG14" s="8" cm="1">
        <f t="array" aca="1" ref="AG14" ca="1">-fScore_Total("diff",aCols)</f>
        <v>7.9229766900000236</v>
      </c>
      <c r="AH14" s="8">
        <f t="shared" ca="1" si="0"/>
        <v>276.27648724000005</v>
      </c>
      <c r="AI14" s="8"/>
    </row>
    <row r="15" spans="1:35" x14ac:dyDescent="0.25">
      <c r="A15" t="s">
        <v>22</v>
      </c>
      <c r="B15" s="1" t="s">
        <v>602</v>
      </c>
      <c r="C15" s="1">
        <v>10.5</v>
      </c>
      <c r="D15" s="1">
        <v>11.260558440000001</v>
      </c>
      <c r="E15" s="1">
        <v>-0.76055843999999995</v>
      </c>
      <c r="F15" s="1">
        <v>22.5</v>
      </c>
      <c r="G15" s="1">
        <v>20.92282239</v>
      </c>
      <c r="H15" s="1">
        <v>1.5771776099999899</v>
      </c>
      <c r="I15" s="1">
        <v>3600.5</v>
      </c>
      <c r="J15" s="1">
        <v>3619.1769800000002</v>
      </c>
      <c r="K15" s="1">
        <v>-18.6769800000001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9.5</v>
      </c>
      <c r="V15" s="1">
        <v>9.9353529690000002</v>
      </c>
      <c r="W15" s="1">
        <v>-0.43535296899999998</v>
      </c>
      <c r="X15" s="1">
        <v>550.5</v>
      </c>
      <c r="Y15" s="1">
        <v>535.67675810000003</v>
      </c>
      <c r="Z15" s="1">
        <v>14.8232418999999</v>
      </c>
      <c r="AA15" s="1">
        <v>39</v>
      </c>
      <c r="AB15" s="1">
        <v>21</v>
      </c>
      <c r="AC15" s="1">
        <v>6000</v>
      </c>
      <c r="AD15">
        <v>0</v>
      </c>
      <c r="AF15" s="8" cm="1">
        <f t="array" aca="1" ref="AF15" ca="1">fScore_Total("ESPN",aCols)</f>
        <v>319.11704550400003</v>
      </c>
      <c r="AG15" s="8" cm="1">
        <f t="array" aca="1" ref="AG15" ca="1">-fScore_Total("diff",aCols)</f>
        <v>-5.9529544959999461</v>
      </c>
      <c r="AH15" s="8">
        <f t="shared" ca="1" si="0"/>
        <v>313.16409100800007</v>
      </c>
      <c r="AI15" s="8"/>
    </row>
    <row r="16" spans="1:35" x14ac:dyDescent="0.25">
      <c r="A16" t="s">
        <v>23</v>
      </c>
      <c r="B16" s="1" t="s">
        <v>602</v>
      </c>
      <c r="C16" s="1">
        <v>12.5</v>
      </c>
      <c r="D16" s="1">
        <v>12.54226723</v>
      </c>
      <c r="E16" s="1">
        <v>-4.2267230000000197E-2</v>
      </c>
      <c r="F16" s="1">
        <v>20.5</v>
      </c>
      <c r="G16" s="1">
        <v>20.440559459999999</v>
      </c>
      <c r="H16" s="1">
        <v>5.9440540000000597E-2</v>
      </c>
      <c r="I16" s="1">
        <v>3400.5</v>
      </c>
      <c r="J16" s="1">
        <v>3809.8686029999999</v>
      </c>
      <c r="K16" s="1">
        <v>-409.36860299999898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2.038321158</v>
      </c>
      <c r="W16" s="1">
        <v>0</v>
      </c>
      <c r="X16" s="1">
        <v>0</v>
      </c>
      <c r="Y16" s="1">
        <v>162.6591191</v>
      </c>
      <c r="Z16" s="1">
        <v>0</v>
      </c>
      <c r="AA16" s="1">
        <v>316</v>
      </c>
      <c r="AB16" s="1">
        <v>0</v>
      </c>
      <c r="AC16" s="1">
        <v>20000</v>
      </c>
      <c r="AD16">
        <v>0</v>
      </c>
      <c r="AE16" t="s">
        <v>649</v>
      </c>
      <c r="AF16" s="8" cm="1">
        <f t="array" aca="1" ref="AF16" ca="1">fScore_Total("ESPN",aCols)</f>
        <v>237.56828635800002</v>
      </c>
      <c r="AG16" s="8" cm="1">
        <f t="array" aca="1" ref="AG16" ca="1">-fScore_Total("diff",aCols)</f>
        <v>16.052447499999957</v>
      </c>
      <c r="AH16" s="8">
        <f t="shared" ca="1" si="0"/>
        <v>253.62073385799999</v>
      </c>
      <c r="AI16" s="8"/>
    </row>
    <row r="17" spans="1:35" x14ac:dyDescent="0.25">
      <c r="A17" t="s">
        <v>24</v>
      </c>
      <c r="B17" s="1" t="s">
        <v>602</v>
      </c>
      <c r="C17" s="1">
        <v>9.5</v>
      </c>
      <c r="D17" s="1">
        <v>10.60587653</v>
      </c>
      <c r="E17" s="1">
        <v>-1.10587652999999</v>
      </c>
      <c r="F17" s="1">
        <v>19.5</v>
      </c>
      <c r="G17" s="1">
        <v>20.653771410000001</v>
      </c>
      <c r="H17" s="1">
        <v>-1.1537714100000001</v>
      </c>
      <c r="I17" s="1">
        <v>3300.5</v>
      </c>
      <c r="J17" s="1">
        <v>3784.4361429999999</v>
      </c>
      <c r="K17" s="1">
        <v>-483.93614299999899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2.5316861049999999</v>
      </c>
      <c r="W17" s="1">
        <v>0</v>
      </c>
      <c r="X17" s="1">
        <v>0</v>
      </c>
      <c r="Y17" s="1">
        <v>361.71458510000002</v>
      </c>
      <c r="Z17" s="1">
        <v>0</v>
      </c>
      <c r="AA17" s="1">
        <v>166</v>
      </c>
      <c r="AB17" s="1">
        <v>1</v>
      </c>
      <c r="AC17" s="1">
        <v>15000</v>
      </c>
      <c r="AD17">
        <v>0</v>
      </c>
      <c r="AE17" t="s">
        <v>607</v>
      </c>
      <c r="AF17" s="8" cm="1">
        <f t="array" aca="1" ref="AF17" ca="1">fScore_Total("ESPN",aCols)</f>
        <v>264.14235344000002</v>
      </c>
      <c r="AG17" s="8" cm="1">
        <f t="array" aca="1" ref="AG17" ca="1">-fScore_Total("diff",aCols)</f>
        <v>21.760778299999977</v>
      </c>
      <c r="AH17" s="8">
        <f t="shared" ca="1" si="0"/>
        <v>285.90313173999999</v>
      </c>
      <c r="AI17" s="8"/>
    </row>
    <row r="18" spans="1:35" x14ac:dyDescent="0.25">
      <c r="A18" t="s">
        <v>25</v>
      </c>
      <c r="B18" s="1" t="s">
        <v>602</v>
      </c>
      <c r="C18" s="1">
        <v>10.5</v>
      </c>
      <c r="D18" s="1">
        <v>12.66991018</v>
      </c>
      <c r="E18" s="1">
        <v>-2.16991018</v>
      </c>
      <c r="F18" s="1">
        <v>27.5</v>
      </c>
      <c r="G18" s="1">
        <v>26.43086885</v>
      </c>
      <c r="H18" s="1">
        <v>1.06913115</v>
      </c>
      <c r="I18" s="1">
        <v>3900.5</v>
      </c>
      <c r="J18" s="1">
        <v>3725.477386</v>
      </c>
      <c r="K18" s="1">
        <v>175.02261399999901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2.5439695539999998</v>
      </c>
      <c r="W18" s="1">
        <v>0</v>
      </c>
      <c r="X18" s="1">
        <v>0</v>
      </c>
      <c r="Y18" s="1">
        <v>209.35444409999999</v>
      </c>
      <c r="Z18" s="1">
        <v>0</v>
      </c>
      <c r="AA18" s="1">
        <v>107</v>
      </c>
      <c r="AB18" s="1">
        <v>3</v>
      </c>
      <c r="AC18" s="1">
        <v>7500</v>
      </c>
      <c r="AD18">
        <v>0</v>
      </c>
      <c r="AE18" t="s">
        <v>594</v>
      </c>
      <c r="AF18" s="8" cm="1">
        <f t="array" aca="1" ref="AF18" ca="1">fScore_Total("ESPN",aCols)</f>
        <v>265.60201221400001</v>
      </c>
      <c r="AG18" s="8" cm="1">
        <f t="array" aca="1" ref="AG18" ca="1">-fScore_Total("diff",aCols)</f>
        <v>-15.617249519999959</v>
      </c>
      <c r="AH18" s="8">
        <f t="shared" ca="1" si="0"/>
        <v>249.98476269400004</v>
      </c>
      <c r="AI18" s="8"/>
    </row>
    <row r="19" spans="1:35" x14ac:dyDescent="0.25">
      <c r="A19" t="s">
        <v>26</v>
      </c>
      <c r="B19" s="1" t="s">
        <v>602</v>
      </c>
      <c r="C19" s="1">
        <v>12.5</v>
      </c>
      <c r="D19" s="1">
        <v>12.45066362</v>
      </c>
      <c r="E19" s="1">
        <v>4.9336379999999701E-2</v>
      </c>
      <c r="F19" s="1">
        <v>22.5</v>
      </c>
      <c r="G19" s="1">
        <v>20.43247684</v>
      </c>
      <c r="H19" s="1">
        <v>2.0675231599999999</v>
      </c>
      <c r="I19" s="1">
        <v>3800.5</v>
      </c>
      <c r="J19" s="1">
        <v>3769.61222</v>
      </c>
      <c r="K19" s="1">
        <v>30.887779999999999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3.157387221</v>
      </c>
      <c r="W19" s="1">
        <v>0</v>
      </c>
      <c r="X19" s="1">
        <v>0</v>
      </c>
      <c r="Y19" s="1">
        <v>281.29285499999997</v>
      </c>
      <c r="Z19" s="1">
        <v>0</v>
      </c>
      <c r="AA19" s="1">
        <v>168</v>
      </c>
      <c r="AB19" s="1">
        <v>1</v>
      </c>
      <c r="AC19" s="1">
        <v>15000</v>
      </c>
      <c r="AD19">
        <v>0</v>
      </c>
      <c r="AF19" s="8" cm="1">
        <f t="array" aca="1" ref="AF19" ca="1">fScore_Total("ESPN",aCols)</f>
        <v>254.68667774599999</v>
      </c>
      <c r="AG19" s="8" cm="1">
        <f t="array" aca="1" ref="AG19" ca="1">-fScore_Total("diff",aCols)</f>
        <v>-9.4069310799999997</v>
      </c>
      <c r="AH19" s="8">
        <f t="shared" ca="1" si="0"/>
        <v>245.27974666599999</v>
      </c>
      <c r="AI19" s="8"/>
    </row>
    <row r="20" spans="1:35" x14ac:dyDescent="0.25">
      <c r="A20" t="s">
        <v>27</v>
      </c>
      <c r="B20" s="1" t="s">
        <v>602</v>
      </c>
      <c r="C20" s="1">
        <v>8.5</v>
      </c>
      <c r="D20" s="1">
        <v>11.020053389999999</v>
      </c>
      <c r="E20" s="1">
        <v>-2.52005338999999</v>
      </c>
      <c r="F20" s="1">
        <v>27.5</v>
      </c>
      <c r="G20" s="1">
        <v>24.85774893</v>
      </c>
      <c r="H20" s="1">
        <v>2.6422510699999999</v>
      </c>
      <c r="I20" s="1">
        <v>3800.5</v>
      </c>
      <c r="J20" s="1">
        <v>3957.7152999999998</v>
      </c>
      <c r="K20" s="1">
        <v>-157.21529999999899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1.5867126279999999</v>
      </c>
      <c r="W20" s="1">
        <v>0</v>
      </c>
      <c r="X20" s="1">
        <v>0</v>
      </c>
      <c r="Y20" s="1">
        <v>117.95995189999999</v>
      </c>
      <c r="Z20" s="1">
        <v>0</v>
      </c>
      <c r="AA20" s="1">
        <v>149</v>
      </c>
      <c r="AB20" s="1">
        <v>2</v>
      </c>
      <c r="AC20" s="1">
        <v>10000</v>
      </c>
      <c r="AD20">
        <v>0</v>
      </c>
      <c r="AF20" s="8" cm="1">
        <f t="array" aca="1" ref="AF20" ca="1">fScore_Total("ESPN",aCols)</f>
        <v>257.01577189800003</v>
      </c>
      <c r="AG20" s="8" cm="1">
        <f t="array" aca="1" ref="AG20" ca="1">-fScore_Total("diff",aCols)</f>
        <v>-9.320499060000019</v>
      </c>
      <c r="AH20" s="8">
        <f t="shared" ca="1" si="0"/>
        <v>247.69527283799999</v>
      </c>
      <c r="AI20" s="8"/>
    </row>
    <row r="21" spans="1:35" x14ac:dyDescent="0.25">
      <c r="A21" t="s">
        <v>28</v>
      </c>
      <c r="B21" s="1" t="s">
        <v>602</v>
      </c>
      <c r="C21" s="1">
        <v>9.5</v>
      </c>
      <c r="D21" s="1">
        <v>10.77857273</v>
      </c>
      <c r="E21" s="1">
        <v>-1.27857273</v>
      </c>
      <c r="F21" s="1">
        <v>28.5</v>
      </c>
      <c r="G21" s="1">
        <v>24.265741970000001</v>
      </c>
      <c r="H21" s="1">
        <v>4.2342580299999897</v>
      </c>
      <c r="I21" s="1">
        <v>3900.5</v>
      </c>
      <c r="J21" s="1">
        <v>3908.1661979999999</v>
      </c>
      <c r="K21" s="1">
        <v>-7.6661979999998904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2.302152628</v>
      </c>
      <c r="W21" s="1">
        <v>0</v>
      </c>
      <c r="X21" s="1">
        <v>0</v>
      </c>
      <c r="Y21" s="1">
        <v>173.46362629999999</v>
      </c>
      <c r="Z21" s="1">
        <v>0</v>
      </c>
      <c r="AA21" s="1">
        <v>109</v>
      </c>
      <c r="AB21" s="1">
        <v>3</v>
      </c>
      <c r="AC21" s="1">
        <v>10000</v>
      </c>
      <c r="AD21">
        <v>0</v>
      </c>
      <c r="AE21" t="s">
        <v>593</v>
      </c>
      <c r="AF21" s="8" cm="1">
        <f t="array" aca="1" ref="AF21" ca="1">fScore_Total("ESPN",aCols)</f>
        <v>262.99174873800001</v>
      </c>
      <c r="AG21" s="8" cm="1">
        <f t="array" aca="1" ref="AG21" ca="1">-fScore_Total("diff",aCols)</f>
        <v>-19.187529659999964</v>
      </c>
      <c r="AH21" s="8">
        <f t="shared" ca="1" si="0"/>
        <v>243.80421907800005</v>
      </c>
      <c r="AI21" s="8"/>
    </row>
    <row r="22" spans="1:35" x14ac:dyDescent="0.25">
      <c r="A22" t="s">
        <v>29</v>
      </c>
      <c r="B22" s="1" t="s">
        <v>602</v>
      </c>
      <c r="C22" s="1">
        <v>9.5</v>
      </c>
      <c r="D22" s="1">
        <v>12.26798636</v>
      </c>
      <c r="E22" s="1">
        <v>-2.7679863600000001</v>
      </c>
      <c r="F22" s="1">
        <v>30.5</v>
      </c>
      <c r="G22" s="1">
        <v>26.580700950000001</v>
      </c>
      <c r="H22" s="1">
        <v>3.91929904999999</v>
      </c>
      <c r="I22" s="1">
        <v>4100.5</v>
      </c>
      <c r="J22" s="1">
        <v>4073.8812739999998</v>
      </c>
      <c r="K22" s="1">
        <v>26.618726000000098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2.0527631629999998</v>
      </c>
      <c r="W22" s="1">
        <v>0</v>
      </c>
      <c r="X22" s="1">
        <v>0</v>
      </c>
      <c r="Y22" s="1">
        <v>226.93954830000001</v>
      </c>
      <c r="Z22" s="1">
        <v>0</v>
      </c>
      <c r="AA22" s="1">
        <v>69</v>
      </c>
      <c r="AB22" s="1">
        <v>8</v>
      </c>
      <c r="AC22" s="1">
        <v>10000</v>
      </c>
      <c r="AD22">
        <v>0</v>
      </c>
      <c r="AE22" t="s">
        <v>591</v>
      </c>
      <c r="AF22" s="8" cm="1">
        <f t="array" aca="1" ref="AF22" ca="1">fScore_Total("ESPN",aCols)</f>
        <v>279.752615848</v>
      </c>
      <c r="AG22" s="8" cm="1">
        <f t="array" aca="1" ref="AG22" ca="1">-fScore_Total("diff",aCols)</f>
        <v>-22.277917959999961</v>
      </c>
      <c r="AH22" s="8">
        <f t="shared" ref="AH22:AH85" ca="1" si="1">+AF22+AG22</f>
        <v>257.47469788800004</v>
      </c>
      <c r="AI22" s="8"/>
    </row>
    <row r="23" spans="1:35" x14ac:dyDescent="0.25">
      <c r="A23" t="s">
        <v>30</v>
      </c>
      <c r="B23" s="1" t="s">
        <v>602</v>
      </c>
      <c r="C23" s="1">
        <v>10.5</v>
      </c>
      <c r="D23" s="1">
        <v>11.978905230000001</v>
      </c>
      <c r="E23" s="1">
        <v>-1.4789052300000001</v>
      </c>
      <c r="F23" s="1">
        <v>25.5</v>
      </c>
      <c r="G23" s="1">
        <v>22.946089229999998</v>
      </c>
      <c r="H23" s="1">
        <v>2.5539107699999999</v>
      </c>
      <c r="I23" s="1">
        <v>4100.5</v>
      </c>
      <c r="J23" s="1">
        <v>4033.4185910000001</v>
      </c>
      <c r="K23" s="1">
        <v>67.081408999999894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1.0374659580000001</v>
      </c>
      <c r="W23" s="1">
        <v>0</v>
      </c>
      <c r="X23" s="1">
        <v>0</v>
      </c>
      <c r="Y23" s="1">
        <v>113.9709167</v>
      </c>
      <c r="Z23" s="1">
        <v>0</v>
      </c>
      <c r="AA23" s="1">
        <v>212</v>
      </c>
      <c r="AB23" s="1">
        <v>0</v>
      </c>
      <c r="AC23" s="1">
        <v>15000</v>
      </c>
      <c r="AD23">
        <v>0</v>
      </c>
      <c r="AE23" t="s">
        <v>595</v>
      </c>
      <c r="AF23" s="8" cm="1">
        <f t="array" aca="1" ref="AF23" ca="1">fScore_Total("ESPN",aCols)</f>
        <v>246.78517751799998</v>
      </c>
      <c r="AG23" s="8" cm="1">
        <f t="array" aca="1" ref="AG23" ca="1">-fScore_Total("diff",aCols)</f>
        <v>-15.856709899999997</v>
      </c>
      <c r="AH23" s="8">
        <f t="shared" ca="1" si="1"/>
        <v>230.92846761799998</v>
      </c>
      <c r="AI23" s="8"/>
    </row>
    <row r="24" spans="1:35" x14ac:dyDescent="0.25">
      <c r="A24" t="s">
        <v>31</v>
      </c>
      <c r="B24" s="1" t="s">
        <v>602</v>
      </c>
      <c r="C24" s="1">
        <v>11.5</v>
      </c>
      <c r="D24" s="1">
        <v>13.19149275</v>
      </c>
      <c r="E24" s="1">
        <v>-1.6914927500000001</v>
      </c>
      <c r="F24" s="1">
        <v>23.5</v>
      </c>
      <c r="G24" s="1">
        <v>22.93127629</v>
      </c>
      <c r="H24" s="1">
        <v>0.56872370999999999</v>
      </c>
      <c r="I24" s="1">
        <v>3500.5</v>
      </c>
      <c r="J24" s="1">
        <v>3537.0434500000001</v>
      </c>
      <c r="K24" s="1">
        <v>-36.543450000000099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3.1688380230000002</v>
      </c>
      <c r="W24" s="1">
        <v>0</v>
      </c>
      <c r="X24" s="1">
        <v>0</v>
      </c>
      <c r="Y24" s="1">
        <v>310.91460790000002</v>
      </c>
      <c r="Z24" s="1">
        <v>0</v>
      </c>
      <c r="AA24" s="1">
        <v>164</v>
      </c>
      <c r="AB24" s="1">
        <v>1</v>
      </c>
      <c r="AC24" s="1">
        <v>7500</v>
      </c>
      <c r="AD24">
        <v>135</v>
      </c>
      <c r="AF24" s="8" cm="1">
        <f t="array" aca="1" ref="AF24" ca="1">fScore_Total("ESPN",aCols)</f>
        <v>256.92834658800001</v>
      </c>
      <c r="AG24" s="8" cm="1">
        <f t="array" aca="1" ref="AG24" ca="1">-fScore_Total("diff",aCols)</f>
        <v>-4.1961423399999962</v>
      </c>
      <c r="AH24" s="8">
        <f t="shared" ca="1" si="1"/>
        <v>252.73220424800002</v>
      </c>
      <c r="AI24" s="8"/>
    </row>
    <row r="25" spans="1:35" x14ac:dyDescent="0.25">
      <c r="A25" t="s">
        <v>32</v>
      </c>
      <c r="B25" s="1" t="s">
        <v>602</v>
      </c>
      <c r="C25" s="1">
        <v>9.5</v>
      </c>
      <c r="D25" s="1">
        <v>11.369328940000001</v>
      </c>
      <c r="E25" s="1">
        <v>-1.8693289399999999</v>
      </c>
      <c r="F25" s="1">
        <v>28.5</v>
      </c>
      <c r="G25" s="1">
        <v>26.767267329999999</v>
      </c>
      <c r="H25" s="1">
        <v>1.7327326700000001</v>
      </c>
      <c r="I25" s="1">
        <v>4000.5</v>
      </c>
      <c r="J25" s="1">
        <v>4130.3192289999997</v>
      </c>
      <c r="K25" s="1">
        <v>-129.81922899999901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2.5750457440000001</v>
      </c>
      <c r="W25" s="1">
        <v>0</v>
      </c>
      <c r="X25" s="1">
        <v>0</v>
      </c>
      <c r="Y25" s="1">
        <v>174.03755169999999</v>
      </c>
      <c r="Z25" s="1">
        <v>0</v>
      </c>
      <c r="AA25" s="1">
        <v>66</v>
      </c>
      <c r="AB25" s="1">
        <v>9</v>
      </c>
      <c r="AC25" s="1">
        <v>7500</v>
      </c>
      <c r="AD25">
        <v>0</v>
      </c>
      <c r="AF25" s="8" cm="1">
        <f t="array" aca="1" ref="AF25" ca="1">fScore_Total("ESPN",aCols)</f>
        <v>282.397210234</v>
      </c>
      <c r="AG25" s="8" cm="1">
        <f t="array" aca="1" ref="AG25" ca="1">-fScore_Total("diff",aCols)</f>
        <v>-5.4768194000000401</v>
      </c>
      <c r="AH25" s="8">
        <f t="shared" ca="1" si="1"/>
        <v>276.92039083399993</v>
      </c>
      <c r="AI25" s="8"/>
    </row>
    <row r="26" spans="1:35" x14ac:dyDescent="0.25">
      <c r="A26" t="s">
        <v>33</v>
      </c>
      <c r="B26" s="1" t="s">
        <v>602</v>
      </c>
      <c r="C26" s="1">
        <v>10.5</v>
      </c>
      <c r="D26" s="1">
        <v>11.611844720000001</v>
      </c>
      <c r="E26" s="1">
        <v>-1.1118447199999999</v>
      </c>
      <c r="F26" s="1">
        <v>18.5</v>
      </c>
      <c r="G26" s="1">
        <v>20.079673339999999</v>
      </c>
      <c r="H26" s="1">
        <v>-1.57967333999999</v>
      </c>
      <c r="I26" s="1">
        <v>3200.5</v>
      </c>
      <c r="J26" s="1">
        <v>3524.1027560000002</v>
      </c>
      <c r="K26" s="1">
        <v>-323.602756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0.80513721299999996</v>
      </c>
      <c r="W26" s="1">
        <v>0</v>
      </c>
      <c r="X26" s="1">
        <v>0</v>
      </c>
      <c r="Y26" s="1">
        <v>267.37417060000001</v>
      </c>
      <c r="Z26" s="1">
        <v>0</v>
      </c>
      <c r="AA26" s="1">
        <v>275</v>
      </c>
      <c r="AB26" s="1">
        <v>0</v>
      </c>
      <c r="AC26" s="1">
        <v>20000</v>
      </c>
      <c r="AD26">
        <v>0</v>
      </c>
      <c r="AE26" t="s">
        <v>650</v>
      </c>
      <c r="AF26" s="8" cm="1">
        <f t="array" aca="1" ref="AF26" ca="1">fScore_Total("ESPN",aCols)</f>
        <v>229.62735449800005</v>
      </c>
      <c r="AG26" s="8" cm="1">
        <f t="array" aca="1" ref="AG26" ca="1">-fScore_Total("diff",aCols)</f>
        <v>17.039114159999961</v>
      </c>
      <c r="AH26" s="8">
        <f t="shared" ca="1" si="1"/>
        <v>246.66646865800001</v>
      </c>
      <c r="AI26" s="8"/>
    </row>
    <row r="27" spans="1:35" x14ac:dyDescent="0.25">
      <c r="A27" t="s">
        <v>490</v>
      </c>
      <c r="B27" s="1" t="s">
        <v>602</v>
      </c>
      <c r="C27" s="1">
        <v>9.5</v>
      </c>
      <c r="D27" s="1">
        <v>10.770464309999999</v>
      </c>
      <c r="E27" s="1">
        <v>-1.2704643099999899</v>
      </c>
      <c r="F27" s="1">
        <v>28.5</v>
      </c>
      <c r="G27" s="1">
        <v>26.803849339999999</v>
      </c>
      <c r="H27" s="1">
        <v>1.69615066</v>
      </c>
      <c r="I27" s="1">
        <v>4150.5</v>
      </c>
      <c r="J27" s="1">
        <v>4058.5111510000002</v>
      </c>
      <c r="K27" s="1">
        <v>91.988848999999803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2.5206543780000001</v>
      </c>
      <c r="W27" s="1">
        <v>0</v>
      </c>
      <c r="X27" s="1">
        <v>0</v>
      </c>
      <c r="Y27" s="1">
        <v>181.7172583</v>
      </c>
      <c r="Z27" s="1">
        <v>0</v>
      </c>
      <c r="AA27" s="1">
        <v>64</v>
      </c>
      <c r="AB27" s="1">
        <v>9</v>
      </c>
      <c r="AC27" s="1">
        <v>6500</v>
      </c>
      <c r="AD27">
        <v>0</v>
      </c>
      <c r="AE27" t="s">
        <v>596</v>
      </c>
      <c r="AF27" s="8" cm="1">
        <f t="array" aca="1" ref="AF27" ca="1">fScore_Total("ESPN",aCols)</f>
        <v>281.31056687800003</v>
      </c>
      <c r="AG27" s="8" cm="1">
        <f t="array" aca="1" ref="AG27" ca="1">-fScore_Total("diff",aCols)</f>
        <v>-13.005085219999973</v>
      </c>
      <c r="AH27" s="8">
        <f t="shared" ca="1" si="1"/>
        <v>268.30548165800008</v>
      </c>
      <c r="AI27" s="8"/>
    </row>
    <row r="28" spans="1:35" x14ac:dyDescent="0.25">
      <c r="A28" t="s">
        <v>34</v>
      </c>
      <c r="B28" s="1" t="s">
        <v>602</v>
      </c>
      <c r="C28" s="1">
        <v>11.5</v>
      </c>
      <c r="D28" s="1">
        <v>12.06805593</v>
      </c>
      <c r="E28" s="1">
        <v>-0.56805592999999899</v>
      </c>
      <c r="F28" s="1">
        <v>23.5</v>
      </c>
      <c r="G28" s="1">
        <v>23.609087079999998</v>
      </c>
      <c r="H28" s="1">
        <v>-0.109087079999998</v>
      </c>
      <c r="I28" s="1">
        <v>3550.5</v>
      </c>
      <c r="J28" s="1">
        <v>3894.7198440000002</v>
      </c>
      <c r="K28" s="1">
        <v>-344.21984400000002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1.2711889540000001</v>
      </c>
      <c r="W28" s="1">
        <v>0</v>
      </c>
      <c r="X28" s="1">
        <v>0</v>
      </c>
      <c r="Y28" s="1">
        <v>161.17104620000001</v>
      </c>
      <c r="Z28" s="1">
        <v>0</v>
      </c>
      <c r="AA28" s="1">
        <v>281</v>
      </c>
      <c r="AB28" s="1">
        <v>0</v>
      </c>
      <c r="AC28" s="1">
        <v>25000</v>
      </c>
      <c r="AD28">
        <v>0</v>
      </c>
      <c r="AE28" t="s">
        <v>651</v>
      </c>
      <c r="AF28" s="8" cm="1">
        <f t="array" aca="1" ref="AF28" ca="1">fScore_Total("ESPN",aCols)</f>
        <v>249.83326856399998</v>
      </c>
      <c r="AG28" s="8" cm="1">
        <f t="array" aca="1" ref="AG28" ca="1">-fScore_Total("diff",aCols)</f>
        <v>13.069030219999995</v>
      </c>
      <c r="AH28" s="8">
        <f t="shared" ca="1" si="1"/>
        <v>262.90229878399998</v>
      </c>
      <c r="AI28" s="8"/>
    </row>
    <row r="29" spans="1:35" x14ac:dyDescent="0.25">
      <c r="A29" t="s">
        <v>35</v>
      </c>
      <c r="B29" s="1" t="s">
        <v>602</v>
      </c>
      <c r="C29" s="1">
        <v>9.5</v>
      </c>
      <c r="D29" s="1">
        <v>10.928672130000001</v>
      </c>
      <c r="E29" s="1">
        <v>-1.42867213</v>
      </c>
      <c r="F29" s="1">
        <v>34.5</v>
      </c>
      <c r="G29" s="1">
        <v>33.194442860000002</v>
      </c>
      <c r="H29" s="1">
        <v>1.3055571399999899</v>
      </c>
      <c r="I29" s="1">
        <v>4350.5</v>
      </c>
      <c r="J29" s="1">
        <v>4032.3495050000001</v>
      </c>
      <c r="K29" s="1">
        <v>318.15049499999901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0.97287195000000004</v>
      </c>
      <c r="W29" s="1">
        <v>0</v>
      </c>
      <c r="X29" s="1">
        <v>0</v>
      </c>
      <c r="Y29" s="1">
        <v>336.97565370000001</v>
      </c>
      <c r="Z29" s="1">
        <v>0</v>
      </c>
      <c r="AA29" s="1">
        <v>53</v>
      </c>
      <c r="AB29" s="1">
        <v>13</v>
      </c>
      <c r="AC29" s="1">
        <v>5500</v>
      </c>
      <c r="AD29">
        <v>0</v>
      </c>
      <c r="AE29" t="s">
        <v>652</v>
      </c>
      <c r="AF29" s="8" cm="1">
        <f t="array" aca="1" ref="AF29" ca="1">fScore_Total("ESPN",aCols)</f>
        <v>311.74920445000004</v>
      </c>
      <c r="AG29" s="8" cm="1">
        <f t="array" aca="1" ref="AG29" ca="1">-fScore_Total("diff",aCols)</f>
        <v>-20.805592619999921</v>
      </c>
      <c r="AH29" s="8">
        <f t="shared" ca="1" si="1"/>
        <v>290.94361183000012</v>
      </c>
      <c r="AI29" s="8"/>
    </row>
    <row r="30" spans="1:35" x14ac:dyDescent="0.25">
      <c r="A30" t="s">
        <v>36</v>
      </c>
      <c r="B30" s="1" t="s">
        <v>603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65.5</v>
      </c>
      <c r="M30" s="1">
        <v>63.88748983</v>
      </c>
      <c r="N30" s="1">
        <v>5.5</v>
      </c>
      <c r="O30" s="1">
        <v>5.303603668</v>
      </c>
      <c r="P30" s="1">
        <v>0.19639633199999901</v>
      </c>
      <c r="Q30" s="1">
        <v>725.5</v>
      </c>
      <c r="R30" s="1">
        <v>752.00707869999997</v>
      </c>
      <c r="S30" s="1">
        <v>-26.507078699999902</v>
      </c>
      <c r="T30" s="1">
        <v>1.61251017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120</v>
      </c>
      <c r="AB30" s="1">
        <v>2</v>
      </c>
      <c r="AC30" s="1">
        <v>20000</v>
      </c>
      <c r="AD30">
        <v>0</v>
      </c>
      <c r="AF30" s="8" cm="1">
        <f t="array" aca="1" ref="AF30" ca="1">fScore_Total("ESPN",aCols)</f>
        <v>138.96607479300002</v>
      </c>
      <c r="AG30" s="8" cm="1">
        <f t="array" aca="1" ref="AG30" ca="1">-fScore_Total("diff",aCols)</f>
        <v>0.66607479299999639</v>
      </c>
      <c r="AH30" s="8">
        <f t="shared" ca="1" si="1"/>
        <v>139.63214958600003</v>
      </c>
      <c r="AI30" s="8"/>
    </row>
    <row r="31" spans="1:35" x14ac:dyDescent="0.25">
      <c r="A31" t="s">
        <v>37</v>
      </c>
      <c r="B31" s="1" t="s">
        <v>601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62.999240489999998</v>
      </c>
      <c r="N31" s="1">
        <v>4.5</v>
      </c>
      <c r="O31" s="1">
        <v>5.0930408969999998</v>
      </c>
      <c r="P31" s="1">
        <v>-0.59304089699999896</v>
      </c>
      <c r="Q31" s="1">
        <v>775.5</v>
      </c>
      <c r="R31" s="1">
        <v>769.35787270000003</v>
      </c>
      <c r="S31" s="1">
        <v>6.1421272999999701</v>
      </c>
      <c r="T31" s="1">
        <v>0</v>
      </c>
      <c r="U31" s="1">
        <v>0</v>
      </c>
      <c r="V31" s="1">
        <v>0.57494494299999999</v>
      </c>
      <c r="W31" s="1">
        <v>0</v>
      </c>
      <c r="X31" s="1">
        <v>0</v>
      </c>
      <c r="Y31" s="1">
        <v>85.878354520000002</v>
      </c>
      <c r="Z31" s="1">
        <v>0</v>
      </c>
      <c r="AA31" s="1">
        <v>95</v>
      </c>
      <c r="AB31" s="1">
        <v>4</v>
      </c>
      <c r="AC31" s="1">
        <v>12000</v>
      </c>
      <c r="AD31">
        <v>0</v>
      </c>
      <c r="AF31" s="8" cm="1">
        <f t="array" aca="1" ref="AF31" ca="1">fScore_Total("ESPN",aCols)</f>
        <v>151.03115800700002</v>
      </c>
      <c r="AG31" s="8" cm="1">
        <f t="array" aca="1" ref="AG31" ca="1">-fScore_Total("diff",aCols)</f>
        <v>2.9440326519999966</v>
      </c>
      <c r="AH31" s="8">
        <f t="shared" ca="1" si="1"/>
        <v>153.97519065900002</v>
      </c>
      <c r="AI31" s="8"/>
    </row>
    <row r="32" spans="1:35" x14ac:dyDescent="0.25">
      <c r="A32" t="s">
        <v>38</v>
      </c>
      <c r="B32" s="1" t="s">
        <v>601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74.489447839999997</v>
      </c>
      <c r="N32" s="1">
        <v>4.5</v>
      </c>
      <c r="O32" s="1">
        <v>3.2468120100000002</v>
      </c>
      <c r="P32" s="1">
        <v>1.25318798999999</v>
      </c>
      <c r="Q32" s="1">
        <v>925.5</v>
      </c>
      <c r="R32" s="1">
        <v>1011.543823</v>
      </c>
      <c r="S32" s="1">
        <v>-86.043822999999904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81</v>
      </c>
      <c r="AB32" s="1">
        <v>6</v>
      </c>
      <c r="AC32" s="1">
        <v>12000</v>
      </c>
      <c r="AD32">
        <v>0</v>
      </c>
      <c r="AF32" s="8" cm="1">
        <f t="array" aca="1" ref="AF32" ca="1">fScore_Total("ESPN",aCols)</f>
        <v>157.87997828000002</v>
      </c>
      <c r="AG32" s="8" cm="1">
        <f t="array" aca="1" ref="AG32" ca="1">-fScore_Total("diff",aCols)</f>
        <v>1.0852543600000502</v>
      </c>
      <c r="AH32" s="8">
        <f t="shared" ca="1" si="1"/>
        <v>158.96523264000007</v>
      </c>
      <c r="AI32" s="8"/>
    </row>
    <row r="33" spans="1:35" x14ac:dyDescent="0.25">
      <c r="A33" t="s">
        <v>39</v>
      </c>
      <c r="B33" s="1" t="s">
        <v>601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69.349069630000002</v>
      </c>
      <c r="N33" s="1">
        <v>4.5</v>
      </c>
      <c r="O33" s="1">
        <v>4.1917175970000002</v>
      </c>
      <c r="P33" s="1">
        <v>0.30828240299999898</v>
      </c>
      <c r="Q33" s="1">
        <v>775.5</v>
      </c>
      <c r="R33" s="1">
        <v>767.56895139999995</v>
      </c>
      <c r="S33" s="1">
        <v>7.9310486000000502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130</v>
      </c>
      <c r="AB33" s="1">
        <v>2</v>
      </c>
      <c r="AC33" s="1">
        <v>15000</v>
      </c>
      <c r="AD33">
        <v>0</v>
      </c>
      <c r="AF33" s="8" cm="1">
        <f t="array" aca="1" ref="AF33" ca="1">fScore_Total("ESPN",aCols)</f>
        <v>136.58173553699999</v>
      </c>
      <c r="AG33" s="8" cm="1">
        <f t="array" aca="1" ref="AG33" ca="1">-fScore_Total("diff",aCols)</f>
        <v>-2.6427992779999991</v>
      </c>
      <c r="AH33" s="8">
        <f t="shared" ca="1" si="1"/>
        <v>133.93893625899997</v>
      </c>
      <c r="AI33" s="8"/>
    </row>
    <row r="34" spans="1:35" x14ac:dyDescent="0.25">
      <c r="A34" t="s">
        <v>40</v>
      </c>
      <c r="B34" s="1" t="s">
        <v>601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81.093073000000004</v>
      </c>
      <c r="N34" s="1">
        <v>4.5</v>
      </c>
      <c r="O34" s="1">
        <v>5.3350817079999997</v>
      </c>
      <c r="P34" s="1">
        <v>-0.83508170799999903</v>
      </c>
      <c r="Q34" s="1">
        <v>850.5</v>
      </c>
      <c r="R34" s="1">
        <v>970.78677860000005</v>
      </c>
      <c r="S34" s="1">
        <v>-120.28677860000001</v>
      </c>
      <c r="T34" s="1">
        <v>0</v>
      </c>
      <c r="U34" s="1">
        <v>0</v>
      </c>
      <c r="V34" s="1">
        <v>0.26533890100000002</v>
      </c>
      <c r="W34" s="1">
        <v>0</v>
      </c>
      <c r="X34" s="1">
        <v>0</v>
      </c>
      <c r="Y34" s="1">
        <v>24.471901840000001</v>
      </c>
      <c r="Z34" s="1">
        <v>0</v>
      </c>
      <c r="AA34" s="1">
        <v>57</v>
      </c>
      <c r="AB34" s="1">
        <v>11</v>
      </c>
      <c r="AC34" s="1">
        <v>15000</v>
      </c>
      <c r="AD34">
        <v>0</v>
      </c>
      <c r="AE34" t="s">
        <v>608</v>
      </c>
      <c r="AF34" s="8" cm="1">
        <f t="array" aca="1" ref="AF34" ca="1">fScore_Total("ESPN",aCols)</f>
        <v>173.67492819800003</v>
      </c>
      <c r="AG34" s="8" cm="1">
        <f t="array" aca="1" ref="AG34" ca="1">-fScore_Total("diff",aCols)</f>
        <v>17.039168107999998</v>
      </c>
      <c r="AH34" s="8">
        <f t="shared" ca="1" si="1"/>
        <v>190.71409630600004</v>
      </c>
      <c r="AI34" s="8"/>
    </row>
    <row r="35" spans="1:35" x14ac:dyDescent="0.25">
      <c r="A35" t="s">
        <v>41</v>
      </c>
      <c r="B35" s="1" t="s">
        <v>603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65.433150499999996</v>
      </c>
      <c r="N35" s="1">
        <v>5.5</v>
      </c>
      <c r="O35" s="1">
        <v>5.446368433</v>
      </c>
      <c r="P35" s="1">
        <v>5.3631566999999998E-2</v>
      </c>
      <c r="Q35" s="1">
        <v>675.5</v>
      </c>
      <c r="R35" s="1">
        <v>675.17861400000004</v>
      </c>
      <c r="S35" s="1">
        <v>0.32138599999996098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121</v>
      </c>
      <c r="AB35" s="1">
        <v>2</v>
      </c>
      <c r="AC35" s="1">
        <v>25000</v>
      </c>
      <c r="AD35">
        <v>0</v>
      </c>
      <c r="AF35" s="8" cm="1">
        <f t="array" aca="1" ref="AF35" ca="1">fScore_Total("ESPN",aCols)</f>
        <v>132.91264724799998</v>
      </c>
      <c r="AG35" s="8" cm="1">
        <f t="array" aca="1" ref="AG35" ca="1">-fScore_Total("diff",aCols)</f>
        <v>-0.35392800199999608</v>
      </c>
      <c r="AH35" s="8">
        <f t="shared" ca="1" si="1"/>
        <v>132.55871924599998</v>
      </c>
      <c r="AI35" s="8"/>
    </row>
    <row r="36" spans="1:35" x14ac:dyDescent="0.25">
      <c r="A36" t="s">
        <v>42</v>
      </c>
      <c r="B36" s="1" t="s">
        <v>603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56.849223979999998</v>
      </c>
      <c r="N36" s="1">
        <v>3.5</v>
      </c>
      <c r="O36" s="1">
        <v>3.895257344</v>
      </c>
      <c r="P36" s="1">
        <v>-0.39525734400000001</v>
      </c>
      <c r="Q36" s="1">
        <v>475.5</v>
      </c>
      <c r="R36" s="1">
        <v>589.48764449999999</v>
      </c>
      <c r="S36" s="1">
        <v>-113.98764449999901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172</v>
      </c>
      <c r="AB36" s="1">
        <v>1</v>
      </c>
      <c r="AC36" s="1">
        <v>0</v>
      </c>
      <c r="AD36">
        <v>0</v>
      </c>
      <c r="AE36" t="s">
        <v>653</v>
      </c>
      <c r="AF36" s="8" cm="1">
        <f t="array" aca="1" ref="AF36" ca="1">fScore_Total("ESPN",aCols)</f>
        <v>110.74492050399999</v>
      </c>
      <c r="AG36" s="8" cm="1">
        <f t="array" aca="1" ref="AG36" ca="1">-fScore_Total("diff",aCols)</f>
        <v>13.770308513999902</v>
      </c>
      <c r="AH36" s="8">
        <f t="shared" ca="1" si="1"/>
        <v>124.5152290179999</v>
      </c>
      <c r="AI36" s="8"/>
    </row>
    <row r="37" spans="1:35" x14ac:dyDescent="0.25">
      <c r="A37" t="s">
        <v>43</v>
      </c>
      <c r="B37" s="1" t="s">
        <v>601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69.998140430000007</v>
      </c>
      <c r="N37" s="1">
        <v>4.5</v>
      </c>
      <c r="O37" s="1">
        <v>5.7749164620000002</v>
      </c>
      <c r="P37" s="1">
        <v>-1.274916462</v>
      </c>
      <c r="Q37" s="1">
        <v>825.5</v>
      </c>
      <c r="R37" s="1">
        <v>934.40560140000002</v>
      </c>
      <c r="S37" s="1">
        <v>-108.90560139999999</v>
      </c>
      <c r="T37" s="1">
        <v>0</v>
      </c>
      <c r="U37" s="1">
        <v>0</v>
      </c>
      <c r="V37" s="1">
        <v>0.58121464199999995</v>
      </c>
      <c r="W37" s="1">
        <v>0</v>
      </c>
      <c r="X37" s="1">
        <v>0</v>
      </c>
      <c r="Y37" s="1">
        <v>92.871733649999996</v>
      </c>
      <c r="Z37" s="1">
        <v>0</v>
      </c>
      <c r="AA37" s="1">
        <v>58</v>
      </c>
      <c r="AB37" s="1">
        <v>10</v>
      </c>
      <c r="AC37" s="1">
        <v>15000</v>
      </c>
      <c r="AD37">
        <v>0</v>
      </c>
      <c r="AE37" t="s">
        <v>610</v>
      </c>
      <c r="AF37" s="8" cm="1">
        <f t="array" aca="1" ref="AF37" ca="1">fScore_Total("ESPN",aCols)</f>
        <v>175.86359034400002</v>
      </c>
      <c r="AG37" s="8" cm="1">
        <f t="array" aca="1" ref="AG37" ca="1">-fScore_Total("diff",aCols)</f>
        <v>18.540058911999999</v>
      </c>
      <c r="AH37" s="8">
        <f t="shared" ca="1" si="1"/>
        <v>194.40364925600002</v>
      </c>
      <c r="AI37" s="8"/>
    </row>
    <row r="38" spans="1:35" x14ac:dyDescent="0.25">
      <c r="A38" t="s">
        <v>44</v>
      </c>
      <c r="B38" s="1" t="s">
        <v>601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64.5</v>
      </c>
      <c r="M38" s="1">
        <v>75.880725190000007</v>
      </c>
      <c r="N38" s="1">
        <v>4.5</v>
      </c>
      <c r="O38" s="1">
        <v>4.7369666649999997</v>
      </c>
      <c r="P38" s="1">
        <v>-0.23696666499999899</v>
      </c>
      <c r="Q38" s="1">
        <v>775.5</v>
      </c>
      <c r="R38" s="1">
        <v>889.89120979999996</v>
      </c>
      <c r="S38" s="1">
        <v>-114.391209799999</v>
      </c>
      <c r="T38" s="1">
        <v>-11.38072519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82</v>
      </c>
      <c r="AB38" s="1">
        <v>6</v>
      </c>
      <c r="AC38" s="1">
        <v>15000</v>
      </c>
      <c r="AD38">
        <v>0</v>
      </c>
      <c r="AE38" t="s">
        <v>609</v>
      </c>
      <c r="AF38" s="8" cm="1">
        <f t="array" aca="1" ref="AF38" ca="1">fScore_Total("ESPN",aCols)</f>
        <v>155.35128356499999</v>
      </c>
      <c r="AG38" s="8" cm="1">
        <f t="array" aca="1" ref="AG38" ca="1">-fScore_Total("diff",aCols)</f>
        <v>18.551283564999896</v>
      </c>
      <c r="AH38" s="8">
        <f t="shared" ca="1" si="1"/>
        <v>173.90256712999988</v>
      </c>
      <c r="AI38" s="8"/>
    </row>
    <row r="39" spans="1:35" x14ac:dyDescent="0.25">
      <c r="A39" t="s">
        <v>45</v>
      </c>
      <c r="B39" s="1" t="s">
        <v>603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59.869593950000002</v>
      </c>
      <c r="N39" s="1">
        <v>4.5</v>
      </c>
      <c r="O39" s="1">
        <v>4.1564297400000001</v>
      </c>
      <c r="P39" s="1">
        <v>0.34357025999999902</v>
      </c>
      <c r="Q39" s="1">
        <v>750.5</v>
      </c>
      <c r="R39" s="1">
        <v>822.40531559999999</v>
      </c>
      <c r="S39" s="1">
        <v>-71.905315599999994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87</v>
      </c>
      <c r="AB39" s="1">
        <v>5</v>
      </c>
      <c r="AC39" s="1">
        <v>25000</v>
      </c>
      <c r="AD39">
        <v>0</v>
      </c>
      <c r="AF39" s="8" cm="1">
        <f t="array" aca="1" ref="AF39" ca="1">fScore_Total("ESPN",aCols)</f>
        <v>137.11390697500002</v>
      </c>
      <c r="AG39" s="8" cm="1">
        <f t="array" aca="1" ref="AG39" ca="1">-fScore_Total("diff",aCols)</f>
        <v>5.1291100000000061</v>
      </c>
      <c r="AH39" s="8">
        <f t="shared" ca="1" si="1"/>
        <v>142.24301697500002</v>
      </c>
      <c r="AI39" s="8"/>
    </row>
    <row r="40" spans="1:35" x14ac:dyDescent="0.25">
      <c r="A40" t="s">
        <v>46</v>
      </c>
      <c r="B40" s="1" t="s">
        <v>603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80.5</v>
      </c>
      <c r="M40" s="1">
        <v>75.299602160000006</v>
      </c>
      <c r="N40" s="1">
        <v>5.5</v>
      </c>
      <c r="O40" s="1">
        <v>3.9829925369999999</v>
      </c>
      <c r="P40" s="1">
        <v>1.5170074629999999</v>
      </c>
      <c r="Q40" s="1">
        <v>750.5</v>
      </c>
      <c r="R40" s="1">
        <v>735.89584000000002</v>
      </c>
      <c r="S40" s="1">
        <v>14.604159999999901</v>
      </c>
      <c r="T40" s="1">
        <v>5.2003978399999902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84</v>
      </c>
      <c r="AB40" s="1">
        <v>5</v>
      </c>
      <c r="AC40" s="1">
        <v>25000</v>
      </c>
      <c r="AD40">
        <v>0</v>
      </c>
      <c r="AE40" t="s">
        <v>597</v>
      </c>
      <c r="AF40" s="8" cm="1">
        <f t="array" aca="1" ref="AF40" ca="1">fScore_Total("ESPN",aCols)</f>
        <v>135.13734030200001</v>
      </c>
      <c r="AG40" s="8" cm="1">
        <f t="array" aca="1" ref="AG40" ca="1">-fScore_Total("diff",aCols)</f>
        <v>-13.162659697999985</v>
      </c>
      <c r="AH40" s="8">
        <f t="shared" ca="1" si="1"/>
        <v>121.97468060400003</v>
      </c>
      <c r="AI40" s="8"/>
    </row>
    <row r="41" spans="1:35" x14ac:dyDescent="0.25">
      <c r="A41" t="s">
        <v>47</v>
      </c>
      <c r="B41" s="1" t="s">
        <v>601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55.11509272</v>
      </c>
      <c r="N41" s="1">
        <v>5.5</v>
      </c>
      <c r="O41" s="1">
        <v>7.6207586120000004</v>
      </c>
      <c r="P41" s="1">
        <v>-2.1207586119999999</v>
      </c>
      <c r="Q41" s="1">
        <v>750.5</v>
      </c>
      <c r="R41" s="1">
        <v>843.62873149999996</v>
      </c>
      <c r="S41" s="1">
        <v>-93.128731499999901</v>
      </c>
      <c r="T41" s="1">
        <v>0</v>
      </c>
      <c r="U41" s="1">
        <v>0</v>
      </c>
      <c r="V41" s="1">
        <v>0.30349522600000001</v>
      </c>
      <c r="W41" s="1">
        <v>0</v>
      </c>
      <c r="X41" s="1">
        <v>0</v>
      </c>
      <c r="Y41" s="1">
        <v>38.080010850000001</v>
      </c>
      <c r="Z41" s="1">
        <v>0</v>
      </c>
      <c r="AA41" s="1">
        <v>94</v>
      </c>
      <c r="AB41" s="1">
        <v>4</v>
      </c>
      <c r="AC41" s="1">
        <v>15000</v>
      </c>
      <c r="AD41">
        <v>0</v>
      </c>
      <c r="AE41" t="s">
        <v>611</v>
      </c>
      <c r="AF41" s="8" cm="1">
        <f t="array" aca="1" ref="AF41" ca="1">fScore_Total("ESPN",aCols)</f>
        <v>163.27394362300001</v>
      </c>
      <c r="AG41" s="8" cm="1">
        <f t="array" aca="1" ref="AG41" ca="1">-fScore_Total("diff",aCols)</f>
        <v>22.037424821999991</v>
      </c>
      <c r="AH41" s="8">
        <f t="shared" ca="1" si="1"/>
        <v>185.311368445</v>
      </c>
      <c r="AI41" s="8"/>
    </row>
    <row r="42" spans="1:35" x14ac:dyDescent="0.25">
      <c r="A42" t="s">
        <v>48</v>
      </c>
      <c r="B42" s="1" t="s">
        <v>601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83.523048790000004</v>
      </c>
      <c r="N42" s="1">
        <v>4.5</v>
      </c>
      <c r="O42" s="1">
        <v>4.3990983320000003</v>
      </c>
      <c r="P42" s="1">
        <v>0.100901667999999</v>
      </c>
      <c r="Q42" s="1">
        <v>900.5</v>
      </c>
      <c r="R42" s="1">
        <v>951.53746960000001</v>
      </c>
      <c r="S42" s="1">
        <v>-51.037469600000001</v>
      </c>
      <c r="T42" s="1">
        <v>0</v>
      </c>
      <c r="U42" s="1">
        <v>0</v>
      </c>
      <c r="V42" s="1">
        <v>7.8538625000000001E-2</v>
      </c>
      <c r="W42" s="1">
        <v>0</v>
      </c>
      <c r="X42" s="1">
        <v>0</v>
      </c>
      <c r="Y42" s="1">
        <v>11.88468042</v>
      </c>
      <c r="Z42" s="1">
        <v>0</v>
      </c>
      <c r="AA42" s="1">
        <v>80</v>
      </c>
      <c r="AB42" s="1">
        <v>6</v>
      </c>
      <c r="AC42" s="1">
        <v>25000</v>
      </c>
      <c r="AD42">
        <v>0</v>
      </c>
      <c r="AF42" s="8" cm="1">
        <f t="array" aca="1" ref="AF42" ca="1">fScore_Total("ESPN",aCols)</f>
        <v>164.96956113900001</v>
      </c>
      <c r="AG42" s="8" cm="1">
        <f t="array" aca="1" ref="AG42" ca="1">-fScore_Total("diff",aCols)</f>
        <v>4.4983369520000061</v>
      </c>
      <c r="AH42" s="8">
        <f t="shared" ca="1" si="1"/>
        <v>169.46789809100002</v>
      </c>
      <c r="AI42" s="8"/>
    </row>
    <row r="43" spans="1:35" x14ac:dyDescent="0.25">
      <c r="A43" t="s">
        <v>49</v>
      </c>
      <c r="B43" s="1" t="s">
        <v>601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56.661382070000002</v>
      </c>
      <c r="N43" s="1">
        <v>4.5</v>
      </c>
      <c r="O43" s="1">
        <v>5.7389248909999999</v>
      </c>
      <c r="P43" s="1">
        <v>-1.2389248909999999</v>
      </c>
      <c r="Q43" s="1">
        <v>725.5</v>
      </c>
      <c r="R43" s="1">
        <v>770.03043909999997</v>
      </c>
      <c r="S43" s="1">
        <v>-44.530439099999903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116</v>
      </c>
      <c r="AB43" s="1">
        <v>2</v>
      </c>
      <c r="AC43" s="1">
        <v>15000</v>
      </c>
      <c r="AD43">
        <v>0</v>
      </c>
      <c r="AE43" t="s">
        <v>612</v>
      </c>
      <c r="AF43" s="8" cm="1">
        <f t="array" aca="1" ref="AF43" ca="1">fScore_Total("ESPN",aCols)</f>
        <v>139.76728429100001</v>
      </c>
      <c r="AG43" s="8" cm="1">
        <f t="array" aca="1" ref="AG43" ca="1">-fScore_Total("diff",aCols)</f>
        <v>11.886593255999991</v>
      </c>
      <c r="AH43" s="8">
        <f t="shared" ca="1" si="1"/>
        <v>151.65387754700001</v>
      </c>
      <c r="AI43" s="8"/>
    </row>
    <row r="44" spans="1:35" x14ac:dyDescent="0.25">
      <c r="A44" t="s">
        <v>50</v>
      </c>
      <c r="B44" s="1" t="s">
        <v>601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65.5</v>
      </c>
      <c r="M44" s="1">
        <v>70.047208319999996</v>
      </c>
      <c r="N44" s="1">
        <v>5.5</v>
      </c>
      <c r="O44" s="1">
        <v>7.2050037900000001</v>
      </c>
      <c r="P44" s="1">
        <v>-1.7050037899999999</v>
      </c>
      <c r="Q44" s="1">
        <v>875.5</v>
      </c>
      <c r="R44" s="1">
        <v>1034.0981569999999</v>
      </c>
      <c r="S44" s="1">
        <v>-158.59815699999899</v>
      </c>
      <c r="T44" s="1">
        <v>-4.5472083199999904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50</v>
      </c>
      <c r="AB44" s="1">
        <v>14</v>
      </c>
      <c r="AC44" s="1">
        <v>10000</v>
      </c>
      <c r="AD44">
        <v>0</v>
      </c>
      <c r="AE44" t="s">
        <v>613</v>
      </c>
      <c r="AF44" s="8" cm="1">
        <f t="array" aca="1" ref="AF44" ca="1">fScore_Total("ESPN",aCols)</f>
        <v>181.6634426</v>
      </c>
      <c r="AG44" s="8" cm="1">
        <f t="array" aca="1" ref="AG44" ca="1">-fScore_Total("diff",aCols)</f>
        <v>28.363442599999892</v>
      </c>
      <c r="AH44" s="8">
        <f t="shared" ca="1" si="1"/>
        <v>210.0268851999999</v>
      </c>
      <c r="AI44" s="8"/>
    </row>
    <row r="45" spans="1:35" x14ac:dyDescent="0.25">
      <c r="A45" t="s">
        <v>51</v>
      </c>
      <c r="B45" s="1" t="s">
        <v>601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73.883090999999993</v>
      </c>
      <c r="N45" s="1">
        <v>3.5</v>
      </c>
      <c r="O45" s="1">
        <v>4.5947180689999998</v>
      </c>
      <c r="P45" s="1">
        <v>-1.09471806899999</v>
      </c>
      <c r="Q45" s="1">
        <v>550.5</v>
      </c>
      <c r="R45" s="1">
        <v>706.26333499999998</v>
      </c>
      <c r="S45" s="1">
        <v>-155.76333499999899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159</v>
      </c>
      <c r="AB45" s="1">
        <v>1</v>
      </c>
      <c r="AC45" s="1">
        <v>25000</v>
      </c>
      <c r="AD45">
        <v>0</v>
      </c>
      <c r="AE45" t="s">
        <v>614</v>
      </c>
      <c r="AF45" s="8" cm="1">
        <f t="array" aca="1" ref="AF45" ca="1">fScore_Total("ESPN",aCols)</f>
        <v>135.13618741400001</v>
      </c>
      <c r="AG45" s="8" cm="1">
        <f t="array" aca="1" ref="AG45" ca="1">-fScore_Total("diff",aCols)</f>
        <v>22.144641913999841</v>
      </c>
      <c r="AH45" s="8">
        <f t="shared" ca="1" si="1"/>
        <v>157.28082932799984</v>
      </c>
      <c r="AI45" s="8"/>
    </row>
    <row r="46" spans="1:35" x14ac:dyDescent="0.25">
      <c r="A46" t="s">
        <v>498</v>
      </c>
      <c r="B46" s="1" t="s">
        <v>601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31.78767264</v>
      </c>
      <c r="N46" s="1">
        <v>2.5</v>
      </c>
      <c r="O46" s="1">
        <v>3.4779033269999999</v>
      </c>
      <c r="P46" s="1">
        <v>-0.97790332699999905</v>
      </c>
      <c r="Q46" s="1">
        <v>400.5</v>
      </c>
      <c r="R46" s="1">
        <v>462.78669389999999</v>
      </c>
      <c r="S46" s="1">
        <v>-62.286693899999896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323</v>
      </c>
      <c r="AB46" s="1">
        <v>0</v>
      </c>
      <c r="AC46" s="1">
        <v>25000</v>
      </c>
      <c r="AD46">
        <v>0</v>
      </c>
      <c r="AE46" t="s">
        <v>654</v>
      </c>
      <c r="AF46" s="8" cm="1">
        <f t="array" aca="1" ref="AF46" ca="1">fScore_Total("ESPN",aCols)</f>
        <v>83.03992567200001</v>
      </c>
      <c r="AG46" s="8" cm="1">
        <f t="array" aca="1" ref="AG46" ca="1">-fScore_Total("diff",aCols)</f>
        <v>12.096089351999984</v>
      </c>
      <c r="AH46" s="8">
        <f t="shared" ca="1" si="1"/>
        <v>95.136015023999988</v>
      </c>
      <c r="AI46" s="8"/>
    </row>
    <row r="47" spans="1:35" x14ac:dyDescent="0.25">
      <c r="A47" t="s">
        <v>52</v>
      </c>
      <c r="B47" s="1" t="s">
        <v>601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71.5</v>
      </c>
      <c r="M47" s="1">
        <v>84.531086070000001</v>
      </c>
      <c r="N47" s="1">
        <v>4.5</v>
      </c>
      <c r="O47" s="1">
        <v>4.7981864979999997</v>
      </c>
      <c r="P47" s="1">
        <v>-0.29818649799999902</v>
      </c>
      <c r="Q47" s="1">
        <v>825.5</v>
      </c>
      <c r="R47" s="1">
        <v>883.03754160000005</v>
      </c>
      <c r="S47" s="1">
        <v>-57.537541599999997</v>
      </c>
      <c r="T47" s="1">
        <v>-13.031086070000001</v>
      </c>
      <c r="U47" s="1">
        <v>0</v>
      </c>
      <c r="V47" s="1">
        <v>9.3817965000000003E-2</v>
      </c>
      <c r="W47" s="1">
        <v>0</v>
      </c>
      <c r="X47" s="1">
        <v>0</v>
      </c>
      <c r="Y47" s="1">
        <v>12.44891704</v>
      </c>
      <c r="Z47" s="1">
        <v>0</v>
      </c>
      <c r="AA47" s="1">
        <v>78</v>
      </c>
      <c r="AB47" s="1">
        <v>6</v>
      </c>
      <c r="AC47" s="1">
        <v>10000</v>
      </c>
      <c r="AD47">
        <v>0</v>
      </c>
      <c r="AE47" t="s">
        <v>615</v>
      </c>
      <c r="AF47" s="8" cm="1">
        <f t="array" aca="1" ref="AF47" ca="1">fScore_Total("ESPN",aCols)</f>
        <v>161.166215677</v>
      </c>
      <c r="AG47" s="8" cm="1">
        <f t="array" aca="1" ref="AG47" ca="1">-fScore_Total("diff",aCols)</f>
        <v>14.058416182999995</v>
      </c>
      <c r="AH47" s="8">
        <f t="shared" ca="1" si="1"/>
        <v>175.22463185999999</v>
      </c>
      <c r="AI47" s="8"/>
    </row>
    <row r="48" spans="1:35" x14ac:dyDescent="0.25">
      <c r="A48" t="s">
        <v>53</v>
      </c>
      <c r="B48" s="1" t="s">
        <v>601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62.5</v>
      </c>
      <c r="M48" s="1">
        <v>62.206034729999999</v>
      </c>
      <c r="N48" s="1">
        <v>5.5</v>
      </c>
      <c r="O48" s="1">
        <v>5.6212690380000003</v>
      </c>
      <c r="P48" s="1">
        <v>-0.121269038</v>
      </c>
      <c r="Q48" s="1">
        <v>800.5</v>
      </c>
      <c r="R48" s="1">
        <v>922.9270798</v>
      </c>
      <c r="S48" s="1">
        <v>-122.4270798</v>
      </c>
      <c r="T48" s="1">
        <v>0.293965270000001</v>
      </c>
      <c r="U48" s="1">
        <v>0</v>
      </c>
      <c r="V48" s="1">
        <v>2.8024818269999998</v>
      </c>
      <c r="W48" s="1">
        <v>0</v>
      </c>
      <c r="X48" s="1">
        <v>0</v>
      </c>
      <c r="Y48" s="1">
        <v>164.6336392</v>
      </c>
      <c r="Z48" s="1">
        <v>0</v>
      </c>
      <c r="AA48" s="1">
        <v>32</v>
      </c>
      <c r="AB48" s="1">
        <v>25</v>
      </c>
      <c r="AC48" s="1">
        <v>5000</v>
      </c>
      <c r="AD48">
        <v>0</v>
      </c>
      <c r="AE48" t="s">
        <v>616</v>
      </c>
      <c r="AF48" s="8" cm="1">
        <f t="array" aca="1" ref="AF48" ca="1">fScore_Total("ESPN",aCols)</f>
        <v>190.40159445500001</v>
      </c>
      <c r="AG48" s="8" cm="1">
        <f t="array" aca="1" ref="AG48" ca="1">-fScore_Total("diff",aCols)</f>
        <v>12.823339573</v>
      </c>
      <c r="AH48" s="8">
        <f t="shared" ca="1" si="1"/>
        <v>203.22493402800001</v>
      </c>
      <c r="AI48" s="8"/>
    </row>
    <row r="49" spans="1:35" x14ac:dyDescent="0.25">
      <c r="A49" t="s">
        <v>54</v>
      </c>
      <c r="B49" s="1" t="s">
        <v>603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59.5</v>
      </c>
      <c r="M49" s="1">
        <v>62.798027699999999</v>
      </c>
      <c r="N49" s="1">
        <v>5.5</v>
      </c>
      <c r="O49" s="1">
        <v>4.6801686150000004</v>
      </c>
      <c r="P49" s="1">
        <v>0.81983138499999897</v>
      </c>
      <c r="Q49" s="1">
        <v>750.5</v>
      </c>
      <c r="R49" s="1">
        <v>845.04497819999995</v>
      </c>
      <c r="S49" s="1">
        <v>-94.544978199999903</v>
      </c>
      <c r="T49" s="1">
        <v>-3.2980276999999898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83</v>
      </c>
      <c r="AB49" s="1">
        <v>6</v>
      </c>
      <c r="AC49" s="1">
        <v>15000</v>
      </c>
      <c r="AD49">
        <v>0</v>
      </c>
      <c r="AF49" s="8" cm="1">
        <f t="array" aca="1" ref="AF49" ca="1">fScore_Total("ESPN",aCols)</f>
        <v>143.98452336</v>
      </c>
      <c r="AG49" s="8" cm="1">
        <f t="array" aca="1" ref="AG49" ca="1">-fScore_Total("diff",aCols)</f>
        <v>6.184523359999992</v>
      </c>
      <c r="AH49" s="8">
        <f t="shared" ca="1" si="1"/>
        <v>150.16904671999998</v>
      </c>
      <c r="AI49" s="8"/>
    </row>
    <row r="50" spans="1:35" x14ac:dyDescent="0.25">
      <c r="A50" t="s">
        <v>55</v>
      </c>
      <c r="B50" s="1" t="s">
        <v>601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65.5</v>
      </c>
      <c r="M50" s="1">
        <v>73.278995230000007</v>
      </c>
      <c r="N50" s="1">
        <v>5.5</v>
      </c>
      <c r="O50" s="1">
        <v>5.4252659980000004</v>
      </c>
      <c r="P50" s="1">
        <v>7.4734001999999494E-2</v>
      </c>
      <c r="Q50" s="1">
        <v>950.5</v>
      </c>
      <c r="R50" s="1">
        <v>1042.626976</v>
      </c>
      <c r="S50" s="1">
        <v>-92.126975999999999</v>
      </c>
      <c r="T50" s="1">
        <v>-7.7789952299999996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59</v>
      </c>
      <c r="AB50" s="1">
        <v>10</v>
      </c>
      <c r="AC50" s="1">
        <v>10000</v>
      </c>
      <c r="AD50">
        <v>0</v>
      </c>
      <c r="AE50" t="s">
        <v>617</v>
      </c>
      <c r="AF50" s="8" cm="1">
        <f t="array" aca="1" ref="AF50" ca="1">fScore_Total("ESPN",aCols)</f>
        <v>173.45379120300004</v>
      </c>
      <c r="AG50" s="8" cm="1">
        <f t="array" aca="1" ref="AG50" ca="1">-fScore_Total("diff",aCols)</f>
        <v>12.653791203000003</v>
      </c>
      <c r="AH50" s="8">
        <f t="shared" ca="1" si="1"/>
        <v>186.10758240600003</v>
      </c>
      <c r="AI50" s="8"/>
    </row>
    <row r="51" spans="1:35" x14ac:dyDescent="0.25">
      <c r="A51" t="s">
        <v>56</v>
      </c>
      <c r="B51" s="1" t="s">
        <v>603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53.286481340000002</v>
      </c>
      <c r="N51" s="1">
        <v>3.5</v>
      </c>
      <c r="O51" s="1">
        <v>4.2209905860000001</v>
      </c>
      <c r="P51" s="1">
        <v>-0.72099058599999999</v>
      </c>
      <c r="Q51" s="1">
        <v>550.5</v>
      </c>
      <c r="R51" s="1">
        <v>539.13307689999999</v>
      </c>
      <c r="S51" s="1">
        <v>11.366923099999999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173</v>
      </c>
      <c r="AB51" s="1">
        <v>1</v>
      </c>
      <c r="AC51" s="1">
        <v>25000</v>
      </c>
      <c r="AD51">
        <v>0</v>
      </c>
      <c r="AF51" s="8" cm="1">
        <f t="array" aca="1" ref="AF51" ca="1">fScore_Total("ESPN",aCols)</f>
        <v>105.88249187600002</v>
      </c>
      <c r="AG51" s="8" cm="1">
        <f t="array" aca="1" ref="AG51" ca="1">-fScore_Total("diff",aCols)</f>
        <v>3.1892512059999998</v>
      </c>
      <c r="AH51" s="8">
        <f t="shared" ca="1" si="1"/>
        <v>109.07174308200001</v>
      </c>
      <c r="AI51" s="8"/>
    </row>
    <row r="52" spans="1:35" x14ac:dyDescent="0.25">
      <c r="A52" t="s">
        <v>57</v>
      </c>
      <c r="B52" s="1" t="s">
        <v>601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60.5</v>
      </c>
      <c r="M52" s="1">
        <v>70.935799020000005</v>
      </c>
      <c r="N52" s="1">
        <v>5.5</v>
      </c>
      <c r="O52" s="1">
        <v>4.9215873630000004</v>
      </c>
      <c r="P52" s="1">
        <v>0.57841263699999901</v>
      </c>
      <c r="Q52" s="1">
        <v>800.5</v>
      </c>
      <c r="R52" s="1">
        <v>897.13565949999997</v>
      </c>
      <c r="S52" s="1">
        <v>-96.635659499999903</v>
      </c>
      <c r="T52" s="1">
        <v>-10.435799019999999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93</v>
      </c>
      <c r="AB52" s="1">
        <v>4</v>
      </c>
      <c r="AC52" s="1">
        <v>15000</v>
      </c>
      <c r="AD52">
        <v>0</v>
      </c>
      <c r="AE52" t="s">
        <v>622</v>
      </c>
      <c r="AF52" s="8" cm="1">
        <f t="array" aca="1" ref="AF52" ca="1">fScore_Total("ESPN",aCols)</f>
        <v>154.710989638</v>
      </c>
      <c r="AG52" s="8" cm="1">
        <f t="array" aca="1" ref="AG52" ca="1">-fScore_Total("diff",aCols)</f>
        <v>11.410989637999997</v>
      </c>
      <c r="AH52" s="8">
        <f t="shared" ca="1" si="1"/>
        <v>166.12197927599999</v>
      </c>
      <c r="AI52" s="8"/>
    </row>
    <row r="53" spans="1:35" x14ac:dyDescent="0.25">
      <c r="A53" t="s">
        <v>58</v>
      </c>
      <c r="B53" s="1" t="s">
        <v>601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60.273728140000003</v>
      </c>
      <c r="N53" s="1">
        <v>0</v>
      </c>
      <c r="O53" s="1">
        <v>4.3648691939999997</v>
      </c>
      <c r="P53" s="1">
        <v>0</v>
      </c>
      <c r="Q53" s="1">
        <v>700.5</v>
      </c>
      <c r="R53" s="1">
        <v>723.94340820000002</v>
      </c>
      <c r="S53" s="1">
        <v>-23.4434082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190</v>
      </c>
      <c r="AB53" s="1">
        <v>1</v>
      </c>
      <c r="AC53" s="1">
        <v>0</v>
      </c>
      <c r="AD53">
        <v>0</v>
      </c>
      <c r="AF53" s="8" cm="1">
        <f t="array" aca="1" ref="AF53" ca="1">fScore_Total("ESPN",aCols)</f>
        <v>128.72042005400002</v>
      </c>
      <c r="AG53" s="8" cm="1">
        <f t="array" aca="1" ref="AG53" ca="1">-fScore_Total("diff",aCols)</f>
        <v>2.3443408200000002</v>
      </c>
      <c r="AH53" s="8">
        <f t="shared" ca="1" si="1"/>
        <v>131.06476087400003</v>
      </c>
      <c r="AI53" s="8"/>
    </row>
    <row r="54" spans="1:35" x14ac:dyDescent="0.25">
      <c r="A54" t="s">
        <v>59</v>
      </c>
      <c r="B54" s="1" t="s">
        <v>601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74.5</v>
      </c>
      <c r="M54" s="1">
        <v>80.63119485</v>
      </c>
      <c r="N54" s="1">
        <v>5.5</v>
      </c>
      <c r="O54" s="1">
        <v>4.6979895789999997</v>
      </c>
      <c r="P54" s="1">
        <v>0.80201042099999997</v>
      </c>
      <c r="Q54" s="1">
        <v>1000.5</v>
      </c>
      <c r="R54" s="1">
        <v>1057.4176829999999</v>
      </c>
      <c r="S54" s="1">
        <v>-56.917682999999897</v>
      </c>
      <c r="T54" s="1">
        <v>-6.13119485</v>
      </c>
      <c r="U54" s="1">
        <v>0</v>
      </c>
      <c r="V54" s="1">
        <v>0.23920513900000001</v>
      </c>
      <c r="W54" s="1">
        <v>0</v>
      </c>
      <c r="X54" s="1">
        <v>0</v>
      </c>
      <c r="Y54" s="1">
        <v>24.954042619999999</v>
      </c>
      <c r="Z54" s="1">
        <v>0</v>
      </c>
      <c r="AA54" s="1">
        <v>46</v>
      </c>
      <c r="AB54" s="1">
        <v>17</v>
      </c>
      <c r="AC54" s="1">
        <v>12000</v>
      </c>
      <c r="AD54">
        <v>0</v>
      </c>
      <c r="AF54" s="8" cm="1">
        <f t="array" aca="1" ref="AF54" ca="1">fScore_Total("ESPN",aCols)</f>
        <v>178.17593829499998</v>
      </c>
      <c r="AG54" s="8" cm="1">
        <f t="array" aca="1" ref="AG54" ca="1">-fScore_Total("diff",aCols)</f>
        <v>3.9453031989999898</v>
      </c>
      <c r="AH54" s="8">
        <f t="shared" ca="1" si="1"/>
        <v>182.12124149399997</v>
      </c>
      <c r="AI54" s="8"/>
    </row>
    <row r="55" spans="1:35" x14ac:dyDescent="0.25">
      <c r="A55" t="s">
        <v>60</v>
      </c>
      <c r="B55" s="1" t="s">
        <v>601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82.5</v>
      </c>
      <c r="M55" s="1">
        <v>86.507818</v>
      </c>
      <c r="N55" s="1">
        <v>5.5</v>
      </c>
      <c r="O55" s="1">
        <v>5.5636605259999996</v>
      </c>
      <c r="P55" s="1">
        <v>-6.3660525999999606E-2</v>
      </c>
      <c r="Q55" s="1">
        <v>1025.5</v>
      </c>
      <c r="R55" s="1">
        <v>1262.135888</v>
      </c>
      <c r="S55" s="1">
        <v>-236.63588799999999</v>
      </c>
      <c r="T55" s="1">
        <v>-4.0078180000000003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18</v>
      </c>
      <c r="AB55" s="1">
        <v>37</v>
      </c>
      <c r="AC55" s="1">
        <v>10000</v>
      </c>
      <c r="AD55">
        <v>0</v>
      </c>
      <c r="AE55" t="s">
        <v>618</v>
      </c>
      <c r="AF55" s="8" cm="1">
        <f t="array" aca="1" ref="AF55" ca="1">fScore_Total("ESPN",aCols)</f>
        <v>202.84946095600003</v>
      </c>
      <c r="AG55" s="8" cm="1">
        <f t="array" aca="1" ref="AG55" ca="1">-fScore_Total("diff",aCols)</f>
        <v>26.049460955999997</v>
      </c>
      <c r="AH55" s="8">
        <f t="shared" ca="1" si="1"/>
        <v>228.89892191200002</v>
      </c>
      <c r="AI55" s="8"/>
    </row>
    <row r="56" spans="1:35" x14ac:dyDescent="0.25">
      <c r="A56" t="s">
        <v>61</v>
      </c>
      <c r="B56" s="1" t="s">
        <v>601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72.5</v>
      </c>
      <c r="M56" s="1">
        <v>77.612166189999996</v>
      </c>
      <c r="N56" s="1">
        <v>5.5</v>
      </c>
      <c r="O56" s="1">
        <v>7.479964431</v>
      </c>
      <c r="P56" s="1">
        <v>-1.979964431</v>
      </c>
      <c r="Q56" s="1">
        <v>1050.5</v>
      </c>
      <c r="R56" s="1">
        <v>1058.9053739999999</v>
      </c>
      <c r="S56" s="1">
        <v>-8.4053739999999308</v>
      </c>
      <c r="T56" s="1">
        <v>-5.1121661899999902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26</v>
      </c>
      <c r="AB56" s="1">
        <v>30</v>
      </c>
      <c r="AC56" s="1">
        <v>6500</v>
      </c>
      <c r="AD56">
        <v>0</v>
      </c>
      <c r="AE56" t="s">
        <v>612</v>
      </c>
      <c r="AF56" s="8" cm="1">
        <f t="array" aca="1" ref="AF56" ca="1">fScore_Total("ESPN",aCols)</f>
        <v>189.57640708100001</v>
      </c>
      <c r="AG56" s="8" cm="1">
        <f t="array" aca="1" ref="AG56" ca="1">-fScore_Total("diff",aCols)</f>
        <v>15.276407080999988</v>
      </c>
      <c r="AH56" s="8">
        <f t="shared" ca="1" si="1"/>
        <v>204.85281416200002</v>
      </c>
      <c r="AI56" s="8"/>
    </row>
    <row r="57" spans="1:35" x14ac:dyDescent="0.25">
      <c r="A57" t="s">
        <v>491</v>
      </c>
      <c r="B57" s="1" t="s">
        <v>601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87.5</v>
      </c>
      <c r="M57" s="1">
        <v>89.655627789999997</v>
      </c>
      <c r="N57" s="1">
        <v>8.5</v>
      </c>
      <c r="O57" s="1">
        <v>7.6329215079999999</v>
      </c>
      <c r="P57" s="1">
        <v>0.86707849199999998</v>
      </c>
      <c r="Q57" s="1">
        <v>1250.5</v>
      </c>
      <c r="R57" s="1">
        <v>1251.3897899999999</v>
      </c>
      <c r="S57" s="1">
        <v>-0.88978999999994801</v>
      </c>
      <c r="T57" s="1">
        <v>-2.1556277899999898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11</v>
      </c>
      <c r="AB57" s="1">
        <v>48</v>
      </c>
      <c r="AC57" s="1">
        <v>3500</v>
      </c>
      <c r="AD57">
        <v>0</v>
      </c>
      <c r="AF57" s="8" cm="1">
        <f t="array" aca="1" ref="AF57" ca="1">fScore_Total("ESPN",aCols)</f>
        <v>215.764321943</v>
      </c>
      <c r="AG57" s="8" cm="1">
        <f t="array" aca="1" ref="AG57" ca="1">-fScore_Total("diff",aCols)</f>
        <v>-4.0356780570000099</v>
      </c>
      <c r="AH57" s="8">
        <f t="shared" ca="1" si="1"/>
        <v>211.72864388599999</v>
      </c>
      <c r="AI57" s="8"/>
    </row>
    <row r="58" spans="1:35" x14ac:dyDescent="0.25">
      <c r="A58" t="s">
        <v>499</v>
      </c>
      <c r="B58" s="1" t="s">
        <v>601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82.5</v>
      </c>
      <c r="M58" s="1">
        <v>82.413330770000002</v>
      </c>
      <c r="N58" s="1">
        <v>6.5</v>
      </c>
      <c r="O58" s="1">
        <v>5.7473256599999996</v>
      </c>
      <c r="P58" s="1">
        <v>0.75267434</v>
      </c>
      <c r="Q58" s="1">
        <v>1000.5</v>
      </c>
      <c r="R58" s="1">
        <v>1117.879829</v>
      </c>
      <c r="S58" s="1">
        <v>-117.37982899999901</v>
      </c>
      <c r="T58" s="1">
        <v>8.6669229999998196E-2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22</v>
      </c>
      <c r="AB58" s="1">
        <v>33</v>
      </c>
      <c r="AC58" s="1">
        <v>12000</v>
      </c>
      <c r="AD58">
        <v>650</v>
      </c>
      <c r="AF58" s="8" cm="1">
        <f t="array" aca="1" ref="AF58" ca="1">fScore_Total("ESPN",aCols)</f>
        <v>187.47860224499999</v>
      </c>
      <c r="AG58" s="8" cm="1">
        <f t="array" aca="1" ref="AG58" ca="1">-fScore_Total("diff",aCols)</f>
        <v>7.1786022449999018</v>
      </c>
      <c r="AH58" s="8">
        <f t="shared" ca="1" si="1"/>
        <v>194.65720448999988</v>
      </c>
      <c r="AI58" s="8"/>
    </row>
    <row r="59" spans="1:35" x14ac:dyDescent="0.25">
      <c r="A59" t="s">
        <v>62</v>
      </c>
      <c r="B59" s="1" t="s">
        <v>601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72.5</v>
      </c>
      <c r="M59" s="1">
        <v>78.422828060000001</v>
      </c>
      <c r="N59" s="1">
        <v>5.5</v>
      </c>
      <c r="O59" s="1">
        <v>5.5390881690000002</v>
      </c>
      <c r="P59" s="1">
        <v>-3.90881690000002E-2</v>
      </c>
      <c r="Q59" s="1">
        <v>925.5</v>
      </c>
      <c r="R59" s="1">
        <v>970.89924029999997</v>
      </c>
      <c r="S59" s="1">
        <v>-45.399240299999903</v>
      </c>
      <c r="T59" s="1">
        <v>-5.9228280599999996</v>
      </c>
      <c r="U59" s="1">
        <v>0</v>
      </c>
      <c r="V59" s="1">
        <v>0.50671851700000003</v>
      </c>
      <c r="W59" s="1">
        <v>0</v>
      </c>
      <c r="X59" s="1">
        <v>0</v>
      </c>
      <c r="Y59" s="1">
        <v>55.396322230000003</v>
      </c>
      <c r="Z59" s="1">
        <v>0</v>
      </c>
      <c r="AA59" s="1">
        <v>49</v>
      </c>
      <c r="AB59" s="1">
        <v>15</v>
      </c>
      <c r="AC59" s="1">
        <v>15000</v>
      </c>
      <c r="AD59">
        <v>0</v>
      </c>
      <c r="AF59" s="8" cm="1">
        <f t="array" aca="1" ref="AF59" ca="1">fScore_Total("ESPN",aCols)</f>
        <v>178.11581039900003</v>
      </c>
      <c r="AG59" s="8" cm="1">
        <f t="array" aca="1" ref="AG59" ca="1">-fScore_Total("diff",aCols)</f>
        <v>7.7358670739999909</v>
      </c>
      <c r="AH59" s="8">
        <f t="shared" ca="1" si="1"/>
        <v>185.85167747300002</v>
      </c>
      <c r="AI59" s="8"/>
    </row>
    <row r="60" spans="1:35" x14ac:dyDescent="0.25">
      <c r="A60" t="s">
        <v>63</v>
      </c>
      <c r="B60" s="1" t="s">
        <v>601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90.5</v>
      </c>
      <c r="M60" s="1">
        <v>80.499802939999995</v>
      </c>
      <c r="N60" s="1">
        <v>7.5</v>
      </c>
      <c r="O60" s="1">
        <v>9.0647368480000008</v>
      </c>
      <c r="P60" s="1">
        <v>-1.5647368479999999</v>
      </c>
      <c r="Q60" s="1">
        <v>1125.5</v>
      </c>
      <c r="R60" s="1">
        <v>1139.9145249999999</v>
      </c>
      <c r="S60" s="1">
        <v>-14.4145249999999</v>
      </c>
      <c r="T60" s="1">
        <v>10.00019706</v>
      </c>
      <c r="U60" s="1">
        <v>0</v>
      </c>
      <c r="V60" s="1">
        <v>0.198401045</v>
      </c>
      <c r="W60" s="1">
        <v>0</v>
      </c>
      <c r="X60" s="1">
        <v>0</v>
      </c>
      <c r="Y60" s="1">
        <v>23.69025066</v>
      </c>
      <c r="Z60" s="1">
        <v>0</v>
      </c>
      <c r="AA60" s="1">
        <v>13</v>
      </c>
      <c r="AB60" s="1">
        <v>45</v>
      </c>
      <c r="AC60" s="1">
        <v>3000</v>
      </c>
      <c r="AD60">
        <v>0</v>
      </c>
      <c r="AF60" s="8" cm="1">
        <f t="array" aca="1" ref="AF60" ca="1">fScore_Total("ESPN",aCols)</f>
        <v>212.18920639400002</v>
      </c>
      <c r="AG60" s="8" cm="1">
        <f t="array" aca="1" ref="AG60" ca="1">-fScore_Total("diff",aCols)</f>
        <v>5.8297750579999894</v>
      </c>
      <c r="AH60" s="8">
        <f t="shared" ca="1" si="1"/>
        <v>218.01898145200002</v>
      </c>
      <c r="AI60" s="8"/>
    </row>
    <row r="61" spans="1:35" x14ac:dyDescent="0.25">
      <c r="A61" t="s">
        <v>64</v>
      </c>
      <c r="B61" s="1" t="s">
        <v>601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97.5</v>
      </c>
      <c r="M61" s="1">
        <v>105.6896003</v>
      </c>
      <c r="N61" s="1">
        <v>9.5</v>
      </c>
      <c r="O61" s="1">
        <v>7.6333667070000004</v>
      </c>
      <c r="P61" s="1">
        <v>1.86663329299999</v>
      </c>
      <c r="Q61" s="1">
        <v>1375.5</v>
      </c>
      <c r="R61" s="1">
        <v>1422.6027919999999</v>
      </c>
      <c r="S61" s="1">
        <v>-47.102791999999901</v>
      </c>
      <c r="T61" s="1">
        <v>-8.1896002999999897</v>
      </c>
      <c r="U61" s="1">
        <v>0</v>
      </c>
      <c r="V61" s="1">
        <v>0.26532124400000001</v>
      </c>
      <c r="W61" s="1">
        <v>0</v>
      </c>
      <c r="X61" s="1">
        <v>0</v>
      </c>
      <c r="Y61" s="1">
        <v>25.000999400000001</v>
      </c>
      <c r="Z61" s="1">
        <v>0</v>
      </c>
      <c r="AA61" s="1">
        <v>5</v>
      </c>
      <c r="AB61" s="1">
        <v>54</v>
      </c>
      <c r="AC61" s="1">
        <v>700</v>
      </c>
      <c r="AD61">
        <v>0</v>
      </c>
      <c r="AF61" s="8" cm="1">
        <f t="array" aca="1" ref="AF61" ca="1">fScore_Total("ESPN",aCols)</f>
        <v>244.99730699600002</v>
      </c>
      <c r="AG61" s="8" cm="1">
        <f t="array" aca="1" ref="AG61" ca="1">-fScore_Total("diff",aCols)</f>
        <v>-2.3947204079999551</v>
      </c>
      <c r="AH61" s="8">
        <f t="shared" ca="1" si="1"/>
        <v>242.60258658800007</v>
      </c>
      <c r="AI61" s="8"/>
    </row>
    <row r="62" spans="1:35" x14ac:dyDescent="0.25">
      <c r="A62" t="s">
        <v>65</v>
      </c>
      <c r="B62" s="1" t="s">
        <v>601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74.5</v>
      </c>
      <c r="M62" s="1">
        <v>86.437541949999996</v>
      </c>
      <c r="N62" s="1">
        <v>5.5</v>
      </c>
      <c r="O62" s="1">
        <v>5.7070064670000002</v>
      </c>
      <c r="P62" s="1">
        <v>-0.207006467</v>
      </c>
      <c r="Q62" s="1">
        <v>900.5</v>
      </c>
      <c r="R62" s="1">
        <v>1040.3394539999999</v>
      </c>
      <c r="S62" s="1">
        <v>-139.83945399999899</v>
      </c>
      <c r="T62" s="1">
        <v>-11.9375419499999</v>
      </c>
      <c r="U62" s="1">
        <v>0</v>
      </c>
      <c r="V62" s="1">
        <v>7.8172376000000002E-2</v>
      </c>
      <c r="W62" s="1">
        <v>0</v>
      </c>
      <c r="X62" s="1">
        <v>0</v>
      </c>
      <c r="Y62" s="1">
        <v>11.798531090000001</v>
      </c>
      <c r="Z62" s="1">
        <v>0</v>
      </c>
      <c r="AA62" s="1">
        <v>45</v>
      </c>
      <c r="AB62" s="1">
        <v>18</v>
      </c>
      <c r="AC62" s="1">
        <v>7500</v>
      </c>
      <c r="AD62">
        <v>0</v>
      </c>
      <c r="AE62" t="s">
        <v>619</v>
      </c>
      <c r="AF62" s="8" cm="1">
        <f t="array" aca="1" ref="AF62" ca="1">fScore_Total("ESPN",aCols)</f>
        <v>183.14364254199998</v>
      </c>
      <c r="AG62" s="8" cm="1">
        <f t="array" aca="1" ref="AG62" ca="1">-fScore_Total("diff",aCols)</f>
        <v>21.194755176999848</v>
      </c>
      <c r="AH62" s="8">
        <f t="shared" ca="1" si="1"/>
        <v>204.33839771899983</v>
      </c>
      <c r="AI62" s="8"/>
    </row>
    <row r="63" spans="1:35" x14ac:dyDescent="0.25">
      <c r="A63" t="s">
        <v>66</v>
      </c>
      <c r="B63" s="1" t="s">
        <v>601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94.5</v>
      </c>
      <c r="M63" s="1">
        <v>105.6617758</v>
      </c>
      <c r="N63" s="1">
        <v>7.5</v>
      </c>
      <c r="O63" s="1">
        <v>6.6181234</v>
      </c>
      <c r="P63" s="1">
        <v>0.88187660000000001</v>
      </c>
      <c r="Q63" s="1">
        <v>1300.5</v>
      </c>
      <c r="R63" s="1">
        <v>1354.472698</v>
      </c>
      <c r="S63" s="1">
        <v>-53.972698000000001</v>
      </c>
      <c r="T63" s="1">
        <v>-11.161775799999999</v>
      </c>
      <c r="U63" s="1">
        <v>0</v>
      </c>
      <c r="V63" s="1">
        <v>9.6852292000000006E-2</v>
      </c>
      <c r="W63" s="1">
        <v>0</v>
      </c>
      <c r="X63" s="1">
        <v>0</v>
      </c>
      <c r="Y63" s="1">
        <v>10.25313618</v>
      </c>
      <c r="Z63" s="1">
        <v>0</v>
      </c>
      <c r="AA63" s="1">
        <v>8</v>
      </c>
      <c r="AB63" s="1">
        <v>52</v>
      </c>
      <c r="AC63" s="1">
        <v>1300</v>
      </c>
      <c r="AD63">
        <v>0</v>
      </c>
      <c r="AF63" s="8" cm="1">
        <f t="array" aca="1" ref="AF63" ca="1">fScore_Total("ESPN",aCols)</f>
        <v>229.59332547000002</v>
      </c>
      <c r="AG63" s="8" cm="1">
        <f t="array" aca="1" ref="AG63" ca="1">-fScore_Total("diff",aCols)</f>
        <v>5.6868980999999996</v>
      </c>
      <c r="AH63" s="8">
        <f t="shared" ca="1" si="1"/>
        <v>235.28022357000003</v>
      </c>
      <c r="AI63" s="8"/>
    </row>
    <row r="64" spans="1:35" x14ac:dyDescent="0.25">
      <c r="A64" t="s">
        <v>67</v>
      </c>
      <c r="B64" s="1" t="s">
        <v>601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59.751374570000003</v>
      </c>
      <c r="N64" s="1">
        <v>4.5</v>
      </c>
      <c r="O64" s="1">
        <v>5.552084443</v>
      </c>
      <c r="P64" s="1">
        <v>-1.052084443</v>
      </c>
      <c r="Q64" s="1">
        <v>675.5</v>
      </c>
      <c r="R64" s="1">
        <v>804.61142110000003</v>
      </c>
      <c r="S64" s="1">
        <v>-129.1114211</v>
      </c>
      <c r="T64" s="1">
        <v>0</v>
      </c>
      <c r="U64" s="1">
        <v>0</v>
      </c>
      <c r="V64" s="1">
        <v>9.6404206000000006E-2</v>
      </c>
      <c r="W64" s="1">
        <v>0</v>
      </c>
      <c r="X64" s="1">
        <v>0</v>
      </c>
      <c r="Y64" s="1">
        <v>12.85370477</v>
      </c>
      <c r="Z64" s="1">
        <v>0</v>
      </c>
      <c r="AA64" s="1">
        <v>99</v>
      </c>
      <c r="AB64" s="1">
        <v>4</v>
      </c>
      <c r="AC64" s="1">
        <v>20000</v>
      </c>
      <c r="AD64">
        <v>7000</v>
      </c>
      <c r="AE64" t="s">
        <v>620</v>
      </c>
      <c r="AF64" s="8" cm="1">
        <f t="array" aca="1" ref="AF64" ca="1">fScore_Total("ESPN",aCols)</f>
        <v>145.51313176599999</v>
      </c>
      <c r="AG64" s="8" cm="1">
        <f t="array" aca="1" ref="AG64" ca="1">-fScore_Total("diff",aCols)</f>
        <v>19.223648768</v>
      </c>
      <c r="AH64" s="8">
        <f t="shared" ca="1" si="1"/>
        <v>164.73678053399999</v>
      </c>
      <c r="AI64" s="8"/>
    </row>
    <row r="65" spans="1:35" x14ac:dyDescent="0.25">
      <c r="A65" t="s">
        <v>68</v>
      </c>
      <c r="B65" s="1" t="s">
        <v>603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82.5</v>
      </c>
      <c r="M65" s="1">
        <v>84.156096210000001</v>
      </c>
      <c r="N65" s="1">
        <v>7.5</v>
      </c>
      <c r="O65" s="1">
        <v>6.600248251</v>
      </c>
      <c r="P65" s="1">
        <v>0.89975174899999999</v>
      </c>
      <c r="Q65" s="1">
        <v>850.5</v>
      </c>
      <c r="R65" s="1">
        <v>859.86470959999997</v>
      </c>
      <c r="S65" s="1">
        <v>-9.3647095999999692</v>
      </c>
      <c r="T65" s="1">
        <v>-1.6560962100000001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37</v>
      </c>
      <c r="AB65" s="1">
        <v>22</v>
      </c>
      <c r="AC65" s="1">
        <v>15000</v>
      </c>
      <c r="AD65">
        <v>0</v>
      </c>
      <c r="AF65" s="8" cm="1">
        <f t="array" aca="1" ref="AF65" ca="1">fScore_Total("ESPN",aCols)</f>
        <v>167.66600857100002</v>
      </c>
      <c r="AG65" s="8" cm="1">
        <f t="array" aca="1" ref="AG65" ca="1">-fScore_Total("diff",aCols)</f>
        <v>-3.6339914290000035</v>
      </c>
      <c r="AH65" s="8">
        <f t="shared" ca="1" si="1"/>
        <v>164.03201714200003</v>
      </c>
      <c r="AI65" s="8"/>
    </row>
    <row r="66" spans="1:35" x14ac:dyDescent="0.25">
      <c r="A66" t="s">
        <v>473</v>
      </c>
      <c r="B66" s="1" t="s">
        <v>601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72.5</v>
      </c>
      <c r="M66" s="1">
        <v>83.842758119999999</v>
      </c>
      <c r="N66" s="1">
        <v>6.5</v>
      </c>
      <c r="O66" s="1">
        <v>6.3259831809999998</v>
      </c>
      <c r="P66" s="1">
        <v>0.17401681899999999</v>
      </c>
      <c r="Q66" s="1">
        <v>975.5</v>
      </c>
      <c r="R66" s="1">
        <v>1039.884755</v>
      </c>
      <c r="S66" s="1">
        <v>-64.384754999999998</v>
      </c>
      <c r="T66" s="1">
        <v>-11.342758119999999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44</v>
      </c>
      <c r="AB66" s="1">
        <v>19</v>
      </c>
      <c r="AC66" s="1">
        <v>12000</v>
      </c>
      <c r="AD66">
        <v>0</v>
      </c>
      <c r="AE66" t="s">
        <v>621</v>
      </c>
      <c r="AF66" s="8" cm="1">
        <f t="array" aca="1" ref="AF66" ca="1">fScore_Total("ESPN",aCols)</f>
        <v>183.86575364600003</v>
      </c>
      <c r="AG66" s="8" cm="1">
        <f t="array" aca="1" ref="AG66" ca="1">-fScore_Total("diff",aCols)</f>
        <v>11.065753646000001</v>
      </c>
      <c r="AH66" s="8">
        <f t="shared" ca="1" si="1"/>
        <v>194.93150729200002</v>
      </c>
      <c r="AI66" s="8"/>
    </row>
    <row r="67" spans="1:35" x14ac:dyDescent="0.25">
      <c r="A67" t="s">
        <v>69</v>
      </c>
      <c r="B67" s="1" t="s">
        <v>601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105.5</v>
      </c>
      <c r="M67" s="1">
        <v>109.61859629999999</v>
      </c>
      <c r="N67" s="1">
        <v>8.5</v>
      </c>
      <c r="O67" s="1">
        <v>7.3955028389999997</v>
      </c>
      <c r="P67" s="1">
        <v>1.1044971610000001</v>
      </c>
      <c r="Q67" s="1">
        <v>1250.5</v>
      </c>
      <c r="R67" s="1">
        <v>1263.736686</v>
      </c>
      <c r="S67" s="1">
        <v>-13.236685999999899</v>
      </c>
      <c r="T67" s="1">
        <v>-4.1185962999999903</v>
      </c>
      <c r="U67" s="1">
        <v>0</v>
      </c>
      <c r="V67" s="1">
        <v>0.25987219299999997</v>
      </c>
      <c r="W67" s="1">
        <v>0</v>
      </c>
      <c r="X67" s="1">
        <v>0</v>
      </c>
      <c r="Y67" s="1">
        <v>29.208973090000001</v>
      </c>
      <c r="Z67" s="1">
        <v>0</v>
      </c>
      <c r="AA67" s="1">
        <v>6</v>
      </c>
      <c r="AB67" s="1">
        <v>53</v>
      </c>
      <c r="AC67" s="1">
        <v>1800</v>
      </c>
      <c r="AD67">
        <v>0</v>
      </c>
      <c r="AF67" s="8" cm="1">
        <f t="array" aca="1" ref="AF67" ca="1">fScore_Total("ESPN",aCols)</f>
        <v>230.03611425100001</v>
      </c>
      <c r="AG67" s="8" cm="1">
        <f t="array" aca="1" ref="AG67" ca="1">-fScore_Total("diff",aCols)</f>
        <v>-3.2440162160000154</v>
      </c>
      <c r="AH67" s="8">
        <f t="shared" ca="1" si="1"/>
        <v>226.79209803500001</v>
      </c>
      <c r="AI67" s="8"/>
    </row>
    <row r="68" spans="1:35" x14ac:dyDescent="0.25">
      <c r="A68" t="s">
        <v>70</v>
      </c>
      <c r="B68" s="1" t="s">
        <v>603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56.678389289999998</v>
      </c>
      <c r="N68" s="1">
        <v>4.5</v>
      </c>
      <c r="O68" s="1">
        <v>3.7282065700000002</v>
      </c>
      <c r="P68" s="1">
        <v>0.771793429999999</v>
      </c>
      <c r="Q68" s="1">
        <v>650.5</v>
      </c>
      <c r="R68" s="1">
        <v>650.38975530000005</v>
      </c>
      <c r="S68" s="1">
        <v>0.110244699999952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135</v>
      </c>
      <c r="AB68" s="1">
        <v>2</v>
      </c>
      <c r="AC68" s="1">
        <v>20000</v>
      </c>
      <c r="AD68">
        <v>5000</v>
      </c>
      <c r="AF68" s="8" cm="1">
        <f t="array" aca="1" ref="AF68" ca="1">fScore_Total("ESPN",aCols)</f>
        <v>115.74740959499999</v>
      </c>
      <c r="AG68" s="8" cm="1">
        <f t="array" aca="1" ref="AG68" ca="1">-fScore_Total("diff",aCols)</f>
        <v>-4.6417850499999895</v>
      </c>
      <c r="AH68" s="8">
        <f t="shared" ca="1" si="1"/>
        <v>111.105624545</v>
      </c>
      <c r="AI68" s="8"/>
    </row>
    <row r="69" spans="1:35" x14ac:dyDescent="0.25">
      <c r="A69" t="s">
        <v>71</v>
      </c>
      <c r="B69" s="1" t="s">
        <v>601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81.5</v>
      </c>
      <c r="M69" s="1">
        <v>83.322959639999993</v>
      </c>
      <c r="N69" s="1">
        <v>6.5</v>
      </c>
      <c r="O69" s="1">
        <v>6.7814973180000004</v>
      </c>
      <c r="P69" s="1">
        <v>-0.281497318</v>
      </c>
      <c r="Q69" s="1">
        <v>1000.5</v>
      </c>
      <c r="R69" s="1">
        <v>1022.171285</v>
      </c>
      <c r="S69" s="1">
        <v>-21.671285000000001</v>
      </c>
      <c r="T69" s="1">
        <v>-1.8229596399999899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23</v>
      </c>
      <c r="AB69" s="1">
        <v>32</v>
      </c>
      <c r="AC69" s="1">
        <v>5000</v>
      </c>
      <c r="AD69">
        <v>0</v>
      </c>
      <c r="AF69" s="8" cm="1">
        <f t="array" aca="1" ref="AF69" ca="1">fScore_Total("ESPN",aCols)</f>
        <v>184.567592228</v>
      </c>
      <c r="AG69" s="8" cm="1">
        <f t="array" aca="1" ref="AG69" ca="1">-fScore_Total("diff",aCols)</f>
        <v>4.7675922279999945</v>
      </c>
      <c r="AH69" s="8">
        <f t="shared" ca="1" si="1"/>
        <v>189.33518445599998</v>
      </c>
      <c r="AI69" s="8"/>
    </row>
    <row r="70" spans="1:35" x14ac:dyDescent="0.25">
      <c r="A70" t="s">
        <v>72</v>
      </c>
      <c r="B70" s="1" t="s">
        <v>603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80.5</v>
      </c>
      <c r="M70" s="1">
        <v>82.999220249999993</v>
      </c>
      <c r="N70" s="1">
        <v>6.5</v>
      </c>
      <c r="O70" s="1">
        <v>6.9997653399999997</v>
      </c>
      <c r="P70" s="1">
        <v>-0.499765339999999</v>
      </c>
      <c r="Q70" s="1">
        <v>900.5</v>
      </c>
      <c r="R70" s="1">
        <v>837.76938029999997</v>
      </c>
      <c r="S70" s="1">
        <v>62.730619699999998</v>
      </c>
      <c r="T70" s="1">
        <v>-2.4992202499999898</v>
      </c>
      <c r="U70" s="1">
        <v>0</v>
      </c>
      <c r="V70" s="1">
        <v>3.9424452999999998E-2</v>
      </c>
      <c r="W70" s="1">
        <v>0</v>
      </c>
      <c r="X70" s="1">
        <v>0</v>
      </c>
      <c r="Y70" s="1">
        <v>0.68267583600000004</v>
      </c>
      <c r="Z70" s="1">
        <v>0</v>
      </c>
      <c r="AA70" s="1">
        <v>38</v>
      </c>
      <c r="AB70" s="1">
        <v>22</v>
      </c>
      <c r="AC70" s="1">
        <v>10000</v>
      </c>
      <c r="AD70">
        <v>0</v>
      </c>
      <c r="AF70" s="8" cm="1">
        <f t="array" aca="1" ref="AF70" ca="1">fScore_Total("ESPN",aCols)</f>
        <v>167.57995449660001</v>
      </c>
      <c r="AG70" s="8" cm="1">
        <f t="array" aca="1" ref="AG70" ca="1">-fScore_Total("diff",aCols)</f>
        <v>-2.0248598050000117</v>
      </c>
      <c r="AH70" s="8">
        <f t="shared" ca="1" si="1"/>
        <v>165.5550946916</v>
      </c>
      <c r="AI70" s="8"/>
    </row>
    <row r="71" spans="1:35" x14ac:dyDescent="0.25">
      <c r="A71" t="s">
        <v>73</v>
      </c>
      <c r="B71" s="1" t="s">
        <v>601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63.535094649999998</v>
      </c>
      <c r="N71" s="1">
        <v>4.5</v>
      </c>
      <c r="O71" s="1">
        <v>4.8151380250000004</v>
      </c>
      <c r="P71" s="1">
        <v>-0.31513802499999999</v>
      </c>
      <c r="Q71" s="1">
        <v>725.5</v>
      </c>
      <c r="R71" s="1">
        <v>799.01726929999995</v>
      </c>
      <c r="S71" s="1">
        <v>-73.517269299999896</v>
      </c>
      <c r="T71" s="1">
        <v>0</v>
      </c>
      <c r="U71" s="1">
        <v>0</v>
      </c>
      <c r="V71" s="1">
        <v>7.4635529000000006E-2</v>
      </c>
      <c r="W71" s="1">
        <v>0</v>
      </c>
      <c r="X71" s="1">
        <v>0</v>
      </c>
      <c r="Y71" s="1">
        <v>13.679991960000001</v>
      </c>
      <c r="Z71" s="1">
        <v>0</v>
      </c>
      <c r="AA71" s="1">
        <v>111</v>
      </c>
      <c r="AB71" s="1">
        <v>3</v>
      </c>
      <c r="AC71" s="1">
        <v>50000</v>
      </c>
      <c r="AD71">
        <v>3500</v>
      </c>
      <c r="AF71" s="8" cm="1">
        <f t="array" aca="1" ref="AF71" ca="1">fScore_Total("ESPN",aCols)</f>
        <v>142.37591477500001</v>
      </c>
      <c r="AG71" s="8" cm="1">
        <f t="array" aca="1" ref="AG71" ca="1">-fScore_Total("diff",aCols)</f>
        <v>9.24255507999999</v>
      </c>
      <c r="AH71" s="8">
        <f t="shared" ca="1" si="1"/>
        <v>151.618469855</v>
      </c>
      <c r="AI71" s="8"/>
    </row>
    <row r="72" spans="1:35" x14ac:dyDescent="0.25">
      <c r="A72" t="s">
        <v>74</v>
      </c>
      <c r="B72" s="1" t="s">
        <v>601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98.5</v>
      </c>
      <c r="M72" s="1">
        <v>105.89822599999999</v>
      </c>
      <c r="N72" s="1">
        <v>8.5</v>
      </c>
      <c r="O72" s="1">
        <v>8.3136087360000008</v>
      </c>
      <c r="P72" s="1">
        <v>0.186391263999999</v>
      </c>
      <c r="Q72" s="1">
        <v>1250.5</v>
      </c>
      <c r="R72" s="1">
        <v>1347.0218749999999</v>
      </c>
      <c r="S72" s="1">
        <v>-96.521874999999895</v>
      </c>
      <c r="T72" s="1">
        <v>-7.3982259999999904</v>
      </c>
      <c r="U72" s="1">
        <v>0</v>
      </c>
      <c r="V72" s="1">
        <v>0.15580345300000001</v>
      </c>
      <c r="W72" s="1">
        <v>0</v>
      </c>
      <c r="X72" s="1">
        <v>0</v>
      </c>
      <c r="Y72" s="1">
        <v>18.15912398</v>
      </c>
      <c r="Z72" s="1">
        <v>0</v>
      </c>
      <c r="AA72" s="1">
        <v>7</v>
      </c>
      <c r="AB72" s="1">
        <v>53</v>
      </c>
      <c r="AC72" s="1">
        <v>1200</v>
      </c>
      <c r="AD72">
        <v>0</v>
      </c>
      <c r="AE72" t="s">
        <v>622</v>
      </c>
      <c r="AF72" s="8" cm="1">
        <f t="array" aca="1" ref="AF72" ca="1">fScore_Total("ESPN",aCols)</f>
        <v>240.28368603199999</v>
      </c>
      <c r="AG72" s="8" cm="1">
        <f t="array" aca="1" ref="AG72" ca="1">-fScore_Total("diff",aCols)</f>
        <v>12.232952915999991</v>
      </c>
      <c r="AH72" s="8">
        <f t="shared" ca="1" si="1"/>
        <v>252.51663894799998</v>
      </c>
      <c r="AI72" s="8"/>
    </row>
    <row r="73" spans="1:35" x14ac:dyDescent="0.25">
      <c r="A73" t="s">
        <v>500</v>
      </c>
      <c r="B73" s="1" t="s">
        <v>601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61.399165549999999</v>
      </c>
      <c r="N73" s="1">
        <v>4.5</v>
      </c>
      <c r="O73" s="1">
        <v>4.8105839489999997</v>
      </c>
      <c r="P73" s="1">
        <v>-0.31058394899999903</v>
      </c>
      <c r="Q73" s="1">
        <v>750.5</v>
      </c>
      <c r="R73" s="1">
        <v>814.80646100000001</v>
      </c>
      <c r="S73" s="1">
        <v>-64.306460999999999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114</v>
      </c>
      <c r="AB73" s="1">
        <v>2</v>
      </c>
      <c r="AC73" s="1">
        <v>50000</v>
      </c>
      <c r="AD73">
        <v>5000</v>
      </c>
      <c r="AF73" s="8" cm="1">
        <f t="array" aca="1" ref="AF73" ca="1">fScore_Total("ESPN",aCols)</f>
        <v>141.04373256899999</v>
      </c>
      <c r="AG73" s="8" cm="1">
        <f t="array" aca="1" ref="AG73" ca="1">-fScore_Total("diff",aCols)</f>
        <v>8.2941497939999955</v>
      </c>
      <c r="AH73" s="8">
        <f t="shared" ca="1" si="1"/>
        <v>149.33788236299998</v>
      </c>
      <c r="AI73" s="8"/>
    </row>
    <row r="74" spans="1:35" x14ac:dyDescent="0.25">
      <c r="A74" t="s">
        <v>75</v>
      </c>
      <c r="B74" s="1" t="s">
        <v>601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84.5</v>
      </c>
      <c r="M74" s="1">
        <v>89.335045370000003</v>
      </c>
      <c r="N74" s="1">
        <v>6.5</v>
      </c>
      <c r="O74" s="1">
        <v>4.9681280719999998</v>
      </c>
      <c r="P74" s="1">
        <v>1.5318719279999999</v>
      </c>
      <c r="Q74" s="1">
        <v>1025.5</v>
      </c>
      <c r="R74" s="1">
        <v>1150.2021629999999</v>
      </c>
      <c r="S74" s="1">
        <v>-124.702162999999</v>
      </c>
      <c r="T74" s="1">
        <v>-4.8350453699999996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19</v>
      </c>
      <c r="AB74" s="1">
        <v>36</v>
      </c>
      <c r="AC74" s="1">
        <v>7500</v>
      </c>
      <c r="AD74">
        <v>0</v>
      </c>
      <c r="AF74" s="8" cm="1">
        <f t="array" aca="1" ref="AF74" ca="1">fScore_Total("ESPN",aCols)</f>
        <v>189.496507417</v>
      </c>
      <c r="AG74" s="8" cm="1">
        <f t="array" aca="1" ref="AG74" ca="1">-fScore_Total("diff",aCols)</f>
        <v>5.6965074169999017</v>
      </c>
      <c r="AH74" s="8">
        <f t="shared" ca="1" si="1"/>
        <v>195.19301483399991</v>
      </c>
      <c r="AI74" s="8"/>
    </row>
    <row r="75" spans="1:35" x14ac:dyDescent="0.25">
      <c r="A75" t="s">
        <v>76</v>
      </c>
      <c r="B75" s="1" t="s">
        <v>601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79.5</v>
      </c>
      <c r="M75" s="1">
        <v>78.059392090000003</v>
      </c>
      <c r="N75" s="1">
        <v>6.5</v>
      </c>
      <c r="O75" s="1">
        <v>6.5121156740000004</v>
      </c>
      <c r="P75" s="1">
        <v>-1.21156740000003E-2</v>
      </c>
      <c r="Q75" s="1">
        <v>950.5</v>
      </c>
      <c r="R75" s="1">
        <v>996.27619960000004</v>
      </c>
      <c r="S75" s="1">
        <v>-45.776199599999998</v>
      </c>
      <c r="T75" s="1">
        <v>1.44060790999999</v>
      </c>
      <c r="U75" s="1">
        <v>0</v>
      </c>
      <c r="V75" s="1">
        <v>0.103482397</v>
      </c>
      <c r="W75" s="1">
        <v>0</v>
      </c>
      <c r="X75" s="1">
        <v>0</v>
      </c>
      <c r="Y75" s="1">
        <v>11.99405075</v>
      </c>
      <c r="Z75" s="1">
        <v>0</v>
      </c>
      <c r="AA75" s="1">
        <v>47</v>
      </c>
      <c r="AB75" s="1">
        <v>17</v>
      </c>
      <c r="AC75" s="1">
        <v>6000</v>
      </c>
      <c r="AD75">
        <v>0</v>
      </c>
      <c r="AF75" s="8" cm="1">
        <f t="array" aca="1" ref="AF75" ca="1">fScore_Total("ESPN",aCols)</f>
        <v>179.55030950599999</v>
      </c>
      <c r="AG75" s="8" cm="1">
        <f t="array" aca="1" ref="AG75" ca="1">-fScore_Total("diff",aCols)</f>
        <v>3.9300100490000065</v>
      </c>
      <c r="AH75" s="8">
        <f t="shared" ca="1" si="1"/>
        <v>183.48031955499999</v>
      </c>
      <c r="AI75" s="8"/>
    </row>
    <row r="76" spans="1:35" x14ac:dyDescent="0.25">
      <c r="A76" t="s">
        <v>77</v>
      </c>
      <c r="B76" s="1" t="s">
        <v>601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56.486196270000001</v>
      </c>
      <c r="N76" s="1">
        <v>4.5</v>
      </c>
      <c r="O76" s="1">
        <v>6.2582285049999999</v>
      </c>
      <c r="P76" s="1">
        <v>-1.7582285049999999</v>
      </c>
      <c r="Q76" s="1">
        <v>750.5</v>
      </c>
      <c r="R76" s="1">
        <v>762.18874949999997</v>
      </c>
      <c r="S76" s="1">
        <v>-11.688749499999901</v>
      </c>
      <c r="T76" s="1">
        <v>0</v>
      </c>
      <c r="U76" s="1">
        <v>0</v>
      </c>
      <c r="V76" s="1">
        <v>0.27539996100000003</v>
      </c>
      <c r="W76" s="1">
        <v>0</v>
      </c>
      <c r="X76" s="1">
        <v>0</v>
      </c>
      <c r="Y76" s="1">
        <v>35.16885619</v>
      </c>
      <c r="Z76" s="1">
        <v>0</v>
      </c>
      <c r="AA76" s="1">
        <v>98</v>
      </c>
      <c r="AB76" s="1">
        <v>4</v>
      </c>
      <c r="AC76" s="1">
        <v>0</v>
      </c>
      <c r="AD76">
        <v>2200</v>
      </c>
      <c r="AE76" t="s">
        <v>612</v>
      </c>
      <c r="AF76" s="8" cm="1">
        <f t="array" aca="1" ref="AF76" ca="1">fScore_Total("ESPN",aCols)</f>
        <v>147.18062949999998</v>
      </c>
      <c r="AG76" s="8" cm="1">
        <f t="array" aca="1" ref="AG76" ca="1">-fScore_Total("diff",aCols)</f>
        <v>11.71824597999999</v>
      </c>
      <c r="AH76" s="8">
        <f t="shared" ca="1" si="1"/>
        <v>158.89887547999996</v>
      </c>
      <c r="AI76" s="8"/>
    </row>
    <row r="77" spans="1:35" x14ac:dyDescent="0.25">
      <c r="A77" t="s">
        <v>78</v>
      </c>
      <c r="B77" s="1" t="s">
        <v>601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104.5</v>
      </c>
      <c r="M77" s="1">
        <v>112.86428100000001</v>
      </c>
      <c r="N77" s="1">
        <v>9.5</v>
      </c>
      <c r="O77" s="1">
        <v>8.5563324299999994</v>
      </c>
      <c r="P77" s="1">
        <v>0.94366757000000001</v>
      </c>
      <c r="Q77" s="1">
        <v>1350.5</v>
      </c>
      <c r="R77" s="1">
        <v>1407.047206</v>
      </c>
      <c r="S77" s="1">
        <v>-56.547205999999903</v>
      </c>
      <c r="T77" s="1">
        <v>-8.3642810000000001</v>
      </c>
      <c r="U77" s="1">
        <v>0</v>
      </c>
      <c r="V77" s="1">
        <v>0.78496296399999999</v>
      </c>
      <c r="W77" s="1">
        <v>0</v>
      </c>
      <c r="X77" s="1">
        <v>0</v>
      </c>
      <c r="Y77" s="1">
        <v>85.820829750000001</v>
      </c>
      <c r="Z77" s="1">
        <v>0</v>
      </c>
      <c r="AA77" s="1">
        <v>4</v>
      </c>
      <c r="AB77" s="1">
        <v>55</v>
      </c>
      <c r="AC77" s="1">
        <v>1000</v>
      </c>
      <c r="AD77">
        <v>0</v>
      </c>
      <c r="AF77" s="8" cm="1">
        <f t="array" aca="1" ref="AF77" ca="1">fScore_Total("ESPN",aCols)</f>
        <v>261.76671643900005</v>
      </c>
      <c r="AG77" s="8" cm="1">
        <f t="array" aca="1" ref="AG77" ca="1">-fScore_Total("diff",aCols)</f>
        <v>4.1748556799999905</v>
      </c>
      <c r="AH77" s="8">
        <f t="shared" ca="1" si="1"/>
        <v>265.94157211900006</v>
      </c>
      <c r="AI77" s="8"/>
    </row>
    <row r="78" spans="1:35" x14ac:dyDescent="0.25">
      <c r="A78" t="s">
        <v>79</v>
      </c>
      <c r="B78" s="1" t="s">
        <v>601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85.5</v>
      </c>
      <c r="M78" s="1">
        <v>88.473984360000003</v>
      </c>
      <c r="N78" s="1">
        <v>6.5</v>
      </c>
      <c r="O78" s="1">
        <v>5.914162127</v>
      </c>
      <c r="P78" s="1">
        <v>0.58583787300000001</v>
      </c>
      <c r="Q78" s="1">
        <v>1150.5</v>
      </c>
      <c r="R78" s="1">
        <v>1237.3910149999999</v>
      </c>
      <c r="S78" s="1">
        <v>-86.891014999999896</v>
      </c>
      <c r="T78" s="1">
        <v>-2.9739843600000002</v>
      </c>
      <c r="U78" s="1">
        <v>0</v>
      </c>
      <c r="V78" s="1">
        <v>0.65177903000000004</v>
      </c>
      <c r="W78" s="1">
        <v>0</v>
      </c>
      <c r="X78" s="1">
        <v>0</v>
      </c>
      <c r="Y78" s="1">
        <v>77.450822840000001</v>
      </c>
      <c r="Z78" s="1">
        <v>0</v>
      </c>
      <c r="AA78" s="1">
        <v>12</v>
      </c>
      <c r="AB78" s="1">
        <v>46</v>
      </c>
      <c r="AC78" s="1">
        <v>2800</v>
      </c>
      <c r="AD78">
        <v>0</v>
      </c>
      <c r="AF78" s="8" cm="1">
        <f t="array" aca="1" ref="AF78" ca="1">fScore_Total("ESPN",aCols)</f>
        <v>215.11682290600001</v>
      </c>
      <c r="AG78" s="8" cm="1">
        <f t="array" aca="1" ref="AG78" ca="1">-fScore_Total("diff",aCols)</f>
        <v>6.6610664419999903</v>
      </c>
      <c r="AH78" s="8">
        <f t="shared" ca="1" si="1"/>
        <v>221.777889348</v>
      </c>
      <c r="AI78" s="8"/>
    </row>
    <row r="79" spans="1:35" x14ac:dyDescent="0.25">
      <c r="A79" t="s">
        <v>80</v>
      </c>
      <c r="B79" s="1" t="s">
        <v>601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58.869292440000002</v>
      </c>
      <c r="N79" s="1">
        <v>4.5</v>
      </c>
      <c r="O79" s="1">
        <v>4.957569662</v>
      </c>
      <c r="P79" s="1">
        <v>-0.45756966199999999</v>
      </c>
      <c r="Q79" s="1">
        <v>675.5</v>
      </c>
      <c r="R79" s="1">
        <v>815.82524639999997</v>
      </c>
      <c r="S79" s="1">
        <v>-140.325246399999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113</v>
      </c>
      <c r="AB79" s="1">
        <v>3</v>
      </c>
      <c r="AC79" s="1">
        <v>20000</v>
      </c>
      <c r="AD79">
        <v>3500</v>
      </c>
      <c r="AE79" t="s">
        <v>623</v>
      </c>
      <c r="AF79" s="8" cm="1">
        <f t="array" aca="1" ref="AF79" ca="1">fScore_Total("ESPN",aCols)</f>
        <v>140.76258883200001</v>
      </c>
      <c r="AG79" s="8" cm="1">
        <f t="array" aca="1" ref="AG79" ca="1">-fScore_Total("diff",aCols)</f>
        <v>16.777942611999901</v>
      </c>
      <c r="AH79" s="8">
        <f t="shared" ca="1" si="1"/>
        <v>157.5405314439999</v>
      </c>
      <c r="AI79" s="8"/>
    </row>
    <row r="80" spans="1:35" x14ac:dyDescent="0.25">
      <c r="A80" t="s">
        <v>81</v>
      </c>
      <c r="B80" s="1" t="s">
        <v>601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68.5</v>
      </c>
      <c r="M80" s="1">
        <v>77.389605230000001</v>
      </c>
      <c r="N80" s="1">
        <v>6.5</v>
      </c>
      <c r="O80" s="1">
        <v>6.6989467029999998</v>
      </c>
      <c r="P80" s="1">
        <v>-0.198946702999999</v>
      </c>
      <c r="Q80" s="1">
        <v>950.5</v>
      </c>
      <c r="R80" s="1">
        <v>1048.1103599999999</v>
      </c>
      <c r="S80" s="1">
        <v>-97.610359999999901</v>
      </c>
      <c r="T80" s="1">
        <v>-8.8896052300000008</v>
      </c>
      <c r="U80" s="1">
        <v>0</v>
      </c>
      <c r="V80" s="1">
        <v>9.5252555000000003E-2</v>
      </c>
      <c r="W80" s="1">
        <v>0</v>
      </c>
      <c r="X80" s="1">
        <v>0</v>
      </c>
      <c r="Y80" s="1">
        <v>12.6475642</v>
      </c>
      <c r="Z80" s="1">
        <v>0</v>
      </c>
      <c r="AA80" s="1">
        <v>33</v>
      </c>
      <c r="AB80" s="1">
        <v>24</v>
      </c>
      <c r="AC80" s="1">
        <v>10000</v>
      </c>
      <c r="AD80">
        <v>0</v>
      </c>
      <c r="AE80" t="s">
        <v>624</v>
      </c>
      <c r="AF80" s="8" cm="1">
        <f t="array" aca="1" ref="AF80" ca="1">fScore_Total("ESPN",aCols)</f>
        <v>185.53579058300002</v>
      </c>
      <c r="AG80" s="8" cm="1">
        <f t="array" aca="1" ref="AG80" ca="1">-fScore_Total("diff",aCols)</f>
        <v>15.399518832999984</v>
      </c>
      <c r="AH80" s="8">
        <f t="shared" ca="1" si="1"/>
        <v>200.935309416</v>
      </c>
      <c r="AI80" s="8"/>
    </row>
    <row r="81" spans="1:35" x14ac:dyDescent="0.25">
      <c r="A81" t="s">
        <v>471</v>
      </c>
      <c r="B81" s="1" t="s">
        <v>601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67.5</v>
      </c>
      <c r="M81" s="1">
        <v>70.053424579999998</v>
      </c>
      <c r="N81" s="1">
        <v>6.5</v>
      </c>
      <c r="O81" s="1">
        <v>8.2072090240000009</v>
      </c>
      <c r="P81" s="1">
        <v>-1.707209024</v>
      </c>
      <c r="Q81" s="1">
        <v>1000.5</v>
      </c>
      <c r="R81" s="1">
        <v>1077.7793180000001</v>
      </c>
      <c r="S81" s="1">
        <v>-77.279318000000103</v>
      </c>
      <c r="T81" s="1">
        <v>-2.55342457999999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31</v>
      </c>
      <c r="AB81" s="1">
        <v>26</v>
      </c>
      <c r="AC81" s="1">
        <v>6000</v>
      </c>
      <c r="AD81">
        <v>0</v>
      </c>
      <c r="AE81" t="s">
        <v>612</v>
      </c>
      <c r="AF81" s="8" cm="1">
        <f t="array" aca="1" ref="AF81" ca="1">fScore_Total("ESPN",aCols)</f>
        <v>192.047898234</v>
      </c>
      <c r="AG81" s="8" cm="1">
        <f t="array" aca="1" ref="AG81" ca="1">-fScore_Total("diff",aCols)</f>
        <v>19.247898234000004</v>
      </c>
      <c r="AH81" s="8">
        <f t="shared" ca="1" si="1"/>
        <v>211.29579646799999</v>
      </c>
      <c r="AI81" s="8"/>
    </row>
    <row r="82" spans="1:35" x14ac:dyDescent="0.25">
      <c r="A82" t="s">
        <v>82</v>
      </c>
      <c r="B82" s="1" t="s">
        <v>601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68.5</v>
      </c>
      <c r="M82" s="1">
        <v>76.827998179999994</v>
      </c>
      <c r="N82" s="1">
        <v>8.5</v>
      </c>
      <c r="O82" s="1">
        <v>7.415413773</v>
      </c>
      <c r="P82" s="1">
        <v>1.084586227</v>
      </c>
      <c r="Q82" s="1">
        <v>1050.5</v>
      </c>
      <c r="R82" s="1">
        <v>1135.956447</v>
      </c>
      <c r="S82" s="1">
        <v>-85.456446999999997</v>
      </c>
      <c r="T82" s="1">
        <v>-8.3279981799999891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21</v>
      </c>
      <c r="AB82" s="1">
        <v>34</v>
      </c>
      <c r="AC82" s="1">
        <v>7500</v>
      </c>
      <c r="AD82">
        <v>0</v>
      </c>
      <c r="AF82" s="8" cm="1">
        <f t="array" aca="1" ref="AF82" ca="1">fScore_Total("ESPN",aCols)</f>
        <v>196.502126428</v>
      </c>
      <c r="AG82" s="8" cm="1">
        <f t="array" aca="1" ref="AG82" ca="1">-fScore_Total("diff",aCols)</f>
        <v>6.2021264279999953</v>
      </c>
      <c r="AH82" s="8">
        <f t="shared" ca="1" si="1"/>
        <v>202.70425285599998</v>
      </c>
      <c r="AI82" s="8"/>
    </row>
    <row r="83" spans="1:35" x14ac:dyDescent="0.25">
      <c r="A83" t="s">
        <v>83</v>
      </c>
      <c r="B83" s="1" t="s">
        <v>601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70.998447749999997</v>
      </c>
      <c r="N83" s="1">
        <v>4.5</v>
      </c>
      <c r="O83" s="1">
        <v>4.6027815240000001</v>
      </c>
      <c r="P83" s="1">
        <v>-0.102781524</v>
      </c>
      <c r="Q83" s="1">
        <v>925.5</v>
      </c>
      <c r="R83" s="1">
        <v>1091.2669450000001</v>
      </c>
      <c r="S83" s="1">
        <v>-165.76694499999999</v>
      </c>
      <c r="T83" s="1">
        <v>0</v>
      </c>
      <c r="U83" s="1">
        <v>0</v>
      </c>
      <c r="V83" s="1">
        <v>0.21170565699999999</v>
      </c>
      <c r="W83" s="1">
        <v>0</v>
      </c>
      <c r="X83" s="1">
        <v>0</v>
      </c>
      <c r="Y83" s="1">
        <v>28.515374730000001</v>
      </c>
      <c r="Z83" s="1">
        <v>0</v>
      </c>
      <c r="AA83" s="1">
        <v>56</v>
      </c>
      <c r="AB83" s="1">
        <v>11</v>
      </c>
      <c r="AC83" s="1">
        <v>12000</v>
      </c>
      <c r="AD83">
        <v>0</v>
      </c>
      <c r="AE83" t="s">
        <v>625</v>
      </c>
      <c r="AF83" s="8" cm="1">
        <f t="array" aca="1" ref="AF83" ca="1">fScore_Total("ESPN",aCols)</f>
        <v>176.36437893400003</v>
      </c>
      <c r="AG83" s="8" cm="1">
        <f t="array" aca="1" ref="AG83" ca="1">-fScore_Total("diff",aCols)</f>
        <v>17.193383643999997</v>
      </c>
      <c r="AH83" s="8">
        <f t="shared" ca="1" si="1"/>
        <v>193.55776257800002</v>
      </c>
      <c r="AI83" s="8"/>
    </row>
    <row r="84" spans="1:35" x14ac:dyDescent="0.25">
      <c r="A84" t="s">
        <v>84</v>
      </c>
      <c r="B84" s="1" t="s">
        <v>601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47.695272760000002</v>
      </c>
      <c r="N84" s="1">
        <v>3.5</v>
      </c>
      <c r="O84" s="1">
        <v>3.1380961470000002</v>
      </c>
      <c r="P84" s="1">
        <v>0.361903852999999</v>
      </c>
      <c r="Q84" s="1">
        <v>500.5</v>
      </c>
      <c r="R84" s="1">
        <v>624.94080220000001</v>
      </c>
      <c r="S84" s="1">
        <v>-124.44080219999999</v>
      </c>
      <c r="T84" s="1">
        <v>0</v>
      </c>
      <c r="U84" s="1">
        <v>0</v>
      </c>
      <c r="V84" s="1">
        <v>0.31666118700000001</v>
      </c>
      <c r="W84" s="1">
        <v>0</v>
      </c>
      <c r="X84" s="1">
        <v>0</v>
      </c>
      <c r="Y84" s="1">
        <v>38.939848939999997</v>
      </c>
      <c r="Z84" s="1">
        <v>0</v>
      </c>
      <c r="AA84" s="1">
        <v>189</v>
      </c>
      <c r="AB84" s="1">
        <v>1</v>
      </c>
      <c r="AC84" s="1">
        <v>0</v>
      </c>
      <c r="AD84">
        <v>7500</v>
      </c>
      <c r="AE84" t="s">
        <v>626</v>
      </c>
      <c r="AF84" s="8" cm="1">
        <f t="array" aca="1" ref="AF84" ca="1">fScore_Total("ESPN",aCols)</f>
        <v>110.96424549800001</v>
      </c>
      <c r="AG84" s="8" cm="1">
        <f t="array" aca="1" ref="AG84" ca="1">-fScore_Total("diff",aCols)</f>
        <v>10.272657102000005</v>
      </c>
      <c r="AH84" s="8">
        <f t="shared" ca="1" si="1"/>
        <v>121.23690260000002</v>
      </c>
      <c r="AI84" s="8"/>
    </row>
    <row r="85" spans="1:35" x14ac:dyDescent="0.25">
      <c r="A85" t="s">
        <v>85</v>
      </c>
      <c r="B85" s="1" t="s">
        <v>603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67.5</v>
      </c>
      <c r="M85" s="1">
        <v>73.695127510000006</v>
      </c>
      <c r="N85" s="1">
        <v>6.5</v>
      </c>
      <c r="O85" s="1">
        <v>6.9746615109999999</v>
      </c>
      <c r="P85" s="1">
        <v>-0.47466151099999898</v>
      </c>
      <c r="Q85" s="1">
        <v>800.5</v>
      </c>
      <c r="R85" s="1">
        <v>819.16459310000005</v>
      </c>
      <c r="S85" s="1">
        <v>-18.664593100000001</v>
      </c>
      <c r="T85" s="1">
        <v>-6.1951275099999998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55</v>
      </c>
      <c r="AB85" s="1">
        <v>12</v>
      </c>
      <c r="AC85" s="1">
        <v>25000</v>
      </c>
      <c r="AD85">
        <v>0</v>
      </c>
      <c r="AF85" s="8" cm="1">
        <f t="array" aca="1" ref="AF85" ca="1">fScore_Total("ESPN",aCols)</f>
        <v>160.61199213100002</v>
      </c>
      <c r="AG85" s="8" cm="1">
        <f t="array" aca="1" ref="AG85" ca="1">-fScore_Total("diff",aCols)</f>
        <v>7.8119921309999931</v>
      </c>
      <c r="AH85" s="8">
        <f t="shared" ca="1" si="1"/>
        <v>168.423984262</v>
      </c>
      <c r="AI85" s="8"/>
    </row>
    <row r="86" spans="1:35" x14ac:dyDescent="0.25">
      <c r="A86" t="s">
        <v>501</v>
      </c>
      <c r="B86" s="1" t="s">
        <v>601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85.5</v>
      </c>
      <c r="M86" s="1">
        <v>98.755134819999995</v>
      </c>
      <c r="N86" s="1">
        <v>5.5</v>
      </c>
      <c r="O86" s="1">
        <v>4.0155713110000004</v>
      </c>
      <c r="P86" s="1">
        <v>1.48442868899999</v>
      </c>
      <c r="Q86" s="1">
        <v>950.5</v>
      </c>
      <c r="R86" s="1">
        <v>1085.0907319999999</v>
      </c>
      <c r="S86" s="1">
        <v>-134.59073199999901</v>
      </c>
      <c r="T86" s="1">
        <v>-13.255134819999901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20</v>
      </c>
      <c r="AB86" s="1">
        <v>35</v>
      </c>
      <c r="AC86" s="1">
        <v>10000</v>
      </c>
      <c r="AD86">
        <v>0</v>
      </c>
      <c r="AE86" t="s">
        <v>655</v>
      </c>
      <c r="AF86" s="8" cm="1">
        <f t="array" aca="1" ref="AF86" ca="1">fScore_Total("ESPN",aCols)</f>
        <v>181.98006847599999</v>
      </c>
      <c r="AG86" s="8" cm="1">
        <f t="array" aca="1" ref="AG86" ca="1">-fScore_Total("diff",aCols)</f>
        <v>11.18006847599991</v>
      </c>
      <c r="AH86" s="8">
        <f t="shared" ref="AH86:AH149" ca="1" si="2">+AF86+AG86</f>
        <v>193.1601369519999</v>
      </c>
      <c r="AI86" s="8"/>
    </row>
    <row r="87" spans="1:35" x14ac:dyDescent="0.25">
      <c r="A87" t="s">
        <v>86</v>
      </c>
      <c r="B87" s="1" t="s">
        <v>601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71.5</v>
      </c>
      <c r="M87" s="1">
        <v>71.484034199999996</v>
      </c>
      <c r="N87" s="1">
        <v>4.5</v>
      </c>
      <c r="O87" s="1">
        <v>6.2104239000000003</v>
      </c>
      <c r="P87" s="1">
        <v>-1.7104239000000001</v>
      </c>
      <c r="Q87" s="1">
        <v>825.5</v>
      </c>
      <c r="R87" s="1">
        <v>986.14103709999995</v>
      </c>
      <c r="S87" s="1">
        <v>-160.64103709999901</v>
      </c>
      <c r="T87" s="1">
        <v>1.5965800000003499E-2</v>
      </c>
      <c r="U87" s="1">
        <v>0</v>
      </c>
      <c r="V87" s="1">
        <v>8.6554058000000003E-2</v>
      </c>
      <c r="W87" s="1">
        <v>0</v>
      </c>
      <c r="X87" s="1">
        <v>0</v>
      </c>
      <c r="Y87" s="1">
        <v>13.010279560000001</v>
      </c>
      <c r="Z87" s="1">
        <v>0</v>
      </c>
      <c r="AA87" s="1">
        <v>77</v>
      </c>
      <c r="AB87" s="1">
        <v>7</v>
      </c>
      <c r="AC87" s="1">
        <v>20000</v>
      </c>
      <c r="AD87">
        <v>0</v>
      </c>
      <c r="AE87" t="s">
        <v>627</v>
      </c>
      <c r="AF87" s="8" cm="1">
        <f t="array" aca="1" ref="AF87" ca="1">fScore_Total("ESPN",aCols)</f>
        <v>173.439016514</v>
      </c>
      <c r="AG87" s="8" cm="1">
        <f t="array" aca="1" ref="AG87" ca="1">-fScore_Total("diff",aCols)</f>
        <v>26.318664209999902</v>
      </c>
      <c r="AH87" s="8">
        <f t="shared" ca="1" si="2"/>
        <v>199.7576807239999</v>
      </c>
      <c r="AI87" s="8"/>
    </row>
    <row r="88" spans="1:35" x14ac:dyDescent="0.25">
      <c r="A88" t="s">
        <v>87</v>
      </c>
      <c r="B88" s="1" t="s">
        <v>601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72.992614239999995</v>
      </c>
      <c r="N88" s="1">
        <v>4.5</v>
      </c>
      <c r="O88" s="1">
        <v>7.3390059470000004</v>
      </c>
      <c r="P88" s="1">
        <v>-2.839005947</v>
      </c>
      <c r="Q88" s="1">
        <v>875.5</v>
      </c>
      <c r="R88" s="1">
        <v>999.68954650000001</v>
      </c>
      <c r="S88" s="1">
        <v>-124.18954650000001</v>
      </c>
      <c r="T88" s="1">
        <v>0</v>
      </c>
      <c r="U88" s="1">
        <v>0</v>
      </c>
      <c r="V88" s="1">
        <v>0.144241223</v>
      </c>
      <c r="W88" s="1">
        <v>0</v>
      </c>
      <c r="X88" s="1">
        <v>0</v>
      </c>
      <c r="Y88" s="1">
        <v>18.797577010000001</v>
      </c>
      <c r="Z88" s="1">
        <v>0</v>
      </c>
      <c r="AA88" s="1">
        <v>48</v>
      </c>
      <c r="AB88" s="1">
        <v>15</v>
      </c>
      <c r="AC88" s="1">
        <v>15000</v>
      </c>
      <c r="AD88">
        <v>0</v>
      </c>
      <c r="AE88" t="s">
        <v>611</v>
      </c>
      <c r="AF88" s="8" cm="1">
        <f t="array" aca="1" ref="AF88" ca="1">fScore_Total("ESPN",aCols)</f>
        <v>183.24450249099999</v>
      </c>
      <c r="AG88" s="8" cm="1">
        <f t="array" aca="1" ref="AG88" ca="1">-fScore_Total("diff",aCols)</f>
        <v>29.452990331999999</v>
      </c>
      <c r="AH88" s="8">
        <f t="shared" ca="1" si="2"/>
        <v>212.697492823</v>
      </c>
      <c r="AI88" s="8"/>
    </row>
    <row r="89" spans="1:35" x14ac:dyDescent="0.25">
      <c r="A89" t="s">
        <v>88</v>
      </c>
      <c r="B89" s="1" t="s">
        <v>600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62.5</v>
      </c>
      <c r="M89" s="1">
        <v>67.225831580000005</v>
      </c>
      <c r="N89" s="1">
        <v>5.5</v>
      </c>
      <c r="O89" s="1">
        <v>3.8566466930000001</v>
      </c>
      <c r="P89" s="1">
        <v>1.6433533069999999</v>
      </c>
      <c r="Q89" s="1">
        <v>500.5</v>
      </c>
      <c r="R89" s="1">
        <v>526.47091790000002</v>
      </c>
      <c r="S89" s="1">
        <v>-25.9709179</v>
      </c>
      <c r="T89" s="1">
        <v>-4.7258315800000004</v>
      </c>
      <c r="U89" s="1">
        <v>10.5</v>
      </c>
      <c r="V89" s="1">
        <v>11.869118009999999</v>
      </c>
      <c r="W89" s="1">
        <v>-1.36911800999999</v>
      </c>
      <c r="X89" s="1">
        <v>1150.5</v>
      </c>
      <c r="Y89" s="1">
        <v>1220.6525429999999</v>
      </c>
      <c r="Z89" s="1">
        <v>-70.152542999999895</v>
      </c>
      <c r="AA89" s="1">
        <v>1</v>
      </c>
      <c r="AB89" s="1">
        <v>57</v>
      </c>
      <c r="AC89" s="1">
        <v>850</v>
      </c>
      <c r="AD89">
        <v>0</v>
      </c>
      <c r="AE89" t="s">
        <v>597</v>
      </c>
      <c r="AF89" s="8" cm="1">
        <f t="array" aca="1" ref="AF89" ca="1">fScore_Total("ESPN",aCols)</f>
        <v>302.67985009799997</v>
      </c>
      <c r="AG89" s="8" cm="1">
        <f t="array" aca="1" ref="AG89" ca="1">-fScore_Total("diff",aCols)</f>
        <v>10.32985009799993</v>
      </c>
      <c r="AH89" s="8">
        <f t="shared" ca="1" si="2"/>
        <v>313.00970019599993</v>
      </c>
      <c r="AI89" s="8"/>
    </row>
    <row r="90" spans="1:35" x14ac:dyDescent="0.25">
      <c r="A90" t="s">
        <v>89</v>
      </c>
      <c r="B90" s="1" t="s">
        <v>601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61.306621530000001</v>
      </c>
      <c r="N90" s="1">
        <v>3.5</v>
      </c>
      <c r="O90" s="1">
        <v>4.001520663</v>
      </c>
      <c r="P90" s="1">
        <v>-0.50152066299999998</v>
      </c>
      <c r="Q90" s="1">
        <v>700.5</v>
      </c>
      <c r="R90" s="1">
        <v>919.87823170000001</v>
      </c>
      <c r="S90" s="1">
        <v>-219.37823169999999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157</v>
      </c>
      <c r="AB90" s="1">
        <v>1</v>
      </c>
      <c r="AC90" s="1">
        <v>20000</v>
      </c>
      <c r="AD90">
        <v>0</v>
      </c>
      <c r="AE90" t="s">
        <v>628</v>
      </c>
      <c r="AF90" s="8" cm="1">
        <f t="array" aca="1" ref="AF90" ca="1">fScore_Total("ESPN",aCols)</f>
        <v>146.65025791300002</v>
      </c>
      <c r="AG90" s="8" cm="1">
        <f t="array" aca="1" ref="AG90" ca="1">-fScore_Total("diff",aCols)</f>
        <v>24.946947148</v>
      </c>
      <c r="AH90" s="8">
        <f t="shared" ca="1" si="2"/>
        <v>171.59720506100001</v>
      </c>
      <c r="AI90" s="8"/>
    </row>
    <row r="91" spans="1:35" x14ac:dyDescent="0.25">
      <c r="A91" t="s">
        <v>90</v>
      </c>
      <c r="B91" s="1" t="s">
        <v>600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26.133256459999998</v>
      </c>
      <c r="N91" s="1">
        <v>0</v>
      </c>
      <c r="O91" s="1">
        <v>1.157663337</v>
      </c>
      <c r="P91" s="1">
        <v>0</v>
      </c>
      <c r="Q91" s="1">
        <v>0</v>
      </c>
      <c r="R91" s="1">
        <v>187.13879940000001</v>
      </c>
      <c r="S91" s="1">
        <v>0</v>
      </c>
      <c r="T91" s="1">
        <v>0</v>
      </c>
      <c r="U91" s="1">
        <v>7.5</v>
      </c>
      <c r="V91" s="1">
        <v>7.9519307560000003</v>
      </c>
      <c r="W91" s="1">
        <v>-0.45193075599999999</v>
      </c>
      <c r="X91" s="1">
        <v>675.5</v>
      </c>
      <c r="Y91" s="1">
        <v>721.54932970000004</v>
      </c>
      <c r="Z91" s="1">
        <v>-46.049329700000001</v>
      </c>
      <c r="AA91" s="1">
        <v>122</v>
      </c>
      <c r="AB91" s="1">
        <v>2</v>
      </c>
      <c r="AC91" s="1">
        <v>10000</v>
      </c>
      <c r="AD91">
        <v>0</v>
      </c>
      <c r="AF91" s="8" cm="1">
        <f t="array" aca="1" ref="AF91" ca="1">fScore_Total("ESPN",aCols)</f>
        <v>158.59300569800001</v>
      </c>
      <c r="AG91" s="8" cm="1">
        <f t="array" aca="1" ref="AG91" ca="1">-fScore_Total("diff",aCols)</f>
        <v>7.3165175060000003</v>
      </c>
      <c r="AH91" s="8">
        <f t="shared" ca="1" si="2"/>
        <v>165.90952320400001</v>
      </c>
      <c r="AI91" s="8"/>
    </row>
    <row r="92" spans="1:35" x14ac:dyDescent="0.25">
      <c r="A92" t="s">
        <v>91</v>
      </c>
      <c r="B92" s="1" t="s">
        <v>600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35.40437859</v>
      </c>
      <c r="N92" s="1">
        <v>0</v>
      </c>
      <c r="O92" s="1">
        <v>0.59429253900000001</v>
      </c>
      <c r="P92" s="1">
        <v>0</v>
      </c>
      <c r="Q92" s="1">
        <v>0</v>
      </c>
      <c r="R92" s="1">
        <v>225.85031190000001</v>
      </c>
      <c r="S92" s="1">
        <v>0</v>
      </c>
      <c r="T92" s="1">
        <v>0</v>
      </c>
      <c r="U92" s="1">
        <v>4.5</v>
      </c>
      <c r="V92" s="1">
        <v>4.5431478900000002</v>
      </c>
      <c r="W92" s="1">
        <v>-4.3147890000000098E-2</v>
      </c>
      <c r="X92" s="1">
        <v>725.5</v>
      </c>
      <c r="Y92" s="1">
        <v>786.84471199999996</v>
      </c>
      <c r="Z92" s="1">
        <v>-61.344711999999902</v>
      </c>
      <c r="AA92" s="1">
        <v>103</v>
      </c>
      <c r="AB92" s="1">
        <v>3</v>
      </c>
      <c r="AC92" s="1">
        <v>25000</v>
      </c>
      <c r="AD92">
        <v>0</v>
      </c>
      <c r="AF92" s="8" cm="1">
        <f t="array" aca="1" ref="AF92" ca="1">fScore_Total("ESPN",aCols)</f>
        <v>149.79633425899999</v>
      </c>
      <c r="AG92" s="8" cm="1">
        <f t="array" aca="1" ref="AG92" ca="1">-fScore_Total("diff",aCols)</f>
        <v>6.3933585399999906</v>
      </c>
      <c r="AH92" s="8">
        <f t="shared" ca="1" si="2"/>
        <v>156.18969279899997</v>
      </c>
      <c r="AI92" s="8"/>
    </row>
    <row r="93" spans="1:35" x14ac:dyDescent="0.25">
      <c r="A93" t="s">
        <v>92</v>
      </c>
      <c r="B93" s="1" t="s">
        <v>600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67.809652270000001</v>
      </c>
      <c r="N93" s="1">
        <v>0</v>
      </c>
      <c r="O93" s="1">
        <v>2.5328557580000002</v>
      </c>
      <c r="P93" s="1">
        <v>0</v>
      </c>
      <c r="Q93" s="1">
        <v>0</v>
      </c>
      <c r="R93" s="1">
        <v>546.66376809999997</v>
      </c>
      <c r="S93" s="1">
        <v>0</v>
      </c>
      <c r="T93" s="1">
        <v>0</v>
      </c>
      <c r="U93" s="1">
        <v>7.5</v>
      </c>
      <c r="V93" s="1">
        <v>7.9912310829999997</v>
      </c>
      <c r="W93" s="1">
        <v>-0.49123108299999901</v>
      </c>
      <c r="X93" s="1">
        <v>1050.5</v>
      </c>
      <c r="Y93" s="1">
        <v>1050.6708490000001</v>
      </c>
      <c r="Z93" s="1">
        <v>-0.17084900000008901</v>
      </c>
      <c r="AA93" s="1">
        <v>3</v>
      </c>
      <c r="AB93" s="1">
        <v>55</v>
      </c>
      <c r="AC93" s="1">
        <v>1500</v>
      </c>
      <c r="AD93">
        <v>0</v>
      </c>
      <c r="AF93" s="8" cm="1">
        <f t="array" aca="1" ref="AF93" ca="1">fScore_Total("ESPN",aCols)</f>
        <v>256.782808891</v>
      </c>
      <c r="AG93" s="8" cm="1">
        <f t="array" aca="1" ref="AG93" ca="1">-fScore_Total("diff",aCols)</f>
        <v>2.9644713980000028</v>
      </c>
      <c r="AH93" s="8">
        <f t="shared" ca="1" si="2"/>
        <v>259.747280289</v>
      </c>
      <c r="AI93" s="8"/>
    </row>
    <row r="94" spans="1:35" x14ac:dyDescent="0.25">
      <c r="A94" t="s">
        <v>93</v>
      </c>
      <c r="B94" s="1" t="s">
        <v>600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45.539737019999997</v>
      </c>
      <c r="N94" s="1">
        <v>0</v>
      </c>
      <c r="O94" s="1">
        <v>2.0231262490000002</v>
      </c>
      <c r="P94" s="1">
        <v>0</v>
      </c>
      <c r="Q94" s="1">
        <v>0</v>
      </c>
      <c r="R94" s="1">
        <v>290.25862460000002</v>
      </c>
      <c r="S94" s="1">
        <v>0</v>
      </c>
      <c r="T94" s="1">
        <v>0</v>
      </c>
      <c r="U94" s="1">
        <v>6.5</v>
      </c>
      <c r="V94" s="1">
        <v>8.139850891</v>
      </c>
      <c r="W94" s="1">
        <v>-1.639850891</v>
      </c>
      <c r="X94" s="1">
        <v>900.5</v>
      </c>
      <c r="Y94" s="1">
        <v>977.88022579999995</v>
      </c>
      <c r="Z94" s="1">
        <v>-77.380225799999906</v>
      </c>
      <c r="AA94" s="1">
        <v>16</v>
      </c>
      <c r="AB94" s="1">
        <v>40</v>
      </c>
      <c r="AC94" s="1">
        <v>10000</v>
      </c>
      <c r="AD94">
        <v>0</v>
      </c>
      <c r="AE94" t="s">
        <v>629</v>
      </c>
      <c r="AF94" s="8" cm="1">
        <f t="array" aca="1" ref="AF94" ca="1">fScore_Total("ESPN",aCols)</f>
        <v>210.56161638999998</v>
      </c>
      <c r="AG94" s="8" cm="1">
        <f t="array" aca="1" ref="AG94" ca="1">-fScore_Total("diff",aCols)</f>
        <v>17.577127925999992</v>
      </c>
      <c r="AH94" s="8">
        <f t="shared" ca="1" si="2"/>
        <v>228.13874431599999</v>
      </c>
      <c r="AI94" s="8"/>
    </row>
    <row r="95" spans="1:35" x14ac:dyDescent="0.25">
      <c r="A95" t="s">
        <v>94</v>
      </c>
      <c r="B95" s="1" t="s">
        <v>600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49.184254080000002</v>
      </c>
      <c r="N95" s="1">
        <v>0</v>
      </c>
      <c r="O95" s="1">
        <v>2.3650434319999998</v>
      </c>
      <c r="P95" s="1">
        <v>0</v>
      </c>
      <c r="Q95" s="1">
        <v>0</v>
      </c>
      <c r="R95" s="1">
        <v>406.6632836</v>
      </c>
      <c r="S95" s="1">
        <v>0</v>
      </c>
      <c r="T95" s="1">
        <v>0</v>
      </c>
      <c r="U95" s="1">
        <v>4.5</v>
      </c>
      <c r="V95" s="1">
        <v>4.3533574799999997</v>
      </c>
      <c r="W95" s="1">
        <v>0.14664252</v>
      </c>
      <c r="X95" s="1">
        <v>925.5</v>
      </c>
      <c r="Y95" s="1">
        <v>936.45471150000003</v>
      </c>
      <c r="Z95" s="1">
        <v>-10.9547115</v>
      </c>
      <c r="AA95" s="1">
        <v>29</v>
      </c>
      <c r="AB95" s="1">
        <v>28</v>
      </c>
      <c r="AC95" s="1">
        <v>7500</v>
      </c>
      <c r="AD95">
        <v>0</v>
      </c>
      <c r="AF95" s="8" cm="1">
        <f t="array" aca="1" ref="AF95" ca="1">fScore_Total("ESPN",aCols)</f>
        <v>199.21433202200001</v>
      </c>
      <c r="AG95" s="8" cm="1">
        <f t="array" aca="1" ref="AG95" ca="1">-fScore_Total("diff",aCols)</f>
        <v>0.21561603000000007</v>
      </c>
      <c r="AH95" s="8">
        <f t="shared" ca="1" si="2"/>
        <v>199.42994805200001</v>
      </c>
      <c r="AI95" s="8"/>
    </row>
    <row r="96" spans="1:35" x14ac:dyDescent="0.25">
      <c r="A96" t="s">
        <v>502</v>
      </c>
      <c r="B96" s="1" t="s">
        <v>600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46.714221819999999</v>
      </c>
      <c r="N96" s="1">
        <v>0</v>
      </c>
      <c r="O96" s="1">
        <v>1.1374301849999999</v>
      </c>
      <c r="P96" s="1">
        <v>0</v>
      </c>
      <c r="Q96" s="1">
        <v>0</v>
      </c>
      <c r="R96" s="1">
        <v>355.08533690000002</v>
      </c>
      <c r="S96" s="1">
        <v>0</v>
      </c>
      <c r="T96" s="1">
        <v>0</v>
      </c>
      <c r="U96" s="1">
        <v>6.5</v>
      </c>
      <c r="V96" s="1">
        <v>6.9697552719999996</v>
      </c>
      <c r="W96" s="1">
        <v>-0.469755271999999</v>
      </c>
      <c r="X96" s="1">
        <v>925.5</v>
      </c>
      <c r="Y96" s="1">
        <v>949.76684469999998</v>
      </c>
      <c r="Z96" s="1">
        <v>-24.266844699999901</v>
      </c>
      <c r="AA96" s="1">
        <v>17</v>
      </c>
      <c r="AB96" s="1">
        <v>38</v>
      </c>
      <c r="AC96" s="1">
        <v>7500</v>
      </c>
      <c r="AD96">
        <v>0</v>
      </c>
      <c r="AF96" s="8" cm="1">
        <f t="array" aca="1" ref="AF96" ca="1">fScore_Total("ESPN",aCols)</f>
        <v>202.485441812</v>
      </c>
      <c r="AG96" s="8" cm="1">
        <f t="array" aca="1" ref="AG96" ca="1">-fScore_Total("diff",aCols)</f>
        <v>5.2452161019999846</v>
      </c>
      <c r="AH96" s="8">
        <f t="shared" ca="1" si="2"/>
        <v>207.73065791399998</v>
      </c>
      <c r="AI96" s="8"/>
    </row>
    <row r="97" spans="1:35" x14ac:dyDescent="0.25">
      <c r="A97" t="s">
        <v>95</v>
      </c>
      <c r="B97" s="1" t="s">
        <v>600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53.416610759999998</v>
      </c>
      <c r="N97" s="1">
        <v>0</v>
      </c>
      <c r="O97" s="1">
        <v>1.7193246149999999</v>
      </c>
      <c r="P97" s="1">
        <v>0</v>
      </c>
      <c r="Q97" s="1">
        <v>0</v>
      </c>
      <c r="R97" s="1">
        <v>394.4979596</v>
      </c>
      <c r="S97" s="1">
        <v>0</v>
      </c>
      <c r="T97" s="1">
        <v>0</v>
      </c>
      <c r="U97" s="1">
        <v>5.5</v>
      </c>
      <c r="V97" s="1">
        <v>6.326910507</v>
      </c>
      <c r="W97" s="1">
        <v>-0.82691050700000002</v>
      </c>
      <c r="X97" s="1">
        <v>825.5</v>
      </c>
      <c r="Y97" s="1">
        <v>867.89192390000005</v>
      </c>
      <c r="Z97" s="1">
        <v>-42.391923900000002</v>
      </c>
      <c r="AA97" s="1">
        <v>25</v>
      </c>
      <c r="AB97" s="1">
        <v>31</v>
      </c>
      <c r="AC97" s="1">
        <v>10000</v>
      </c>
      <c r="AD97">
        <v>0</v>
      </c>
      <c r="AF97" s="8" cm="1">
        <f t="array" aca="1" ref="AF97" ca="1">fScore_Total("ESPN",aCols)</f>
        <v>201.22470446200001</v>
      </c>
      <c r="AG97" s="8" cm="1">
        <f t="array" aca="1" ref="AG97" ca="1">-fScore_Total("diff",aCols)</f>
        <v>9.2006554320000014</v>
      </c>
      <c r="AH97" s="8">
        <f t="shared" ca="1" si="2"/>
        <v>210.425359894</v>
      </c>
      <c r="AI97" s="8"/>
    </row>
    <row r="98" spans="1:35" x14ac:dyDescent="0.25">
      <c r="A98" t="s">
        <v>96</v>
      </c>
      <c r="B98" s="1" t="s">
        <v>600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64.239006430000003</v>
      </c>
      <c r="N98" s="1">
        <v>0</v>
      </c>
      <c r="O98" s="1">
        <v>4.1120716939999999</v>
      </c>
      <c r="P98" s="1">
        <v>0</v>
      </c>
      <c r="Q98" s="1">
        <v>0</v>
      </c>
      <c r="R98" s="1">
        <v>564.83436359999996</v>
      </c>
      <c r="S98" s="1">
        <v>0</v>
      </c>
      <c r="T98" s="1">
        <v>0</v>
      </c>
      <c r="U98" s="1">
        <v>6.5</v>
      </c>
      <c r="V98" s="1">
        <v>7.6910769060000002</v>
      </c>
      <c r="W98" s="1">
        <v>-1.1910769059999999</v>
      </c>
      <c r="X98" s="1">
        <v>1000.5</v>
      </c>
      <c r="Y98" s="1">
        <v>1031.6868710000001</v>
      </c>
      <c r="Z98" s="1">
        <v>-31.186871000000099</v>
      </c>
      <c r="AA98" s="1">
        <v>2</v>
      </c>
      <c r="AB98" s="1">
        <v>56</v>
      </c>
      <c r="AC98" s="1">
        <v>1800</v>
      </c>
      <c r="AD98">
        <v>0</v>
      </c>
      <c r="AE98" t="s">
        <v>629</v>
      </c>
      <c r="AF98" s="8" cm="1">
        <f t="array" aca="1" ref="AF98" ca="1">fScore_Total("ESPN",aCols)</f>
        <v>262.59051827500002</v>
      </c>
      <c r="AG98" s="8" cm="1">
        <f t="array" aca="1" ref="AG98" ca="1">-fScore_Total("diff",aCols)</f>
        <v>10.265148536000009</v>
      </c>
      <c r="AH98" s="8">
        <f t="shared" ca="1" si="2"/>
        <v>272.85566681100005</v>
      </c>
      <c r="AI98" s="8"/>
    </row>
    <row r="99" spans="1:35" x14ac:dyDescent="0.25">
      <c r="A99" t="s">
        <v>97</v>
      </c>
      <c r="B99" s="1" t="s">
        <v>600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35.432386080000001</v>
      </c>
      <c r="N99" s="1">
        <v>0</v>
      </c>
      <c r="O99" s="1">
        <v>0.77062700299999998</v>
      </c>
      <c r="P99" s="1">
        <v>0</v>
      </c>
      <c r="Q99" s="1">
        <v>0</v>
      </c>
      <c r="R99" s="1">
        <v>246.4936912</v>
      </c>
      <c r="S99" s="1">
        <v>0</v>
      </c>
      <c r="T99" s="1">
        <v>0</v>
      </c>
      <c r="U99" s="1">
        <v>4.5</v>
      </c>
      <c r="V99" s="1">
        <v>5.1548044009999998</v>
      </c>
      <c r="W99" s="1">
        <v>-0.65480440099999904</v>
      </c>
      <c r="X99" s="1">
        <v>800.5</v>
      </c>
      <c r="Y99" s="1">
        <v>865.02907019999998</v>
      </c>
      <c r="Z99" s="1">
        <v>-64.529070199999893</v>
      </c>
      <c r="AA99" s="1">
        <v>76</v>
      </c>
      <c r="AB99" s="1">
        <v>7</v>
      </c>
      <c r="AC99" s="1">
        <v>12000</v>
      </c>
      <c r="AD99">
        <v>0</v>
      </c>
      <c r="AE99" t="s">
        <v>656</v>
      </c>
      <c r="AF99" s="8" cm="1">
        <f t="array" aca="1" ref="AF99" ca="1">fScore_Total("ESPN",aCols)</f>
        <v>164.421057604</v>
      </c>
      <c r="AG99" s="8" cm="1">
        <f t="array" aca="1" ref="AG99" ca="1">-fScore_Total("diff",aCols)</f>
        <v>10.381733425999984</v>
      </c>
      <c r="AH99" s="8">
        <f t="shared" ca="1" si="2"/>
        <v>174.80279102999998</v>
      </c>
      <c r="AI99" s="8"/>
    </row>
    <row r="100" spans="1:35" x14ac:dyDescent="0.25">
      <c r="A100" t="s">
        <v>98</v>
      </c>
      <c r="B100" s="1" t="s">
        <v>600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46.52860012</v>
      </c>
      <c r="N100" s="1">
        <v>0</v>
      </c>
      <c r="O100" s="1">
        <v>2.5070768050000001</v>
      </c>
      <c r="P100" s="1">
        <v>0</v>
      </c>
      <c r="Q100" s="1">
        <v>0</v>
      </c>
      <c r="R100" s="1">
        <v>388.95538099999999</v>
      </c>
      <c r="S100" s="1">
        <v>0</v>
      </c>
      <c r="T100" s="1">
        <v>0</v>
      </c>
      <c r="U100" s="1">
        <v>7.5</v>
      </c>
      <c r="V100" s="1">
        <v>5.9582706099999996</v>
      </c>
      <c r="W100" s="1">
        <v>1.54172939</v>
      </c>
      <c r="X100" s="1">
        <v>750.5</v>
      </c>
      <c r="Y100" s="1">
        <v>750.38581859999999</v>
      </c>
      <c r="Z100" s="1">
        <v>0.114181400000006</v>
      </c>
      <c r="AA100" s="1">
        <v>43</v>
      </c>
      <c r="AB100" s="1">
        <v>19</v>
      </c>
      <c r="AC100" s="1">
        <v>6000</v>
      </c>
      <c r="AD100">
        <v>0</v>
      </c>
      <c r="AF100" s="8" cm="1">
        <f t="array" aca="1" ref="AF100" ca="1">fScore_Total("ESPN",aCols)</f>
        <v>187.99050450999999</v>
      </c>
      <c r="AG100" s="8" cm="1">
        <f t="array" aca="1" ref="AG100" ca="1">-fScore_Total("diff",aCols)</f>
        <v>-9.2617944799999989</v>
      </c>
      <c r="AH100" s="8">
        <f t="shared" ca="1" si="2"/>
        <v>178.72871003</v>
      </c>
      <c r="AI100" s="8"/>
    </row>
    <row r="101" spans="1:35" x14ac:dyDescent="0.25">
      <c r="A101" t="s">
        <v>99</v>
      </c>
      <c r="B101" s="1" t="s">
        <v>600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42.383458959999999</v>
      </c>
      <c r="N101" s="1">
        <v>0</v>
      </c>
      <c r="O101" s="1">
        <v>2.890640619</v>
      </c>
      <c r="P101" s="1">
        <v>0</v>
      </c>
      <c r="Q101" s="1">
        <v>0</v>
      </c>
      <c r="R101" s="1">
        <v>297.29852940000001</v>
      </c>
      <c r="S101" s="1">
        <v>0</v>
      </c>
      <c r="T101" s="1">
        <v>0</v>
      </c>
      <c r="U101" s="1">
        <v>5.5</v>
      </c>
      <c r="V101" s="1">
        <v>6.6785939599999997</v>
      </c>
      <c r="W101" s="1">
        <v>-1.1785939599999899</v>
      </c>
      <c r="X101" s="1">
        <v>850.5</v>
      </c>
      <c r="Y101" s="1">
        <v>883.74116670000001</v>
      </c>
      <c r="Z101" s="1">
        <v>-33.241166700000001</v>
      </c>
      <c r="AA101" s="1">
        <v>30</v>
      </c>
      <c r="AB101" s="1">
        <v>27</v>
      </c>
      <c r="AC101" s="1">
        <v>15000</v>
      </c>
      <c r="AD101">
        <v>0</v>
      </c>
      <c r="AE101" t="s">
        <v>629</v>
      </c>
      <c r="AF101" s="8" cm="1">
        <f t="array" aca="1" ref="AF101" ca="1">fScore_Total("ESPN",aCols)</f>
        <v>196.711106564</v>
      </c>
      <c r="AG101" s="8" cm="1">
        <f t="array" aca="1" ref="AG101" ca="1">-fScore_Total("diff",aCols)</f>
        <v>10.39568042999994</v>
      </c>
      <c r="AH101" s="8">
        <f t="shared" ca="1" si="2"/>
        <v>207.10678699399995</v>
      </c>
      <c r="AI101" s="8"/>
    </row>
    <row r="102" spans="1:35" x14ac:dyDescent="0.25">
      <c r="A102" t="s">
        <v>100</v>
      </c>
      <c r="B102" s="1" t="s">
        <v>600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43.074783099999998</v>
      </c>
      <c r="N102" s="1">
        <v>0</v>
      </c>
      <c r="O102" s="1">
        <v>1.8506261129999999</v>
      </c>
      <c r="P102" s="1">
        <v>0</v>
      </c>
      <c r="Q102" s="1">
        <v>0</v>
      </c>
      <c r="R102" s="1">
        <v>342.40449100000001</v>
      </c>
      <c r="S102" s="1">
        <v>0</v>
      </c>
      <c r="T102" s="1">
        <v>0</v>
      </c>
      <c r="U102" s="1">
        <v>5.5</v>
      </c>
      <c r="V102" s="1">
        <v>4.4110879130000002</v>
      </c>
      <c r="W102" s="1">
        <v>1.08891208699999</v>
      </c>
      <c r="X102" s="1">
        <v>750.5</v>
      </c>
      <c r="Y102" s="1">
        <v>740.86488940000004</v>
      </c>
      <c r="Z102" s="1">
        <v>9.63511059999996</v>
      </c>
      <c r="AA102" s="1">
        <v>75</v>
      </c>
      <c r="AB102" s="1">
        <v>7</v>
      </c>
      <c r="AC102" s="1">
        <v>12000</v>
      </c>
      <c r="AD102">
        <v>0</v>
      </c>
      <c r="AF102" s="8" cm="1">
        <f t="array" aca="1" ref="AF102" ca="1">fScore_Total("ESPN",aCols)</f>
        <v>167.43461374600003</v>
      </c>
      <c r="AG102" s="8" cm="1">
        <f t="array" aca="1" ref="AG102" ca="1">-fScore_Total("diff",aCols)</f>
        <v>-7.4969835819999364</v>
      </c>
      <c r="AH102" s="8">
        <f t="shared" ca="1" si="2"/>
        <v>159.9376301640001</v>
      </c>
      <c r="AI102" s="8"/>
    </row>
    <row r="103" spans="1:35" x14ac:dyDescent="0.25">
      <c r="A103" t="s">
        <v>101</v>
      </c>
      <c r="B103" s="1" t="s">
        <v>600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32.112571469999999</v>
      </c>
      <c r="N103" s="1">
        <v>0</v>
      </c>
      <c r="O103" s="1">
        <v>1.0913945570000001</v>
      </c>
      <c r="P103" s="1">
        <v>0</v>
      </c>
      <c r="Q103" s="1">
        <v>0</v>
      </c>
      <c r="R103" s="1">
        <v>216.69744789999999</v>
      </c>
      <c r="S103" s="1">
        <v>0</v>
      </c>
      <c r="T103" s="1">
        <v>0</v>
      </c>
      <c r="U103" s="1">
        <v>0</v>
      </c>
      <c r="V103" s="1">
        <v>6.3405723570000001</v>
      </c>
      <c r="W103" s="1">
        <v>0</v>
      </c>
      <c r="X103" s="1">
        <v>575.5</v>
      </c>
      <c r="Y103" s="1">
        <v>751.39517520000004</v>
      </c>
      <c r="Z103" s="1">
        <v>-175.89517520000001</v>
      </c>
      <c r="AA103" s="1">
        <v>123</v>
      </c>
      <c r="AB103" s="1">
        <v>2</v>
      </c>
      <c r="AC103" s="1">
        <v>25000</v>
      </c>
      <c r="AD103">
        <v>0</v>
      </c>
      <c r="AE103" t="s">
        <v>630</v>
      </c>
      <c r="AF103" s="8" cm="1">
        <f t="array" aca="1" ref="AF103" ca="1">fScore_Total("ESPN",aCols)</f>
        <v>157.457349529</v>
      </c>
      <c r="AG103" s="8" cm="1">
        <f t="array" aca="1" ref="AG103" ca="1">-fScore_Total("diff",aCols)</f>
        <v>17.589517520000001</v>
      </c>
      <c r="AH103" s="8">
        <f t="shared" ca="1" si="2"/>
        <v>175.04686704900001</v>
      </c>
      <c r="AI103" s="8"/>
    </row>
    <row r="104" spans="1:35" x14ac:dyDescent="0.25">
      <c r="A104" t="s">
        <v>102</v>
      </c>
      <c r="B104" s="1" t="s">
        <v>600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  <c r="M104" s="1">
        <v>66.744717949999995</v>
      </c>
      <c r="N104" s="1">
        <v>0</v>
      </c>
      <c r="O104" s="1">
        <v>1.8198991959999999</v>
      </c>
      <c r="P104" s="1">
        <v>0</v>
      </c>
      <c r="Q104" s="1">
        <v>0</v>
      </c>
      <c r="R104" s="1">
        <v>487.77775300000002</v>
      </c>
      <c r="S104" s="1">
        <v>0</v>
      </c>
      <c r="T104" s="1">
        <v>0</v>
      </c>
      <c r="U104" s="1">
        <v>4.5</v>
      </c>
      <c r="V104" s="1">
        <v>4.6248622360000002</v>
      </c>
      <c r="W104" s="1">
        <v>-0.124862236</v>
      </c>
      <c r="X104" s="1">
        <v>625.5</v>
      </c>
      <c r="Y104" s="1">
        <v>749.61311590000003</v>
      </c>
      <c r="Z104" s="1">
        <v>-124.1131159</v>
      </c>
      <c r="AA104" s="1">
        <v>28</v>
      </c>
      <c r="AB104" s="1">
        <v>29</v>
      </c>
      <c r="AC104" s="1">
        <v>10000</v>
      </c>
      <c r="AD104">
        <v>0</v>
      </c>
      <c r="AE104" t="s">
        <v>631</v>
      </c>
      <c r="AF104" s="8" cm="1">
        <f t="array" aca="1" ref="AF104" ca="1">fScore_Total("ESPN",aCols)</f>
        <v>195.78001445699999</v>
      </c>
      <c r="AG104" s="8" cm="1">
        <f t="array" aca="1" ref="AG104" ca="1">-fScore_Total("diff",aCols)</f>
        <v>13.160485006</v>
      </c>
      <c r="AH104" s="8">
        <f t="shared" ca="1" si="2"/>
        <v>208.94049946299998</v>
      </c>
      <c r="AI104" s="8"/>
    </row>
    <row r="105" spans="1:35" x14ac:dyDescent="0.25">
      <c r="A105" t="s">
        <v>103</v>
      </c>
      <c r="B105" s="1" t="s">
        <v>600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  <c r="M105" s="1">
        <v>41.116514629999998</v>
      </c>
      <c r="N105" s="1">
        <v>0</v>
      </c>
      <c r="O105" s="1">
        <v>1.4447078019999999</v>
      </c>
      <c r="P105" s="1">
        <v>0</v>
      </c>
      <c r="Q105" s="1">
        <v>0</v>
      </c>
      <c r="R105" s="1">
        <v>318.48329180000002</v>
      </c>
      <c r="S105" s="1">
        <v>0</v>
      </c>
      <c r="T105" s="1">
        <v>0</v>
      </c>
      <c r="U105" s="1">
        <v>8.5</v>
      </c>
      <c r="V105" s="1">
        <v>9.7583420160000003</v>
      </c>
      <c r="W105" s="1">
        <v>-1.2583420160000001</v>
      </c>
      <c r="X105" s="1">
        <v>1075.5</v>
      </c>
      <c r="Y105" s="1">
        <v>1179.9614019999999</v>
      </c>
      <c r="Z105" s="1">
        <v>-104.461401999999</v>
      </c>
      <c r="AA105" s="1">
        <v>9</v>
      </c>
      <c r="AB105" s="1">
        <v>51</v>
      </c>
      <c r="AC105" s="1">
        <v>2800</v>
      </c>
      <c r="AD105">
        <v>0</v>
      </c>
      <c r="AE105" t="s">
        <v>632</v>
      </c>
      <c r="AF105" s="8" cm="1">
        <f t="array" aca="1" ref="AF105" ca="1">fScore_Total("ESPN",aCols)</f>
        <v>237.62102560300002</v>
      </c>
      <c r="AG105" s="8" cm="1">
        <f t="array" aca="1" ref="AG105" ca="1">-fScore_Total("diff",aCols)</f>
        <v>17.996192295999901</v>
      </c>
      <c r="AH105" s="8">
        <f t="shared" ca="1" si="2"/>
        <v>255.61721789899991</v>
      </c>
      <c r="AI105" s="8"/>
    </row>
    <row r="106" spans="1:35" x14ac:dyDescent="0.25">
      <c r="A106" t="s">
        <v>104</v>
      </c>
      <c r="B106" s="1" t="s">
        <v>600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45.989852370000001</v>
      </c>
      <c r="N106" s="1">
        <v>0</v>
      </c>
      <c r="O106" s="1">
        <v>2.376675831</v>
      </c>
      <c r="P106" s="1">
        <v>0</v>
      </c>
      <c r="Q106" s="1">
        <v>0</v>
      </c>
      <c r="R106" s="1">
        <v>360.41945779999998</v>
      </c>
      <c r="S106" s="1">
        <v>0</v>
      </c>
      <c r="T106" s="1">
        <v>0</v>
      </c>
      <c r="U106" s="1">
        <v>7.5</v>
      </c>
      <c r="V106" s="1">
        <v>8.7709054769999995</v>
      </c>
      <c r="W106" s="1">
        <v>-1.2709054769999899</v>
      </c>
      <c r="X106" s="1">
        <v>1000.5</v>
      </c>
      <c r="Y106" s="1">
        <v>1043.636074</v>
      </c>
      <c r="Z106" s="1">
        <v>-43.136074000000001</v>
      </c>
      <c r="AA106" s="1">
        <v>10</v>
      </c>
      <c r="AB106" s="1">
        <v>50</v>
      </c>
      <c r="AC106" s="1">
        <v>2200</v>
      </c>
      <c r="AD106">
        <v>0</v>
      </c>
      <c r="AE106" t="s">
        <v>629</v>
      </c>
      <c r="AF106" s="8" cm="1">
        <f t="array" aca="1" ref="AF106" ca="1">fScore_Total("ESPN",aCols)</f>
        <v>230.28596721299999</v>
      </c>
      <c r="AG106" s="8" cm="1">
        <f t="array" aca="1" ref="AG106" ca="1">-fScore_Total("diff",aCols)</f>
        <v>11.93904026199994</v>
      </c>
      <c r="AH106" s="8">
        <f t="shared" ca="1" si="2"/>
        <v>242.22500747499993</v>
      </c>
      <c r="AI106" s="8"/>
    </row>
    <row r="107" spans="1:35" x14ac:dyDescent="0.25">
      <c r="A107" t="s">
        <v>105</v>
      </c>
      <c r="B107" s="1" t="s">
        <v>600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  <c r="M107" s="1">
        <v>37.347418439999998</v>
      </c>
      <c r="N107" s="1">
        <v>0</v>
      </c>
      <c r="O107" s="1">
        <v>1.353942628</v>
      </c>
      <c r="P107" s="1">
        <v>0</v>
      </c>
      <c r="Q107" s="1">
        <v>0</v>
      </c>
      <c r="R107" s="1">
        <v>287.2851781</v>
      </c>
      <c r="S107" s="1">
        <v>0</v>
      </c>
      <c r="T107" s="1">
        <v>0</v>
      </c>
      <c r="U107" s="1">
        <v>7.5</v>
      </c>
      <c r="V107" s="1">
        <v>6.6262525170000002</v>
      </c>
      <c r="W107" s="1">
        <v>0.87374748299999905</v>
      </c>
      <c r="X107" s="1">
        <v>925.5</v>
      </c>
      <c r="Y107" s="1">
        <v>945.47959600000002</v>
      </c>
      <c r="Z107" s="1">
        <v>-19.979596000000001</v>
      </c>
      <c r="AA107" s="1">
        <v>41</v>
      </c>
      <c r="AB107" s="1">
        <v>21</v>
      </c>
      <c r="AC107" s="1">
        <v>12000</v>
      </c>
      <c r="AD107">
        <v>0</v>
      </c>
      <c r="AF107" s="8" cm="1">
        <f t="array" aca="1" ref="AF107" ca="1">fScore_Total("ESPN",aCols)</f>
        <v>189.83135750000002</v>
      </c>
      <c r="AG107" s="8" cm="1">
        <f t="array" aca="1" ref="AG107" ca="1">-fScore_Total("diff",aCols)</f>
        <v>-3.2445252979999943</v>
      </c>
      <c r="AH107" s="8">
        <f t="shared" ca="1" si="2"/>
        <v>186.58683220200004</v>
      </c>
      <c r="AI107" s="8"/>
    </row>
    <row r="108" spans="1:35" x14ac:dyDescent="0.25">
      <c r="A108" t="s">
        <v>106</v>
      </c>
      <c r="B108" s="1" t="s">
        <v>600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L108" s="1">
        <v>0</v>
      </c>
      <c r="M108" s="1">
        <v>27.211011379999999</v>
      </c>
      <c r="N108" s="1">
        <v>0</v>
      </c>
      <c r="O108" s="1">
        <v>1.1121721499999999</v>
      </c>
      <c r="P108" s="1">
        <v>0</v>
      </c>
      <c r="Q108" s="1">
        <v>0</v>
      </c>
      <c r="R108" s="1">
        <v>223.12639250000001</v>
      </c>
      <c r="S108" s="1">
        <v>0</v>
      </c>
      <c r="T108" s="1">
        <v>0</v>
      </c>
      <c r="U108" s="1">
        <v>10.5</v>
      </c>
      <c r="V108" s="1">
        <v>11.47637742</v>
      </c>
      <c r="W108" s="1">
        <v>-0.97637742000000005</v>
      </c>
      <c r="X108" s="1">
        <v>975.5</v>
      </c>
      <c r="Y108" s="1">
        <v>1059.4162940000001</v>
      </c>
      <c r="Z108" s="1">
        <v>-83.916294000000093</v>
      </c>
      <c r="AA108" s="1">
        <v>24</v>
      </c>
      <c r="AB108" s="1">
        <v>32</v>
      </c>
      <c r="AC108" s="1">
        <v>5000</v>
      </c>
      <c r="AD108">
        <v>0</v>
      </c>
      <c r="AE108" t="s">
        <v>633</v>
      </c>
      <c r="AF108" s="8" cm="1">
        <f t="array" aca="1" ref="AF108" ca="1">fScore_Total("ESPN",aCols)</f>
        <v>217.39107176000002</v>
      </c>
      <c r="AG108" s="8" cm="1">
        <f t="array" aca="1" ref="AG108" ca="1">-fScore_Total("diff",aCols)</f>
        <v>14.249893920000011</v>
      </c>
      <c r="AH108" s="8">
        <f t="shared" ca="1" si="2"/>
        <v>231.64096568000002</v>
      </c>
      <c r="AI108" s="8"/>
    </row>
    <row r="109" spans="1:35" x14ac:dyDescent="0.25">
      <c r="A109" t="s">
        <v>107</v>
      </c>
      <c r="B109" s="1" t="s">
        <v>600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  <c r="M109" s="1">
        <v>34.83517166</v>
      </c>
      <c r="N109" s="1">
        <v>0</v>
      </c>
      <c r="O109" s="1">
        <v>1.3879416330000001</v>
      </c>
      <c r="P109" s="1">
        <v>0</v>
      </c>
      <c r="Q109" s="1">
        <v>0</v>
      </c>
      <c r="R109" s="1">
        <v>249.2433667</v>
      </c>
      <c r="S109" s="1">
        <v>0</v>
      </c>
      <c r="T109" s="1">
        <v>0</v>
      </c>
      <c r="U109" s="1">
        <v>5.5</v>
      </c>
      <c r="V109" s="1">
        <v>5.1341183260000003</v>
      </c>
      <c r="W109" s="1">
        <v>0.36588167399999899</v>
      </c>
      <c r="X109" s="1">
        <v>725.5</v>
      </c>
      <c r="Y109" s="1">
        <v>832.16463940000006</v>
      </c>
      <c r="Z109" s="1">
        <v>-106.6646394</v>
      </c>
      <c r="AA109" s="1">
        <v>72</v>
      </c>
      <c r="AB109" s="1">
        <v>8</v>
      </c>
      <c r="AC109" s="1">
        <v>12000</v>
      </c>
      <c r="AD109">
        <v>0</v>
      </c>
      <c r="AF109" s="8" cm="1">
        <f t="array" aca="1" ref="AF109" ca="1">fScore_Total("ESPN",aCols)</f>
        <v>164.69074619400001</v>
      </c>
      <c r="AG109" s="8" cm="1">
        <f t="array" aca="1" ref="AG109" ca="1">-fScore_Total("diff",aCols)</f>
        <v>8.4711738960000069</v>
      </c>
      <c r="AH109" s="8">
        <f t="shared" ca="1" si="2"/>
        <v>173.16192009000002</v>
      </c>
      <c r="AI109" s="8"/>
    </row>
    <row r="110" spans="1:35" x14ac:dyDescent="0.25">
      <c r="A110" t="s">
        <v>108</v>
      </c>
      <c r="B110" s="1" t="s">
        <v>600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38.096092839999997</v>
      </c>
      <c r="N110" s="1">
        <v>0</v>
      </c>
      <c r="O110" s="1">
        <v>1.012277154</v>
      </c>
      <c r="P110" s="1">
        <v>0</v>
      </c>
      <c r="Q110" s="1">
        <v>0</v>
      </c>
      <c r="R110" s="1">
        <v>245.30708720000001</v>
      </c>
      <c r="S110" s="1">
        <v>0</v>
      </c>
      <c r="T110" s="1">
        <v>0</v>
      </c>
      <c r="U110" s="1">
        <v>5.5</v>
      </c>
      <c r="V110" s="1">
        <v>4.99276389</v>
      </c>
      <c r="W110" s="1">
        <v>0.50723611000000002</v>
      </c>
      <c r="X110" s="1">
        <v>775.5</v>
      </c>
      <c r="Y110" s="1">
        <v>726.84873560000005</v>
      </c>
      <c r="Z110" s="1">
        <v>48.651264399999903</v>
      </c>
      <c r="AA110" s="1">
        <v>101</v>
      </c>
      <c r="AB110" s="1">
        <v>3</v>
      </c>
      <c r="AC110" s="1">
        <v>15000</v>
      </c>
      <c r="AD110">
        <v>0</v>
      </c>
      <c r="AF110" s="8" cm="1">
        <f t="array" aca="1" ref="AF110" ca="1">fScore_Total("ESPN",aCols)</f>
        <v>152.293874964</v>
      </c>
      <c r="AG110" s="8" cm="1">
        <f t="array" aca="1" ref="AG110" ca="1">-fScore_Total("diff",aCols)</f>
        <v>-7.9085430999999904</v>
      </c>
      <c r="AH110" s="8">
        <f t="shared" ca="1" si="2"/>
        <v>144.38533186399999</v>
      </c>
      <c r="AI110" s="8"/>
    </row>
    <row r="111" spans="1:35" x14ac:dyDescent="0.25">
      <c r="A111" t="s">
        <v>109</v>
      </c>
      <c r="B111" s="1" t="s">
        <v>600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30.33810716</v>
      </c>
      <c r="N111" s="1">
        <v>0</v>
      </c>
      <c r="O111" s="1">
        <v>1.050770626</v>
      </c>
      <c r="P111" s="1">
        <v>0</v>
      </c>
      <c r="Q111" s="1">
        <v>0</v>
      </c>
      <c r="R111" s="1">
        <v>206.464438</v>
      </c>
      <c r="S111" s="1">
        <v>0</v>
      </c>
      <c r="T111" s="1">
        <v>0</v>
      </c>
      <c r="U111" s="1">
        <v>6.5</v>
      </c>
      <c r="V111" s="1">
        <v>5.5886702059999998</v>
      </c>
      <c r="W111" s="1">
        <v>0.91132979400000003</v>
      </c>
      <c r="X111" s="1">
        <v>700.5</v>
      </c>
      <c r="Y111" s="1">
        <v>646.81570150000005</v>
      </c>
      <c r="Z111" s="1">
        <v>53.684298499999898</v>
      </c>
      <c r="AA111" s="1">
        <v>126</v>
      </c>
      <c r="AB111" s="1">
        <v>2</v>
      </c>
      <c r="AC111" s="1">
        <v>0</v>
      </c>
      <c r="AD111">
        <v>0</v>
      </c>
      <c r="AE111" t="s">
        <v>598</v>
      </c>
      <c r="AF111" s="8" cm="1">
        <f t="array" aca="1" ref="AF111" ca="1">fScore_Total("ESPN",aCols)</f>
        <v>140.33371252200001</v>
      </c>
      <c r="AG111" s="8" cm="1">
        <f t="array" aca="1" ref="AG111" ca="1">-fScore_Total("diff",aCols)</f>
        <v>-10.836408613999989</v>
      </c>
      <c r="AH111" s="8">
        <f t="shared" ca="1" si="2"/>
        <v>129.49730390800002</v>
      </c>
      <c r="AI111" s="8"/>
    </row>
    <row r="112" spans="1:35" x14ac:dyDescent="0.25">
      <c r="A112" t="s">
        <v>110</v>
      </c>
      <c r="B112" s="1" t="s">
        <v>601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62.5</v>
      </c>
      <c r="M112" s="1">
        <v>60.287813890000002</v>
      </c>
      <c r="N112" s="1">
        <v>0</v>
      </c>
      <c r="O112" s="1">
        <v>3.6180741749999998</v>
      </c>
      <c r="P112" s="1">
        <v>0</v>
      </c>
      <c r="Q112" s="1">
        <v>0</v>
      </c>
      <c r="R112" s="1">
        <v>721.44764239999995</v>
      </c>
      <c r="S112" s="1">
        <v>0</v>
      </c>
      <c r="T112" s="1">
        <v>2.21218610999999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176</v>
      </c>
      <c r="AB112" s="1">
        <v>1</v>
      </c>
      <c r="AC112" s="1">
        <v>20000</v>
      </c>
      <c r="AD112">
        <v>0</v>
      </c>
      <c r="AF112" s="8" cm="1">
        <f t="array" aca="1" ref="AF112" ca="1">fScore_Total("ESPN",aCols)</f>
        <v>123.99711623499999</v>
      </c>
      <c r="AG112" s="8" cm="1">
        <f t="array" aca="1" ref="AG112" ca="1">-fScore_Total("diff",aCols)</f>
        <v>-1.106093054999995</v>
      </c>
      <c r="AH112" s="8">
        <f t="shared" ca="1" si="2"/>
        <v>122.89102318</v>
      </c>
      <c r="AI112" s="8"/>
    </row>
    <row r="113" spans="1:35" x14ac:dyDescent="0.25">
      <c r="A113" t="s">
        <v>215</v>
      </c>
      <c r="B113" s="1" t="s">
        <v>602</v>
      </c>
      <c r="C113" s="1">
        <v>0</v>
      </c>
      <c r="D113" s="1">
        <v>11.613497539999999</v>
      </c>
      <c r="E113" s="1">
        <v>0</v>
      </c>
      <c r="F113" s="1">
        <v>0</v>
      </c>
      <c r="G113" s="1">
        <v>14.73616605</v>
      </c>
      <c r="H113" s="1">
        <v>0</v>
      </c>
      <c r="I113" s="1">
        <v>0</v>
      </c>
      <c r="J113" s="1">
        <v>2981.9095109999998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2.2381924789999998</v>
      </c>
      <c r="W113" s="1">
        <v>0</v>
      </c>
      <c r="X113" s="1">
        <v>0</v>
      </c>
      <c r="Y113" s="1">
        <v>288.20537300000001</v>
      </c>
      <c r="Z113" s="1">
        <v>0</v>
      </c>
      <c r="AA113" s="1">
        <v>386</v>
      </c>
      <c r="AB113" s="1">
        <v>0</v>
      </c>
      <c r="AC113" s="1">
        <v>30000</v>
      </c>
      <c r="AD113">
        <v>1300</v>
      </c>
      <c r="AF113" s="8" cm="1">
        <f t="array" aca="1" ref="AF113" ca="1">fScore_Total("ESPN",aCols)</f>
        <v>197.24374173400003</v>
      </c>
      <c r="AG113" s="8" cm="1">
        <f t="array" aca="1" ref="AG113" ca="1">-fScore_Total("diff",aCols)</f>
        <v>0</v>
      </c>
      <c r="AH113" s="8">
        <f t="shared" ca="1" si="2"/>
        <v>197.24374173400003</v>
      </c>
      <c r="AI113" s="8"/>
    </row>
    <row r="114" spans="1:35" x14ac:dyDescent="0.25">
      <c r="A114" t="s">
        <v>474</v>
      </c>
      <c r="B114" s="1" t="s">
        <v>601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82.118358749999999</v>
      </c>
      <c r="N114" s="1">
        <v>0</v>
      </c>
      <c r="O114" s="1">
        <v>5.455459179</v>
      </c>
      <c r="P114" s="1">
        <v>0</v>
      </c>
      <c r="Q114" s="1">
        <v>0</v>
      </c>
      <c r="R114" s="1">
        <v>1081.76729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27</v>
      </c>
      <c r="AB114" s="1">
        <v>30</v>
      </c>
      <c r="AC114" s="1">
        <v>15000</v>
      </c>
      <c r="AD114">
        <v>1400</v>
      </c>
      <c r="AF114" s="8" cm="1">
        <f t="array" aca="1" ref="AF114" ca="1">fScore_Total("ESPN",aCols)</f>
        <v>181.96866344900002</v>
      </c>
      <c r="AG114" s="8" cm="1">
        <f t="array" aca="1" ref="AG114" ca="1">-fScore_Total("diff",aCols)</f>
        <v>0</v>
      </c>
      <c r="AH114" s="8">
        <f t="shared" ca="1" si="2"/>
        <v>181.96866344900002</v>
      </c>
      <c r="AI114" s="8"/>
    </row>
    <row r="115" spans="1:35" x14ac:dyDescent="0.25">
      <c r="A115" t="s">
        <v>131</v>
      </c>
      <c r="B115" s="1" t="s">
        <v>601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46.32229616</v>
      </c>
      <c r="N115" s="1">
        <v>0</v>
      </c>
      <c r="O115" s="1">
        <v>3.3865076809999999</v>
      </c>
      <c r="P115" s="1">
        <v>0</v>
      </c>
      <c r="Q115" s="1">
        <v>0</v>
      </c>
      <c r="R115" s="1">
        <v>643.93015339999999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180</v>
      </c>
      <c r="AB115" s="1">
        <v>1</v>
      </c>
      <c r="AC115" s="1">
        <v>30000</v>
      </c>
      <c r="AD115">
        <v>7500</v>
      </c>
      <c r="AF115" s="8" cm="1">
        <f t="array" aca="1" ref="AF115" ca="1">fScore_Total("ESPN",aCols)</f>
        <v>107.87320950600001</v>
      </c>
      <c r="AG115" s="8" cm="1">
        <f t="array" aca="1" ref="AG115" ca="1">-fScore_Total("diff",aCols)</f>
        <v>0</v>
      </c>
      <c r="AH115" s="8">
        <f t="shared" ca="1" si="2"/>
        <v>107.87320950600001</v>
      </c>
      <c r="AI115" s="8"/>
    </row>
    <row r="116" spans="1:35" x14ac:dyDescent="0.25">
      <c r="A116" t="s">
        <v>151</v>
      </c>
      <c r="B116" s="1" t="s">
        <v>601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  <c r="M116" s="1">
        <v>26.595938690000001</v>
      </c>
      <c r="N116" s="1">
        <v>0</v>
      </c>
      <c r="O116" s="1">
        <v>2.447325781</v>
      </c>
      <c r="P116" s="1">
        <v>0</v>
      </c>
      <c r="Q116" s="1">
        <v>0</v>
      </c>
      <c r="R116" s="1">
        <v>353.94364789999997</v>
      </c>
      <c r="S116" s="1">
        <v>0</v>
      </c>
      <c r="T116" s="1">
        <v>0</v>
      </c>
      <c r="U116" s="1">
        <v>0</v>
      </c>
      <c r="V116" s="1">
        <v>0.27210471000000003</v>
      </c>
      <c r="W116" s="1">
        <v>0</v>
      </c>
      <c r="X116" s="1">
        <v>0</v>
      </c>
      <c r="Y116" s="1">
        <v>29.02334024</v>
      </c>
      <c r="Z116" s="1">
        <v>0</v>
      </c>
      <c r="AA116" s="1">
        <v>371</v>
      </c>
      <c r="AB116" s="1">
        <v>0</v>
      </c>
      <c r="AC116" s="1">
        <v>0</v>
      </c>
      <c r="AD116">
        <v>7500</v>
      </c>
      <c r="AF116" s="8" cm="1">
        <f t="array" aca="1" ref="AF116" ca="1">fScore_Total("ESPN",aCols)</f>
        <v>67.911251104999991</v>
      </c>
      <c r="AG116" s="8" cm="1">
        <f t="array" aca="1" ref="AG116" ca="1">-fScore_Total("diff",aCols)</f>
        <v>0</v>
      </c>
      <c r="AH116" s="8">
        <f t="shared" ca="1" si="2"/>
        <v>67.911251104999991</v>
      </c>
      <c r="AI116" s="8"/>
    </row>
    <row r="117" spans="1:35" x14ac:dyDescent="0.25">
      <c r="A117" t="s">
        <v>191</v>
      </c>
      <c r="B117" s="1" t="s">
        <v>601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30.200935479999998</v>
      </c>
      <c r="N117" s="1">
        <v>0</v>
      </c>
      <c r="O117" s="1">
        <v>2.1411307220000002</v>
      </c>
      <c r="P117" s="1">
        <v>0</v>
      </c>
      <c r="Q117" s="1">
        <v>0</v>
      </c>
      <c r="R117" s="1">
        <v>335.4916581</v>
      </c>
      <c r="S117" s="1">
        <v>0</v>
      </c>
      <c r="T117" s="1">
        <v>0</v>
      </c>
      <c r="U117" s="1">
        <v>0</v>
      </c>
      <c r="V117" s="1">
        <v>0.45243169300000002</v>
      </c>
      <c r="W117" s="1">
        <v>0</v>
      </c>
      <c r="X117" s="1">
        <v>0</v>
      </c>
      <c r="Y117" s="1">
        <v>53.973695450000001</v>
      </c>
      <c r="Z117" s="1">
        <v>0</v>
      </c>
      <c r="AA117" s="1">
        <v>333</v>
      </c>
      <c r="AB117" s="1">
        <v>0</v>
      </c>
      <c r="AC117" s="1">
        <v>0</v>
      </c>
      <c r="AD117">
        <v>7500</v>
      </c>
      <c r="AF117" s="8" cm="1">
        <f t="array" aca="1" ref="AF117" ca="1">fScore_Total("ESPN",aCols)</f>
        <v>69.608377584999999</v>
      </c>
      <c r="AG117" s="8" cm="1">
        <f t="array" aca="1" ref="AG117" ca="1">-fScore_Total("diff",aCols)</f>
        <v>0</v>
      </c>
      <c r="AH117" s="8">
        <f t="shared" ca="1" si="2"/>
        <v>69.608377584999999</v>
      </c>
      <c r="AI117" s="8"/>
    </row>
    <row r="118" spans="1:35" x14ac:dyDescent="0.25">
      <c r="A118" t="s">
        <v>115</v>
      </c>
      <c r="B118" s="1" t="s">
        <v>600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21.571035819999999</v>
      </c>
      <c r="N118" s="1">
        <v>0</v>
      </c>
      <c r="O118" s="1">
        <v>0.71232777000000003</v>
      </c>
      <c r="P118" s="1">
        <v>0</v>
      </c>
      <c r="Q118" s="1">
        <v>0</v>
      </c>
      <c r="R118" s="1">
        <v>152.63759669999999</v>
      </c>
      <c r="S118" s="1">
        <v>0</v>
      </c>
      <c r="T118" s="1">
        <v>0</v>
      </c>
      <c r="U118" s="1">
        <v>0</v>
      </c>
      <c r="V118" s="1">
        <v>3.1717662120000001</v>
      </c>
      <c r="W118" s="1">
        <v>0</v>
      </c>
      <c r="X118" s="1">
        <v>0</v>
      </c>
      <c r="Y118" s="1">
        <v>539.52610619999996</v>
      </c>
      <c r="Z118" s="1">
        <v>0</v>
      </c>
      <c r="AA118" s="1">
        <v>154</v>
      </c>
      <c r="AB118" s="1">
        <v>1</v>
      </c>
      <c r="AC118" s="1">
        <v>0</v>
      </c>
      <c r="AD118">
        <v>7500</v>
      </c>
      <c r="AF118" s="8" cm="1">
        <f t="array" aca="1" ref="AF118" ca="1">fScore_Total("ESPN",aCols)</f>
        <v>103.306452092</v>
      </c>
      <c r="AG118" s="8" cm="1">
        <f t="array" aca="1" ref="AG118" ca="1">-fScore_Total("diff",aCols)</f>
        <v>0</v>
      </c>
      <c r="AH118" s="8">
        <f t="shared" ca="1" si="2"/>
        <v>103.306452092</v>
      </c>
      <c r="AI118" s="8"/>
    </row>
    <row r="119" spans="1:35" x14ac:dyDescent="0.25">
      <c r="A119" t="s">
        <v>188</v>
      </c>
      <c r="B119" s="1" t="s">
        <v>601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38.381532300000003</v>
      </c>
      <c r="N119" s="1">
        <v>0</v>
      </c>
      <c r="O119" s="1">
        <v>2.828884264</v>
      </c>
      <c r="P119" s="1">
        <v>0</v>
      </c>
      <c r="Q119" s="1">
        <v>0</v>
      </c>
      <c r="R119" s="1">
        <v>454.95937520000001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331</v>
      </c>
      <c r="AB119" s="1">
        <v>0</v>
      </c>
      <c r="AC119" s="1">
        <v>0</v>
      </c>
      <c r="AD119">
        <v>7500</v>
      </c>
      <c r="AF119" s="8" cm="1">
        <f t="array" aca="1" ref="AF119" ca="1">fScore_Total("ESPN",aCols)</f>
        <v>81.660009254000016</v>
      </c>
      <c r="AG119" s="8" cm="1">
        <f t="array" aca="1" ref="AG119" ca="1">-fScore_Total("diff",aCols)</f>
        <v>0</v>
      </c>
      <c r="AH119" s="8">
        <f t="shared" ca="1" si="2"/>
        <v>81.660009254000016</v>
      </c>
      <c r="AI119" s="8"/>
    </row>
    <row r="120" spans="1:35" x14ac:dyDescent="0.25">
      <c r="A120" t="s">
        <v>113</v>
      </c>
      <c r="B120" s="1" t="s">
        <v>600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17.680973259999998</v>
      </c>
      <c r="N120" s="1">
        <v>0</v>
      </c>
      <c r="O120" s="1">
        <v>0.67241152299999996</v>
      </c>
      <c r="P120" s="1">
        <v>0</v>
      </c>
      <c r="Q120" s="1">
        <v>0</v>
      </c>
      <c r="R120" s="1">
        <v>129.63544909999999</v>
      </c>
      <c r="S120" s="1">
        <v>0</v>
      </c>
      <c r="T120" s="1">
        <v>0</v>
      </c>
      <c r="U120" s="1">
        <v>0</v>
      </c>
      <c r="V120" s="1">
        <v>3.8202144050000002</v>
      </c>
      <c r="W120" s="1">
        <v>0</v>
      </c>
      <c r="X120" s="1">
        <v>0</v>
      </c>
      <c r="Y120" s="1">
        <v>511.669916</v>
      </c>
      <c r="Z120" s="1">
        <v>0</v>
      </c>
      <c r="AA120" s="1">
        <v>182</v>
      </c>
      <c r="AB120" s="1">
        <v>1</v>
      </c>
      <c r="AC120" s="1">
        <v>20000</v>
      </c>
      <c r="AD120">
        <v>7500</v>
      </c>
      <c r="AF120" s="8" cm="1">
        <f t="array" aca="1" ref="AF120" ca="1">fScore_Total("ESPN",aCols)</f>
        <v>99.926778708000001</v>
      </c>
      <c r="AG120" s="8" cm="1">
        <f t="array" aca="1" ref="AG120" ca="1">-fScore_Total("diff",aCols)</f>
        <v>0</v>
      </c>
      <c r="AH120" s="8">
        <f t="shared" ca="1" si="2"/>
        <v>99.926778708000001</v>
      </c>
      <c r="AI120" s="8"/>
    </row>
    <row r="121" spans="1:35" x14ac:dyDescent="0.25">
      <c r="A121" t="s">
        <v>148</v>
      </c>
      <c r="B121" s="1" t="s">
        <v>601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  <c r="M121" s="1">
        <v>55.945437650000002</v>
      </c>
      <c r="N121" s="1">
        <v>0</v>
      </c>
      <c r="O121" s="1">
        <v>2.9028539699999998</v>
      </c>
      <c r="P121" s="1">
        <v>0</v>
      </c>
      <c r="Q121" s="1">
        <v>0</v>
      </c>
      <c r="R121" s="1">
        <v>694.92047560000003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179</v>
      </c>
      <c r="AB121" s="1">
        <v>1</v>
      </c>
      <c r="AC121" s="1">
        <v>0</v>
      </c>
      <c r="AD121">
        <v>10000</v>
      </c>
      <c r="AF121" s="8" cm="1">
        <f t="array" aca="1" ref="AF121" ca="1">fScore_Total("ESPN",aCols)</f>
        <v>114.881890205</v>
      </c>
      <c r="AG121" s="8" cm="1">
        <f t="array" aca="1" ref="AG121" ca="1">-fScore_Total("diff",aCols)</f>
        <v>0</v>
      </c>
      <c r="AH121" s="8">
        <f t="shared" ca="1" si="2"/>
        <v>114.881890205</v>
      </c>
      <c r="AI121" s="8"/>
    </row>
    <row r="122" spans="1:35" x14ac:dyDescent="0.25">
      <c r="A122" t="s">
        <v>518</v>
      </c>
      <c r="B122" s="1" t="s">
        <v>602</v>
      </c>
      <c r="C122" s="1">
        <v>0</v>
      </c>
      <c r="D122" s="1">
        <v>1.8494094830000001</v>
      </c>
      <c r="E122" s="1">
        <v>0</v>
      </c>
      <c r="F122" s="1">
        <v>0</v>
      </c>
      <c r="G122" s="1">
        <v>3.5516003469999999</v>
      </c>
      <c r="H122" s="1">
        <v>0</v>
      </c>
      <c r="I122" s="1">
        <v>0</v>
      </c>
      <c r="J122" s="1">
        <v>469.6800733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0.18879707000000001</v>
      </c>
      <c r="W122" s="1">
        <v>0</v>
      </c>
      <c r="X122" s="1">
        <v>0</v>
      </c>
      <c r="Y122" s="1">
        <v>15.359351009999999</v>
      </c>
      <c r="Z122" s="1">
        <v>0</v>
      </c>
      <c r="AA122" s="1">
        <v>450</v>
      </c>
      <c r="AB122" s="1">
        <v>0</v>
      </c>
      <c r="AC122" s="1">
        <v>20000</v>
      </c>
      <c r="AD122">
        <v>10000</v>
      </c>
      <c r="AF122" s="8" cm="1">
        <f t="array" aca="1" ref="AF122" ca="1">fScore_Total("ESPN",aCols)</f>
        <v>31.963502875</v>
      </c>
      <c r="AG122" s="8" cm="1">
        <f t="array" aca="1" ref="AG122" ca="1">-fScore_Total("diff",aCols)</f>
        <v>0</v>
      </c>
      <c r="AH122" s="8">
        <f t="shared" ca="1" si="2"/>
        <v>31.963502875</v>
      </c>
      <c r="AI122" s="8"/>
    </row>
    <row r="123" spans="1:35" x14ac:dyDescent="0.25">
      <c r="A123" t="s">
        <v>125</v>
      </c>
      <c r="B123" s="1" t="s">
        <v>600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21.416160959999999</v>
      </c>
      <c r="N123" s="1">
        <v>0</v>
      </c>
      <c r="O123" s="1">
        <v>0.93045169999999999</v>
      </c>
      <c r="P123" s="1">
        <v>0</v>
      </c>
      <c r="Q123" s="1">
        <v>0</v>
      </c>
      <c r="R123" s="1">
        <v>151.63885540000001</v>
      </c>
      <c r="S123" s="1">
        <v>0</v>
      </c>
      <c r="T123" s="1">
        <v>0</v>
      </c>
      <c r="U123" s="1">
        <v>0</v>
      </c>
      <c r="V123" s="1">
        <v>1.8621700670000001</v>
      </c>
      <c r="W123" s="1">
        <v>0</v>
      </c>
      <c r="X123" s="1">
        <v>0</v>
      </c>
      <c r="Y123" s="1">
        <v>317.70704690000002</v>
      </c>
      <c r="Z123" s="1">
        <v>0</v>
      </c>
      <c r="AA123" s="1">
        <v>187</v>
      </c>
      <c r="AB123" s="1">
        <v>1</v>
      </c>
      <c r="AC123" s="1">
        <v>0</v>
      </c>
      <c r="AD123">
        <v>10000</v>
      </c>
      <c r="AF123" s="8" cm="1">
        <f t="array" aca="1" ref="AF123" ca="1">fScore_Total("ESPN",aCols)</f>
        <v>74.398401312000004</v>
      </c>
      <c r="AG123" s="8" cm="1">
        <f t="array" aca="1" ref="AG123" ca="1">-fScore_Total("diff",aCols)</f>
        <v>0</v>
      </c>
      <c r="AH123" s="8">
        <f t="shared" ca="1" si="2"/>
        <v>74.398401312000004</v>
      </c>
      <c r="AI123" s="8"/>
    </row>
    <row r="124" spans="1:35" x14ac:dyDescent="0.25">
      <c r="A124" t="s">
        <v>477</v>
      </c>
      <c r="B124" s="1" t="s">
        <v>600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23.593653289999999</v>
      </c>
      <c r="N124" s="1">
        <v>0</v>
      </c>
      <c r="O124" s="1">
        <v>0.82956054000000001</v>
      </c>
      <c r="P124" s="1">
        <v>0</v>
      </c>
      <c r="Q124" s="1">
        <v>0</v>
      </c>
      <c r="R124" s="1">
        <v>173.92243999999999</v>
      </c>
      <c r="S124" s="1">
        <v>0</v>
      </c>
      <c r="T124" s="1">
        <v>0</v>
      </c>
      <c r="U124" s="1">
        <v>0</v>
      </c>
      <c r="V124" s="1">
        <v>4.7724550030000001</v>
      </c>
      <c r="W124" s="1">
        <v>0</v>
      </c>
      <c r="X124" s="1">
        <v>0</v>
      </c>
      <c r="Y124" s="1">
        <v>656.06755720000001</v>
      </c>
      <c r="Z124" s="1">
        <v>0</v>
      </c>
      <c r="AA124" s="1">
        <v>128</v>
      </c>
      <c r="AB124" s="1">
        <v>2</v>
      </c>
      <c r="AC124" s="1">
        <v>0</v>
      </c>
      <c r="AD124">
        <v>10000</v>
      </c>
      <c r="AF124" s="8" cm="1">
        <f t="array" aca="1" ref="AF124" ca="1">fScore_Total("ESPN",aCols)</f>
        <v>128.407919623</v>
      </c>
      <c r="AG124" s="8" cm="1">
        <f t="array" aca="1" ref="AG124" ca="1">-fScore_Total("diff",aCols)</f>
        <v>0</v>
      </c>
      <c r="AH124" s="8">
        <f t="shared" ca="1" si="2"/>
        <v>128.407919623</v>
      </c>
      <c r="AI124" s="8"/>
    </row>
    <row r="125" spans="1:35" x14ac:dyDescent="0.25">
      <c r="A125" t="s">
        <v>165</v>
      </c>
      <c r="B125" s="1" t="s">
        <v>600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13.08781276</v>
      </c>
      <c r="N125" s="1">
        <v>0</v>
      </c>
      <c r="O125" s="1">
        <v>0.56400132300000005</v>
      </c>
      <c r="P125" s="1">
        <v>0</v>
      </c>
      <c r="Q125" s="1">
        <v>0</v>
      </c>
      <c r="R125" s="1">
        <v>93.385729909999995</v>
      </c>
      <c r="S125" s="1">
        <v>0</v>
      </c>
      <c r="T125" s="1">
        <v>0</v>
      </c>
      <c r="U125" s="1">
        <v>0</v>
      </c>
      <c r="V125" s="1">
        <v>2.6824465759999998</v>
      </c>
      <c r="W125" s="1">
        <v>0</v>
      </c>
      <c r="X125" s="1">
        <v>0</v>
      </c>
      <c r="Y125" s="1">
        <v>339.16102080000002</v>
      </c>
      <c r="Z125" s="1">
        <v>0</v>
      </c>
      <c r="AA125" s="1">
        <v>266</v>
      </c>
      <c r="AB125" s="1">
        <v>0</v>
      </c>
      <c r="AC125" s="1">
        <v>0</v>
      </c>
      <c r="AD125">
        <v>10000</v>
      </c>
      <c r="AF125" s="8" cm="1">
        <f t="array" aca="1" ref="AF125" ca="1">fScore_Total("ESPN",aCols)</f>
        <v>69.277268844999995</v>
      </c>
      <c r="AG125" s="8" cm="1">
        <f t="array" aca="1" ref="AG125" ca="1">-fScore_Total("diff",aCols)</f>
        <v>0</v>
      </c>
      <c r="AH125" s="8">
        <f t="shared" ca="1" si="2"/>
        <v>69.277268844999995</v>
      </c>
      <c r="AI125" s="8"/>
    </row>
    <row r="126" spans="1:35" x14ac:dyDescent="0.25">
      <c r="A126" t="s">
        <v>135</v>
      </c>
      <c r="B126" s="1" t="s">
        <v>600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12.49920221</v>
      </c>
      <c r="N126" s="1">
        <v>0</v>
      </c>
      <c r="O126" s="1">
        <v>0.49331283799999998</v>
      </c>
      <c r="P126" s="1">
        <v>0</v>
      </c>
      <c r="Q126" s="1">
        <v>0</v>
      </c>
      <c r="R126" s="1">
        <v>89.722587959999998</v>
      </c>
      <c r="S126" s="1">
        <v>0</v>
      </c>
      <c r="T126" s="1">
        <v>0</v>
      </c>
      <c r="U126" s="1">
        <v>0</v>
      </c>
      <c r="V126" s="1">
        <v>1.5002594570000001</v>
      </c>
      <c r="W126" s="1">
        <v>0</v>
      </c>
      <c r="X126" s="1">
        <v>0</v>
      </c>
      <c r="Y126" s="1">
        <v>226.36484530000001</v>
      </c>
      <c r="Z126" s="1">
        <v>0</v>
      </c>
      <c r="AA126" s="1">
        <v>202</v>
      </c>
      <c r="AB126" s="1">
        <v>1</v>
      </c>
      <c r="AC126" s="1">
        <v>0</v>
      </c>
      <c r="AD126">
        <v>10000</v>
      </c>
      <c r="AF126" s="8" cm="1">
        <f t="array" aca="1" ref="AF126" ca="1">fScore_Total("ESPN",aCols)</f>
        <v>49.819778201000005</v>
      </c>
      <c r="AG126" s="8" cm="1">
        <f t="array" aca="1" ref="AG126" ca="1">-fScore_Total("diff",aCols)</f>
        <v>0</v>
      </c>
      <c r="AH126" s="8">
        <f t="shared" ca="1" si="2"/>
        <v>49.819778201000005</v>
      </c>
      <c r="AI126" s="8"/>
    </row>
    <row r="127" spans="1:35" x14ac:dyDescent="0.25">
      <c r="A127" t="s">
        <v>288</v>
      </c>
      <c r="B127" s="1" t="s">
        <v>601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16.18074906</v>
      </c>
      <c r="N127" s="1">
        <v>0</v>
      </c>
      <c r="O127" s="1">
        <v>0.98090165100000004</v>
      </c>
      <c r="P127" s="1">
        <v>0</v>
      </c>
      <c r="Q127" s="1">
        <v>0</v>
      </c>
      <c r="R127" s="1">
        <v>200.16440209999999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995</v>
      </c>
      <c r="AB127" s="1">
        <v>0</v>
      </c>
      <c r="AC127" s="1">
        <v>30000</v>
      </c>
      <c r="AD127">
        <v>12000</v>
      </c>
      <c r="AF127" s="8" cm="1">
        <f t="array" aca="1" ref="AF127" ca="1">fScore_Total("ESPN",aCols)</f>
        <v>33.992224645999997</v>
      </c>
      <c r="AG127" s="8" cm="1">
        <f t="array" aca="1" ref="AG127" ca="1">-fScore_Total("diff",aCols)</f>
        <v>0</v>
      </c>
      <c r="AH127" s="8">
        <f t="shared" ca="1" si="2"/>
        <v>33.992224645999997</v>
      </c>
      <c r="AI127" s="8"/>
    </row>
    <row r="128" spans="1:35" x14ac:dyDescent="0.25">
      <c r="A128" t="s">
        <v>222</v>
      </c>
      <c r="B128" s="1" t="s">
        <v>600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8.2194707220000005</v>
      </c>
      <c r="N128" s="1">
        <v>0</v>
      </c>
      <c r="O128" s="1">
        <v>0.277229687</v>
      </c>
      <c r="P128" s="1">
        <v>0</v>
      </c>
      <c r="Q128" s="1">
        <v>0</v>
      </c>
      <c r="R128" s="1">
        <v>58.657255569999997</v>
      </c>
      <c r="S128" s="1">
        <v>0</v>
      </c>
      <c r="T128" s="1">
        <v>0</v>
      </c>
      <c r="U128" s="1">
        <v>0</v>
      </c>
      <c r="V128" s="1">
        <v>0.92176026300000002</v>
      </c>
      <c r="W128" s="1">
        <v>0</v>
      </c>
      <c r="X128" s="1">
        <v>0</v>
      </c>
      <c r="Y128" s="1">
        <v>159.53070299999999</v>
      </c>
      <c r="Z128" s="1">
        <v>0</v>
      </c>
      <c r="AA128" s="1">
        <v>400</v>
      </c>
      <c r="AB128" s="1">
        <v>0</v>
      </c>
      <c r="AC128" s="1">
        <v>0</v>
      </c>
      <c r="AD128">
        <v>15000</v>
      </c>
      <c r="AF128" s="8" cm="1">
        <f t="array" aca="1" ref="AF128" ca="1">fScore_Total("ESPN",aCols)</f>
        <v>33.122470918000005</v>
      </c>
      <c r="AG128" s="8" cm="1">
        <f t="array" aca="1" ref="AG128" ca="1">-fScore_Total("diff",aCols)</f>
        <v>0</v>
      </c>
      <c r="AH128" s="8">
        <f t="shared" ca="1" si="2"/>
        <v>33.122470918000005</v>
      </c>
      <c r="AI128" s="8"/>
    </row>
    <row r="129" spans="1:35" x14ac:dyDescent="0.25">
      <c r="A129" t="s">
        <v>323</v>
      </c>
      <c r="B129" s="1" t="s">
        <v>602</v>
      </c>
      <c r="C129" s="1">
        <v>0</v>
      </c>
      <c r="D129" s="1">
        <v>1.5475153079999999</v>
      </c>
      <c r="E129" s="1">
        <v>0</v>
      </c>
      <c r="F129" s="1">
        <v>0</v>
      </c>
      <c r="G129" s="1">
        <v>2.7651214930000001</v>
      </c>
      <c r="H129" s="1">
        <v>0</v>
      </c>
      <c r="I129" s="1">
        <v>0</v>
      </c>
      <c r="J129" s="1">
        <v>473.76157189999998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0.18581747300000001</v>
      </c>
      <c r="W129" s="1">
        <v>0</v>
      </c>
      <c r="X129" s="1">
        <v>0</v>
      </c>
      <c r="Y129" s="1">
        <v>24.350723070000001</v>
      </c>
      <c r="Z129" s="1">
        <v>0</v>
      </c>
      <c r="AA129" s="1">
        <v>1028</v>
      </c>
      <c r="AB129" s="1">
        <v>0</v>
      </c>
      <c r="AC129" s="1">
        <v>0</v>
      </c>
      <c r="AD129">
        <v>15000</v>
      </c>
      <c r="AF129" s="8" cm="1">
        <f t="array" aca="1" ref="AF129" ca="1">fScore_Total("ESPN",aCols)</f>
        <v>30.465895377000002</v>
      </c>
      <c r="AG129" s="8" cm="1">
        <f t="array" aca="1" ref="AG129" ca="1">-fScore_Total("diff",aCols)</f>
        <v>0</v>
      </c>
      <c r="AH129" s="8">
        <f t="shared" ca="1" si="2"/>
        <v>30.465895377000002</v>
      </c>
      <c r="AI129" s="8"/>
    </row>
    <row r="130" spans="1:35" x14ac:dyDescent="0.25">
      <c r="A130" t="s">
        <v>276</v>
      </c>
      <c r="B130" s="1" t="s">
        <v>601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21.850960300000001</v>
      </c>
      <c r="N130" s="1">
        <v>0</v>
      </c>
      <c r="O130" s="1">
        <v>1.492296176</v>
      </c>
      <c r="P130" s="1">
        <v>0</v>
      </c>
      <c r="Q130" s="1">
        <v>0</v>
      </c>
      <c r="R130" s="1">
        <v>279.11799860000002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983</v>
      </c>
      <c r="AB130" s="1">
        <v>0</v>
      </c>
      <c r="AC130" s="1">
        <v>0</v>
      </c>
      <c r="AD130">
        <v>15000</v>
      </c>
      <c r="AF130" s="8" cm="1">
        <f t="array" aca="1" ref="AF130" ca="1">fScore_Total("ESPN",aCols)</f>
        <v>47.791057066</v>
      </c>
      <c r="AG130" s="8" cm="1">
        <f t="array" aca="1" ref="AG130" ca="1">-fScore_Total("diff",aCols)</f>
        <v>0</v>
      </c>
      <c r="AH130" s="8">
        <f t="shared" ca="1" si="2"/>
        <v>47.791057066</v>
      </c>
      <c r="AI130" s="8"/>
    </row>
    <row r="131" spans="1:35" x14ac:dyDescent="0.25">
      <c r="A131" t="s">
        <v>186</v>
      </c>
      <c r="B131" s="1" t="s">
        <v>601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39.882521609999998</v>
      </c>
      <c r="N131" s="1">
        <v>0</v>
      </c>
      <c r="O131" s="1">
        <v>3.0144183959999999</v>
      </c>
      <c r="P131" s="1">
        <v>0</v>
      </c>
      <c r="Q131" s="1">
        <v>0</v>
      </c>
      <c r="R131" s="1">
        <v>488.7587474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306</v>
      </c>
      <c r="AB131" s="1">
        <v>0</v>
      </c>
      <c r="AC131" s="1">
        <v>0</v>
      </c>
      <c r="AD131">
        <v>15000</v>
      </c>
      <c r="AF131" s="8" cm="1">
        <f t="array" aca="1" ref="AF131" ca="1">fScore_Total("ESPN",aCols)</f>
        <v>86.903645920999992</v>
      </c>
      <c r="AG131" s="8" cm="1">
        <f t="array" aca="1" ref="AG131" ca="1">-fScore_Total("diff",aCols)</f>
        <v>0</v>
      </c>
      <c r="AH131" s="8">
        <f t="shared" ca="1" si="2"/>
        <v>86.903645920999992</v>
      </c>
      <c r="AI131" s="8"/>
    </row>
    <row r="132" spans="1:35" x14ac:dyDescent="0.25">
      <c r="A132" t="s">
        <v>241</v>
      </c>
      <c r="B132" s="1" t="s">
        <v>600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3.6923368970000001</v>
      </c>
      <c r="N132" s="1">
        <v>0</v>
      </c>
      <c r="O132" s="1">
        <v>0.16924982</v>
      </c>
      <c r="P132" s="1">
        <v>0</v>
      </c>
      <c r="Q132" s="1">
        <v>0</v>
      </c>
      <c r="R132" s="1">
        <v>27.034910910000001</v>
      </c>
      <c r="S132" s="1">
        <v>0</v>
      </c>
      <c r="T132" s="1">
        <v>0</v>
      </c>
      <c r="U132" s="1">
        <v>0</v>
      </c>
      <c r="V132" s="1">
        <v>0.95966232299999998</v>
      </c>
      <c r="W132" s="1">
        <v>0</v>
      </c>
      <c r="X132" s="1">
        <v>0</v>
      </c>
      <c r="Y132" s="1">
        <v>116.1735334</v>
      </c>
      <c r="Z132" s="1">
        <v>0</v>
      </c>
      <c r="AA132" s="1">
        <v>439</v>
      </c>
      <c r="AB132" s="1">
        <v>0</v>
      </c>
      <c r="AC132" s="1">
        <v>0</v>
      </c>
      <c r="AD132">
        <v>15000</v>
      </c>
      <c r="AF132" s="8" cm="1">
        <f t="array" aca="1" ref="AF132" ca="1">fScore_Total("ESPN",aCols)</f>
        <v>22.940485737500001</v>
      </c>
      <c r="AG132" s="8" cm="1">
        <f t="array" aca="1" ref="AG132" ca="1">-fScore_Total("diff",aCols)</f>
        <v>0</v>
      </c>
      <c r="AH132" s="8">
        <f t="shared" ca="1" si="2"/>
        <v>22.940485737500001</v>
      </c>
      <c r="AI132" s="8"/>
    </row>
    <row r="133" spans="1:35" x14ac:dyDescent="0.25">
      <c r="A133" t="s">
        <v>286</v>
      </c>
      <c r="B133" s="1" t="s">
        <v>601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15.60123881</v>
      </c>
      <c r="N133" s="1">
        <v>0</v>
      </c>
      <c r="O133" s="1">
        <v>1.3042529030000001</v>
      </c>
      <c r="P133" s="1">
        <v>0</v>
      </c>
      <c r="Q133" s="1">
        <v>0</v>
      </c>
      <c r="R133" s="1">
        <v>188.9245019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993</v>
      </c>
      <c r="AB133" s="1">
        <v>0</v>
      </c>
      <c r="AC133" s="1">
        <v>30000</v>
      </c>
      <c r="AD133">
        <v>15000</v>
      </c>
      <c r="AF133" s="8" cm="1">
        <f t="array" aca="1" ref="AF133" ca="1">fScore_Total("ESPN",aCols)</f>
        <v>34.518587013000001</v>
      </c>
      <c r="AG133" s="8" cm="1">
        <f t="array" aca="1" ref="AG133" ca="1">-fScore_Total("diff",aCols)</f>
        <v>0</v>
      </c>
      <c r="AH133" s="8">
        <f t="shared" ca="1" si="2"/>
        <v>34.518587013000001</v>
      </c>
      <c r="AI133" s="8"/>
    </row>
    <row r="134" spans="1:35" x14ac:dyDescent="0.25">
      <c r="A134" t="s">
        <v>226</v>
      </c>
      <c r="B134" s="1" t="s">
        <v>600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3.8324191239999998</v>
      </c>
      <c r="N134" s="1">
        <v>0</v>
      </c>
      <c r="O134" s="1">
        <v>0.15861212699999999</v>
      </c>
      <c r="P134" s="1">
        <v>0</v>
      </c>
      <c r="Q134" s="1">
        <v>0</v>
      </c>
      <c r="R134" s="1">
        <v>27.01735905</v>
      </c>
      <c r="S134" s="1">
        <v>0</v>
      </c>
      <c r="T134" s="1">
        <v>0</v>
      </c>
      <c r="U134" s="1">
        <v>0</v>
      </c>
      <c r="V134" s="1">
        <v>0.75271924999999995</v>
      </c>
      <c r="W134" s="1">
        <v>0</v>
      </c>
      <c r="X134" s="1">
        <v>0</v>
      </c>
      <c r="Y134" s="1">
        <v>140.5300264</v>
      </c>
      <c r="Z134" s="1">
        <v>0</v>
      </c>
      <c r="AA134" s="1">
        <v>438</v>
      </c>
      <c r="AB134" s="1">
        <v>0</v>
      </c>
      <c r="AC134" s="1">
        <v>0</v>
      </c>
      <c r="AD134">
        <v>15000</v>
      </c>
      <c r="AF134" s="8" cm="1">
        <f t="array" aca="1" ref="AF134" ca="1">fScore_Total("ESPN",aCols)</f>
        <v>24.138936369</v>
      </c>
      <c r="AG134" s="8" cm="1">
        <f t="array" aca="1" ref="AG134" ca="1">-fScore_Total("diff",aCols)</f>
        <v>0</v>
      </c>
      <c r="AH134" s="8">
        <f t="shared" ca="1" si="2"/>
        <v>24.138936369</v>
      </c>
      <c r="AI134" s="8"/>
    </row>
    <row r="135" spans="1:35" x14ac:dyDescent="0.25">
      <c r="A135" t="s">
        <v>181</v>
      </c>
      <c r="B135" s="1" t="s">
        <v>600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16.259947149999999</v>
      </c>
      <c r="N135" s="1">
        <v>0</v>
      </c>
      <c r="O135" s="1">
        <v>0.65318358600000004</v>
      </c>
      <c r="P135" s="1">
        <v>0</v>
      </c>
      <c r="Q135" s="1">
        <v>0</v>
      </c>
      <c r="R135" s="1">
        <v>117.42312509999999</v>
      </c>
      <c r="S135" s="1">
        <v>0</v>
      </c>
      <c r="T135" s="1">
        <v>0</v>
      </c>
      <c r="U135" s="1">
        <v>0</v>
      </c>
      <c r="V135" s="1">
        <v>1.88615917</v>
      </c>
      <c r="W135" s="1">
        <v>0</v>
      </c>
      <c r="X135" s="1">
        <v>0</v>
      </c>
      <c r="Y135" s="1">
        <v>348.47955569999999</v>
      </c>
      <c r="Z135" s="1">
        <v>0</v>
      </c>
      <c r="AA135" s="1">
        <v>322</v>
      </c>
      <c r="AB135" s="1">
        <v>0</v>
      </c>
      <c r="AC135" s="1">
        <v>0</v>
      </c>
      <c r="AD135">
        <v>15000</v>
      </c>
      <c r="AF135" s="8" cm="1">
        <f t="array" aca="1" ref="AF135" ca="1">fScore_Total("ESPN",aCols)</f>
        <v>69.956298191000002</v>
      </c>
      <c r="AG135" s="8" cm="1">
        <f t="array" aca="1" ref="AG135" ca="1">-fScore_Total("diff",aCols)</f>
        <v>0</v>
      </c>
      <c r="AH135" s="8">
        <f t="shared" ca="1" si="2"/>
        <v>69.956298191000002</v>
      </c>
      <c r="AI135" s="8"/>
    </row>
    <row r="136" spans="1:35" x14ac:dyDescent="0.25">
      <c r="A136" t="s">
        <v>588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D136">
        <v>15000</v>
      </c>
      <c r="AF136" s="8" cm="1">
        <f t="array" aca="1" ref="AF136" ca="1">fScore_Total("ESPN",aCols)</f>
        <v>0</v>
      </c>
      <c r="AG136" s="8" cm="1">
        <f t="array" aca="1" ref="AG136" ca="1">-fScore_Total("diff",aCols)</f>
        <v>0</v>
      </c>
      <c r="AH136" s="8">
        <f t="shared" ca="1" si="2"/>
        <v>0</v>
      </c>
      <c r="AI136" s="8"/>
    </row>
    <row r="137" spans="1:35" x14ac:dyDescent="0.25">
      <c r="A137" t="s">
        <v>155</v>
      </c>
      <c r="B137" s="1" t="s">
        <v>603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32.145339180000001</v>
      </c>
      <c r="N137" s="1">
        <v>0</v>
      </c>
      <c r="O137" s="1">
        <v>1.6829993050000001</v>
      </c>
      <c r="P137" s="1">
        <v>0</v>
      </c>
      <c r="Q137" s="1">
        <v>0</v>
      </c>
      <c r="R137" s="1">
        <v>325.23483599999997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416</v>
      </c>
      <c r="AB137" s="1">
        <v>0</v>
      </c>
      <c r="AC137" s="1">
        <v>0</v>
      </c>
      <c r="AD137">
        <v>15000</v>
      </c>
      <c r="AF137" s="8" cm="1">
        <f t="array" aca="1" ref="AF137" ca="1">fScore_Total("ESPN",aCols)</f>
        <v>58.694149019999998</v>
      </c>
      <c r="AG137" s="8" cm="1">
        <f t="array" aca="1" ref="AG137" ca="1">-fScore_Total("diff",aCols)</f>
        <v>0</v>
      </c>
      <c r="AH137" s="8">
        <f t="shared" ca="1" si="2"/>
        <v>58.694149019999998</v>
      </c>
      <c r="AI137" s="8"/>
    </row>
    <row r="138" spans="1:35" x14ac:dyDescent="0.25">
      <c r="A138" t="s">
        <v>362</v>
      </c>
      <c r="B138" s="1" t="s">
        <v>600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3.6046930179999999</v>
      </c>
      <c r="N138" s="1">
        <v>0</v>
      </c>
      <c r="O138" s="1">
        <v>0.167572048</v>
      </c>
      <c r="P138" s="1">
        <v>0</v>
      </c>
      <c r="Q138" s="1">
        <v>0</v>
      </c>
      <c r="R138" s="1">
        <v>25.887013209999999</v>
      </c>
      <c r="S138" s="1">
        <v>0</v>
      </c>
      <c r="T138" s="1">
        <v>0</v>
      </c>
      <c r="U138" s="1">
        <v>0</v>
      </c>
      <c r="V138" s="1">
        <v>0.48190157</v>
      </c>
      <c r="W138" s="1">
        <v>0</v>
      </c>
      <c r="X138" s="1">
        <v>0</v>
      </c>
      <c r="Y138" s="1">
        <v>70.133843799999994</v>
      </c>
      <c r="Z138" s="1">
        <v>0</v>
      </c>
      <c r="AA138" s="1">
        <v>1073</v>
      </c>
      <c r="AB138" s="1">
        <v>0</v>
      </c>
      <c r="AC138" s="1">
        <v>0</v>
      </c>
      <c r="AD138">
        <v>20000</v>
      </c>
      <c r="AF138" s="8" cm="1">
        <f t="array" aca="1" ref="AF138" ca="1">fScore_Total("ESPN",aCols)</f>
        <v>15.301273918</v>
      </c>
      <c r="AG138" s="8" cm="1">
        <f t="array" aca="1" ref="AG138" ca="1">-fScore_Total("diff",aCols)</f>
        <v>0</v>
      </c>
      <c r="AH138" s="8">
        <f t="shared" ca="1" si="2"/>
        <v>15.301273918</v>
      </c>
      <c r="AI138" s="8"/>
    </row>
    <row r="139" spans="1:35" x14ac:dyDescent="0.25">
      <c r="A139" t="s">
        <v>425</v>
      </c>
      <c r="B139" s="1" t="s">
        <v>603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3.5934106130000001</v>
      </c>
      <c r="N139" s="1">
        <v>0</v>
      </c>
      <c r="O139" s="1">
        <v>0.19939258000000001</v>
      </c>
      <c r="P139" s="1">
        <v>0</v>
      </c>
      <c r="Q139" s="1">
        <v>0</v>
      </c>
      <c r="R139" s="1">
        <v>36.267159409999998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1145</v>
      </c>
      <c r="AB139" s="1">
        <v>0</v>
      </c>
      <c r="AC139" s="1">
        <v>0</v>
      </c>
      <c r="AD139">
        <v>20000</v>
      </c>
      <c r="AF139" s="8" cm="1">
        <f t="array" aca="1" ref="AF139" ca="1">fScore_Total("ESPN",aCols)</f>
        <v>6.6197767274999997</v>
      </c>
      <c r="AG139" s="8" cm="1">
        <f t="array" aca="1" ref="AG139" ca="1">-fScore_Total("diff",aCols)</f>
        <v>0</v>
      </c>
      <c r="AH139" s="8">
        <f t="shared" ca="1" si="2"/>
        <v>6.6197767274999997</v>
      </c>
      <c r="AI139" s="8"/>
    </row>
    <row r="140" spans="1:35" x14ac:dyDescent="0.25">
      <c r="A140" t="s">
        <v>528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>
        <v>20000</v>
      </c>
      <c r="AF140" s="8" cm="1">
        <f t="array" aca="1" ref="AF140" ca="1">fScore_Total("ESPN",aCols)</f>
        <v>0</v>
      </c>
      <c r="AG140" s="8" cm="1">
        <f t="array" aca="1" ref="AG140" ca="1">-fScore_Total("diff",aCols)</f>
        <v>0</v>
      </c>
      <c r="AH140" s="8">
        <f t="shared" ca="1" si="2"/>
        <v>0</v>
      </c>
      <c r="AI140" s="8"/>
    </row>
    <row r="141" spans="1:35" x14ac:dyDescent="0.25">
      <c r="A141" t="s">
        <v>529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>
        <v>20000</v>
      </c>
      <c r="AF141" s="8" cm="1">
        <f t="array" aca="1" ref="AF141" ca="1">fScore_Total("ESPN",aCols)</f>
        <v>0</v>
      </c>
      <c r="AG141" s="8" cm="1">
        <f t="array" aca="1" ref="AG141" ca="1">-fScore_Total("diff",aCols)</f>
        <v>0</v>
      </c>
      <c r="AH141" s="8">
        <f t="shared" ca="1" si="2"/>
        <v>0</v>
      </c>
      <c r="AI141" s="8"/>
    </row>
    <row r="142" spans="1:35" x14ac:dyDescent="0.25">
      <c r="A142" t="s">
        <v>227</v>
      </c>
      <c r="B142" s="1" t="s">
        <v>603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35.839216890000003</v>
      </c>
      <c r="N142" s="1">
        <v>0</v>
      </c>
      <c r="O142" s="1">
        <v>2.0232437000000001</v>
      </c>
      <c r="P142" s="1">
        <v>0</v>
      </c>
      <c r="Q142" s="1">
        <v>0</v>
      </c>
      <c r="R142" s="1">
        <v>351.38722860000001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413</v>
      </c>
      <c r="AB142" s="1">
        <v>0</v>
      </c>
      <c r="AC142" s="1">
        <v>0</v>
      </c>
      <c r="AD142">
        <v>20000</v>
      </c>
      <c r="AF142" s="8" cm="1">
        <f t="array" aca="1" ref="AF142" ca="1">fScore_Total("ESPN",aCols)</f>
        <v>65.197793505000007</v>
      </c>
      <c r="AG142" s="8" cm="1">
        <f t="array" aca="1" ref="AG142" ca="1">-fScore_Total("diff",aCols)</f>
        <v>0</v>
      </c>
      <c r="AH142" s="8">
        <f t="shared" ca="1" si="2"/>
        <v>65.197793505000007</v>
      </c>
      <c r="AI142" s="8"/>
    </row>
    <row r="143" spans="1:35" x14ac:dyDescent="0.25">
      <c r="A143" t="s">
        <v>530</v>
      </c>
      <c r="B143" s="1">
        <v>0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>
        <v>25000</v>
      </c>
      <c r="AF143" s="8" cm="1">
        <f t="array" aca="1" ref="AF143" ca="1">fScore_Total("ESPN",aCols)</f>
        <v>0</v>
      </c>
      <c r="AG143" s="8" cm="1">
        <f t="array" aca="1" ref="AG143" ca="1">-fScore_Total("diff",aCols)</f>
        <v>0</v>
      </c>
      <c r="AH143" s="8">
        <f t="shared" ca="1" si="2"/>
        <v>0</v>
      </c>
      <c r="AI143" s="8"/>
    </row>
    <row r="144" spans="1:35" x14ac:dyDescent="0.25">
      <c r="A144" t="s">
        <v>360</v>
      </c>
      <c r="B144" s="1" t="s">
        <v>601</v>
      </c>
      <c r="C144" s="1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3.1530257709999998</v>
      </c>
      <c r="N144" s="1">
        <v>0</v>
      </c>
      <c r="O144" s="1">
        <v>0.23064606400000001</v>
      </c>
      <c r="P144" s="1">
        <v>0</v>
      </c>
      <c r="Q144" s="1">
        <v>0</v>
      </c>
      <c r="R144" s="1">
        <v>36.49165043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1139</v>
      </c>
      <c r="AB144" s="1">
        <v>0</v>
      </c>
      <c r="AC144" s="1">
        <v>0</v>
      </c>
      <c r="AD144">
        <v>25000</v>
      </c>
      <c r="AF144" s="8" cm="1">
        <f t="array" aca="1" ref="AF144" ca="1">fScore_Total("ESPN",aCols)</f>
        <v>6.6095543125000003</v>
      </c>
      <c r="AG144" s="8" cm="1">
        <f t="array" aca="1" ref="AG144" ca="1">-fScore_Total("diff",aCols)</f>
        <v>0</v>
      </c>
      <c r="AH144" s="8">
        <f t="shared" ca="1" si="2"/>
        <v>6.6095543125000003</v>
      </c>
      <c r="AI144" s="8"/>
    </row>
    <row r="145" spans="1:35" x14ac:dyDescent="0.25">
      <c r="A145" t="s">
        <v>531</v>
      </c>
      <c r="B145" s="1">
        <v>0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>
        <v>25000</v>
      </c>
      <c r="AF145" s="8" cm="1">
        <f t="array" aca="1" ref="AF145" ca="1">fScore_Total("ESPN",aCols)</f>
        <v>0</v>
      </c>
      <c r="AG145" s="8" cm="1">
        <f t="array" aca="1" ref="AG145" ca="1">-fScore_Total("diff",aCols)</f>
        <v>0</v>
      </c>
      <c r="AH145" s="8">
        <f t="shared" ca="1" si="2"/>
        <v>0</v>
      </c>
      <c r="AI145" s="8"/>
    </row>
    <row r="146" spans="1:35" x14ac:dyDescent="0.25">
      <c r="A146" t="s">
        <v>146</v>
      </c>
      <c r="B146" s="1" t="s">
        <v>600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12.947681169999999</v>
      </c>
      <c r="N146" s="1">
        <v>0</v>
      </c>
      <c r="O146" s="1">
        <v>0.54315858299999997</v>
      </c>
      <c r="P146" s="1">
        <v>0</v>
      </c>
      <c r="Q146" s="1">
        <v>0</v>
      </c>
      <c r="R146" s="1">
        <v>94.19809549</v>
      </c>
      <c r="S146" s="1">
        <v>0</v>
      </c>
      <c r="T146" s="1">
        <v>0</v>
      </c>
      <c r="U146" s="1">
        <v>0</v>
      </c>
      <c r="V146" s="1">
        <v>2.4755924600000001</v>
      </c>
      <c r="W146" s="1">
        <v>0</v>
      </c>
      <c r="X146" s="1">
        <v>0</v>
      </c>
      <c r="Y146" s="1">
        <v>351.50153089999998</v>
      </c>
      <c r="Z146" s="1">
        <v>0</v>
      </c>
      <c r="AA146" s="1">
        <v>201</v>
      </c>
      <c r="AB146" s="1">
        <v>1</v>
      </c>
      <c r="AC146" s="1">
        <v>0</v>
      </c>
      <c r="AD146">
        <v>25000</v>
      </c>
      <c r="AF146" s="8" cm="1">
        <f t="array" aca="1" ref="AF146" ca="1">fScore_Total("ESPN",aCols)</f>
        <v>69.156309481999998</v>
      </c>
      <c r="AG146" s="8" cm="1">
        <f t="array" aca="1" ref="AG146" ca="1">-fScore_Total("diff",aCols)</f>
        <v>0</v>
      </c>
      <c r="AH146" s="8">
        <f t="shared" ca="1" si="2"/>
        <v>69.156309481999998</v>
      </c>
      <c r="AI146" s="8"/>
    </row>
    <row r="147" spans="1:35" x14ac:dyDescent="0.25">
      <c r="A147" t="s">
        <v>198</v>
      </c>
      <c r="B147" s="1" t="s">
        <v>600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8.9110076280000001</v>
      </c>
      <c r="N147" s="1">
        <v>0</v>
      </c>
      <c r="O147" s="1">
        <v>0.382470066</v>
      </c>
      <c r="P147" s="1">
        <v>0</v>
      </c>
      <c r="Q147" s="1">
        <v>0</v>
      </c>
      <c r="R147" s="1">
        <v>63.142940619999997</v>
      </c>
      <c r="S147" s="1">
        <v>0</v>
      </c>
      <c r="T147" s="1">
        <v>0</v>
      </c>
      <c r="U147" s="1">
        <v>0</v>
      </c>
      <c r="V147" s="1">
        <v>1.7911003990000001</v>
      </c>
      <c r="W147" s="1">
        <v>0</v>
      </c>
      <c r="X147" s="1">
        <v>0</v>
      </c>
      <c r="Y147" s="1">
        <v>276.54074530000003</v>
      </c>
      <c r="Z147" s="1">
        <v>0</v>
      </c>
      <c r="AA147" s="1">
        <v>350</v>
      </c>
      <c r="AB147" s="1">
        <v>0</v>
      </c>
      <c r="AC147" s="1">
        <v>0</v>
      </c>
      <c r="AD147">
        <v>25000</v>
      </c>
      <c r="AF147" s="8" cm="1">
        <f t="array" aca="1" ref="AF147" ca="1">fScore_Total("ESPN",aCols)</f>
        <v>51.465295196</v>
      </c>
      <c r="AG147" s="8" cm="1">
        <f t="array" aca="1" ref="AG147" ca="1">-fScore_Total("diff",aCols)</f>
        <v>0</v>
      </c>
      <c r="AH147" s="8">
        <f t="shared" ca="1" si="2"/>
        <v>51.465295196</v>
      </c>
      <c r="AI147" s="8"/>
    </row>
    <row r="148" spans="1:35" x14ac:dyDescent="0.25">
      <c r="A148" t="s">
        <v>253</v>
      </c>
      <c r="B148" s="1" t="s">
        <v>600</v>
      </c>
      <c r="C148" s="1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8.4893816599999994</v>
      </c>
      <c r="N148" s="1">
        <v>0</v>
      </c>
      <c r="O148" s="1">
        <v>0.26536838200000001</v>
      </c>
      <c r="P148" s="1">
        <v>0</v>
      </c>
      <c r="Q148" s="1">
        <v>0</v>
      </c>
      <c r="R148" s="1">
        <v>59.759779190000003</v>
      </c>
      <c r="S148" s="1">
        <v>0</v>
      </c>
      <c r="T148" s="1">
        <v>0</v>
      </c>
      <c r="U148" s="1">
        <v>0</v>
      </c>
      <c r="V148" s="1">
        <v>0.32535430599999998</v>
      </c>
      <c r="W148" s="1">
        <v>0</v>
      </c>
      <c r="X148" s="1">
        <v>0</v>
      </c>
      <c r="Y148" s="1">
        <v>61.81521936</v>
      </c>
      <c r="Z148" s="1">
        <v>0</v>
      </c>
      <c r="AA148" s="1">
        <v>459</v>
      </c>
      <c r="AB148" s="1">
        <v>0</v>
      </c>
      <c r="AC148" s="1">
        <v>0</v>
      </c>
      <c r="AD148">
        <v>25000</v>
      </c>
      <c r="AF148" s="8" cm="1">
        <f t="array" aca="1" ref="AF148" ca="1">fScore_Total("ESPN",aCols)</f>
        <v>19.946526813000002</v>
      </c>
      <c r="AG148" s="8" cm="1">
        <f t="array" aca="1" ref="AG148" ca="1">-fScore_Total("diff",aCols)</f>
        <v>0</v>
      </c>
      <c r="AH148" s="8">
        <f t="shared" ca="1" si="2"/>
        <v>19.946526813000002</v>
      </c>
      <c r="AI148" s="8"/>
    </row>
    <row r="149" spans="1:35" x14ac:dyDescent="0.25">
      <c r="A149" t="s">
        <v>532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>
        <v>25000</v>
      </c>
      <c r="AF149" s="8" cm="1">
        <f t="array" aca="1" ref="AF149" ca="1">fScore_Total("ESPN",aCols)</f>
        <v>0</v>
      </c>
      <c r="AG149" s="8" cm="1">
        <f t="array" aca="1" ref="AG149" ca="1">-fScore_Total("diff",aCols)</f>
        <v>0</v>
      </c>
      <c r="AH149" s="8">
        <f t="shared" ca="1" si="2"/>
        <v>0</v>
      </c>
      <c r="AI149" s="8"/>
    </row>
    <row r="150" spans="1:35" x14ac:dyDescent="0.25">
      <c r="A150" t="s">
        <v>533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>
        <v>25000</v>
      </c>
      <c r="AF150" s="8" cm="1">
        <f t="array" aca="1" ref="AF150" ca="1">fScore_Total("ESPN",aCols)</f>
        <v>0</v>
      </c>
      <c r="AG150" s="8" cm="1">
        <f t="array" aca="1" ref="AG150" ca="1">-fScore_Total("diff",aCols)</f>
        <v>0</v>
      </c>
      <c r="AH150" s="8">
        <f t="shared" ref="AH150:AH213" ca="1" si="3">+AF150+AG150</f>
        <v>0</v>
      </c>
      <c r="AI150" s="8"/>
    </row>
    <row r="151" spans="1:35" x14ac:dyDescent="0.25">
      <c r="A151" t="s">
        <v>190</v>
      </c>
      <c r="B151" s="1" t="s">
        <v>601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40.505164399999998</v>
      </c>
      <c r="N151" s="1">
        <v>0</v>
      </c>
      <c r="O151" s="1">
        <v>1.9394556890000001</v>
      </c>
      <c r="P151" s="1">
        <v>0</v>
      </c>
      <c r="Q151" s="1">
        <v>0</v>
      </c>
      <c r="R151" s="1">
        <v>481.64223930000003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329</v>
      </c>
      <c r="AB151" s="1">
        <v>0</v>
      </c>
      <c r="AC151" s="1">
        <v>0</v>
      </c>
      <c r="AD151">
        <v>25000</v>
      </c>
      <c r="AF151" s="8" cm="1">
        <f t="array" aca="1" ref="AF151" ca="1">fScore_Total("ESPN",aCols)</f>
        <v>80.053540264000006</v>
      </c>
      <c r="AG151" s="8" cm="1">
        <f t="array" aca="1" ref="AG151" ca="1">-fScore_Total("diff",aCols)</f>
        <v>0</v>
      </c>
      <c r="AH151" s="8">
        <f t="shared" ca="1" si="3"/>
        <v>80.053540264000006</v>
      </c>
      <c r="AI151" s="8"/>
    </row>
    <row r="152" spans="1:35" x14ac:dyDescent="0.25">
      <c r="A152" t="s">
        <v>395</v>
      </c>
      <c r="B152" s="1" t="s">
        <v>603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3.8142622730000002</v>
      </c>
      <c r="N152" s="1">
        <v>0</v>
      </c>
      <c r="O152" s="1">
        <v>0.28877445099999999</v>
      </c>
      <c r="P152" s="1">
        <v>0</v>
      </c>
      <c r="Q152" s="1">
        <v>0</v>
      </c>
      <c r="R152" s="1">
        <v>39.165468990000001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1111</v>
      </c>
      <c r="AB152" s="1">
        <v>0</v>
      </c>
      <c r="AC152" s="1">
        <v>0</v>
      </c>
      <c r="AD152">
        <v>25000</v>
      </c>
      <c r="AF152" s="8" cm="1">
        <f t="array" aca="1" ref="AF152" ca="1">fScore_Total("ESPN",aCols)</f>
        <v>7.5563247415000001</v>
      </c>
      <c r="AG152" s="8" cm="1">
        <f t="array" aca="1" ref="AG152" ca="1">-fScore_Total("diff",aCols)</f>
        <v>0</v>
      </c>
      <c r="AH152" s="8">
        <f t="shared" ca="1" si="3"/>
        <v>7.5563247415000001</v>
      </c>
      <c r="AI152" s="8"/>
    </row>
    <row r="153" spans="1:35" x14ac:dyDescent="0.25">
      <c r="A153" t="s">
        <v>534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>
        <v>25000</v>
      </c>
      <c r="AF153" s="8" cm="1">
        <f t="array" aca="1" ref="AF153" ca="1">fScore_Total("ESPN",aCols)</f>
        <v>0</v>
      </c>
      <c r="AG153" s="8" cm="1">
        <f t="array" aca="1" ref="AG153" ca="1">-fScore_Total("diff",aCols)</f>
        <v>0</v>
      </c>
      <c r="AH153" s="8">
        <f t="shared" ca="1" si="3"/>
        <v>0</v>
      </c>
      <c r="AI153" s="8"/>
    </row>
    <row r="154" spans="1:35" x14ac:dyDescent="0.25">
      <c r="A154" t="s">
        <v>154</v>
      </c>
      <c r="B154" s="1" t="s">
        <v>600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8.0330492299999996</v>
      </c>
      <c r="N154" s="1">
        <v>0</v>
      </c>
      <c r="O154" s="1">
        <v>0.30945271000000002</v>
      </c>
      <c r="P154" s="1">
        <v>0</v>
      </c>
      <c r="Q154" s="1">
        <v>0</v>
      </c>
      <c r="R154" s="1">
        <v>55.342891710000004</v>
      </c>
      <c r="S154" s="1">
        <v>0</v>
      </c>
      <c r="T154" s="1">
        <v>0</v>
      </c>
      <c r="U154" s="1">
        <v>0</v>
      </c>
      <c r="V154" s="1">
        <v>0.75920628300000004</v>
      </c>
      <c r="W154" s="1">
        <v>0</v>
      </c>
      <c r="X154" s="1">
        <v>0</v>
      </c>
      <c r="Y154" s="1">
        <v>175.644385</v>
      </c>
      <c r="Z154" s="1">
        <v>0</v>
      </c>
      <c r="AA154" s="1">
        <v>399</v>
      </c>
      <c r="AB154" s="1">
        <v>0</v>
      </c>
      <c r="AC154" s="1">
        <v>0</v>
      </c>
      <c r="AD154">
        <v>25000</v>
      </c>
      <c r="AF154" s="8" cm="1">
        <f t="array" aca="1" ref="AF154" ca="1">fScore_Total("ESPN",aCols)</f>
        <v>33.527206243999998</v>
      </c>
      <c r="AG154" s="8" cm="1">
        <f t="array" aca="1" ref="AG154" ca="1">-fScore_Total("diff",aCols)</f>
        <v>0</v>
      </c>
      <c r="AH154" s="8">
        <f t="shared" ca="1" si="3"/>
        <v>33.527206243999998</v>
      </c>
      <c r="AI154" s="8"/>
    </row>
    <row r="155" spans="1:35" x14ac:dyDescent="0.25">
      <c r="A155" t="s">
        <v>535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>
        <v>25000</v>
      </c>
      <c r="AF155" s="8" cm="1">
        <f t="array" aca="1" ref="AF155" ca="1">fScore_Total("ESPN",aCols)</f>
        <v>0</v>
      </c>
      <c r="AG155" s="8" cm="1">
        <f t="array" aca="1" ref="AG155" ca="1">-fScore_Total("diff",aCols)</f>
        <v>0</v>
      </c>
      <c r="AH155" s="8">
        <f t="shared" ca="1" si="3"/>
        <v>0</v>
      </c>
      <c r="AI155" s="8"/>
    </row>
    <row r="156" spans="1:35" x14ac:dyDescent="0.25">
      <c r="A156" t="s">
        <v>347</v>
      </c>
      <c r="B156" s="1" t="s">
        <v>600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4.3241390170000003</v>
      </c>
      <c r="N156" s="1">
        <v>0</v>
      </c>
      <c r="O156" s="1">
        <v>0.20362185799999999</v>
      </c>
      <c r="P156" s="1">
        <v>0</v>
      </c>
      <c r="Q156" s="1">
        <v>0</v>
      </c>
      <c r="R156" s="1">
        <v>30.705354629999999</v>
      </c>
      <c r="S156" s="1">
        <v>0</v>
      </c>
      <c r="T156" s="1">
        <v>0</v>
      </c>
      <c r="U156" s="1">
        <v>0</v>
      </c>
      <c r="V156" s="1">
        <v>0.695061924</v>
      </c>
      <c r="W156" s="1">
        <v>0</v>
      </c>
      <c r="X156" s="1">
        <v>0</v>
      </c>
      <c r="Y156" s="1">
        <v>90.30162018</v>
      </c>
      <c r="Z156" s="1">
        <v>0</v>
      </c>
      <c r="AA156" s="1">
        <v>1051</v>
      </c>
      <c r="AB156" s="1">
        <v>0</v>
      </c>
      <c r="AC156" s="1">
        <v>0</v>
      </c>
      <c r="AD156">
        <v>25000</v>
      </c>
      <c r="AF156" s="8" cm="1">
        <f t="array" aca="1" ref="AF156" ca="1">fScore_Total("ESPN",aCols)</f>
        <v>19.654869681500003</v>
      </c>
      <c r="AG156" s="8" cm="1">
        <f t="array" aca="1" ref="AG156" ca="1">-fScore_Total("diff",aCols)</f>
        <v>0</v>
      </c>
      <c r="AH156" s="8">
        <f t="shared" ca="1" si="3"/>
        <v>19.654869681500003</v>
      </c>
      <c r="AI156" s="8"/>
    </row>
    <row r="157" spans="1:35" x14ac:dyDescent="0.25">
      <c r="A157" t="s">
        <v>536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>
        <v>25000</v>
      </c>
      <c r="AF157" s="8" cm="1">
        <f t="array" aca="1" ref="AF157" ca="1">fScore_Total("ESPN",aCols)</f>
        <v>0</v>
      </c>
      <c r="AG157" s="8" cm="1">
        <f t="array" aca="1" ref="AG157" ca="1">-fScore_Total("diff",aCols)</f>
        <v>0</v>
      </c>
      <c r="AH157" s="8">
        <f t="shared" ca="1" si="3"/>
        <v>0</v>
      </c>
      <c r="AI157" s="8"/>
    </row>
    <row r="158" spans="1:35" x14ac:dyDescent="0.25">
      <c r="A158" t="s">
        <v>394</v>
      </c>
      <c r="B158" s="1" t="s">
        <v>603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3.8230241829999998</v>
      </c>
      <c r="N158" s="1">
        <v>0</v>
      </c>
      <c r="O158" s="1">
        <v>0.31063982200000001</v>
      </c>
      <c r="P158" s="1">
        <v>0</v>
      </c>
      <c r="Q158" s="1">
        <v>0</v>
      </c>
      <c r="R158" s="1">
        <v>38.197011799999999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1110</v>
      </c>
      <c r="AB158" s="1">
        <v>0</v>
      </c>
      <c r="AC158" s="1">
        <v>0</v>
      </c>
      <c r="AD158">
        <v>25000</v>
      </c>
      <c r="AF158" s="8" cm="1">
        <f t="array" aca="1" ref="AF158" ca="1">fScore_Total("ESPN",aCols)</f>
        <v>7.5950522034999999</v>
      </c>
      <c r="AG158" s="8" cm="1">
        <f t="array" aca="1" ref="AG158" ca="1">-fScore_Total("diff",aCols)</f>
        <v>0</v>
      </c>
      <c r="AH158" s="8">
        <f t="shared" ca="1" si="3"/>
        <v>7.5950522034999999</v>
      </c>
      <c r="AI158" s="8"/>
    </row>
    <row r="159" spans="1:35" x14ac:dyDescent="0.25">
      <c r="A159" t="s">
        <v>537</v>
      </c>
      <c r="B159" s="1">
        <v>0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>
        <v>25000</v>
      </c>
      <c r="AF159" s="8" cm="1">
        <f t="array" aca="1" ref="AF159" ca="1">fScore_Total("ESPN",aCols)</f>
        <v>0</v>
      </c>
      <c r="AG159" s="8" cm="1">
        <f t="array" aca="1" ref="AG159" ca="1">-fScore_Total("diff",aCols)</f>
        <v>0</v>
      </c>
      <c r="AH159" s="8">
        <f t="shared" ca="1" si="3"/>
        <v>0</v>
      </c>
      <c r="AI159" s="8"/>
    </row>
    <row r="160" spans="1:35" x14ac:dyDescent="0.25">
      <c r="A160" t="s">
        <v>339</v>
      </c>
      <c r="B160" s="1" t="s">
        <v>601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  <c r="M160" s="1">
        <v>8.0909775639999992</v>
      </c>
      <c r="N160" s="1">
        <v>0</v>
      </c>
      <c r="O160" s="1">
        <v>0.59092266999999998</v>
      </c>
      <c r="P160" s="1">
        <v>0</v>
      </c>
      <c r="Q160" s="1">
        <v>0</v>
      </c>
      <c r="R160" s="1">
        <v>94.348465840000003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1056</v>
      </c>
      <c r="AB160" s="1">
        <v>0</v>
      </c>
      <c r="AC160" s="1">
        <v>0</v>
      </c>
      <c r="AD160">
        <v>25000</v>
      </c>
      <c r="AF160" s="8" cm="1">
        <f t="array" aca="1" ref="AF160" ca="1">fScore_Total("ESPN",aCols)</f>
        <v>17.025871385999999</v>
      </c>
      <c r="AG160" s="8" cm="1">
        <f t="array" aca="1" ref="AG160" ca="1">-fScore_Total("diff",aCols)</f>
        <v>0</v>
      </c>
      <c r="AH160" s="8">
        <f t="shared" ca="1" si="3"/>
        <v>17.025871385999999</v>
      </c>
      <c r="AI160" s="8"/>
    </row>
    <row r="161" spans="1:35" x14ac:dyDescent="0.25">
      <c r="A161" t="s">
        <v>355</v>
      </c>
      <c r="B161" s="1" t="s">
        <v>601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  <c r="M161" s="1">
        <v>6.8366505430000002</v>
      </c>
      <c r="N161" s="1">
        <v>0</v>
      </c>
      <c r="O161" s="1">
        <v>0.48807324000000002</v>
      </c>
      <c r="P161" s="1">
        <v>0</v>
      </c>
      <c r="Q161" s="1">
        <v>0</v>
      </c>
      <c r="R161" s="1">
        <v>75.673707980000003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1067</v>
      </c>
      <c r="AB161" s="1">
        <v>0</v>
      </c>
      <c r="AC161" s="1">
        <v>0</v>
      </c>
      <c r="AD161">
        <v>25000</v>
      </c>
      <c r="AF161" s="8" cm="1">
        <f t="array" aca="1" ref="AF161" ca="1">fScore_Total("ESPN",aCols)</f>
        <v>13.914135509500001</v>
      </c>
      <c r="AG161" s="8" cm="1">
        <f t="array" aca="1" ref="AG161" ca="1">-fScore_Total("diff",aCols)</f>
        <v>0</v>
      </c>
      <c r="AH161" s="8">
        <f t="shared" ca="1" si="3"/>
        <v>13.914135509500001</v>
      </c>
      <c r="AI161" s="8"/>
    </row>
    <row r="162" spans="1:35" x14ac:dyDescent="0.25">
      <c r="A162" t="s">
        <v>538</v>
      </c>
      <c r="B162" s="1">
        <v>0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>
        <v>30000</v>
      </c>
      <c r="AF162" s="8" cm="1">
        <f t="array" aca="1" ref="AF162" ca="1">fScore_Total("ESPN",aCols)</f>
        <v>0</v>
      </c>
      <c r="AG162" s="8" cm="1">
        <f t="array" aca="1" ref="AG162" ca="1">-fScore_Total("diff",aCols)</f>
        <v>0</v>
      </c>
      <c r="AH162" s="8">
        <f t="shared" ca="1" si="3"/>
        <v>0</v>
      </c>
      <c r="AI162" s="8"/>
    </row>
    <row r="163" spans="1:35" x14ac:dyDescent="0.25">
      <c r="A163" t="s">
        <v>539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>
        <v>30000</v>
      </c>
      <c r="AF163" s="8" cm="1">
        <f t="array" aca="1" ref="AF163" ca="1">fScore_Total("ESPN",aCols)</f>
        <v>0</v>
      </c>
      <c r="AG163" s="8" cm="1">
        <f t="array" aca="1" ref="AG163" ca="1">-fScore_Total("diff",aCols)</f>
        <v>0</v>
      </c>
      <c r="AH163" s="8">
        <f t="shared" ca="1" si="3"/>
        <v>0</v>
      </c>
      <c r="AI163" s="8"/>
    </row>
    <row r="164" spans="1:35" x14ac:dyDescent="0.25">
      <c r="A164" t="s">
        <v>263</v>
      </c>
      <c r="B164" s="1" t="s">
        <v>603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19.450101159999999</v>
      </c>
      <c r="N164" s="1">
        <v>0</v>
      </c>
      <c r="O164" s="1">
        <v>1.1857546750000001</v>
      </c>
      <c r="P164" s="1">
        <v>0</v>
      </c>
      <c r="Q164" s="1">
        <v>0</v>
      </c>
      <c r="R164" s="1">
        <v>197.84806570000001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472</v>
      </c>
      <c r="AB164" s="1">
        <v>0</v>
      </c>
      <c r="AC164" s="1">
        <v>0</v>
      </c>
      <c r="AD164">
        <v>30000</v>
      </c>
      <c r="AF164" s="8" cm="1">
        <f t="array" aca="1" ref="AF164" ca="1">fScore_Total("ESPN",aCols)</f>
        <v>36.624385199999999</v>
      </c>
      <c r="AG164" s="8" cm="1">
        <f t="array" aca="1" ref="AG164" ca="1">-fScore_Total("diff",aCols)</f>
        <v>0</v>
      </c>
      <c r="AH164" s="8">
        <f t="shared" ca="1" si="3"/>
        <v>36.624385199999999</v>
      </c>
      <c r="AI164" s="8"/>
    </row>
    <row r="165" spans="1:35" x14ac:dyDescent="0.25">
      <c r="A165" t="s">
        <v>240</v>
      </c>
      <c r="B165" s="1" t="s">
        <v>600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4.3288003799999997</v>
      </c>
      <c r="N165" s="1">
        <v>0</v>
      </c>
      <c r="O165" s="1">
        <v>0.19554011099999999</v>
      </c>
      <c r="P165" s="1">
        <v>0</v>
      </c>
      <c r="Q165" s="1">
        <v>0</v>
      </c>
      <c r="R165" s="1">
        <v>30.197055079999998</v>
      </c>
      <c r="S165" s="1">
        <v>0</v>
      </c>
      <c r="T165" s="1">
        <v>0</v>
      </c>
      <c r="U165" s="1">
        <v>0</v>
      </c>
      <c r="V165" s="1">
        <v>0.93240747000000002</v>
      </c>
      <c r="W165" s="1">
        <v>0</v>
      </c>
      <c r="X165" s="1">
        <v>0</v>
      </c>
      <c r="Y165" s="1">
        <v>118.5237577</v>
      </c>
      <c r="Z165" s="1">
        <v>0</v>
      </c>
      <c r="AA165" s="1">
        <v>437</v>
      </c>
      <c r="AB165" s="1">
        <v>0</v>
      </c>
      <c r="AC165" s="1">
        <v>0</v>
      </c>
      <c r="AD165">
        <v>30000</v>
      </c>
      <c r="AF165" s="8" cm="1">
        <f t="array" aca="1" ref="AF165" ca="1">fScore_Total("ESPN",aCols)</f>
        <v>23.804166954000003</v>
      </c>
      <c r="AG165" s="8" cm="1">
        <f t="array" aca="1" ref="AG165" ca="1">-fScore_Total("diff",aCols)</f>
        <v>0</v>
      </c>
      <c r="AH165" s="8">
        <f t="shared" ca="1" si="3"/>
        <v>23.804166954000003</v>
      </c>
      <c r="AI165" s="8"/>
    </row>
    <row r="166" spans="1:35" x14ac:dyDescent="0.25">
      <c r="A166" t="s">
        <v>344</v>
      </c>
      <c r="B166" s="1" t="s">
        <v>603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9.7913476100000008</v>
      </c>
      <c r="N166" s="1">
        <v>0</v>
      </c>
      <c r="O166" s="1">
        <v>0.67875591300000004</v>
      </c>
      <c r="P166" s="1">
        <v>0</v>
      </c>
      <c r="Q166" s="1">
        <v>0</v>
      </c>
      <c r="R166" s="1">
        <v>97.415635080000001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1050</v>
      </c>
      <c r="AB166" s="1">
        <v>0</v>
      </c>
      <c r="AC166" s="1">
        <v>0</v>
      </c>
      <c r="AD166">
        <v>30000</v>
      </c>
      <c r="AF166" s="8" cm="1">
        <f t="array" aca="1" ref="AF166" ca="1">fScore_Total("ESPN",aCols)</f>
        <v>18.709772790999999</v>
      </c>
      <c r="AG166" s="8" cm="1">
        <f t="array" aca="1" ref="AG166" ca="1">-fScore_Total("diff",aCols)</f>
        <v>0</v>
      </c>
      <c r="AH166" s="8">
        <f t="shared" ca="1" si="3"/>
        <v>18.709772790999999</v>
      </c>
      <c r="AI166" s="8"/>
    </row>
    <row r="167" spans="1:35" x14ac:dyDescent="0.25">
      <c r="A167" t="s">
        <v>391</v>
      </c>
      <c r="B167" s="1" t="s">
        <v>603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3.9214935390000001</v>
      </c>
      <c r="N167" s="1">
        <v>0</v>
      </c>
      <c r="O167" s="1">
        <v>0.37194493699999998</v>
      </c>
      <c r="P167" s="1">
        <v>0</v>
      </c>
      <c r="Q167" s="1">
        <v>0</v>
      </c>
      <c r="R167" s="1">
        <v>39.4831048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1105</v>
      </c>
      <c r="AB167" s="1">
        <v>0</v>
      </c>
      <c r="AC167" s="1">
        <v>0</v>
      </c>
      <c r="AD167">
        <v>30000</v>
      </c>
      <c r="AF167" s="8" cm="1">
        <f t="array" aca="1" ref="AF167" ca="1">fScore_Total("ESPN",aCols)</f>
        <v>8.1407268715000001</v>
      </c>
      <c r="AG167" s="8" cm="1">
        <f t="array" aca="1" ref="AG167" ca="1">-fScore_Total("diff",aCols)</f>
        <v>0</v>
      </c>
      <c r="AH167" s="8">
        <f t="shared" ca="1" si="3"/>
        <v>8.1407268715000001</v>
      </c>
      <c r="AI167" s="8"/>
    </row>
    <row r="168" spans="1:35" x14ac:dyDescent="0.25">
      <c r="A168" t="s">
        <v>426</v>
      </c>
      <c r="B168" s="1" t="s">
        <v>601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  <c r="M168" s="1">
        <v>3.267617054</v>
      </c>
      <c r="N168" s="1">
        <v>0</v>
      </c>
      <c r="O168" s="1">
        <v>0.21924654099999999</v>
      </c>
      <c r="P168" s="1">
        <v>0</v>
      </c>
      <c r="Q168" s="1">
        <v>0</v>
      </c>
      <c r="R168" s="1">
        <v>38.254266659999999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1144</v>
      </c>
      <c r="AB168" s="1">
        <v>0</v>
      </c>
      <c r="AC168" s="1">
        <v>0</v>
      </c>
      <c r="AD168">
        <v>30000</v>
      </c>
      <c r="AF168" s="8" cm="1">
        <f t="array" aca="1" ref="AF168" ca="1">fScore_Total("ESPN",aCols)</f>
        <v>6.7747144390000003</v>
      </c>
      <c r="AG168" s="8" cm="1">
        <f t="array" aca="1" ref="AG168" ca="1">-fScore_Total("diff",aCols)</f>
        <v>0</v>
      </c>
      <c r="AH168" s="8">
        <f t="shared" ca="1" si="3"/>
        <v>6.7747144390000003</v>
      </c>
      <c r="AI168" s="8"/>
    </row>
    <row r="169" spans="1:35" x14ac:dyDescent="0.25">
      <c r="A169" t="s">
        <v>540</v>
      </c>
      <c r="B169" s="1">
        <v>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>
        <v>30000</v>
      </c>
      <c r="AF169" s="8" cm="1">
        <f t="array" aca="1" ref="AF169" ca="1">fScore_Total("ESPN",aCols)</f>
        <v>0</v>
      </c>
      <c r="AG169" s="8" cm="1">
        <f t="array" aca="1" ref="AG169" ca="1">-fScore_Total("diff",aCols)</f>
        <v>0</v>
      </c>
      <c r="AH169" s="8">
        <f t="shared" ca="1" si="3"/>
        <v>0</v>
      </c>
      <c r="AI169" s="8"/>
    </row>
    <row r="170" spans="1:35" x14ac:dyDescent="0.25">
      <c r="A170" t="s">
        <v>541</v>
      </c>
      <c r="B170" s="1">
        <v>0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>
        <v>30000</v>
      </c>
      <c r="AF170" s="8" cm="1">
        <f t="array" aca="1" ref="AF170" ca="1">fScore_Total("ESPN",aCols)</f>
        <v>0</v>
      </c>
      <c r="AG170" s="8" cm="1">
        <f t="array" aca="1" ref="AG170" ca="1">-fScore_Total("diff",aCols)</f>
        <v>0</v>
      </c>
      <c r="AH170" s="8">
        <f t="shared" ca="1" si="3"/>
        <v>0</v>
      </c>
      <c r="AI170" s="8"/>
    </row>
    <row r="171" spans="1:35" x14ac:dyDescent="0.25">
      <c r="A171" t="s">
        <v>506</v>
      </c>
      <c r="B171" s="1" t="s">
        <v>603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8.5864900520000003</v>
      </c>
      <c r="N171" s="1">
        <v>0</v>
      </c>
      <c r="O171" s="1">
        <v>0.60039185900000003</v>
      </c>
      <c r="P171" s="1">
        <v>0</v>
      </c>
      <c r="Q171" s="1">
        <v>0</v>
      </c>
      <c r="R171" s="1">
        <v>83.905193859999997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1057</v>
      </c>
      <c r="AB171" s="1">
        <v>0</v>
      </c>
      <c r="AC171" s="1">
        <v>0</v>
      </c>
      <c r="AD171">
        <v>30000</v>
      </c>
      <c r="AF171" s="8" cm="1">
        <f t="array" aca="1" ref="AF171" ca="1">fScore_Total("ESPN",aCols)</f>
        <v>16.286115565999999</v>
      </c>
      <c r="AG171" s="8" cm="1">
        <f t="array" aca="1" ref="AG171" ca="1">-fScore_Total("diff",aCols)</f>
        <v>0</v>
      </c>
      <c r="AH171" s="8">
        <f t="shared" ca="1" si="3"/>
        <v>16.286115565999999</v>
      </c>
      <c r="AI171" s="8"/>
    </row>
    <row r="172" spans="1:35" x14ac:dyDescent="0.25">
      <c r="A172" t="s">
        <v>324</v>
      </c>
      <c r="B172" s="1" t="s">
        <v>601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10.331944050000001</v>
      </c>
      <c r="N172" s="1">
        <v>0</v>
      </c>
      <c r="O172" s="1">
        <v>0.74446436900000001</v>
      </c>
      <c r="P172" s="1">
        <v>0</v>
      </c>
      <c r="Q172" s="1">
        <v>0</v>
      </c>
      <c r="R172" s="1">
        <v>123.04145010000001</v>
      </c>
      <c r="S172" s="1">
        <v>0</v>
      </c>
      <c r="T172" s="1">
        <v>0</v>
      </c>
      <c r="U172" s="1">
        <v>0</v>
      </c>
      <c r="V172" s="1">
        <v>0.10427953199999999</v>
      </c>
      <c r="W172" s="1">
        <v>0</v>
      </c>
      <c r="X172" s="1">
        <v>0</v>
      </c>
      <c r="Y172" s="1">
        <v>12.616467070000001</v>
      </c>
      <c r="Z172" s="1">
        <v>0</v>
      </c>
      <c r="AA172" s="1">
        <v>1030</v>
      </c>
      <c r="AB172" s="1">
        <v>0</v>
      </c>
      <c r="AC172" s="1">
        <v>0</v>
      </c>
      <c r="AD172">
        <v>30000</v>
      </c>
      <c r="AF172" s="8" cm="1">
        <f t="array" aca="1" ref="AF172" ca="1">fScore_Total("ESPN",aCols)</f>
        <v>23.824227148000006</v>
      </c>
      <c r="AG172" s="8" cm="1">
        <f t="array" aca="1" ref="AG172" ca="1">-fScore_Total("diff",aCols)</f>
        <v>0</v>
      </c>
      <c r="AH172" s="8">
        <f t="shared" ca="1" si="3"/>
        <v>23.824227148000006</v>
      </c>
      <c r="AI172" s="8"/>
    </row>
    <row r="173" spans="1:35" x14ac:dyDescent="0.25">
      <c r="A173" t="s">
        <v>542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>
        <v>30000</v>
      </c>
      <c r="AF173" s="8" cm="1">
        <f t="array" aca="1" ref="AF173" ca="1">fScore_Total("ESPN",aCols)</f>
        <v>0</v>
      </c>
      <c r="AG173" s="8" cm="1">
        <f t="array" aca="1" ref="AG173" ca="1">-fScore_Total("diff",aCols)</f>
        <v>0</v>
      </c>
      <c r="AH173" s="8">
        <f t="shared" ca="1" si="3"/>
        <v>0</v>
      </c>
      <c r="AI173" s="8"/>
    </row>
    <row r="174" spans="1:35" x14ac:dyDescent="0.25">
      <c r="A174" t="s">
        <v>517</v>
      </c>
      <c r="B174" s="1" t="s">
        <v>600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  <c r="M174" s="1">
        <v>17.646343689999998</v>
      </c>
      <c r="N174" s="1">
        <v>0</v>
      </c>
      <c r="O174" s="1">
        <v>0.63082531900000005</v>
      </c>
      <c r="P174" s="1">
        <v>0</v>
      </c>
      <c r="Q174" s="1">
        <v>0</v>
      </c>
      <c r="R174" s="1">
        <v>121.2449982</v>
      </c>
      <c r="S174" s="1">
        <v>0</v>
      </c>
      <c r="T174" s="1">
        <v>0</v>
      </c>
      <c r="U174" s="1">
        <v>0</v>
      </c>
      <c r="V174" s="1">
        <v>1.617914166</v>
      </c>
      <c r="W174" s="1">
        <v>0</v>
      </c>
      <c r="X174" s="1">
        <v>0</v>
      </c>
      <c r="Y174" s="1">
        <v>275.24494659999999</v>
      </c>
      <c r="Z174" s="1">
        <v>0</v>
      </c>
      <c r="AA174" s="1">
        <v>321</v>
      </c>
      <c r="AB174" s="1">
        <v>0</v>
      </c>
      <c r="AC174" s="1">
        <v>0</v>
      </c>
      <c r="AD174">
        <v>30000</v>
      </c>
      <c r="AF174" s="8" cm="1">
        <f t="array" aca="1" ref="AF174" ca="1">fScore_Total("ESPN",aCols)</f>
        <v>61.964603234999998</v>
      </c>
      <c r="AG174" s="8" cm="1">
        <f t="array" aca="1" ref="AG174" ca="1">-fScore_Total("diff",aCols)</f>
        <v>0</v>
      </c>
      <c r="AH174" s="8">
        <f t="shared" ca="1" si="3"/>
        <v>61.964603234999998</v>
      </c>
      <c r="AI174" s="8"/>
    </row>
    <row r="175" spans="1:35" x14ac:dyDescent="0.25">
      <c r="A175" t="s">
        <v>357</v>
      </c>
      <c r="B175" s="1" t="s">
        <v>603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7.5886239839999998</v>
      </c>
      <c r="N175" s="1">
        <v>0</v>
      </c>
      <c r="O175" s="1">
        <v>0.41306582800000002</v>
      </c>
      <c r="P175" s="1">
        <v>0</v>
      </c>
      <c r="Q175" s="1">
        <v>0</v>
      </c>
      <c r="R175" s="1">
        <v>74.45232584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1069</v>
      </c>
      <c r="AB175" s="1">
        <v>0</v>
      </c>
      <c r="AC175" s="1">
        <v>0</v>
      </c>
      <c r="AD175">
        <v>30000</v>
      </c>
      <c r="AF175" s="8" cm="1">
        <f t="array" aca="1" ref="AF175" ca="1">fScore_Total("ESPN",aCols)</f>
        <v>13.717939544</v>
      </c>
      <c r="AG175" s="8" cm="1">
        <f t="array" aca="1" ref="AG175" ca="1">-fScore_Total("diff",aCols)</f>
        <v>0</v>
      </c>
      <c r="AH175" s="8">
        <f t="shared" ca="1" si="3"/>
        <v>13.717939544</v>
      </c>
      <c r="AI175" s="8"/>
    </row>
    <row r="176" spans="1:35" x14ac:dyDescent="0.25">
      <c r="A176" t="s">
        <v>543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>
        <v>30000</v>
      </c>
      <c r="AF176" s="8" cm="1">
        <f t="array" aca="1" ref="AF176" ca="1">fScore_Total("ESPN",aCols)</f>
        <v>0</v>
      </c>
      <c r="AG176" s="8" cm="1">
        <f t="array" aca="1" ref="AG176" ca="1">-fScore_Total("diff",aCols)</f>
        <v>0</v>
      </c>
      <c r="AH176" s="8">
        <f t="shared" ca="1" si="3"/>
        <v>0</v>
      </c>
      <c r="AI176" s="8"/>
    </row>
    <row r="177" spans="1:35" x14ac:dyDescent="0.25">
      <c r="A177" t="s">
        <v>544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>
        <v>40000</v>
      </c>
      <c r="AF177" s="8" cm="1">
        <f t="array" aca="1" ref="AF177" ca="1">fScore_Total("ESPN",aCols)</f>
        <v>0</v>
      </c>
      <c r="AG177" s="8" cm="1">
        <f t="array" aca="1" ref="AG177" ca="1">-fScore_Total("diff",aCols)</f>
        <v>0</v>
      </c>
      <c r="AH177" s="8">
        <f t="shared" ca="1" si="3"/>
        <v>0</v>
      </c>
      <c r="AI177" s="8"/>
    </row>
    <row r="178" spans="1:35" x14ac:dyDescent="0.25">
      <c r="A178" t="s">
        <v>545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>
        <v>50000</v>
      </c>
      <c r="AF178" s="8" cm="1">
        <f t="array" aca="1" ref="AF178" ca="1">fScore_Total("ESPN",aCols)</f>
        <v>0</v>
      </c>
      <c r="AG178" s="8" cm="1">
        <f t="array" aca="1" ref="AG178" ca="1">-fScore_Total("diff",aCols)</f>
        <v>0</v>
      </c>
      <c r="AH178" s="8">
        <f t="shared" ca="1" si="3"/>
        <v>0</v>
      </c>
      <c r="AI178" s="8"/>
    </row>
    <row r="179" spans="1:35" x14ac:dyDescent="0.25">
      <c r="A179" t="s">
        <v>546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>
        <v>50000</v>
      </c>
      <c r="AF179" s="8" cm="1">
        <f t="array" aca="1" ref="AF179" ca="1">fScore_Total("ESPN",aCols)</f>
        <v>0</v>
      </c>
      <c r="AG179" s="8" cm="1">
        <f t="array" aca="1" ref="AG179" ca="1">-fScore_Total("diff",aCols)</f>
        <v>0</v>
      </c>
      <c r="AH179" s="8">
        <f t="shared" ca="1" si="3"/>
        <v>0</v>
      </c>
      <c r="AI179" s="8"/>
    </row>
    <row r="180" spans="1:35" x14ac:dyDescent="0.25">
      <c r="A180" t="s">
        <v>547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>
        <v>50000</v>
      </c>
      <c r="AF180" s="8" cm="1">
        <f t="array" aca="1" ref="AF180" ca="1">fScore_Total("ESPN",aCols)</f>
        <v>0</v>
      </c>
      <c r="AG180" s="8" cm="1">
        <f t="array" aca="1" ref="AG180" ca="1">-fScore_Total("diff",aCols)</f>
        <v>0</v>
      </c>
      <c r="AH180" s="8">
        <f t="shared" ca="1" si="3"/>
        <v>0</v>
      </c>
      <c r="AI180" s="8"/>
    </row>
    <row r="181" spans="1:35" x14ac:dyDescent="0.25">
      <c r="A181" t="s">
        <v>548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>
        <v>50000</v>
      </c>
      <c r="AF181" s="8" cm="1">
        <f t="array" aca="1" ref="AF181" ca="1">fScore_Total("ESPN",aCols)</f>
        <v>0</v>
      </c>
      <c r="AG181" s="8" cm="1">
        <f t="array" aca="1" ref="AG181" ca="1">-fScore_Total("diff",aCols)</f>
        <v>0</v>
      </c>
      <c r="AH181" s="8">
        <f t="shared" ca="1" si="3"/>
        <v>0</v>
      </c>
      <c r="AI181" s="8"/>
    </row>
    <row r="182" spans="1:35" x14ac:dyDescent="0.25">
      <c r="A182" t="s">
        <v>549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>
        <v>50000</v>
      </c>
      <c r="AF182" s="8" cm="1">
        <f t="array" aca="1" ref="AF182" ca="1">fScore_Total("ESPN",aCols)</f>
        <v>0</v>
      </c>
      <c r="AG182" s="8" cm="1">
        <f t="array" aca="1" ref="AG182" ca="1">-fScore_Total("diff",aCols)</f>
        <v>0</v>
      </c>
      <c r="AH182" s="8">
        <f t="shared" ca="1" si="3"/>
        <v>0</v>
      </c>
      <c r="AI182" s="8"/>
    </row>
    <row r="183" spans="1:35" x14ac:dyDescent="0.25">
      <c r="A183" t="s">
        <v>550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>
        <v>50000</v>
      </c>
      <c r="AF183" s="8" cm="1">
        <f t="array" aca="1" ref="AF183" ca="1">fScore_Total("ESPN",aCols)</f>
        <v>0</v>
      </c>
      <c r="AG183" s="8" cm="1">
        <f t="array" aca="1" ref="AG183" ca="1">-fScore_Total("diff",aCols)</f>
        <v>0</v>
      </c>
      <c r="AH183" s="8">
        <f t="shared" ca="1" si="3"/>
        <v>0</v>
      </c>
      <c r="AI183" s="8"/>
    </row>
    <row r="184" spans="1:35" x14ac:dyDescent="0.25">
      <c r="A184" t="s">
        <v>551</v>
      </c>
      <c r="B184" s="1">
        <v>0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>
        <v>50000</v>
      </c>
      <c r="AF184" s="8" cm="1">
        <f t="array" aca="1" ref="AF184" ca="1">fScore_Total("ESPN",aCols)</f>
        <v>0</v>
      </c>
      <c r="AG184" s="8" cm="1">
        <f t="array" aca="1" ref="AG184" ca="1">-fScore_Total("diff",aCols)</f>
        <v>0</v>
      </c>
      <c r="AH184" s="8">
        <f t="shared" ca="1" si="3"/>
        <v>0</v>
      </c>
      <c r="AI184" s="8"/>
    </row>
    <row r="185" spans="1:35" x14ac:dyDescent="0.25">
      <c r="A185" t="s">
        <v>552</v>
      </c>
      <c r="B185" s="1">
        <v>0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>
        <v>50000</v>
      </c>
      <c r="AF185" s="8" cm="1">
        <f t="array" aca="1" ref="AF185" ca="1">fScore_Total("ESPN",aCols)</f>
        <v>0</v>
      </c>
      <c r="AG185" s="8" cm="1">
        <f t="array" aca="1" ref="AG185" ca="1">-fScore_Total("diff",aCols)</f>
        <v>0</v>
      </c>
      <c r="AH185" s="8">
        <f t="shared" ca="1" si="3"/>
        <v>0</v>
      </c>
      <c r="AI185" s="8"/>
    </row>
    <row r="186" spans="1:35" x14ac:dyDescent="0.25">
      <c r="A186" t="s">
        <v>553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>
        <v>50000</v>
      </c>
      <c r="AF186" s="8" cm="1">
        <f t="array" aca="1" ref="AF186" ca="1">fScore_Total("ESPN",aCols)</f>
        <v>0</v>
      </c>
      <c r="AG186" s="8" cm="1">
        <f t="array" aca="1" ref="AG186" ca="1">-fScore_Total("diff",aCols)</f>
        <v>0</v>
      </c>
      <c r="AH186" s="8">
        <f t="shared" ca="1" si="3"/>
        <v>0</v>
      </c>
      <c r="AI186" s="8"/>
    </row>
    <row r="187" spans="1:35" x14ac:dyDescent="0.25">
      <c r="A187" t="s">
        <v>469</v>
      </c>
      <c r="B187" s="1" t="s">
        <v>600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  <c r="M187" s="1">
        <v>50.59015307</v>
      </c>
      <c r="N187" s="1">
        <v>0</v>
      </c>
      <c r="O187" s="1">
        <v>2.4830763629999999</v>
      </c>
      <c r="P187" s="1">
        <v>0</v>
      </c>
      <c r="Q187" s="1">
        <v>0</v>
      </c>
      <c r="R187" s="1">
        <v>374.6051147</v>
      </c>
      <c r="S187" s="1">
        <v>0</v>
      </c>
      <c r="T187" s="1">
        <v>0</v>
      </c>
      <c r="U187" s="1">
        <v>0</v>
      </c>
      <c r="V187" s="1">
        <v>8.2806183890000007</v>
      </c>
      <c r="W187" s="1">
        <v>0</v>
      </c>
      <c r="X187" s="1">
        <v>0</v>
      </c>
      <c r="Y187" s="1">
        <v>871.65025619999994</v>
      </c>
      <c r="Z187" s="1">
        <v>0</v>
      </c>
      <c r="AA187" s="1">
        <v>14</v>
      </c>
      <c r="AB187" s="1">
        <v>43</v>
      </c>
      <c r="AC187" s="1">
        <v>2800</v>
      </c>
      <c r="AD187">
        <v>0</v>
      </c>
      <c r="AF187" s="8" cm="1">
        <f t="array" aca="1" ref="AF187" ca="1">fScore_Total("ESPN",aCols)</f>
        <v>214.502782137</v>
      </c>
      <c r="AG187" s="8" cm="1">
        <f t="array" aca="1" ref="AG187" ca="1">-fScore_Total("diff",aCols)</f>
        <v>0</v>
      </c>
      <c r="AH187" s="8">
        <f t="shared" ca="1" si="3"/>
        <v>214.502782137</v>
      </c>
      <c r="AI187" s="8"/>
    </row>
    <row r="188" spans="1:35" x14ac:dyDescent="0.25">
      <c r="A188" t="s">
        <v>470</v>
      </c>
      <c r="B188" s="1" t="s">
        <v>600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  <c r="M188" s="1">
        <v>34.543637959999998</v>
      </c>
      <c r="N188" s="1">
        <v>0</v>
      </c>
      <c r="O188" s="1">
        <v>1.8536635690000001</v>
      </c>
      <c r="P188" s="1">
        <v>0</v>
      </c>
      <c r="Q188" s="1">
        <v>0</v>
      </c>
      <c r="R188" s="1">
        <v>284.59330160000002</v>
      </c>
      <c r="S188" s="1">
        <v>0</v>
      </c>
      <c r="T188" s="1">
        <v>0</v>
      </c>
      <c r="U188" s="1">
        <v>0</v>
      </c>
      <c r="V188" s="1">
        <v>10.157340899999999</v>
      </c>
      <c r="W188" s="1">
        <v>0</v>
      </c>
      <c r="X188" s="1">
        <v>0</v>
      </c>
      <c r="Y188" s="1">
        <v>1076.381834</v>
      </c>
      <c r="Z188" s="1">
        <v>0</v>
      </c>
      <c r="AA188" s="1">
        <v>15</v>
      </c>
      <c r="AB188" s="1">
        <v>42</v>
      </c>
      <c r="AC188" s="1">
        <v>4000</v>
      </c>
      <c r="AD188">
        <v>0</v>
      </c>
      <c r="AF188" s="8" cm="1">
        <f t="array" aca="1" ref="AF188" ca="1">fScore_Total("ESPN",aCols)</f>
        <v>225.43535935400001</v>
      </c>
      <c r="AG188" s="8" cm="1">
        <f t="array" aca="1" ref="AG188" ca="1">-fScore_Total("diff",aCols)</f>
        <v>0</v>
      </c>
      <c r="AH188" s="8">
        <f t="shared" ca="1" si="3"/>
        <v>225.43535935400001</v>
      </c>
      <c r="AI188" s="8"/>
    </row>
    <row r="189" spans="1:35" x14ac:dyDescent="0.25">
      <c r="A189" t="s">
        <v>558</v>
      </c>
      <c r="B189" s="1" t="s">
        <v>600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  <c r="M189" s="1">
        <v>30.818543859999998</v>
      </c>
      <c r="N189" s="1">
        <v>0</v>
      </c>
      <c r="O189" s="1">
        <v>0.81369283999999997</v>
      </c>
      <c r="P189" s="1">
        <v>0</v>
      </c>
      <c r="Q189" s="1">
        <v>0</v>
      </c>
      <c r="R189" s="1">
        <v>230.677313</v>
      </c>
      <c r="S189" s="1">
        <v>0</v>
      </c>
      <c r="T189" s="1">
        <v>0</v>
      </c>
      <c r="U189" s="1">
        <v>0</v>
      </c>
      <c r="V189" s="1">
        <v>8.4755652650000002</v>
      </c>
      <c r="W189" s="1">
        <v>0</v>
      </c>
      <c r="X189" s="1">
        <v>0</v>
      </c>
      <c r="Y189" s="1">
        <v>1015.807971</v>
      </c>
      <c r="Z189" s="1">
        <v>0</v>
      </c>
      <c r="AA189" s="1">
        <v>42</v>
      </c>
      <c r="AB189" s="1">
        <v>20</v>
      </c>
      <c r="AC189" s="1">
        <v>7500</v>
      </c>
      <c r="AD189">
        <v>0</v>
      </c>
      <c r="AF189" s="8" cm="1">
        <f t="array" aca="1" ref="AF189" ca="1">fScore_Total("ESPN",aCols)</f>
        <v>195.79334896</v>
      </c>
      <c r="AG189" s="8" cm="1">
        <f t="array" aca="1" ref="AG189" ca="1">-fScore_Total("diff",aCols)</f>
        <v>0</v>
      </c>
      <c r="AH189" s="8">
        <f t="shared" ca="1" si="3"/>
        <v>195.79334896</v>
      </c>
      <c r="AI189" s="8"/>
    </row>
    <row r="190" spans="1:35" x14ac:dyDescent="0.25">
      <c r="A190" t="s">
        <v>152</v>
      </c>
      <c r="B190" s="1" t="s">
        <v>602</v>
      </c>
      <c r="C190" s="1">
        <v>0</v>
      </c>
      <c r="D190" s="1">
        <v>9.6901484500000006</v>
      </c>
      <c r="E190" s="1">
        <v>0</v>
      </c>
      <c r="F190" s="1">
        <v>0</v>
      </c>
      <c r="G190" s="1">
        <v>22.931701820000001</v>
      </c>
      <c r="H190" s="1">
        <v>0</v>
      </c>
      <c r="I190" s="1">
        <v>0</v>
      </c>
      <c r="J190" s="1">
        <v>3561.6847429999998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2.4345627269999999</v>
      </c>
      <c r="W190" s="1">
        <v>0</v>
      </c>
      <c r="X190" s="1">
        <v>0</v>
      </c>
      <c r="Y190" s="1">
        <v>256.37491879999999</v>
      </c>
      <c r="Z190" s="1">
        <v>0</v>
      </c>
      <c r="AA190" s="1">
        <v>146</v>
      </c>
      <c r="AB190" s="1">
        <v>2</v>
      </c>
      <c r="AC190" s="1">
        <v>10000</v>
      </c>
      <c r="AD190">
        <v>0</v>
      </c>
      <c r="AF190" s="8" cm="1">
        <f t="array" aca="1" ref="AF190" ca="1">fScore_Total("ESPN",aCols)</f>
        <v>255.05876834200001</v>
      </c>
      <c r="AG190" s="8" cm="1">
        <f t="array" aca="1" ref="AG190" ca="1">-fScore_Total("diff",aCols)</f>
        <v>0</v>
      </c>
      <c r="AH190" s="8">
        <f t="shared" ca="1" si="3"/>
        <v>255.05876834200001</v>
      </c>
      <c r="AI190" s="8"/>
    </row>
    <row r="191" spans="1:35" x14ac:dyDescent="0.25">
      <c r="A191" t="s">
        <v>483</v>
      </c>
      <c r="B191" s="1" t="s">
        <v>601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  <c r="M191" s="1">
        <v>75.269564990000006</v>
      </c>
      <c r="N191" s="1">
        <v>0</v>
      </c>
      <c r="O191" s="1">
        <v>7.5250525259999996</v>
      </c>
      <c r="P191" s="1">
        <v>0</v>
      </c>
      <c r="Q191" s="1">
        <v>0</v>
      </c>
      <c r="R191" s="1">
        <v>877.26141770000004</v>
      </c>
      <c r="S191" s="1">
        <v>0</v>
      </c>
      <c r="T191" s="1">
        <v>0</v>
      </c>
      <c r="U191" s="1">
        <v>0</v>
      </c>
      <c r="V191" s="1">
        <v>9.2173711000000005E-2</v>
      </c>
      <c r="W191" s="1">
        <v>0</v>
      </c>
      <c r="X191" s="1">
        <v>0</v>
      </c>
      <c r="Y191" s="1">
        <v>11.210774929999999</v>
      </c>
      <c r="Z191" s="1">
        <v>0</v>
      </c>
      <c r="AA191" s="1">
        <v>79</v>
      </c>
      <c r="AB191" s="1">
        <v>6</v>
      </c>
      <c r="AC191" s="1">
        <v>10000</v>
      </c>
      <c r="AD191">
        <v>0</v>
      </c>
      <c r="AF191" s="8" cm="1">
        <f t="array" aca="1" ref="AF191" ca="1">fScore_Total("ESPN",aCols)</f>
        <v>172.18535918000003</v>
      </c>
      <c r="AG191" s="8" cm="1">
        <f t="array" aca="1" ref="AG191" ca="1">-fScore_Total("diff",aCols)</f>
        <v>0</v>
      </c>
      <c r="AH191" s="8">
        <f t="shared" ca="1" si="3"/>
        <v>172.18535918000003</v>
      </c>
      <c r="AI191" s="8"/>
    </row>
    <row r="192" spans="1:35" x14ac:dyDescent="0.25">
      <c r="A192" t="s">
        <v>489</v>
      </c>
      <c r="B192" s="1" t="s">
        <v>600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  <c r="M192" s="1">
        <v>49.256669690000003</v>
      </c>
      <c r="N192" s="1">
        <v>0</v>
      </c>
      <c r="O192" s="1">
        <v>2.0072283930000001</v>
      </c>
      <c r="P192" s="1">
        <v>0</v>
      </c>
      <c r="Q192" s="1">
        <v>0</v>
      </c>
      <c r="R192" s="1">
        <v>434.22301720000002</v>
      </c>
      <c r="S192" s="1">
        <v>0</v>
      </c>
      <c r="T192" s="1">
        <v>0</v>
      </c>
      <c r="U192" s="1">
        <v>0</v>
      </c>
      <c r="V192" s="1">
        <v>3.5353327769999998</v>
      </c>
      <c r="W192" s="1">
        <v>0</v>
      </c>
      <c r="X192" s="1">
        <v>0</v>
      </c>
      <c r="Y192" s="1">
        <v>464.46977500000003</v>
      </c>
      <c r="Z192" s="1">
        <v>0</v>
      </c>
      <c r="AA192" s="1">
        <v>102</v>
      </c>
      <c r="AB192" s="1">
        <v>3</v>
      </c>
      <c r="AC192" s="1">
        <v>10000</v>
      </c>
      <c r="AD192">
        <v>0</v>
      </c>
      <c r="AF192" s="8" cm="1">
        <f t="array" aca="1" ref="AF192" ca="1">fScore_Total("ESPN",aCols)</f>
        <v>147.75298108500002</v>
      </c>
      <c r="AG192" s="8" cm="1">
        <f t="array" aca="1" ref="AG192" ca="1">-fScore_Total("diff",aCols)</f>
        <v>0</v>
      </c>
      <c r="AH192" s="8">
        <f t="shared" ca="1" si="3"/>
        <v>147.75298108500002</v>
      </c>
      <c r="AI192" s="8"/>
    </row>
    <row r="193" spans="1:35" x14ac:dyDescent="0.25">
      <c r="A193" t="s">
        <v>484</v>
      </c>
      <c r="B193" s="1" t="s">
        <v>600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49.831928230000003</v>
      </c>
      <c r="N193" s="1">
        <v>0</v>
      </c>
      <c r="O193" s="1">
        <v>1.7944876839999999</v>
      </c>
      <c r="P193" s="1">
        <v>0</v>
      </c>
      <c r="Q193" s="1">
        <v>0</v>
      </c>
      <c r="R193" s="1">
        <v>402.30414469999999</v>
      </c>
      <c r="S193" s="1">
        <v>0</v>
      </c>
      <c r="T193" s="1">
        <v>0</v>
      </c>
      <c r="U193" s="1">
        <v>0</v>
      </c>
      <c r="V193" s="1">
        <v>3.1944186530000001</v>
      </c>
      <c r="W193" s="1">
        <v>0</v>
      </c>
      <c r="X193" s="1">
        <v>0</v>
      </c>
      <c r="Y193" s="1">
        <v>528.19945900000005</v>
      </c>
      <c r="Z193" s="1">
        <v>0</v>
      </c>
      <c r="AA193" s="1">
        <v>100</v>
      </c>
      <c r="AB193" s="1">
        <v>3</v>
      </c>
      <c r="AC193" s="1">
        <v>10000</v>
      </c>
      <c r="AD193">
        <v>0</v>
      </c>
      <c r="AF193" s="8" cm="1">
        <f t="array" aca="1" ref="AF193" ca="1">fScore_Total("ESPN",aCols)</f>
        <v>147.89976250699999</v>
      </c>
      <c r="AG193" s="8" cm="1">
        <f t="array" aca="1" ref="AG193" ca="1">-fScore_Total("diff",aCols)</f>
        <v>0</v>
      </c>
      <c r="AH193" s="8">
        <f t="shared" ca="1" si="3"/>
        <v>147.89976250699999</v>
      </c>
      <c r="AI193" s="8"/>
    </row>
    <row r="194" spans="1:35" x14ac:dyDescent="0.25">
      <c r="A194" t="s">
        <v>503</v>
      </c>
      <c r="B194" s="1" t="s">
        <v>600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34.845577069999997</v>
      </c>
      <c r="N194" s="1">
        <v>0</v>
      </c>
      <c r="O194" s="1">
        <v>1.0957635130000001</v>
      </c>
      <c r="P194" s="1">
        <v>0</v>
      </c>
      <c r="Q194" s="1">
        <v>0</v>
      </c>
      <c r="R194" s="1">
        <v>273.30843920000001</v>
      </c>
      <c r="S194" s="1">
        <v>0</v>
      </c>
      <c r="T194" s="1">
        <v>0</v>
      </c>
      <c r="U194" s="1">
        <v>0</v>
      </c>
      <c r="V194" s="1">
        <v>4.5746966630000001</v>
      </c>
      <c r="W194" s="1">
        <v>0</v>
      </c>
      <c r="X194" s="1">
        <v>0</v>
      </c>
      <c r="Y194" s="1">
        <v>840.62384489999999</v>
      </c>
      <c r="Z194" s="1">
        <v>0</v>
      </c>
      <c r="AA194" s="1">
        <v>88</v>
      </c>
      <c r="AB194" s="1">
        <v>5</v>
      </c>
      <c r="AC194" s="1">
        <v>12000</v>
      </c>
      <c r="AD194">
        <v>0</v>
      </c>
      <c r="AF194" s="8" cm="1">
        <f t="array" aca="1" ref="AF194" ca="1">fScore_Total("ESPN",aCols)</f>
        <v>162.83877800100001</v>
      </c>
      <c r="AG194" s="8" cm="1">
        <f t="array" aca="1" ref="AG194" ca="1">-fScore_Total("diff",aCols)</f>
        <v>0</v>
      </c>
      <c r="AH194" s="8">
        <f t="shared" ca="1" si="3"/>
        <v>162.83877800100001</v>
      </c>
      <c r="AI194" s="8"/>
    </row>
    <row r="195" spans="1:35" x14ac:dyDescent="0.25">
      <c r="A195" t="s">
        <v>472</v>
      </c>
      <c r="B195" s="1" t="s">
        <v>601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  <c r="M195" s="1">
        <v>75.121091120000003</v>
      </c>
      <c r="N195" s="1">
        <v>0</v>
      </c>
      <c r="O195" s="1">
        <v>6.8434635019999996</v>
      </c>
      <c r="P195" s="1">
        <v>0</v>
      </c>
      <c r="Q195" s="1">
        <v>0</v>
      </c>
      <c r="R195" s="1">
        <v>1067.025388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34</v>
      </c>
      <c r="AB195" s="1">
        <v>23</v>
      </c>
      <c r="AC195" s="1">
        <v>12000</v>
      </c>
      <c r="AD195">
        <v>0</v>
      </c>
      <c r="AF195" s="8" cm="1">
        <f t="array" aca="1" ref="AF195" ca="1">fScore_Total("ESPN",aCols)</f>
        <v>185.323865372</v>
      </c>
      <c r="AG195" s="8" cm="1">
        <f t="array" aca="1" ref="AG195" ca="1">-fScore_Total("diff",aCols)</f>
        <v>0</v>
      </c>
      <c r="AH195" s="8">
        <f t="shared" ca="1" si="3"/>
        <v>185.323865372</v>
      </c>
      <c r="AI195" s="8"/>
    </row>
    <row r="196" spans="1:35" x14ac:dyDescent="0.25">
      <c r="A196" t="s">
        <v>478</v>
      </c>
      <c r="B196" s="1" t="s">
        <v>600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  <c r="M196" s="1">
        <v>21.728096579999999</v>
      </c>
      <c r="N196" s="1">
        <v>0</v>
      </c>
      <c r="O196" s="1">
        <v>0.70801524900000001</v>
      </c>
      <c r="P196" s="1">
        <v>0</v>
      </c>
      <c r="Q196" s="1">
        <v>0</v>
      </c>
      <c r="R196" s="1">
        <v>162.36775249999999</v>
      </c>
      <c r="S196" s="1">
        <v>0</v>
      </c>
      <c r="T196" s="1">
        <v>0</v>
      </c>
      <c r="U196" s="1">
        <v>0</v>
      </c>
      <c r="V196" s="1">
        <v>9.3595671659999997</v>
      </c>
      <c r="W196" s="1">
        <v>0</v>
      </c>
      <c r="X196" s="1">
        <v>0</v>
      </c>
      <c r="Y196" s="1">
        <v>795.25606189999996</v>
      </c>
      <c r="Z196" s="1">
        <v>0</v>
      </c>
      <c r="AA196" s="1">
        <v>90</v>
      </c>
      <c r="AB196" s="1">
        <v>4</v>
      </c>
      <c r="AC196" s="1">
        <v>12000</v>
      </c>
      <c r="AD196">
        <v>0</v>
      </c>
      <c r="AF196" s="8" cm="1">
        <f t="array" aca="1" ref="AF196" ca="1">fScore_Total("ESPN",aCols)</f>
        <v>167.03192422000001</v>
      </c>
      <c r="AG196" s="8" cm="1">
        <f t="array" aca="1" ref="AG196" ca="1">-fScore_Total("diff",aCols)</f>
        <v>0</v>
      </c>
      <c r="AH196" s="8">
        <f t="shared" ca="1" si="3"/>
        <v>167.03192422000001</v>
      </c>
      <c r="AI196" s="8"/>
    </row>
    <row r="197" spans="1:35" x14ac:dyDescent="0.25">
      <c r="A197" t="s">
        <v>147</v>
      </c>
      <c r="B197" s="1" t="s">
        <v>600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10.28802379</v>
      </c>
      <c r="N197" s="1">
        <v>0</v>
      </c>
      <c r="O197" s="1">
        <v>0.51229620200000003</v>
      </c>
      <c r="P197" s="1">
        <v>0</v>
      </c>
      <c r="Q197" s="1">
        <v>0</v>
      </c>
      <c r="R197" s="1">
        <v>78.185666749999996</v>
      </c>
      <c r="S197" s="1">
        <v>0</v>
      </c>
      <c r="T197" s="1">
        <v>0</v>
      </c>
      <c r="U197" s="1">
        <v>0</v>
      </c>
      <c r="V197" s="1">
        <v>1.3969076300000001</v>
      </c>
      <c r="W197" s="1">
        <v>0</v>
      </c>
      <c r="X197" s="1">
        <v>0</v>
      </c>
      <c r="Y197" s="1">
        <v>182.79783850000001</v>
      </c>
      <c r="Z197" s="1">
        <v>0</v>
      </c>
      <c r="AA197" s="1">
        <v>307</v>
      </c>
      <c r="AB197" s="1">
        <v>0</v>
      </c>
      <c r="AC197" s="1">
        <v>12000</v>
      </c>
      <c r="AD197">
        <v>0</v>
      </c>
      <c r="AF197" s="8" cm="1">
        <f t="array" aca="1" ref="AF197" ca="1">fScore_Total("ESPN",aCols)</f>
        <v>42.697585412000002</v>
      </c>
      <c r="AG197" s="8" cm="1">
        <f t="array" aca="1" ref="AG197" ca="1">-fScore_Total("diff",aCols)</f>
        <v>0</v>
      </c>
      <c r="AH197" s="8">
        <f t="shared" ca="1" si="3"/>
        <v>42.697585412000002</v>
      </c>
      <c r="AI197" s="8"/>
    </row>
    <row r="198" spans="1:35" x14ac:dyDescent="0.25">
      <c r="A198" t="s">
        <v>119</v>
      </c>
      <c r="B198" s="1" t="s">
        <v>600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16.988704550000001</v>
      </c>
      <c r="N198" s="1">
        <v>0</v>
      </c>
      <c r="O198" s="1">
        <v>0.50685588000000004</v>
      </c>
      <c r="P198" s="1">
        <v>0</v>
      </c>
      <c r="Q198" s="1">
        <v>0</v>
      </c>
      <c r="R198" s="1">
        <v>134.2388636</v>
      </c>
      <c r="S198" s="1">
        <v>0</v>
      </c>
      <c r="T198" s="1">
        <v>0</v>
      </c>
      <c r="U198" s="1">
        <v>0</v>
      </c>
      <c r="V198" s="1">
        <v>5.8199597089999999</v>
      </c>
      <c r="W198" s="1">
        <v>0</v>
      </c>
      <c r="X198" s="1">
        <v>0</v>
      </c>
      <c r="Y198" s="1">
        <v>759.35884499999997</v>
      </c>
      <c r="Z198" s="1">
        <v>0</v>
      </c>
      <c r="AA198" s="1">
        <v>138</v>
      </c>
      <c r="AB198" s="1">
        <v>2</v>
      </c>
      <c r="AC198" s="1">
        <v>15000</v>
      </c>
      <c r="AD198">
        <v>0</v>
      </c>
      <c r="AF198" s="8" cm="1">
        <f t="array" aca="1" ref="AF198" ca="1">fScore_Total("ESPN",aCols)</f>
        <v>135.81501666899999</v>
      </c>
      <c r="AG198" s="8" cm="1">
        <f t="array" aca="1" ref="AG198" ca="1">-fScore_Total("diff",aCols)</f>
        <v>0</v>
      </c>
      <c r="AH198" s="8">
        <f t="shared" ca="1" si="3"/>
        <v>135.81501666899999</v>
      </c>
      <c r="AI198" s="8"/>
    </row>
    <row r="199" spans="1:35" x14ac:dyDescent="0.25">
      <c r="A199" t="s">
        <v>242</v>
      </c>
      <c r="B199" s="1" t="s">
        <v>602</v>
      </c>
      <c r="C199" s="1">
        <v>0</v>
      </c>
      <c r="D199" s="1">
        <v>3.4588682780000002</v>
      </c>
      <c r="E199" s="1">
        <v>0</v>
      </c>
      <c r="F199" s="1">
        <v>0</v>
      </c>
      <c r="G199" s="1">
        <v>4.5432916250000002</v>
      </c>
      <c r="H199" s="1">
        <v>0</v>
      </c>
      <c r="I199" s="1">
        <v>0</v>
      </c>
      <c r="J199" s="1">
        <v>849.74031249999996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1.21066859</v>
      </c>
      <c r="W199" s="1">
        <v>0</v>
      </c>
      <c r="X199" s="1">
        <v>0</v>
      </c>
      <c r="Y199" s="1">
        <v>216.6611159</v>
      </c>
      <c r="Z199" s="1">
        <v>0</v>
      </c>
      <c r="AA199" s="1">
        <v>441</v>
      </c>
      <c r="AB199" s="1">
        <v>0</v>
      </c>
      <c r="AC199" s="1">
        <v>15000</v>
      </c>
      <c r="AD199">
        <v>0</v>
      </c>
      <c r="AF199" s="8" cm="1">
        <f t="array" aca="1" ref="AF199" ca="1">fScore_Total("ESPN",aCols)</f>
        <v>74.175165574000005</v>
      </c>
      <c r="AG199" s="8" cm="1">
        <f t="array" aca="1" ref="AG199" ca="1">-fScore_Total("diff",aCols)</f>
        <v>0</v>
      </c>
      <c r="AH199" s="8">
        <f t="shared" ca="1" si="3"/>
        <v>74.175165574000005</v>
      </c>
      <c r="AI199" s="8"/>
    </row>
    <row r="200" spans="1:35" x14ac:dyDescent="0.25">
      <c r="A200" t="s">
        <v>178</v>
      </c>
      <c r="B200" s="1" t="s">
        <v>602</v>
      </c>
      <c r="C200" s="1">
        <v>0</v>
      </c>
      <c r="D200" s="1">
        <v>10.171811180000001</v>
      </c>
      <c r="E200" s="1">
        <v>0</v>
      </c>
      <c r="F200" s="1">
        <v>0</v>
      </c>
      <c r="G200" s="1">
        <v>19.945276329999999</v>
      </c>
      <c r="H200" s="1">
        <v>0</v>
      </c>
      <c r="I200" s="1">
        <v>0</v>
      </c>
      <c r="J200" s="1">
        <v>3526.9583339999999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1.4278699720000001</v>
      </c>
      <c r="W200" s="1">
        <v>0</v>
      </c>
      <c r="X200" s="1">
        <v>0</v>
      </c>
      <c r="Y200" s="1">
        <v>225.98037890000001</v>
      </c>
      <c r="Z200" s="1">
        <v>0</v>
      </c>
      <c r="AA200" s="1">
        <v>314</v>
      </c>
      <c r="AB200" s="1">
        <v>0</v>
      </c>
      <c r="AC200" s="1">
        <v>15000</v>
      </c>
      <c r="AD200">
        <v>0</v>
      </c>
      <c r="AF200" s="8" cm="1">
        <f t="array" aca="1" ref="AF200" ca="1">fScore_Total("ESPN",aCols)</f>
        <v>231.68107404200001</v>
      </c>
      <c r="AG200" s="8" cm="1">
        <f t="array" aca="1" ref="AG200" ca="1">-fScore_Total("diff",aCols)</f>
        <v>0</v>
      </c>
      <c r="AH200" s="8">
        <f t="shared" ca="1" si="3"/>
        <v>231.68107404200001</v>
      </c>
      <c r="AI200" s="8"/>
    </row>
    <row r="201" spans="1:35" x14ac:dyDescent="0.25">
      <c r="A201" t="s">
        <v>145</v>
      </c>
      <c r="B201" s="1" t="s">
        <v>601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49.543418539999998</v>
      </c>
      <c r="N201" s="1">
        <v>0</v>
      </c>
      <c r="O201" s="1">
        <v>2.4089117290000002</v>
      </c>
      <c r="P201" s="1">
        <v>0</v>
      </c>
      <c r="Q201" s="1">
        <v>0</v>
      </c>
      <c r="R201" s="1">
        <v>556.61094349999996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209</v>
      </c>
      <c r="AB201" s="1">
        <v>1</v>
      </c>
      <c r="AC201" s="1">
        <v>15000</v>
      </c>
      <c r="AD201">
        <v>0</v>
      </c>
      <c r="AF201" s="8" cm="1">
        <f t="array" aca="1" ref="AF201" ca="1">fScore_Total("ESPN",aCols)</f>
        <v>94.886273993999993</v>
      </c>
      <c r="AG201" s="8" cm="1">
        <f t="array" aca="1" ref="AG201" ca="1">-fScore_Total("diff",aCols)</f>
        <v>0</v>
      </c>
      <c r="AH201" s="8">
        <f t="shared" ca="1" si="3"/>
        <v>94.886273993999993</v>
      </c>
      <c r="AI201" s="8"/>
    </row>
    <row r="202" spans="1:35" x14ac:dyDescent="0.25">
      <c r="A202" t="s">
        <v>493</v>
      </c>
      <c r="B202" s="1" t="s">
        <v>603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  <c r="M202" s="1">
        <v>63.434056230000003</v>
      </c>
      <c r="N202" s="1">
        <v>0</v>
      </c>
      <c r="O202" s="1">
        <v>2.7823808909999999</v>
      </c>
      <c r="P202" s="1">
        <v>0</v>
      </c>
      <c r="Q202" s="1">
        <v>0</v>
      </c>
      <c r="R202" s="1">
        <v>614.38504350000005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136</v>
      </c>
      <c r="AB202" s="1">
        <v>2</v>
      </c>
      <c r="AC202" s="1">
        <v>15000</v>
      </c>
      <c r="AD202">
        <v>0</v>
      </c>
      <c r="AF202" s="8" cm="1">
        <f t="array" aca="1" ref="AF202" ca="1">fScore_Total("ESPN",aCols)</f>
        <v>109.84981781100001</v>
      </c>
      <c r="AG202" s="8" cm="1">
        <f t="array" aca="1" ref="AG202" ca="1">-fScore_Total("diff",aCols)</f>
        <v>0</v>
      </c>
      <c r="AH202" s="8">
        <f t="shared" ca="1" si="3"/>
        <v>109.84981781100001</v>
      </c>
      <c r="AI202" s="8"/>
    </row>
    <row r="203" spans="1:35" x14ac:dyDescent="0.25">
      <c r="A203" t="s">
        <v>481</v>
      </c>
      <c r="B203" s="1" t="s">
        <v>600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  <c r="M203" s="1">
        <v>54.232109600000001</v>
      </c>
      <c r="N203" s="1">
        <v>0</v>
      </c>
      <c r="O203" s="1">
        <v>1.386594833</v>
      </c>
      <c r="P203" s="1">
        <v>0</v>
      </c>
      <c r="Q203" s="1">
        <v>0</v>
      </c>
      <c r="R203" s="1">
        <v>370.2380339</v>
      </c>
      <c r="S203" s="1">
        <v>0</v>
      </c>
      <c r="T203" s="1">
        <v>0</v>
      </c>
      <c r="U203" s="1">
        <v>0</v>
      </c>
      <c r="V203" s="1">
        <v>3.104907925</v>
      </c>
      <c r="W203" s="1">
        <v>0</v>
      </c>
      <c r="X203" s="1">
        <v>0</v>
      </c>
      <c r="Y203" s="1">
        <v>597.98308059999999</v>
      </c>
      <c r="Z203" s="1">
        <v>0</v>
      </c>
      <c r="AA203" s="1">
        <v>91</v>
      </c>
      <c r="AB203" s="1">
        <v>4</v>
      </c>
      <c r="AC203" s="1">
        <v>15000</v>
      </c>
      <c r="AD203">
        <v>0</v>
      </c>
      <c r="AF203" s="8" cm="1">
        <f t="array" aca="1" ref="AF203" ca="1">fScore_Total("ESPN",aCols)</f>
        <v>150.88718279800003</v>
      </c>
      <c r="AG203" s="8" cm="1">
        <f t="array" aca="1" ref="AG203" ca="1">-fScore_Total("diff",aCols)</f>
        <v>0</v>
      </c>
      <c r="AH203" s="8">
        <f t="shared" ca="1" si="3"/>
        <v>150.88718279800003</v>
      </c>
      <c r="AI203" s="8"/>
    </row>
    <row r="204" spans="1:35" x14ac:dyDescent="0.25">
      <c r="A204" t="s">
        <v>475</v>
      </c>
      <c r="B204" s="1" t="s">
        <v>600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46.046782059999998</v>
      </c>
      <c r="N204" s="1">
        <v>0</v>
      </c>
      <c r="O204" s="1">
        <v>0.99739192300000001</v>
      </c>
      <c r="P204" s="1">
        <v>0</v>
      </c>
      <c r="Q204" s="1">
        <v>0</v>
      </c>
      <c r="R204" s="1">
        <v>335.5083138</v>
      </c>
      <c r="S204" s="1">
        <v>0</v>
      </c>
      <c r="T204" s="1">
        <v>0</v>
      </c>
      <c r="U204" s="1">
        <v>0</v>
      </c>
      <c r="V204" s="1">
        <v>4.7388093490000003</v>
      </c>
      <c r="W204" s="1">
        <v>0</v>
      </c>
      <c r="X204" s="1">
        <v>0</v>
      </c>
      <c r="Y204" s="1">
        <v>790.77570860000003</v>
      </c>
      <c r="Z204" s="1">
        <v>0</v>
      </c>
      <c r="AA204" s="1">
        <v>71</v>
      </c>
      <c r="AB204" s="1">
        <v>8</v>
      </c>
      <c r="AC204" s="1">
        <v>15000</v>
      </c>
      <c r="AD204">
        <v>0</v>
      </c>
      <c r="AF204" s="8" cm="1">
        <f t="array" aca="1" ref="AF204" ca="1">fScore_Total("ESPN",aCols)</f>
        <v>170.069000902</v>
      </c>
      <c r="AG204" s="8" cm="1">
        <f t="array" aca="1" ref="AG204" ca="1">-fScore_Total("diff",aCols)</f>
        <v>0</v>
      </c>
      <c r="AH204" s="8">
        <f t="shared" ca="1" si="3"/>
        <v>170.069000902</v>
      </c>
      <c r="AI204" s="8"/>
    </row>
    <row r="205" spans="1:35" x14ac:dyDescent="0.25">
      <c r="A205" t="s">
        <v>479</v>
      </c>
      <c r="B205" s="1" t="s">
        <v>600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33.183931610000002</v>
      </c>
      <c r="N205" s="1">
        <v>0</v>
      </c>
      <c r="O205" s="1">
        <v>1.1074864360000001</v>
      </c>
      <c r="P205" s="1">
        <v>0</v>
      </c>
      <c r="Q205" s="1">
        <v>0</v>
      </c>
      <c r="R205" s="1">
        <v>223.74719339999999</v>
      </c>
      <c r="S205" s="1">
        <v>0</v>
      </c>
      <c r="T205" s="1">
        <v>0</v>
      </c>
      <c r="U205" s="1">
        <v>0</v>
      </c>
      <c r="V205" s="1">
        <v>5.7573020850000001</v>
      </c>
      <c r="W205" s="1">
        <v>0</v>
      </c>
      <c r="X205" s="1">
        <v>0</v>
      </c>
      <c r="Y205" s="1">
        <v>814.92605330000004</v>
      </c>
      <c r="Z205" s="1">
        <v>0</v>
      </c>
      <c r="AA205" s="1">
        <v>73</v>
      </c>
      <c r="AB205" s="1">
        <v>7</v>
      </c>
      <c r="AC205" s="1">
        <v>15000</v>
      </c>
      <c r="AD205">
        <v>0</v>
      </c>
      <c r="AF205" s="8" cm="1">
        <f t="array" aca="1" ref="AF205" ca="1">fScore_Total("ESPN",aCols)</f>
        <v>161.64802160100001</v>
      </c>
      <c r="AG205" s="8" cm="1">
        <f t="array" aca="1" ref="AG205" ca="1">-fScore_Total("diff",aCols)</f>
        <v>0</v>
      </c>
      <c r="AH205" s="8">
        <f t="shared" ca="1" si="3"/>
        <v>161.64802160100001</v>
      </c>
      <c r="AI205" s="8"/>
    </row>
    <row r="206" spans="1:35" x14ac:dyDescent="0.25">
      <c r="A206" t="s">
        <v>116</v>
      </c>
      <c r="B206" s="1" t="s">
        <v>600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16.542235059999999</v>
      </c>
      <c r="N206" s="1">
        <v>0</v>
      </c>
      <c r="O206" s="1">
        <v>0.48730833800000001</v>
      </c>
      <c r="P206" s="1">
        <v>0</v>
      </c>
      <c r="Q206" s="1">
        <v>0</v>
      </c>
      <c r="R206" s="1">
        <v>136.59370849999999</v>
      </c>
      <c r="S206" s="1">
        <v>0</v>
      </c>
      <c r="T206" s="1">
        <v>0</v>
      </c>
      <c r="U206" s="1">
        <v>0</v>
      </c>
      <c r="V206" s="1">
        <v>4.7998252499999996</v>
      </c>
      <c r="W206" s="1">
        <v>0</v>
      </c>
      <c r="X206" s="1">
        <v>0</v>
      </c>
      <c r="Y206" s="1">
        <v>726.55082660000005</v>
      </c>
      <c r="Z206" s="1">
        <v>0</v>
      </c>
      <c r="AA206" s="1">
        <v>142</v>
      </c>
      <c r="AB206" s="1">
        <v>2</v>
      </c>
      <c r="AC206" s="1">
        <v>15000</v>
      </c>
      <c r="AD206">
        <v>0</v>
      </c>
      <c r="AF206" s="8" cm="1">
        <f t="array" aca="1" ref="AF206" ca="1">fScore_Total("ESPN",aCols)</f>
        <v>126.30837256800001</v>
      </c>
      <c r="AG206" s="8" cm="1">
        <f t="array" aca="1" ref="AG206" ca="1">-fScore_Total("diff",aCols)</f>
        <v>0</v>
      </c>
      <c r="AH206" s="8">
        <f t="shared" ca="1" si="3"/>
        <v>126.30837256800001</v>
      </c>
      <c r="AI206" s="8"/>
    </row>
    <row r="207" spans="1:35" x14ac:dyDescent="0.25">
      <c r="A207" t="s">
        <v>482</v>
      </c>
      <c r="B207" s="1" t="s">
        <v>600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28.014737709999999</v>
      </c>
      <c r="N207" s="1">
        <v>0</v>
      </c>
      <c r="O207" s="1">
        <v>1.2518566280000001</v>
      </c>
      <c r="P207" s="1">
        <v>0</v>
      </c>
      <c r="Q207" s="1">
        <v>0</v>
      </c>
      <c r="R207" s="1">
        <v>168.7176719</v>
      </c>
      <c r="S207" s="1">
        <v>0</v>
      </c>
      <c r="T207" s="1">
        <v>0</v>
      </c>
      <c r="U207" s="1">
        <v>0</v>
      </c>
      <c r="V207" s="1">
        <v>5.8463713090000002</v>
      </c>
      <c r="W207" s="1">
        <v>0</v>
      </c>
      <c r="X207" s="1">
        <v>0</v>
      </c>
      <c r="Y207" s="1">
        <v>889.93362730000001</v>
      </c>
      <c r="Z207" s="1">
        <v>0</v>
      </c>
      <c r="AA207" s="1">
        <v>89</v>
      </c>
      <c r="AB207" s="1">
        <v>5</v>
      </c>
      <c r="AC207" s="1">
        <v>15000</v>
      </c>
      <c r="AD207">
        <v>0</v>
      </c>
      <c r="AF207" s="8" cm="1">
        <f t="array" aca="1" ref="AF207" ca="1">fScore_Total("ESPN",aCols)</f>
        <v>162.46186639699999</v>
      </c>
      <c r="AG207" s="8" cm="1">
        <f t="array" aca="1" ref="AG207" ca="1">-fScore_Total("diff",aCols)</f>
        <v>0</v>
      </c>
      <c r="AH207" s="8">
        <f t="shared" ca="1" si="3"/>
        <v>162.46186639699999</v>
      </c>
      <c r="AI207" s="8"/>
    </row>
    <row r="208" spans="1:35" x14ac:dyDescent="0.25">
      <c r="A208" t="s">
        <v>492</v>
      </c>
      <c r="B208" s="1" t="s">
        <v>600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  <c r="M208" s="1">
        <v>30.455487269999999</v>
      </c>
      <c r="N208" s="1">
        <v>0</v>
      </c>
      <c r="O208" s="1">
        <v>1.105182801</v>
      </c>
      <c r="P208" s="1">
        <v>0</v>
      </c>
      <c r="Q208" s="1">
        <v>0</v>
      </c>
      <c r="R208" s="1">
        <v>212.11784410000001</v>
      </c>
      <c r="S208" s="1">
        <v>0</v>
      </c>
      <c r="T208" s="1">
        <v>0</v>
      </c>
      <c r="U208" s="1">
        <v>0</v>
      </c>
      <c r="V208" s="1">
        <v>3.9253083599999998</v>
      </c>
      <c r="W208" s="1">
        <v>0</v>
      </c>
      <c r="X208" s="1">
        <v>0</v>
      </c>
      <c r="Y208" s="1">
        <v>743.49799480000001</v>
      </c>
      <c r="Z208" s="1">
        <v>0</v>
      </c>
      <c r="AA208" s="1">
        <v>137</v>
      </c>
      <c r="AB208" s="1">
        <v>2</v>
      </c>
      <c r="AC208" s="1">
        <v>15000</v>
      </c>
      <c r="AD208">
        <v>0</v>
      </c>
      <c r="AF208" s="8" cm="1">
        <f t="array" aca="1" ref="AF208" ca="1">fScore_Total("ESPN",aCols)</f>
        <v>140.97227449100001</v>
      </c>
      <c r="AG208" s="8" cm="1">
        <f t="array" aca="1" ref="AG208" ca="1">-fScore_Total("diff",aCols)</f>
        <v>0</v>
      </c>
      <c r="AH208" s="8">
        <f t="shared" ca="1" si="3"/>
        <v>140.97227449100001</v>
      </c>
      <c r="AI208" s="8"/>
    </row>
    <row r="209" spans="1:35" x14ac:dyDescent="0.25">
      <c r="A209" t="s">
        <v>143</v>
      </c>
      <c r="B209" s="1" t="s">
        <v>600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29.852891379999999</v>
      </c>
      <c r="N209" s="1">
        <v>0</v>
      </c>
      <c r="O209" s="1">
        <v>0.65262988799999999</v>
      </c>
      <c r="P209" s="1">
        <v>0</v>
      </c>
      <c r="Q209" s="1">
        <v>0</v>
      </c>
      <c r="R209" s="1">
        <v>197.56371419999999</v>
      </c>
      <c r="S209" s="1">
        <v>0</v>
      </c>
      <c r="T209" s="1">
        <v>0</v>
      </c>
      <c r="U209" s="1">
        <v>0</v>
      </c>
      <c r="V209" s="1">
        <v>4.4781431610000002</v>
      </c>
      <c r="W209" s="1">
        <v>0</v>
      </c>
      <c r="X209" s="1">
        <v>0</v>
      </c>
      <c r="Y209" s="1">
        <v>558.52935579999996</v>
      </c>
      <c r="Z209" s="1">
        <v>0</v>
      </c>
      <c r="AA209" s="1">
        <v>141</v>
      </c>
      <c r="AB209" s="1">
        <v>2</v>
      </c>
      <c r="AC209" s="1">
        <v>20000</v>
      </c>
      <c r="AD209">
        <v>0</v>
      </c>
      <c r="AF209" s="8" cm="1">
        <f t="array" aca="1" ref="AF209" ca="1">fScore_Total("ESPN",aCols)</f>
        <v>121.320390984</v>
      </c>
      <c r="AG209" s="8" cm="1">
        <f t="array" aca="1" ref="AG209" ca="1">-fScore_Total("diff",aCols)</f>
        <v>0</v>
      </c>
      <c r="AH209" s="8">
        <f t="shared" ca="1" si="3"/>
        <v>121.320390984</v>
      </c>
      <c r="AI209" s="8"/>
    </row>
    <row r="210" spans="1:35" x14ac:dyDescent="0.25">
      <c r="A210" t="s">
        <v>138</v>
      </c>
      <c r="B210" s="1" t="s">
        <v>601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52.642175709999997</v>
      </c>
      <c r="N210" s="1">
        <v>0</v>
      </c>
      <c r="O210" s="1">
        <v>6.4423857890000003</v>
      </c>
      <c r="P210" s="1">
        <v>0</v>
      </c>
      <c r="Q210" s="1">
        <v>0</v>
      </c>
      <c r="R210" s="1">
        <v>798.31574320000004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158</v>
      </c>
      <c r="AB210" s="1">
        <v>1</v>
      </c>
      <c r="AC210" s="1">
        <v>20000</v>
      </c>
      <c r="AD210">
        <v>0</v>
      </c>
      <c r="AF210" s="8" cm="1">
        <f t="array" aca="1" ref="AF210" ca="1">fScore_Total("ESPN",aCols)</f>
        <v>144.80697690900001</v>
      </c>
      <c r="AG210" s="8" cm="1">
        <f t="array" aca="1" ref="AG210" ca="1">-fScore_Total("diff",aCols)</f>
        <v>0</v>
      </c>
      <c r="AH210" s="8">
        <f t="shared" ca="1" si="3"/>
        <v>144.80697690900001</v>
      </c>
      <c r="AI210" s="8"/>
    </row>
    <row r="211" spans="1:35" x14ac:dyDescent="0.25">
      <c r="A211" t="s">
        <v>161</v>
      </c>
      <c r="B211" s="1" t="s">
        <v>603</v>
      </c>
      <c r="C211" s="1">
        <v>0</v>
      </c>
      <c r="D211" s="1">
        <v>0.30510664199999998</v>
      </c>
      <c r="E211" s="1">
        <v>0</v>
      </c>
      <c r="F211" s="1">
        <v>0</v>
      </c>
      <c r="G211" s="1">
        <v>0.435568603</v>
      </c>
      <c r="H211" s="1">
        <v>0</v>
      </c>
      <c r="I211" s="1">
        <v>0</v>
      </c>
      <c r="J211" s="1">
        <v>80.137784679999996</v>
      </c>
      <c r="K211" s="1">
        <v>0</v>
      </c>
      <c r="L211" s="1">
        <v>0</v>
      </c>
      <c r="M211" s="1">
        <v>29.817606250000001</v>
      </c>
      <c r="N211" s="1">
        <v>0</v>
      </c>
      <c r="O211" s="1">
        <v>2.199884548</v>
      </c>
      <c r="P211" s="1">
        <v>0</v>
      </c>
      <c r="Q211" s="1">
        <v>0</v>
      </c>
      <c r="R211" s="1">
        <v>274.04016619999999</v>
      </c>
      <c r="S211" s="1">
        <v>0</v>
      </c>
      <c r="T211" s="1">
        <v>0</v>
      </c>
      <c r="U211" s="1">
        <v>0</v>
      </c>
      <c r="V211" s="1">
        <v>3.157107205</v>
      </c>
      <c r="W211" s="1">
        <v>0</v>
      </c>
      <c r="X211" s="1">
        <v>0</v>
      </c>
      <c r="Y211" s="1">
        <v>291.50620309999999</v>
      </c>
      <c r="Z211" s="1">
        <v>0</v>
      </c>
      <c r="AA211" s="1">
        <v>218</v>
      </c>
      <c r="AB211" s="1">
        <v>0</v>
      </c>
      <c r="AC211" s="1">
        <v>20000</v>
      </c>
      <c r="AD211">
        <v>0</v>
      </c>
      <c r="AF211" s="8" cm="1">
        <f t="array" aca="1" ref="AF211" ca="1">fScore_Total("ESPN",aCols)</f>
        <v>107.9429630882</v>
      </c>
      <c r="AG211" s="8" cm="1">
        <f t="array" aca="1" ref="AG211" ca="1">-fScore_Total("diff",aCols)</f>
        <v>0</v>
      </c>
      <c r="AH211" s="8">
        <f t="shared" ca="1" si="3"/>
        <v>107.9429630882</v>
      </c>
      <c r="AI211" s="8"/>
    </row>
    <row r="212" spans="1:35" x14ac:dyDescent="0.25">
      <c r="A212" t="s">
        <v>118</v>
      </c>
      <c r="B212" s="1" t="s">
        <v>600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28.33505165</v>
      </c>
      <c r="N212" s="1">
        <v>0</v>
      </c>
      <c r="O212" s="1">
        <v>0.94411662299999999</v>
      </c>
      <c r="P212" s="1">
        <v>0</v>
      </c>
      <c r="Q212" s="1">
        <v>0</v>
      </c>
      <c r="R212" s="1">
        <v>201.52802819999999</v>
      </c>
      <c r="S212" s="1">
        <v>0</v>
      </c>
      <c r="T212" s="1">
        <v>0</v>
      </c>
      <c r="U212" s="1">
        <v>0</v>
      </c>
      <c r="V212" s="1">
        <v>3.5690915580000002</v>
      </c>
      <c r="W212" s="1">
        <v>0</v>
      </c>
      <c r="X212" s="1">
        <v>0</v>
      </c>
      <c r="Y212" s="1">
        <v>590.18609360000005</v>
      </c>
      <c r="Z212" s="1">
        <v>0</v>
      </c>
      <c r="AA212" s="1">
        <v>143</v>
      </c>
      <c r="AB212" s="1">
        <v>2</v>
      </c>
      <c r="AC212" s="1">
        <v>20000</v>
      </c>
      <c r="AD212">
        <v>0</v>
      </c>
      <c r="AF212" s="8" cm="1">
        <f t="array" aca="1" ref="AF212" ca="1">fScore_Total("ESPN",aCols)</f>
        <v>120.41818709100001</v>
      </c>
      <c r="AG212" s="8" cm="1">
        <f t="array" aca="1" ref="AG212" ca="1">-fScore_Total("diff",aCols)</f>
        <v>0</v>
      </c>
      <c r="AH212" s="8">
        <f t="shared" ca="1" si="3"/>
        <v>120.41818709100001</v>
      </c>
      <c r="AI212" s="8"/>
    </row>
    <row r="213" spans="1:35" x14ac:dyDescent="0.25">
      <c r="A213" t="s">
        <v>247</v>
      </c>
      <c r="B213" s="1" t="s">
        <v>602</v>
      </c>
      <c r="C213" s="1">
        <v>0</v>
      </c>
      <c r="D213" s="1">
        <v>2.7531261549999999</v>
      </c>
      <c r="E213" s="1">
        <v>0</v>
      </c>
      <c r="F213" s="1">
        <v>0</v>
      </c>
      <c r="G213" s="1">
        <v>4.2747364640000001</v>
      </c>
      <c r="H213" s="1">
        <v>0</v>
      </c>
      <c r="I213" s="1">
        <v>0</v>
      </c>
      <c r="J213" s="1">
        <v>711.84268970000005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0.72526617400000004</v>
      </c>
      <c r="W213" s="1">
        <v>0</v>
      </c>
      <c r="X213" s="1">
        <v>0</v>
      </c>
      <c r="Y213" s="1">
        <v>56.860247319999999</v>
      </c>
      <c r="Z213" s="1">
        <v>0</v>
      </c>
      <c r="AA213" s="1">
        <v>452</v>
      </c>
      <c r="AB213" s="1">
        <v>0</v>
      </c>
      <c r="AC213" s="1">
        <v>20000</v>
      </c>
      <c r="AD213">
        <v>0</v>
      </c>
      <c r="AF213" s="8" cm="1">
        <f t="array" aca="1" ref="AF213" ca="1">fScore_Total("ESPN",aCols)</f>
        <v>50.104022910000005</v>
      </c>
      <c r="AG213" s="8" cm="1">
        <f t="array" aca="1" ref="AG213" ca="1">-fScore_Total("diff",aCols)</f>
        <v>0</v>
      </c>
      <c r="AH213" s="8">
        <f t="shared" ca="1" si="3"/>
        <v>50.104022910000005</v>
      </c>
      <c r="AI213" s="8"/>
    </row>
    <row r="214" spans="1:35" x14ac:dyDescent="0.25">
      <c r="A214" t="s">
        <v>179</v>
      </c>
      <c r="B214" s="1" t="s">
        <v>602</v>
      </c>
      <c r="C214" s="1">
        <v>0</v>
      </c>
      <c r="D214" s="1">
        <v>9.2655113969999991</v>
      </c>
      <c r="E214" s="1">
        <v>0</v>
      </c>
      <c r="F214" s="1">
        <v>0</v>
      </c>
      <c r="G214" s="1">
        <v>14.86691817</v>
      </c>
      <c r="H214" s="1">
        <v>0</v>
      </c>
      <c r="I214" s="1">
        <v>0</v>
      </c>
      <c r="J214" s="1">
        <v>2904.2077949999998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2.0240511350000001</v>
      </c>
      <c r="W214" s="1">
        <v>0</v>
      </c>
      <c r="X214" s="1">
        <v>0</v>
      </c>
      <c r="Y214" s="1">
        <v>268.59340539999999</v>
      </c>
      <c r="Z214" s="1">
        <v>0</v>
      </c>
      <c r="AA214" s="1">
        <v>318</v>
      </c>
      <c r="AB214" s="1">
        <v>0</v>
      </c>
      <c r="AC214" s="1">
        <v>20000</v>
      </c>
      <c r="AD214">
        <v>0</v>
      </c>
      <c r="AF214" s="8" cm="1">
        <f t="array" aca="1" ref="AF214" ca="1">fScore_Total("ESPN",aCols)</f>
        <v>196.10860903599999</v>
      </c>
      <c r="AG214" s="8" cm="1">
        <f t="array" aca="1" ref="AG214" ca="1">-fScore_Total("diff",aCols)</f>
        <v>0</v>
      </c>
      <c r="AH214" s="8">
        <f t="shared" ref="AH214:AH277" ca="1" si="4">+AF214+AG214</f>
        <v>196.10860903599999</v>
      </c>
      <c r="AI214" s="8"/>
    </row>
    <row r="215" spans="1:35" x14ac:dyDescent="0.25">
      <c r="A215" t="s">
        <v>485</v>
      </c>
      <c r="B215" s="1" t="s">
        <v>600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48.677178169999998</v>
      </c>
      <c r="N215" s="1">
        <v>0</v>
      </c>
      <c r="O215" s="1">
        <v>1.292070754</v>
      </c>
      <c r="P215" s="1">
        <v>0</v>
      </c>
      <c r="Q215" s="1">
        <v>0</v>
      </c>
      <c r="R215" s="1">
        <v>298.52078119999999</v>
      </c>
      <c r="S215" s="1">
        <v>0</v>
      </c>
      <c r="T215" s="1">
        <v>0</v>
      </c>
      <c r="U215" s="1">
        <v>0</v>
      </c>
      <c r="V215" s="1">
        <v>4.0420905720000002</v>
      </c>
      <c r="W215" s="1">
        <v>0</v>
      </c>
      <c r="X215" s="1">
        <v>0</v>
      </c>
      <c r="Y215" s="1">
        <v>669.1395589</v>
      </c>
      <c r="Z215" s="1">
        <v>0</v>
      </c>
      <c r="AA215" s="1">
        <v>92</v>
      </c>
      <c r="AB215" s="1">
        <v>4</v>
      </c>
      <c r="AC215" s="1">
        <v>20000</v>
      </c>
      <c r="AD215">
        <v>0</v>
      </c>
      <c r="AF215" s="8" cm="1">
        <f t="array" aca="1" ref="AF215" ca="1">fScore_Total("ESPN",aCols)</f>
        <v>153.109591051</v>
      </c>
      <c r="AG215" s="8" cm="1">
        <f t="array" aca="1" ref="AG215" ca="1">-fScore_Total("diff",aCols)</f>
        <v>0</v>
      </c>
      <c r="AH215" s="8">
        <f t="shared" ca="1" si="4"/>
        <v>153.109591051</v>
      </c>
      <c r="AI215" s="8"/>
    </row>
    <row r="216" spans="1:35" x14ac:dyDescent="0.25">
      <c r="A216" t="s">
        <v>486</v>
      </c>
      <c r="B216" s="1" t="s">
        <v>601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65.93409192</v>
      </c>
      <c r="N216" s="1">
        <v>0</v>
      </c>
      <c r="O216" s="1">
        <v>4.5067893430000003</v>
      </c>
      <c r="P216" s="1">
        <v>0</v>
      </c>
      <c r="Q216" s="1">
        <v>0</v>
      </c>
      <c r="R216" s="1">
        <v>860.3359524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131</v>
      </c>
      <c r="AB216" s="1">
        <v>2</v>
      </c>
      <c r="AC216" s="1">
        <v>20000</v>
      </c>
      <c r="AD216">
        <v>0</v>
      </c>
      <c r="AF216" s="8" cm="1">
        <f t="array" aca="1" ref="AF216" ca="1">fScore_Total("ESPN",aCols)</f>
        <v>146.04137725800001</v>
      </c>
      <c r="AG216" s="8" cm="1">
        <f t="array" aca="1" ref="AG216" ca="1">-fScore_Total("diff",aCols)</f>
        <v>0</v>
      </c>
      <c r="AH216" s="8">
        <f t="shared" ca="1" si="4"/>
        <v>146.04137725800001</v>
      </c>
      <c r="AI216" s="8"/>
    </row>
    <row r="217" spans="1:35" x14ac:dyDescent="0.25">
      <c r="A217" t="s">
        <v>127</v>
      </c>
      <c r="B217" s="1" t="s">
        <v>601</v>
      </c>
      <c r="C217" s="1">
        <v>0</v>
      </c>
      <c r="D217" s="1">
        <v>0.10006699600000001</v>
      </c>
      <c r="E217" s="1">
        <v>0</v>
      </c>
      <c r="F217" s="1">
        <v>0</v>
      </c>
      <c r="G217" s="1">
        <v>8.3542504000000004E-2</v>
      </c>
      <c r="H217" s="1">
        <v>0</v>
      </c>
      <c r="I217" s="1">
        <v>0</v>
      </c>
      <c r="J217" s="1">
        <v>18.608851009999999</v>
      </c>
      <c r="K217" s="1">
        <v>0</v>
      </c>
      <c r="L217" s="1">
        <v>0</v>
      </c>
      <c r="M217" s="1">
        <v>73.004365859999993</v>
      </c>
      <c r="N217" s="1">
        <v>0</v>
      </c>
      <c r="O217" s="1">
        <v>3.264543588</v>
      </c>
      <c r="P217" s="1">
        <v>0</v>
      </c>
      <c r="Q217" s="1">
        <v>0</v>
      </c>
      <c r="R217" s="1">
        <v>778.50605970000004</v>
      </c>
      <c r="S217" s="1">
        <v>0</v>
      </c>
      <c r="T217" s="1">
        <v>0</v>
      </c>
      <c r="U217" s="1">
        <v>0</v>
      </c>
      <c r="V217" s="1">
        <v>0.286324036</v>
      </c>
      <c r="W217" s="1">
        <v>0</v>
      </c>
      <c r="X217" s="1">
        <v>0</v>
      </c>
      <c r="Y217" s="1">
        <v>25.293481010000001</v>
      </c>
      <c r="Z217" s="1">
        <v>0</v>
      </c>
      <c r="AA217" s="1">
        <v>115</v>
      </c>
      <c r="AB217" s="1">
        <v>2</v>
      </c>
      <c r="AC217" s="1">
        <v>20000</v>
      </c>
      <c r="AD217">
        <v>0</v>
      </c>
      <c r="AF217" s="8" cm="1">
        <f t="array" aca="1" ref="AF217" ca="1">fScore_Total("ESPN",aCols)</f>
        <v>139.0657328094</v>
      </c>
      <c r="AG217" s="8" cm="1">
        <f t="array" aca="1" ref="AG217" ca="1">-fScore_Total("diff",aCols)</f>
        <v>0</v>
      </c>
      <c r="AH217" s="8">
        <f t="shared" ca="1" si="4"/>
        <v>139.0657328094</v>
      </c>
      <c r="AI217" s="8"/>
    </row>
    <row r="218" spans="1:35" x14ac:dyDescent="0.25">
      <c r="A218" t="s">
        <v>128</v>
      </c>
      <c r="B218" s="1" t="s">
        <v>600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22.16007626</v>
      </c>
      <c r="N218" s="1">
        <v>0</v>
      </c>
      <c r="O218" s="1">
        <v>0.65330360399999998</v>
      </c>
      <c r="P218" s="1">
        <v>0</v>
      </c>
      <c r="Q218" s="1">
        <v>0</v>
      </c>
      <c r="R218" s="1">
        <v>156.5732897</v>
      </c>
      <c r="S218" s="1">
        <v>0</v>
      </c>
      <c r="T218" s="1">
        <v>0</v>
      </c>
      <c r="U218" s="1">
        <v>0</v>
      </c>
      <c r="V218" s="1">
        <v>4.1013275179999997</v>
      </c>
      <c r="W218" s="1">
        <v>0</v>
      </c>
      <c r="X218" s="1">
        <v>0</v>
      </c>
      <c r="Y218" s="1">
        <v>671.29705220000005</v>
      </c>
      <c r="Z218" s="1">
        <v>0</v>
      </c>
      <c r="AA218" s="1">
        <v>153</v>
      </c>
      <c r="AB218" s="1">
        <v>1</v>
      </c>
      <c r="AC218" s="1">
        <v>20000</v>
      </c>
      <c r="AD218">
        <v>0</v>
      </c>
      <c r="AF218" s="8" cm="1">
        <f t="array" aca="1" ref="AF218" ca="1">fScore_Total("ESPN",aCols)</f>
        <v>122.394859052</v>
      </c>
      <c r="AG218" s="8" cm="1">
        <f t="array" aca="1" ref="AG218" ca="1">-fScore_Total("diff",aCols)</f>
        <v>0</v>
      </c>
      <c r="AH218" s="8">
        <f t="shared" ca="1" si="4"/>
        <v>122.394859052</v>
      </c>
      <c r="AI218" s="8"/>
    </row>
    <row r="219" spans="1:35" x14ac:dyDescent="0.25">
      <c r="A219" t="s">
        <v>554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20000</v>
      </c>
      <c r="AD219">
        <v>0</v>
      </c>
      <c r="AF219" s="8" cm="1">
        <f t="array" aca="1" ref="AF219" ca="1">fScore_Total("ESPN",aCols)</f>
        <v>0</v>
      </c>
      <c r="AG219" s="8" cm="1">
        <f t="array" aca="1" ref="AG219" ca="1">-fScore_Total("diff",aCols)</f>
        <v>0</v>
      </c>
      <c r="AH219" s="8">
        <f t="shared" ca="1" si="4"/>
        <v>0</v>
      </c>
      <c r="AI219" s="8"/>
    </row>
    <row r="220" spans="1:35" x14ac:dyDescent="0.25">
      <c r="A220" t="s">
        <v>476</v>
      </c>
      <c r="B220" s="1" t="s">
        <v>603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  <c r="M220" s="1">
        <v>82.666801680000006</v>
      </c>
      <c r="N220" s="1">
        <v>0</v>
      </c>
      <c r="O220" s="1">
        <v>3.5573724200000001</v>
      </c>
      <c r="P220" s="1">
        <v>0</v>
      </c>
      <c r="Q220" s="1">
        <v>0</v>
      </c>
      <c r="R220" s="1">
        <v>793.88909160000003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60</v>
      </c>
      <c r="AB220" s="1">
        <v>10</v>
      </c>
      <c r="AC220" s="1">
        <v>25000</v>
      </c>
      <c r="AD220">
        <v>0</v>
      </c>
      <c r="AF220" s="8" cm="1">
        <f t="array" aca="1" ref="AF220" ca="1">fScore_Total("ESPN",aCols)</f>
        <v>142.06654452000001</v>
      </c>
      <c r="AG220" s="8" cm="1">
        <f t="array" aca="1" ref="AG220" ca="1">-fScore_Total("diff",aCols)</f>
        <v>0</v>
      </c>
      <c r="AH220" s="8">
        <f t="shared" ca="1" si="4"/>
        <v>142.06654452000001</v>
      </c>
      <c r="AI220" s="8"/>
    </row>
    <row r="221" spans="1:35" x14ac:dyDescent="0.25">
      <c r="A221" t="s">
        <v>150</v>
      </c>
      <c r="B221" s="1" t="s">
        <v>603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45.563424849999997</v>
      </c>
      <c r="N221" s="1">
        <v>0</v>
      </c>
      <c r="O221" s="1">
        <v>3.034941715</v>
      </c>
      <c r="P221" s="1">
        <v>0</v>
      </c>
      <c r="Q221" s="1">
        <v>0</v>
      </c>
      <c r="R221" s="1">
        <v>404.31903190000003</v>
      </c>
      <c r="S221" s="1">
        <v>0</v>
      </c>
      <c r="T221" s="1">
        <v>0</v>
      </c>
      <c r="U221" s="1">
        <v>0</v>
      </c>
      <c r="V221" s="1">
        <v>3.2185737999999998E-2</v>
      </c>
      <c r="W221" s="1">
        <v>0</v>
      </c>
      <c r="X221" s="1">
        <v>0</v>
      </c>
      <c r="Y221" s="1">
        <v>0.73225813299999998</v>
      </c>
      <c r="Z221" s="1">
        <v>0</v>
      </c>
      <c r="AA221" s="1">
        <v>222</v>
      </c>
      <c r="AB221" s="1">
        <v>0</v>
      </c>
      <c r="AC221" s="1">
        <v>25000</v>
      </c>
      <c r="AD221">
        <v>0</v>
      </c>
      <c r="AF221" s="8" cm="1">
        <f t="array" aca="1" ref="AF221" ca="1">fScore_Total("ESPN",aCols)</f>
        <v>81.689606146299994</v>
      </c>
      <c r="AG221" s="8" cm="1">
        <f t="array" aca="1" ref="AG221" ca="1">-fScore_Total("diff",aCols)</f>
        <v>0</v>
      </c>
      <c r="AH221" s="8">
        <f t="shared" ca="1" si="4"/>
        <v>81.689606146299994</v>
      </c>
      <c r="AI221" s="8"/>
    </row>
    <row r="222" spans="1:35" x14ac:dyDescent="0.25">
      <c r="A222" t="s">
        <v>487</v>
      </c>
      <c r="B222" s="1" t="s">
        <v>601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43.82536949</v>
      </c>
      <c r="N222" s="1">
        <v>0</v>
      </c>
      <c r="O222" s="1">
        <v>5.1725391610000004</v>
      </c>
      <c r="P222" s="1">
        <v>0</v>
      </c>
      <c r="Q222" s="1">
        <v>0</v>
      </c>
      <c r="R222" s="1">
        <v>640.16611009999997</v>
      </c>
      <c r="S222" s="1">
        <v>0</v>
      </c>
      <c r="T222" s="1">
        <v>0</v>
      </c>
      <c r="U222" s="1">
        <v>0</v>
      </c>
      <c r="V222" s="1">
        <v>6.5273761999999999E-2</v>
      </c>
      <c r="W222" s="1">
        <v>0</v>
      </c>
      <c r="X222" s="1">
        <v>0</v>
      </c>
      <c r="Y222" s="1">
        <v>10.10067405</v>
      </c>
      <c r="Z222" s="1">
        <v>0</v>
      </c>
      <c r="AA222" s="1">
        <v>129</v>
      </c>
      <c r="AB222" s="1">
        <v>2</v>
      </c>
      <c r="AC222" s="1">
        <v>25000</v>
      </c>
      <c r="AD222">
        <v>0</v>
      </c>
      <c r="AF222" s="8" cm="1">
        <f t="array" aca="1" ref="AF222" ca="1">fScore_Total("ESPN",aCols)</f>
        <v>118.36624069800001</v>
      </c>
      <c r="AG222" s="8" cm="1">
        <f t="array" aca="1" ref="AG222" ca="1">-fScore_Total("diff",aCols)</f>
        <v>0</v>
      </c>
      <c r="AH222" s="8">
        <f t="shared" ca="1" si="4"/>
        <v>118.36624069800001</v>
      </c>
      <c r="AI222" s="8"/>
    </row>
    <row r="223" spans="1:35" x14ac:dyDescent="0.25">
      <c r="A223" t="s">
        <v>480</v>
      </c>
      <c r="B223" s="1" t="s">
        <v>603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  <c r="M223" s="1">
        <v>87.022485459999999</v>
      </c>
      <c r="N223" s="1">
        <v>0</v>
      </c>
      <c r="O223" s="1">
        <v>3.0787038710000001</v>
      </c>
      <c r="P223" s="1">
        <v>0</v>
      </c>
      <c r="Q223" s="1">
        <v>0</v>
      </c>
      <c r="R223" s="1">
        <v>787.67204509999999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61</v>
      </c>
      <c r="AB223" s="1">
        <v>10</v>
      </c>
      <c r="AC223" s="1">
        <v>25000</v>
      </c>
      <c r="AD223">
        <v>0</v>
      </c>
      <c r="AF223" s="8" cm="1">
        <f t="array" aca="1" ref="AF223" ca="1">fScore_Total("ESPN",aCols)</f>
        <v>140.750670466</v>
      </c>
      <c r="AG223" s="8" cm="1">
        <f t="array" aca="1" ref="AG223" ca="1">-fScore_Total("diff",aCols)</f>
        <v>0</v>
      </c>
      <c r="AH223" s="8">
        <f t="shared" ca="1" si="4"/>
        <v>140.750670466</v>
      </c>
      <c r="AI223" s="8"/>
    </row>
    <row r="224" spans="1:35" x14ac:dyDescent="0.25">
      <c r="A224" t="s">
        <v>317</v>
      </c>
      <c r="B224" s="1" t="s">
        <v>602</v>
      </c>
      <c r="C224" s="1">
        <v>0</v>
      </c>
      <c r="D224" s="1">
        <v>1.781351602</v>
      </c>
      <c r="E224" s="1">
        <v>0</v>
      </c>
      <c r="F224" s="1">
        <v>0</v>
      </c>
      <c r="G224" s="1">
        <v>2.9161594279999998</v>
      </c>
      <c r="H224" s="1">
        <v>0</v>
      </c>
      <c r="I224" s="1">
        <v>0</v>
      </c>
      <c r="J224" s="1">
        <v>509.27551010000002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0.119590398</v>
      </c>
      <c r="W224" s="1">
        <v>0</v>
      </c>
      <c r="X224" s="1">
        <v>0</v>
      </c>
      <c r="Y224" s="1">
        <v>21.604760649999999</v>
      </c>
      <c r="Z224" s="1">
        <v>0</v>
      </c>
      <c r="AA224" s="1">
        <v>1022</v>
      </c>
      <c r="AB224" s="1">
        <v>0</v>
      </c>
      <c r="AC224" s="1">
        <v>25000</v>
      </c>
      <c r="AD224">
        <v>0</v>
      </c>
      <c r="AF224" s="8" cm="1">
        <f t="array" aca="1" ref="AF224" ca="1">fScore_Total("ESPN",aCols)</f>
        <v>31.350973365000005</v>
      </c>
      <c r="AG224" s="8" cm="1">
        <f t="array" aca="1" ref="AG224" ca="1">-fScore_Total("diff",aCols)</f>
        <v>0</v>
      </c>
      <c r="AH224" s="8">
        <f t="shared" ca="1" si="4"/>
        <v>31.350973365000005</v>
      </c>
      <c r="AI224" s="8"/>
    </row>
    <row r="225" spans="1:35" x14ac:dyDescent="0.25">
      <c r="A225" t="s">
        <v>272</v>
      </c>
      <c r="B225" s="1" t="s">
        <v>602</v>
      </c>
      <c r="C225" s="1">
        <v>0</v>
      </c>
      <c r="D225" s="1">
        <v>1.840542753</v>
      </c>
      <c r="E225" s="1">
        <v>0</v>
      </c>
      <c r="F225" s="1">
        <v>0</v>
      </c>
      <c r="G225" s="1">
        <v>3.5150491810000002</v>
      </c>
      <c r="H225" s="1">
        <v>0</v>
      </c>
      <c r="I225" s="1">
        <v>0</v>
      </c>
      <c r="J225" s="1">
        <v>541.5886653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0.15853898399999999</v>
      </c>
      <c r="W225" s="1">
        <v>0</v>
      </c>
      <c r="X225" s="1">
        <v>0</v>
      </c>
      <c r="Y225" s="1">
        <v>7.2672042140000004</v>
      </c>
      <c r="Z225" s="1">
        <v>0</v>
      </c>
      <c r="AA225" s="1">
        <v>484</v>
      </c>
      <c r="AB225" s="1">
        <v>0</v>
      </c>
      <c r="AC225" s="1">
        <v>25000</v>
      </c>
      <c r="AD225">
        <v>0</v>
      </c>
      <c r="AF225" s="8" cm="1">
        <f t="array" aca="1" ref="AF225" ca="1">fScore_Total("ESPN",aCols)</f>
        <v>33.720612155400005</v>
      </c>
      <c r="AG225" s="8" cm="1">
        <f t="array" aca="1" ref="AG225" ca="1">-fScore_Total("diff",aCols)</f>
        <v>0</v>
      </c>
      <c r="AH225" s="8">
        <f t="shared" ca="1" si="4"/>
        <v>33.720612155400005</v>
      </c>
      <c r="AI225" s="8"/>
    </row>
    <row r="226" spans="1:35" x14ac:dyDescent="0.25">
      <c r="A226" t="s">
        <v>117</v>
      </c>
      <c r="B226" s="1" t="s">
        <v>600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  <c r="M226" s="1">
        <v>35.74925322</v>
      </c>
      <c r="N226" s="1">
        <v>0</v>
      </c>
      <c r="O226" s="1">
        <v>0.97943896900000005</v>
      </c>
      <c r="P226" s="1">
        <v>0</v>
      </c>
      <c r="Q226" s="1">
        <v>0</v>
      </c>
      <c r="R226" s="1">
        <v>246.8087793</v>
      </c>
      <c r="S226" s="1">
        <v>0</v>
      </c>
      <c r="T226" s="1">
        <v>0</v>
      </c>
      <c r="U226" s="1">
        <v>0</v>
      </c>
      <c r="V226" s="1">
        <v>3.333823502</v>
      </c>
      <c r="W226" s="1">
        <v>0</v>
      </c>
      <c r="X226" s="1">
        <v>0</v>
      </c>
      <c r="Y226" s="1">
        <v>507.48399460000002</v>
      </c>
      <c r="Z226" s="1">
        <v>0</v>
      </c>
      <c r="AA226" s="1">
        <v>151</v>
      </c>
      <c r="AB226" s="1">
        <v>1</v>
      </c>
      <c r="AC226" s="1">
        <v>25000</v>
      </c>
      <c r="AD226">
        <v>0</v>
      </c>
      <c r="AF226" s="8" cm="1">
        <f t="array" aca="1" ref="AF226" ca="1">fScore_Total("ESPN",aCols)</f>
        <v>119.183478826</v>
      </c>
      <c r="AG226" s="8" cm="1">
        <f t="array" aca="1" ref="AG226" ca="1">-fScore_Total("diff",aCols)</f>
        <v>0</v>
      </c>
      <c r="AH226" s="8">
        <f t="shared" ca="1" si="4"/>
        <v>119.183478826</v>
      </c>
      <c r="AI226" s="8"/>
    </row>
    <row r="227" spans="1:35" x14ac:dyDescent="0.25">
      <c r="A227" t="s">
        <v>168</v>
      </c>
      <c r="B227" s="1" t="s">
        <v>601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57.820016070000001</v>
      </c>
      <c r="N227" s="1">
        <v>0</v>
      </c>
      <c r="O227" s="1">
        <v>2.4785720539999998</v>
      </c>
      <c r="P227" s="1">
        <v>0</v>
      </c>
      <c r="Q227" s="1">
        <v>0</v>
      </c>
      <c r="R227" s="1">
        <v>576.02124089999995</v>
      </c>
      <c r="S227" s="1">
        <v>0</v>
      </c>
      <c r="T227" s="1">
        <v>0</v>
      </c>
      <c r="U227" s="1">
        <v>0</v>
      </c>
      <c r="V227" s="1">
        <v>6.9212107999999994E-2</v>
      </c>
      <c r="W227" s="1">
        <v>0</v>
      </c>
      <c r="X227" s="1">
        <v>0</v>
      </c>
      <c r="Y227" s="1">
        <v>11.56485685</v>
      </c>
      <c r="Z227" s="1">
        <v>0</v>
      </c>
      <c r="AA227" s="1">
        <v>288</v>
      </c>
      <c r="AB227" s="1">
        <v>0</v>
      </c>
      <c r="AC227" s="1">
        <v>25000</v>
      </c>
      <c r="AD227">
        <v>0</v>
      </c>
      <c r="AF227" s="8" cm="1">
        <f t="array" aca="1" ref="AF227" ca="1">fScore_Total("ESPN",aCols)</f>
        <v>102.95532278200001</v>
      </c>
      <c r="AG227" s="8" cm="1">
        <f t="array" aca="1" ref="AG227" ca="1">-fScore_Total("diff",aCols)</f>
        <v>0</v>
      </c>
      <c r="AH227" s="8">
        <f t="shared" ca="1" si="4"/>
        <v>102.95532278200001</v>
      </c>
      <c r="AI227" s="8"/>
    </row>
    <row r="228" spans="1:35" x14ac:dyDescent="0.25">
      <c r="A228" t="s">
        <v>121</v>
      </c>
      <c r="B228" s="1" t="s">
        <v>601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54.86881253</v>
      </c>
      <c r="N228" s="1">
        <v>0</v>
      </c>
      <c r="O228" s="1">
        <v>3.8551488819999999</v>
      </c>
      <c r="P228" s="1">
        <v>0</v>
      </c>
      <c r="Q228" s="1">
        <v>0</v>
      </c>
      <c r="R228" s="1">
        <v>749.07487389999994</v>
      </c>
      <c r="S228" s="1">
        <v>0</v>
      </c>
      <c r="T228" s="1">
        <v>0</v>
      </c>
      <c r="U228" s="1">
        <v>0</v>
      </c>
      <c r="V228" s="1">
        <v>0.149924211</v>
      </c>
      <c r="W228" s="1">
        <v>0</v>
      </c>
      <c r="X228" s="1">
        <v>0</v>
      </c>
      <c r="Y228" s="1">
        <v>27.083344629999999</v>
      </c>
      <c r="Z228" s="1">
        <v>0</v>
      </c>
      <c r="AA228" s="1">
        <v>163</v>
      </c>
      <c r="AB228" s="1">
        <v>1</v>
      </c>
      <c r="AC228" s="1">
        <v>25000</v>
      </c>
      <c r="AD228">
        <v>0</v>
      </c>
      <c r="AF228" s="8" cm="1">
        <f t="array" aca="1" ref="AF228" ca="1">fScore_Total("ESPN",aCols)</f>
        <v>129.08066667600002</v>
      </c>
      <c r="AG228" s="8" cm="1">
        <f t="array" aca="1" ref="AG228" ca="1">-fScore_Total("diff",aCols)</f>
        <v>0</v>
      </c>
      <c r="AH228" s="8">
        <f t="shared" ca="1" si="4"/>
        <v>129.08066667600002</v>
      </c>
      <c r="AI228" s="8"/>
    </row>
    <row r="229" spans="1:35" x14ac:dyDescent="0.25">
      <c r="A229" t="s">
        <v>136</v>
      </c>
      <c r="B229" s="1" t="s">
        <v>601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49.241843529999997</v>
      </c>
      <c r="N229" s="1">
        <v>0</v>
      </c>
      <c r="O229" s="1">
        <v>4.739611987</v>
      </c>
      <c r="P229" s="1">
        <v>0</v>
      </c>
      <c r="Q229" s="1">
        <v>0</v>
      </c>
      <c r="R229" s="1">
        <v>596.49889680000001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195</v>
      </c>
      <c r="AB229" s="1">
        <v>1</v>
      </c>
      <c r="AC229" s="1">
        <v>25000</v>
      </c>
      <c r="AD229">
        <v>0</v>
      </c>
      <c r="AF229" s="8" cm="1">
        <f t="array" aca="1" ref="AF229" ca="1">fScore_Total("ESPN",aCols)</f>
        <v>112.708483367</v>
      </c>
      <c r="AG229" s="8" cm="1">
        <f t="array" aca="1" ref="AG229" ca="1">-fScore_Total("diff",aCols)</f>
        <v>0</v>
      </c>
      <c r="AH229" s="8">
        <f t="shared" ca="1" si="4"/>
        <v>112.708483367</v>
      </c>
      <c r="AI229" s="8"/>
    </row>
    <row r="230" spans="1:35" x14ac:dyDescent="0.25">
      <c r="A230" t="s">
        <v>158</v>
      </c>
      <c r="B230" s="1" t="s">
        <v>600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16.097731150000001</v>
      </c>
      <c r="N230" s="1">
        <v>0</v>
      </c>
      <c r="O230" s="1">
        <v>0.25431794600000002</v>
      </c>
      <c r="P230" s="1">
        <v>0</v>
      </c>
      <c r="Q230" s="1">
        <v>0</v>
      </c>
      <c r="R230" s="1">
        <v>119.3512958</v>
      </c>
      <c r="S230" s="1">
        <v>0</v>
      </c>
      <c r="T230" s="1">
        <v>0</v>
      </c>
      <c r="U230" s="1">
        <v>0</v>
      </c>
      <c r="V230" s="1">
        <v>2.5720041010000001</v>
      </c>
      <c r="W230" s="1">
        <v>0</v>
      </c>
      <c r="X230" s="1">
        <v>0</v>
      </c>
      <c r="Y230" s="1">
        <v>396.9334925</v>
      </c>
      <c r="Z230" s="1">
        <v>0</v>
      </c>
      <c r="AA230" s="1">
        <v>197</v>
      </c>
      <c r="AB230" s="1">
        <v>1</v>
      </c>
      <c r="AC230" s="1">
        <v>25000</v>
      </c>
      <c r="AD230">
        <v>0</v>
      </c>
      <c r="AF230" s="8" cm="1">
        <f t="array" aca="1" ref="AF230" ca="1">fScore_Total("ESPN",aCols)</f>
        <v>76.635276687000015</v>
      </c>
      <c r="AG230" s="8" cm="1">
        <f t="array" aca="1" ref="AG230" ca="1">-fScore_Total("diff",aCols)</f>
        <v>0</v>
      </c>
      <c r="AH230" s="8">
        <f t="shared" ca="1" si="4"/>
        <v>76.635276687000015</v>
      </c>
      <c r="AI230" s="8"/>
    </row>
    <row r="231" spans="1:35" x14ac:dyDescent="0.25">
      <c r="A231" t="s">
        <v>279</v>
      </c>
      <c r="B231" s="1" t="s">
        <v>601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20.908389769999999</v>
      </c>
      <c r="N231" s="1">
        <v>0</v>
      </c>
      <c r="O231" s="1">
        <v>1.5486676690000001</v>
      </c>
      <c r="P231" s="1">
        <v>0</v>
      </c>
      <c r="Q231" s="1">
        <v>0</v>
      </c>
      <c r="R231" s="1">
        <v>266.3401207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986</v>
      </c>
      <c r="AB231" s="1">
        <v>0</v>
      </c>
      <c r="AC231" s="1">
        <v>25000</v>
      </c>
      <c r="AD231">
        <v>0</v>
      </c>
      <c r="AF231" s="8" cm="1">
        <f t="array" aca="1" ref="AF231" ca="1">fScore_Total("ESPN",aCols)</f>
        <v>46.380212968999999</v>
      </c>
      <c r="AG231" s="8" cm="1">
        <f t="array" aca="1" ref="AG231" ca="1">-fScore_Total("diff",aCols)</f>
        <v>0</v>
      </c>
      <c r="AH231" s="8">
        <f t="shared" ca="1" si="4"/>
        <v>46.380212968999999</v>
      </c>
      <c r="AI231" s="8"/>
    </row>
    <row r="232" spans="1:35" x14ac:dyDescent="0.25">
      <c r="A232" t="s">
        <v>114</v>
      </c>
      <c r="B232" s="1" t="s">
        <v>601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53.999628360000003</v>
      </c>
      <c r="N232" s="1">
        <v>0</v>
      </c>
      <c r="O232" s="1">
        <v>4.221388159</v>
      </c>
      <c r="P232" s="1">
        <v>0</v>
      </c>
      <c r="Q232" s="1">
        <v>0</v>
      </c>
      <c r="R232" s="1">
        <v>777.48286440000004</v>
      </c>
      <c r="S232" s="1">
        <v>0</v>
      </c>
      <c r="T232" s="1">
        <v>0</v>
      </c>
      <c r="U232" s="1">
        <v>0</v>
      </c>
      <c r="V232" s="1">
        <v>0.36327479499999998</v>
      </c>
      <c r="W232" s="1">
        <v>0</v>
      </c>
      <c r="X232" s="1">
        <v>0</v>
      </c>
      <c r="Y232" s="1">
        <v>33.68886835</v>
      </c>
      <c r="Z232" s="1">
        <v>0</v>
      </c>
      <c r="AA232" s="1">
        <v>162</v>
      </c>
      <c r="AB232" s="1">
        <v>1</v>
      </c>
      <c r="AC232" s="1">
        <v>25000</v>
      </c>
      <c r="AD232">
        <v>0</v>
      </c>
      <c r="AF232" s="8" cm="1">
        <f t="array" aca="1" ref="AF232" ca="1">fScore_Total("ESPN",aCols)</f>
        <v>135.62496517900004</v>
      </c>
      <c r="AG232" s="8" cm="1">
        <f t="array" aca="1" ref="AG232" ca="1">-fScore_Total("diff",aCols)</f>
        <v>0</v>
      </c>
      <c r="AH232" s="8">
        <f t="shared" ca="1" si="4"/>
        <v>135.62496517900004</v>
      </c>
      <c r="AI232" s="8"/>
    </row>
    <row r="233" spans="1:35" x14ac:dyDescent="0.25">
      <c r="A233" t="s">
        <v>140</v>
      </c>
      <c r="B233" s="1" t="s">
        <v>601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  <c r="M233" s="1">
        <v>47.407484109999999</v>
      </c>
      <c r="N233" s="1">
        <v>0</v>
      </c>
      <c r="O233" s="1">
        <v>3.8471995250000002</v>
      </c>
      <c r="P233" s="1">
        <v>0</v>
      </c>
      <c r="Q233" s="1">
        <v>0</v>
      </c>
      <c r="R233" s="1">
        <v>574.45550379999997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196</v>
      </c>
      <c r="AB233" s="1">
        <v>1</v>
      </c>
      <c r="AC233" s="1">
        <v>25000</v>
      </c>
      <c r="AD233">
        <v>0</v>
      </c>
      <c r="AF233" s="8" cm="1">
        <f t="array" aca="1" ref="AF233" ca="1">fScore_Total("ESPN",aCols)</f>
        <v>104.232489585</v>
      </c>
      <c r="AG233" s="8" cm="1">
        <f t="array" aca="1" ref="AG233" ca="1">-fScore_Total("diff",aCols)</f>
        <v>0</v>
      </c>
      <c r="AH233" s="8">
        <f t="shared" ca="1" si="4"/>
        <v>104.232489585</v>
      </c>
      <c r="AI233" s="8"/>
    </row>
    <row r="234" spans="1:35" x14ac:dyDescent="0.25">
      <c r="A234" t="s">
        <v>137</v>
      </c>
      <c r="B234" s="1" t="s">
        <v>601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57.29765974</v>
      </c>
      <c r="N234" s="1">
        <v>0</v>
      </c>
      <c r="O234" s="1">
        <v>4.6935977329999998</v>
      </c>
      <c r="P234" s="1">
        <v>0</v>
      </c>
      <c r="Q234" s="1">
        <v>0</v>
      </c>
      <c r="R234" s="1">
        <v>668.10642010000004</v>
      </c>
      <c r="S234" s="1">
        <v>0</v>
      </c>
      <c r="T234" s="1">
        <v>0</v>
      </c>
      <c r="U234" s="1">
        <v>0</v>
      </c>
      <c r="V234" s="1">
        <v>0.18024891200000001</v>
      </c>
      <c r="W234" s="1">
        <v>0</v>
      </c>
      <c r="X234" s="1">
        <v>0</v>
      </c>
      <c r="Y234" s="1">
        <v>26.354676699999999</v>
      </c>
      <c r="Z234" s="1">
        <v>0</v>
      </c>
      <c r="AA234" s="1">
        <v>194</v>
      </c>
      <c r="AB234" s="1">
        <v>1</v>
      </c>
      <c r="AC234" s="1">
        <v>25000</v>
      </c>
      <c r="AD234">
        <v>0</v>
      </c>
      <c r="AF234" s="8" cm="1">
        <f t="array" aca="1" ref="AF234" ca="1">fScore_Total("ESPN",aCols)</f>
        <v>127.33801942000001</v>
      </c>
      <c r="AG234" s="8" cm="1">
        <f t="array" aca="1" ref="AG234" ca="1">-fScore_Total("diff",aCols)</f>
        <v>0</v>
      </c>
      <c r="AH234" s="8">
        <f t="shared" ca="1" si="4"/>
        <v>127.33801942000001</v>
      </c>
      <c r="AI234" s="8"/>
    </row>
    <row r="235" spans="1:35" x14ac:dyDescent="0.25">
      <c r="A235" t="s">
        <v>273</v>
      </c>
      <c r="B235" s="1" t="s">
        <v>602</v>
      </c>
      <c r="C235" s="1">
        <v>0</v>
      </c>
      <c r="D235" s="1">
        <v>1.4891730729999999</v>
      </c>
      <c r="E235" s="1">
        <v>0</v>
      </c>
      <c r="F235" s="1">
        <v>0</v>
      </c>
      <c r="G235" s="1">
        <v>2.9201329089999999</v>
      </c>
      <c r="H235" s="1">
        <v>0</v>
      </c>
      <c r="I235" s="1">
        <v>0</v>
      </c>
      <c r="J235" s="1">
        <v>462.56381629999998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0.46255264899999998</v>
      </c>
      <c r="W235" s="1">
        <v>0</v>
      </c>
      <c r="X235" s="1">
        <v>0</v>
      </c>
      <c r="Y235" s="1">
        <v>24.58583758</v>
      </c>
      <c r="Z235" s="1">
        <v>0</v>
      </c>
      <c r="AA235" s="1">
        <v>485</v>
      </c>
      <c r="AB235" s="1">
        <v>0</v>
      </c>
      <c r="AC235" s="1">
        <v>25000</v>
      </c>
      <c r="AD235">
        <v>0</v>
      </c>
      <c r="AF235" s="8" cm="1">
        <f t="array" aca="1" ref="AF235" ca="1">fScore_Total("ESPN",aCols)</f>
        <v>32.438637793999995</v>
      </c>
      <c r="AG235" s="8" cm="1">
        <f t="array" aca="1" ref="AG235" ca="1">-fScore_Total("diff",aCols)</f>
        <v>0</v>
      </c>
      <c r="AH235" s="8">
        <f t="shared" ca="1" si="4"/>
        <v>32.438637793999995</v>
      </c>
      <c r="AI235" s="8"/>
    </row>
    <row r="236" spans="1:35" x14ac:dyDescent="0.25">
      <c r="A236" t="s">
        <v>555</v>
      </c>
      <c r="B236" s="1">
        <v>0</v>
      </c>
      <c r="C236" s="1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30000</v>
      </c>
      <c r="AD236">
        <v>0</v>
      </c>
      <c r="AF236" s="8" cm="1">
        <f t="array" aca="1" ref="AF236" ca="1">fScore_Total("ESPN",aCols)</f>
        <v>0</v>
      </c>
      <c r="AG236" s="8" cm="1">
        <f t="array" aca="1" ref="AG236" ca="1">-fScore_Total("diff",aCols)</f>
        <v>0</v>
      </c>
      <c r="AH236" s="8">
        <f t="shared" ca="1" si="4"/>
        <v>0</v>
      </c>
      <c r="AI236" s="8"/>
    </row>
    <row r="237" spans="1:35" x14ac:dyDescent="0.25">
      <c r="A237" t="s">
        <v>214</v>
      </c>
      <c r="B237" s="1" t="s">
        <v>600</v>
      </c>
      <c r="C237" s="1">
        <v>0</v>
      </c>
      <c r="D237" s="1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8.5926101989999992</v>
      </c>
      <c r="N237" s="1">
        <v>0</v>
      </c>
      <c r="O237" s="1">
        <v>0.260288148</v>
      </c>
      <c r="P237" s="1">
        <v>0</v>
      </c>
      <c r="Q237" s="1">
        <v>0</v>
      </c>
      <c r="R237" s="1">
        <v>64.66531603</v>
      </c>
      <c r="S237" s="1">
        <v>0</v>
      </c>
      <c r="T237" s="1">
        <v>0</v>
      </c>
      <c r="U237" s="1">
        <v>0</v>
      </c>
      <c r="V237" s="1">
        <v>1.232851833</v>
      </c>
      <c r="W237" s="1">
        <v>0</v>
      </c>
      <c r="X237" s="1">
        <v>0</v>
      </c>
      <c r="Y237" s="1">
        <v>186.82500730000001</v>
      </c>
      <c r="Z237" s="1">
        <v>0</v>
      </c>
      <c r="AA237" s="1">
        <v>378</v>
      </c>
      <c r="AB237" s="1">
        <v>0</v>
      </c>
      <c r="AC237" s="1">
        <v>30000</v>
      </c>
      <c r="AD237">
        <v>0</v>
      </c>
      <c r="AF237" s="8" cm="1">
        <f t="array" aca="1" ref="AF237" ca="1">fScore_Total("ESPN",aCols)</f>
        <v>38.404177318500004</v>
      </c>
      <c r="AG237" s="8" cm="1">
        <f t="array" aca="1" ref="AG237" ca="1">-fScore_Total("diff",aCols)</f>
        <v>0</v>
      </c>
      <c r="AH237" s="8">
        <f t="shared" ca="1" si="4"/>
        <v>38.404177318500004</v>
      </c>
      <c r="AI237" s="8"/>
    </row>
    <row r="238" spans="1:35" x14ac:dyDescent="0.25">
      <c r="A238" t="s">
        <v>488</v>
      </c>
      <c r="B238" s="1" t="s">
        <v>601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70.052090190000001</v>
      </c>
      <c r="N238" s="1">
        <v>0</v>
      </c>
      <c r="O238" s="1">
        <v>5.1888612439999999</v>
      </c>
      <c r="P238" s="1">
        <v>0</v>
      </c>
      <c r="Q238" s="1">
        <v>0</v>
      </c>
      <c r="R238" s="1">
        <v>874.50455420000003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96</v>
      </c>
      <c r="AB238" s="1">
        <v>4</v>
      </c>
      <c r="AC238" s="1">
        <v>30000</v>
      </c>
      <c r="AD238">
        <v>0</v>
      </c>
      <c r="AF238" s="8" cm="1">
        <f t="array" aca="1" ref="AF238" ca="1">fScore_Total("ESPN",aCols)</f>
        <v>153.60966797899999</v>
      </c>
      <c r="AG238" s="8" cm="1">
        <f t="array" aca="1" ref="AG238" ca="1">-fScore_Total("diff",aCols)</f>
        <v>0</v>
      </c>
      <c r="AH238" s="8">
        <f t="shared" ca="1" si="4"/>
        <v>153.60966797899999</v>
      </c>
      <c r="AI238" s="8"/>
    </row>
    <row r="239" spans="1:35" x14ac:dyDescent="0.25">
      <c r="A239" t="s">
        <v>255</v>
      </c>
      <c r="B239" s="1" t="s">
        <v>603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  <c r="M239" s="1">
        <v>30.776843889999999</v>
      </c>
      <c r="N239" s="1">
        <v>0</v>
      </c>
      <c r="O239" s="1">
        <v>1.4016245089999999</v>
      </c>
      <c r="P239" s="1">
        <v>0</v>
      </c>
      <c r="Q239" s="1">
        <v>0</v>
      </c>
      <c r="R239" s="1">
        <v>320.00016549999998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461</v>
      </c>
      <c r="AB239" s="1">
        <v>0</v>
      </c>
      <c r="AC239" s="1">
        <v>30000</v>
      </c>
      <c r="AD239">
        <v>0</v>
      </c>
      <c r="AF239" s="8" cm="1">
        <f t="array" aca="1" ref="AF239" ca="1">fScore_Total("ESPN",aCols)</f>
        <v>55.798185548999996</v>
      </c>
      <c r="AG239" s="8" cm="1">
        <f t="array" aca="1" ref="AG239" ca="1">-fScore_Total("diff",aCols)</f>
        <v>0</v>
      </c>
      <c r="AH239" s="8">
        <f t="shared" ca="1" si="4"/>
        <v>55.798185548999996</v>
      </c>
      <c r="AI239" s="8"/>
    </row>
    <row r="240" spans="1:35" x14ac:dyDescent="0.25">
      <c r="A240" t="s">
        <v>196</v>
      </c>
      <c r="B240" s="1" t="s">
        <v>600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12.75583069</v>
      </c>
      <c r="N240" s="1">
        <v>0</v>
      </c>
      <c r="O240" s="1">
        <v>0.44900932100000002</v>
      </c>
      <c r="P240" s="1">
        <v>0</v>
      </c>
      <c r="Q240" s="1">
        <v>0</v>
      </c>
      <c r="R240" s="1">
        <v>86.050817030000005</v>
      </c>
      <c r="S240" s="1">
        <v>0</v>
      </c>
      <c r="T240" s="1">
        <v>0</v>
      </c>
      <c r="U240" s="1">
        <v>0</v>
      </c>
      <c r="V240" s="1">
        <v>1.6845110029999999</v>
      </c>
      <c r="W240" s="1">
        <v>0</v>
      </c>
      <c r="X240" s="1">
        <v>0</v>
      </c>
      <c r="Y240" s="1">
        <v>233.07040599999999</v>
      </c>
      <c r="Z240" s="1">
        <v>0</v>
      </c>
      <c r="AA240" s="1">
        <v>346</v>
      </c>
      <c r="AB240" s="1">
        <v>0</v>
      </c>
      <c r="AC240" s="1">
        <v>30000</v>
      </c>
      <c r="AD240">
        <v>0</v>
      </c>
      <c r="AF240" s="8" cm="1">
        <f t="array" aca="1" ref="AF240" ca="1">fScore_Total("ESPN",aCols)</f>
        <v>51.091159591999997</v>
      </c>
      <c r="AG240" s="8" cm="1">
        <f t="array" aca="1" ref="AG240" ca="1">-fScore_Total("diff",aCols)</f>
        <v>0</v>
      </c>
      <c r="AH240" s="8">
        <f t="shared" ca="1" si="4"/>
        <v>51.091159591999997</v>
      </c>
      <c r="AI240" s="8"/>
    </row>
    <row r="241" spans="1:35" x14ac:dyDescent="0.25">
      <c r="A241" t="s">
        <v>133</v>
      </c>
      <c r="B241" s="1" t="s">
        <v>603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  <c r="M241" s="1">
        <v>66.059467769999998</v>
      </c>
      <c r="N241" s="1">
        <v>0</v>
      </c>
      <c r="O241" s="1">
        <v>2.9604628810000002</v>
      </c>
      <c r="P241" s="1">
        <v>0</v>
      </c>
      <c r="Q241" s="1">
        <v>0</v>
      </c>
      <c r="R241" s="1">
        <v>685.62830050000002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134</v>
      </c>
      <c r="AB241" s="1">
        <v>2</v>
      </c>
      <c r="AC241" s="1">
        <v>30000</v>
      </c>
      <c r="AD241">
        <v>0</v>
      </c>
      <c r="AF241" s="8" cm="1">
        <f t="array" aca="1" ref="AF241" ca="1">fScore_Total("ESPN",aCols)</f>
        <v>119.355341221</v>
      </c>
      <c r="AG241" s="8" cm="1">
        <f t="array" aca="1" ref="AG241" ca="1">-fScore_Total("diff",aCols)</f>
        <v>0</v>
      </c>
      <c r="AH241" s="8">
        <f t="shared" ca="1" si="4"/>
        <v>119.355341221</v>
      </c>
      <c r="AI241" s="8"/>
    </row>
    <row r="242" spans="1:35" x14ac:dyDescent="0.25">
      <c r="A242" t="s">
        <v>189</v>
      </c>
      <c r="B242" s="1" t="s">
        <v>601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36.571821659999998</v>
      </c>
      <c r="N242" s="1">
        <v>0</v>
      </c>
      <c r="O242" s="1">
        <v>2.9569016659999998</v>
      </c>
      <c r="P242" s="1">
        <v>0</v>
      </c>
      <c r="Q242" s="1">
        <v>0</v>
      </c>
      <c r="R242" s="1">
        <v>462.5399956</v>
      </c>
      <c r="S242" s="1">
        <v>0</v>
      </c>
      <c r="T242" s="1">
        <v>0</v>
      </c>
      <c r="U242" s="1">
        <v>0</v>
      </c>
      <c r="V242" s="1">
        <v>6.8519200000000002E-2</v>
      </c>
      <c r="W242" s="1">
        <v>0</v>
      </c>
      <c r="X242" s="1">
        <v>0</v>
      </c>
      <c r="Y242" s="1">
        <v>13.3852379</v>
      </c>
      <c r="Z242" s="1">
        <v>0</v>
      </c>
      <c r="AA242" s="1">
        <v>330</v>
      </c>
      <c r="AB242" s="1">
        <v>0</v>
      </c>
      <c r="AC242" s="1">
        <v>30000</v>
      </c>
      <c r="AD242">
        <v>0</v>
      </c>
      <c r="AF242" s="8" cm="1">
        <f t="array" aca="1" ref="AF242" ca="1">fScore_Total("ESPN",aCols)</f>
        <v>84.030959375999998</v>
      </c>
      <c r="AG242" s="8" cm="1">
        <f t="array" aca="1" ref="AG242" ca="1">-fScore_Total("diff",aCols)</f>
        <v>0</v>
      </c>
      <c r="AH242" s="8">
        <f t="shared" ca="1" si="4"/>
        <v>84.030959375999998</v>
      </c>
      <c r="AI242" s="8"/>
    </row>
    <row r="243" spans="1:35" x14ac:dyDescent="0.25">
      <c r="A243" t="s">
        <v>174</v>
      </c>
      <c r="B243" s="1" t="s">
        <v>600</v>
      </c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19.170619599999998</v>
      </c>
      <c r="N243" s="1">
        <v>0</v>
      </c>
      <c r="O243" s="1">
        <v>0.28822747700000001</v>
      </c>
      <c r="P243" s="1">
        <v>0</v>
      </c>
      <c r="Q243" s="1">
        <v>0</v>
      </c>
      <c r="R243" s="1">
        <v>111.2722297</v>
      </c>
      <c r="S243" s="1">
        <v>0</v>
      </c>
      <c r="T243" s="1">
        <v>0</v>
      </c>
      <c r="U243" s="1">
        <v>0</v>
      </c>
      <c r="V243" s="1">
        <v>1.820271365</v>
      </c>
      <c r="W243" s="1">
        <v>0</v>
      </c>
      <c r="X243" s="1">
        <v>0</v>
      </c>
      <c r="Y243" s="1">
        <v>336.59530139999998</v>
      </c>
      <c r="Z243" s="1">
        <v>0</v>
      </c>
      <c r="AA243" s="1">
        <v>308</v>
      </c>
      <c r="AB243" s="1">
        <v>0</v>
      </c>
      <c r="AC243" s="1">
        <v>30000</v>
      </c>
      <c r="AD243">
        <v>0</v>
      </c>
      <c r="AF243" s="8" cm="1">
        <f t="array" aca="1" ref="AF243" ca="1">fScore_Total("ESPN",aCols)</f>
        <v>67.023055962000001</v>
      </c>
      <c r="AG243" s="8" cm="1">
        <f t="array" aca="1" ref="AG243" ca="1">-fScore_Total("diff",aCols)</f>
        <v>0</v>
      </c>
      <c r="AH243" s="8">
        <f t="shared" ca="1" si="4"/>
        <v>67.023055962000001</v>
      </c>
      <c r="AI243" s="8"/>
    </row>
    <row r="244" spans="1:35" x14ac:dyDescent="0.25">
      <c r="A244" t="s">
        <v>159</v>
      </c>
      <c r="B244" s="1" t="s">
        <v>600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16.175766190000001</v>
      </c>
      <c r="N244" s="1">
        <v>0</v>
      </c>
      <c r="O244" s="1">
        <v>0.66464616499999996</v>
      </c>
      <c r="P244" s="1">
        <v>0</v>
      </c>
      <c r="Q244" s="1">
        <v>0</v>
      </c>
      <c r="R244" s="1">
        <v>115.5275881</v>
      </c>
      <c r="S244" s="1">
        <v>0</v>
      </c>
      <c r="T244" s="1">
        <v>0</v>
      </c>
      <c r="U244" s="1">
        <v>0</v>
      </c>
      <c r="V244" s="1">
        <v>2.7799170260000001</v>
      </c>
      <c r="W244" s="1">
        <v>0</v>
      </c>
      <c r="X244" s="1">
        <v>0</v>
      </c>
      <c r="Y244" s="1">
        <v>569.40700979999997</v>
      </c>
      <c r="Z244" s="1">
        <v>0</v>
      </c>
      <c r="AA244" s="1">
        <v>198</v>
      </c>
      <c r="AB244" s="1">
        <v>1</v>
      </c>
      <c r="AC244" s="1">
        <v>30000</v>
      </c>
      <c r="AD244">
        <v>0</v>
      </c>
      <c r="AF244" s="8" cm="1">
        <f t="array" aca="1" ref="AF244" ca="1">fScore_Total("ESPN",aCols)</f>
        <v>97.248722031</v>
      </c>
      <c r="AG244" s="8" cm="1">
        <f t="array" aca="1" ref="AG244" ca="1">-fScore_Total("diff",aCols)</f>
        <v>0</v>
      </c>
      <c r="AH244" s="8">
        <f t="shared" ca="1" si="4"/>
        <v>97.248722031</v>
      </c>
      <c r="AI244" s="8"/>
    </row>
    <row r="245" spans="1:35" x14ac:dyDescent="0.25">
      <c r="A245" t="s">
        <v>172</v>
      </c>
      <c r="B245" s="1" t="s">
        <v>601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48.538296840000001</v>
      </c>
      <c r="N245" s="1">
        <v>0</v>
      </c>
      <c r="O245" s="1">
        <v>2.760383644</v>
      </c>
      <c r="P245" s="1">
        <v>0</v>
      </c>
      <c r="Q245" s="1">
        <v>0</v>
      </c>
      <c r="R245" s="1">
        <v>625.88067269999999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291</v>
      </c>
      <c r="AB245" s="1">
        <v>0</v>
      </c>
      <c r="AC245" s="1">
        <v>30000</v>
      </c>
      <c r="AD245">
        <v>0</v>
      </c>
      <c r="AF245" s="8" cm="1">
        <f t="array" aca="1" ref="AF245" ca="1">fScore_Total("ESPN",aCols)</f>
        <v>103.41951755400001</v>
      </c>
      <c r="AG245" s="8" cm="1">
        <f t="array" aca="1" ref="AG245" ca="1">-fScore_Total("diff",aCols)</f>
        <v>0</v>
      </c>
      <c r="AH245" s="8">
        <f t="shared" ca="1" si="4"/>
        <v>103.41951755400001</v>
      </c>
      <c r="AI245" s="8"/>
    </row>
    <row r="246" spans="1:35" x14ac:dyDescent="0.25">
      <c r="A246" t="s">
        <v>192</v>
      </c>
      <c r="B246" s="1" t="s">
        <v>600</v>
      </c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  <c r="M246" s="1">
        <v>8.7628392139999995</v>
      </c>
      <c r="N246" s="1">
        <v>0</v>
      </c>
      <c r="O246" s="1">
        <v>0.26055673600000001</v>
      </c>
      <c r="P246" s="1">
        <v>0</v>
      </c>
      <c r="Q246" s="1">
        <v>0</v>
      </c>
      <c r="R246" s="1">
        <v>57.560263849999998</v>
      </c>
      <c r="S246" s="1">
        <v>0</v>
      </c>
      <c r="T246" s="1">
        <v>0</v>
      </c>
      <c r="U246" s="1">
        <v>0</v>
      </c>
      <c r="V246" s="1">
        <v>2.167174422</v>
      </c>
      <c r="W246" s="1">
        <v>0</v>
      </c>
      <c r="X246" s="1">
        <v>0</v>
      </c>
      <c r="Y246" s="1">
        <v>344.53146290000001</v>
      </c>
      <c r="Z246" s="1">
        <v>0</v>
      </c>
      <c r="AA246" s="1">
        <v>341</v>
      </c>
      <c r="AB246" s="1">
        <v>0</v>
      </c>
      <c r="AC246" s="1">
        <v>30000</v>
      </c>
      <c r="AD246">
        <v>0</v>
      </c>
      <c r="AF246" s="8" cm="1">
        <f t="array" aca="1" ref="AF246" ca="1">fScore_Total("ESPN",aCols)</f>
        <v>59.156979229999997</v>
      </c>
      <c r="AG246" s="8" cm="1">
        <f t="array" aca="1" ref="AG246" ca="1">-fScore_Total("diff",aCols)</f>
        <v>0</v>
      </c>
      <c r="AH246" s="8">
        <f t="shared" ca="1" si="4"/>
        <v>59.156979229999997</v>
      </c>
      <c r="AI246" s="8"/>
    </row>
    <row r="247" spans="1:35" x14ac:dyDescent="0.25">
      <c r="A247" t="s">
        <v>556</v>
      </c>
      <c r="B247" s="1">
        <v>0</v>
      </c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30000</v>
      </c>
      <c r="AD247">
        <v>0</v>
      </c>
      <c r="AF247" s="8" cm="1">
        <f t="array" aca="1" ref="AF247" ca="1">fScore_Total("ESPN",aCols)</f>
        <v>0</v>
      </c>
      <c r="AG247" s="8" cm="1">
        <f t="array" aca="1" ref="AG247" ca="1">-fScore_Total("diff",aCols)</f>
        <v>0</v>
      </c>
      <c r="AH247" s="8">
        <f t="shared" ca="1" si="4"/>
        <v>0</v>
      </c>
      <c r="AI247" s="8"/>
    </row>
    <row r="248" spans="1:35" x14ac:dyDescent="0.25">
      <c r="A248" t="s">
        <v>130</v>
      </c>
      <c r="B248" s="1" t="s">
        <v>600</v>
      </c>
      <c r="C248" s="1">
        <v>0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39.419627970000001</v>
      </c>
      <c r="N248" s="1">
        <v>0</v>
      </c>
      <c r="O248" s="1">
        <v>1.1298370149999999</v>
      </c>
      <c r="P248" s="1">
        <v>0</v>
      </c>
      <c r="Q248" s="1">
        <v>0</v>
      </c>
      <c r="R248" s="1">
        <v>282.97394020000002</v>
      </c>
      <c r="S248" s="1">
        <v>0</v>
      </c>
      <c r="T248" s="1">
        <v>0</v>
      </c>
      <c r="U248" s="1">
        <v>0</v>
      </c>
      <c r="V248" s="1">
        <v>2.6509097559999999</v>
      </c>
      <c r="W248" s="1">
        <v>0</v>
      </c>
      <c r="X248" s="1">
        <v>0</v>
      </c>
      <c r="Y248" s="1">
        <v>522.49969769999996</v>
      </c>
      <c r="Z248" s="1">
        <v>0</v>
      </c>
      <c r="AA248" s="1">
        <v>181</v>
      </c>
      <c r="AB248" s="1">
        <v>1</v>
      </c>
      <c r="AC248" s="1">
        <v>40000</v>
      </c>
      <c r="AD248">
        <v>0</v>
      </c>
      <c r="AF248" s="8" cm="1">
        <f t="array" aca="1" ref="AF248" ca="1">fScore_Total("ESPN",aCols)</f>
        <v>122.94165840100001</v>
      </c>
      <c r="AG248" s="8" cm="1">
        <f t="array" aca="1" ref="AG248" ca="1">-fScore_Total("diff",aCols)</f>
        <v>0</v>
      </c>
      <c r="AH248" s="8">
        <f t="shared" ca="1" si="4"/>
        <v>122.94165840100001</v>
      </c>
      <c r="AI248" s="8"/>
    </row>
    <row r="249" spans="1:35" x14ac:dyDescent="0.25">
      <c r="A249" t="s">
        <v>557</v>
      </c>
      <c r="B249" s="1">
        <v>0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50000</v>
      </c>
      <c r="AD249">
        <v>0</v>
      </c>
      <c r="AF249" s="8" cm="1">
        <f t="array" aca="1" ref="AF249" ca="1">fScore_Total("ESPN",aCols)</f>
        <v>0</v>
      </c>
      <c r="AG249" s="8" cm="1">
        <f t="array" aca="1" ref="AG249" ca="1">-fScore_Total("diff",aCols)</f>
        <v>0</v>
      </c>
      <c r="AH249" s="8">
        <f t="shared" ca="1" si="4"/>
        <v>0</v>
      </c>
      <c r="AI249" s="8"/>
    </row>
    <row r="250" spans="1:35" x14ac:dyDescent="0.25">
      <c r="A250" t="s">
        <v>246</v>
      </c>
      <c r="B250" s="1" t="s">
        <v>603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  <c r="M250" s="1">
        <v>28.967833120000002</v>
      </c>
      <c r="N250" s="1">
        <v>0</v>
      </c>
      <c r="O250" s="1">
        <v>1.357942795</v>
      </c>
      <c r="P250" s="1">
        <v>0</v>
      </c>
      <c r="Q250" s="1">
        <v>0</v>
      </c>
      <c r="R250" s="1">
        <v>301.91982150000001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446</v>
      </c>
      <c r="AB250" s="1">
        <v>0</v>
      </c>
      <c r="AC250" s="1">
        <v>50000</v>
      </c>
      <c r="AD250">
        <v>0</v>
      </c>
      <c r="AF250" s="8" cm="1">
        <f t="array" aca="1" ref="AF250" ca="1">fScore_Total("ESPN",aCols)</f>
        <v>52.823555480000003</v>
      </c>
      <c r="AG250" s="8" cm="1">
        <f t="array" aca="1" ref="AG250" ca="1">-fScore_Total("diff",aCols)</f>
        <v>0</v>
      </c>
      <c r="AH250" s="8">
        <f t="shared" ca="1" si="4"/>
        <v>52.823555480000003</v>
      </c>
      <c r="AI250" s="8"/>
    </row>
    <row r="251" spans="1:35" x14ac:dyDescent="0.25">
      <c r="A251" t="s">
        <v>120</v>
      </c>
      <c r="B251" s="1" t="s">
        <v>600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41.427232369999999</v>
      </c>
      <c r="N251" s="1">
        <v>0</v>
      </c>
      <c r="O251" s="1">
        <v>1.515213135</v>
      </c>
      <c r="P251" s="1">
        <v>0</v>
      </c>
      <c r="Q251" s="1">
        <v>0</v>
      </c>
      <c r="R251" s="1">
        <v>307.70459949999997</v>
      </c>
      <c r="S251" s="1">
        <v>0</v>
      </c>
      <c r="T251" s="1">
        <v>0</v>
      </c>
      <c r="U251" s="1">
        <v>0</v>
      </c>
      <c r="V251" s="1">
        <v>4.6565343419999996</v>
      </c>
      <c r="W251" s="1">
        <v>0</v>
      </c>
      <c r="X251" s="1">
        <v>0</v>
      </c>
      <c r="Y251" s="1">
        <v>577.08796649999999</v>
      </c>
      <c r="Z251" s="1">
        <v>0</v>
      </c>
      <c r="AA251" s="1">
        <v>124</v>
      </c>
      <c r="AB251" s="1">
        <v>2</v>
      </c>
      <c r="AC251" s="1">
        <v>0</v>
      </c>
      <c r="AD251">
        <v>0</v>
      </c>
      <c r="AF251" s="8" cm="1">
        <f t="array" aca="1" ref="AF251" ca="1">fScore_Total("ESPN",aCols)</f>
        <v>146.223357647</v>
      </c>
      <c r="AG251" s="8" cm="1">
        <f t="array" aca="1" ref="AG251" ca="1">-fScore_Total("diff",aCols)</f>
        <v>0</v>
      </c>
      <c r="AH251" s="8">
        <f t="shared" ca="1" si="4"/>
        <v>146.223357647</v>
      </c>
      <c r="AI251" s="8"/>
    </row>
    <row r="252" spans="1:35" x14ac:dyDescent="0.25">
      <c r="A252" t="s">
        <v>122</v>
      </c>
      <c r="B252" s="1" t="s">
        <v>600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30.751335130000001</v>
      </c>
      <c r="N252" s="1">
        <v>0</v>
      </c>
      <c r="O252" s="1">
        <v>1.3673120160000001</v>
      </c>
      <c r="P252" s="1">
        <v>0</v>
      </c>
      <c r="Q252" s="1">
        <v>0</v>
      </c>
      <c r="R252" s="1">
        <v>242.78506429999999</v>
      </c>
      <c r="S252" s="1">
        <v>0</v>
      </c>
      <c r="T252" s="1">
        <v>0</v>
      </c>
      <c r="U252" s="1">
        <v>0</v>
      </c>
      <c r="V252" s="1">
        <v>1.607114363</v>
      </c>
      <c r="W252" s="1">
        <v>0</v>
      </c>
      <c r="X252" s="1">
        <v>0</v>
      </c>
      <c r="Y252" s="1">
        <v>306.35010490000002</v>
      </c>
      <c r="Z252" s="1">
        <v>0</v>
      </c>
      <c r="AA252" s="1">
        <v>183</v>
      </c>
      <c r="AB252" s="1">
        <v>1</v>
      </c>
      <c r="AC252" s="1">
        <v>0</v>
      </c>
      <c r="AD252">
        <v>0</v>
      </c>
      <c r="AF252" s="8" cm="1">
        <f t="array" aca="1" ref="AF252" ca="1">fScore_Total("ESPN",aCols)</f>
        <v>88.13574275900001</v>
      </c>
      <c r="AG252" s="8" cm="1">
        <f t="array" aca="1" ref="AG252" ca="1">-fScore_Total("diff",aCols)</f>
        <v>0</v>
      </c>
      <c r="AH252" s="8">
        <f t="shared" ca="1" si="4"/>
        <v>88.13574275900001</v>
      </c>
      <c r="AI252" s="8"/>
    </row>
    <row r="253" spans="1:35" x14ac:dyDescent="0.25">
      <c r="A253" t="s">
        <v>132</v>
      </c>
      <c r="B253" s="1" t="s">
        <v>600</v>
      </c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35.344247930000002</v>
      </c>
      <c r="N253" s="1">
        <v>0</v>
      </c>
      <c r="O253" s="1">
        <v>1.061851442</v>
      </c>
      <c r="P253" s="1">
        <v>0</v>
      </c>
      <c r="Q253" s="1">
        <v>0</v>
      </c>
      <c r="R253" s="1">
        <v>241.62604719999999</v>
      </c>
      <c r="S253" s="1">
        <v>0</v>
      </c>
      <c r="T253" s="1">
        <v>0</v>
      </c>
      <c r="U253" s="1">
        <v>0</v>
      </c>
      <c r="V253" s="1">
        <v>2.3965793579999999</v>
      </c>
      <c r="W253" s="1">
        <v>0</v>
      </c>
      <c r="X253" s="1">
        <v>0</v>
      </c>
      <c r="Y253" s="1">
        <v>435.22181030000002</v>
      </c>
      <c r="Z253" s="1">
        <v>0</v>
      </c>
      <c r="AA253" s="1">
        <v>188</v>
      </c>
      <c r="AB253" s="1">
        <v>1</v>
      </c>
      <c r="AC253" s="1">
        <v>0</v>
      </c>
      <c r="AD253">
        <v>0</v>
      </c>
      <c r="AF253" s="8" cm="1">
        <f t="array" aca="1" ref="AF253" ca="1">fScore_Total("ESPN",aCols)</f>
        <v>106.10749451500001</v>
      </c>
      <c r="AG253" s="8" cm="1">
        <f t="array" aca="1" ref="AG253" ca="1">-fScore_Total("diff",aCols)</f>
        <v>0</v>
      </c>
      <c r="AH253" s="8">
        <f t="shared" ca="1" si="4"/>
        <v>106.10749451500001</v>
      </c>
      <c r="AI253" s="8"/>
    </row>
    <row r="254" spans="1:35" x14ac:dyDescent="0.25">
      <c r="A254" t="s">
        <v>157</v>
      </c>
      <c r="B254" s="1" t="s">
        <v>601</v>
      </c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56.375312379999997</v>
      </c>
      <c r="N254" s="1">
        <v>0</v>
      </c>
      <c r="O254" s="1">
        <v>3.3767074030000002</v>
      </c>
      <c r="P254" s="1">
        <v>0</v>
      </c>
      <c r="Q254" s="1">
        <v>0</v>
      </c>
      <c r="R254" s="1">
        <v>664.76536850000002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191</v>
      </c>
      <c r="AB254" s="1">
        <v>1</v>
      </c>
      <c r="AC254" s="1">
        <v>0</v>
      </c>
      <c r="AD254">
        <v>0</v>
      </c>
      <c r="AF254" s="8" cm="1">
        <f t="array" aca="1" ref="AF254" ca="1">fScore_Total("ESPN",aCols)</f>
        <v>114.924437458</v>
      </c>
      <c r="AG254" s="8" cm="1">
        <f t="array" aca="1" ref="AG254" ca="1">-fScore_Total("diff",aCols)</f>
        <v>0</v>
      </c>
      <c r="AH254" s="8">
        <f t="shared" ca="1" si="4"/>
        <v>114.924437458</v>
      </c>
      <c r="AI254" s="8"/>
    </row>
    <row r="255" spans="1:35" x14ac:dyDescent="0.25">
      <c r="A255" t="s">
        <v>149</v>
      </c>
      <c r="B255" s="1" t="s">
        <v>600</v>
      </c>
      <c r="C255" s="1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12.78856828</v>
      </c>
      <c r="N255" s="1">
        <v>0</v>
      </c>
      <c r="O255" s="1">
        <v>0.50196858899999997</v>
      </c>
      <c r="P255" s="1">
        <v>0</v>
      </c>
      <c r="Q255" s="1">
        <v>0</v>
      </c>
      <c r="R255" s="1">
        <v>86.261763630000004</v>
      </c>
      <c r="S255" s="1">
        <v>0</v>
      </c>
      <c r="T255" s="1">
        <v>0</v>
      </c>
      <c r="U255" s="1">
        <v>0</v>
      </c>
      <c r="V255" s="1">
        <v>3.122097568</v>
      </c>
      <c r="W255" s="1">
        <v>0</v>
      </c>
      <c r="X255" s="1">
        <v>0</v>
      </c>
      <c r="Y255" s="1">
        <v>495.11828780000002</v>
      </c>
      <c r="Z255" s="1">
        <v>0</v>
      </c>
      <c r="AA255" s="1">
        <v>203</v>
      </c>
      <c r="AB255" s="1">
        <v>1</v>
      </c>
      <c r="AC255" s="1">
        <v>0</v>
      </c>
      <c r="AD255">
        <v>0</v>
      </c>
      <c r="AF255" s="8" cm="1">
        <f t="array" aca="1" ref="AF255" ca="1">fScore_Total("ESPN",aCols)</f>
        <v>86.276686224999992</v>
      </c>
      <c r="AG255" s="8" cm="1">
        <f t="array" aca="1" ref="AG255" ca="1">-fScore_Total("diff",aCols)</f>
        <v>0</v>
      </c>
      <c r="AH255" s="8">
        <f t="shared" ca="1" si="4"/>
        <v>86.276686224999992</v>
      </c>
      <c r="AI255" s="8"/>
    </row>
    <row r="256" spans="1:35" x14ac:dyDescent="0.25">
      <c r="A256" t="s">
        <v>139</v>
      </c>
      <c r="B256" s="1" t="s">
        <v>600</v>
      </c>
      <c r="C256" s="1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  <c r="M256" s="1">
        <v>11.69749863</v>
      </c>
      <c r="N256" s="1">
        <v>0</v>
      </c>
      <c r="O256" s="1">
        <v>0.46377792600000001</v>
      </c>
      <c r="P256" s="1">
        <v>0</v>
      </c>
      <c r="Q256" s="1">
        <v>0</v>
      </c>
      <c r="R256" s="1">
        <v>79.413418250000007</v>
      </c>
      <c r="S256" s="1">
        <v>0</v>
      </c>
      <c r="T256" s="1">
        <v>0</v>
      </c>
      <c r="U256" s="1">
        <v>0</v>
      </c>
      <c r="V256" s="1">
        <v>3.2678393209999999</v>
      </c>
      <c r="W256" s="1">
        <v>0</v>
      </c>
      <c r="X256" s="1">
        <v>0</v>
      </c>
      <c r="Y256" s="1">
        <v>346.17616390000001</v>
      </c>
      <c r="Z256" s="1">
        <v>0</v>
      </c>
      <c r="AA256" s="1">
        <v>204</v>
      </c>
      <c r="AB256" s="1">
        <v>1</v>
      </c>
      <c r="AC256" s="1">
        <v>0</v>
      </c>
      <c r="AD256">
        <v>0</v>
      </c>
      <c r="AF256" s="8" cm="1">
        <f t="array" aca="1" ref="AF256" ca="1">fScore_Total("ESPN",aCols)</f>
        <v>70.797411011999998</v>
      </c>
      <c r="AG256" s="8" cm="1">
        <f t="array" aca="1" ref="AG256" ca="1">-fScore_Total("diff",aCols)</f>
        <v>0</v>
      </c>
      <c r="AH256" s="8">
        <f t="shared" ca="1" si="4"/>
        <v>70.797411011999998</v>
      </c>
      <c r="AI256" s="8"/>
    </row>
    <row r="257" spans="1:35" x14ac:dyDescent="0.25">
      <c r="A257" t="s">
        <v>160</v>
      </c>
      <c r="B257" s="1" t="s">
        <v>600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23.957510150000001</v>
      </c>
      <c r="N257" s="1">
        <v>0</v>
      </c>
      <c r="O257" s="1">
        <v>2.0140644079999999</v>
      </c>
      <c r="P257" s="1">
        <v>0</v>
      </c>
      <c r="Q257" s="1">
        <v>0</v>
      </c>
      <c r="R257" s="1">
        <v>206.47475119999999</v>
      </c>
      <c r="S257" s="1">
        <v>0</v>
      </c>
      <c r="T257" s="1">
        <v>0</v>
      </c>
      <c r="U257" s="1">
        <v>0</v>
      </c>
      <c r="V257" s="1">
        <v>2.4809266910000001</v>
      </c>
      <c r="W257" s="1">
        <v>0</v>
      </c>
      <c r="X257" s="1">
        <v>0</v>
      </c>
      <c r="Y257" s="1">
        <v>374.93274200000002</v>
      </c>
      <c r="Z257" s="1">
        <v>0</v>
      </c>
      <c r="AA257" s="1">
        <v>205</v>
      </c>
      <c r="AB257" s="1">
        <v>1</v>
      </c>
      <c r="AC257" s="1">
        <v>0</v>
      </c>
      <c r="AD257">
        <v>0</v>
      </c>
      <c r="AF257" s="8" cm="1">
        <f t="array" aca="1" ref="AF257" ca="1">fScore_Total("ESPN",aCols)</f>
        <v>97.089450988999999</v>
      </c>
      <c r="AG257" s="8" cm="1">
        <f t="array" aca="1" ref="AG257" ca="1">-fScore_Total("diff",aCols)</f>
        <v>0</v>
      </c>
      <c r="AH257" s="8">
        <f t="shared" ca="1" si="4"/>
        <v>97.089450988999999</v>
      </c>
      <c r="AI257" s="8"/>
    </row>
    <row r="258" spans="1:35" x14ac:dyDescent="0.25">
      <c r="A258" t="s">
        <v>124</v>
      </c>
      <c r="B258" s="1" t="s">
        <v>600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27.982946630000001</v>
      </c>
      <c r="N258" s="1">
        <v>0</v>
      </c>
      <c r="O258" s="1">
        <v>0.99081340900000003</v>
      </c>
      <c r="P258" s="1">
        <v>0</v>
      </c>
      <c r="Q258" s="1">
        <v>0</v>
      </c>
      <c r="R258" s="1">
        <v>212.1614549</v>
      </c>
      <c r="S258" s="1">
        <v>0</v>
      </c>
      <c r="T258" s="1">
        <v>0</v>
      </c>
      <c r="U258" s="1">
        <v>0</v>
      </c>
      <c r="V258" s="1">
        <v>4.8997517339999996</v>
      </c>
      <c r="W258" s="1">
        <v>0</v>
      </c>
      <c r="X258" s="1">
        <v>0</v>
      </c>
      <c r="Y258" s="1">
        <v>567.65657309999995</v>
      </c>
      <c r="Z258" s="1">
        <v>0</v>
      </c>
      <c r="AA258" s="1">
        <v>152</v>
      </c>
      <c r="AB258" s="1">
        <v>1</v>
      </c>
      <c r="AC258" s="1">
        <v>0</v>
      </c>
      <c r="AD258">
        <v>0</v>
      </c>
      <c r="AF258" s="8" cm="1">
        <f t="array" aca="1" ref="AF258" ca="1">fScore_Total("ESPN",aCols)</f>
        <v>127.316666973</v>
      </c>
      <c r="AG258" s="8" cm="1">
        <f t="array" aca="1" ref="AG258" ca="1">-fScore_Total("diff",aCols)</f>
        <v>0</v>
      </c>
      <c r="AH258" s="8">
        <f t="shared" ca="1" si="4"/>
        <v>127.316666973</v>
      </c>
      <c r="AI258" s="8"/>
    </row>
    <row r="259" spans="1:35" x14ac:dyDescent="0.25">
      <c r="A259" t="s">
        <v>126</v>
      </c>
      <c r="B259" s="1" t="s">
        <v>601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  <c r="M259" s="1">
        <v>55.695756500000002</v>
      </c>
      <c r="N259" s="1">
        <v>0</v>
      </c>
      <c r="O259" s="1">
        <v>5.5704072880000002</v>
      </c>
      <c r="P259" s="1">
        <v>0</v>
      </c>
      <c r="Q259" s="1">
        <v>0</v>
      </c>
      <c r="R259" s="1">
        <v>810.15628070000002</v>
      </c>
      <c r="S259" s="1">
        <v>0</v>
      </c>
      <c r="T259" s="1">
        <v>0</v>
      </c>
      <c r="U259" s="1">
        <v>0</v>
      </c>
      <c r="V259" s="1">
        <v>0.27788054699999998</v>
      </c>
      <c r="W259" s="1">
        <v>0</v>
      </c>
      <c r="X259" s="1">
        <v>0</v>
      </c>
      <c r="Y259" s="1">
        <v>25.241048559999999</v>
      </c>
      <c r="Z259" s="1">
        <v>0</v>
      </c>
      <c r="AA259" s="1">
        <v>155</v>
      </c>
      <c r="AB259" s="1">
        <v>1</v>
      </c>
      <c r="AC259" s="1">
        <v>0</v>
      </c>
      <c r="AD259">
        <v>0</v>
      </c>
      <c r="AF259" s="8" cm="1">
        <f t="array" aca="1" ref="AF259" ca="1">fScore_Total("ESPN",aCols)</f>
        <v>146.47733818600003</v>
      </c>
      <c r="AG259" s="8" cm="1">
        <f t="array" aca="1" ref="AG259" ca="1">-fScore_Total("diff",aCols)</f>
        <v>0</v>
      </c>
      <c r="AH259" s="8">
        <f t="shared" ca="1" si="4"/>
        <v>146.47733818600003</v>
      </c>
      <c r="AI259" s="8"/>
    </row>
    <row r="260" spans="1:35" x14ac:dyDescent="0.25">
      <c r="A260" t="s">
        <v>123</v>
      </c>
      <c r="B260" s="1" t="s">
        <v>601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63.261233519999998</v>
      </c>
      <c r="N260" s="1">
        <v>0</v>
      </c>
      <c r="O260" s="1">
        <v>4.5168374650000001</v>
      </c>
      <c r="P260" s="1">
        <v>0</v>
      </c>
      <c r="Q260" s="1">
        <v>0</v>
      </c>
      <c r="R260" s="1">
        <v>647.62269570000001</v>
      </c>
      <c r="S260" s="1">
        <v>0</v>
      </c>
      <c r="T260" s="1">
        <v>0</v>
      </c>
      <c r="U260" s="1">
        <v>0</v>
      </c>
      <c r="V260" s="1">
        <v>0.905798455</v>
      </c>
      <c r="W260" s="1">
        <v>0</v>
      </c>
      <c r="X260" s="1">
        <v>0</v>
      </c>
      <c r="Y260" s="1">
        <v>64.390463359999998</v>
      </c>
      <c r="Z260" s="1">
        <v>0</v>
      </c>
      <c r="AA260" s="1">
        <v>160</v>
      </c>
      <c r="AB260" s="1">
        <v>1</v>
      </c>
      <c r="AC260" s="1">
        <v>0</v>
      </c>
      <c r="AD260">
        <v>0</v>
      </c>
      <c r="AF260" s="8" cm="1">
        <f t="array" aca="1" ref="AF260" ca="1">fScore_Total("ESPN",aCols)</f>
        <v>135.367748186</v>
      </c>
      <c r="AG260" s="8" cm="1">
        <f t="array" aca="1" ref="AG260" ca="1">-fScore_Total("diff",aCols)</f>
        <v>0</v>
      </c>
      <c r="AH260" s="8">
        <f t="shared" ca="1" si="4"/>
        <v>135.367748186</v>
      </c>
      <c r="AI260" s="8"/>
    </row>
    <row r="261" spans="1:35" x14ac:dyDescent="0.25">
      <c r="A261" t="s">
        <v>129</v>
      </c>
      <c r="B261" s="1" t="s">
        <v>601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59.700536960000001</v>
      </c>
      <c r="N261" s="1">
        <v>0</v>
      </c>
      <c r="O261" s="1">
        <v>3.1965579100000001</v>
      </c>
      <c r="P261" s="1">
        <v>0</v>
      </c>
      <c r="Q261" s="1">
        <v>0</v>
      </c>
      <c r="R261" s="1">
        <v>779.05091419999997</v>
      </c>
      <c r="S261" s="1">
        <v>0</v>
      </c>
      <c r="T261" s="1">
        <v>0</v>
      </c>
      <c r="U261" s="1">
        <v>0</v>
      </c>
      <c r="V261" s="1">
        <v>0.32719733899999998</v>
      </c>
      <c r="W261" s="1">
        <v>0</v>
      </c>
      <c r="X261" s="1">
        <v>0</v>
      </c>
      <c r="Y261" s="1">
        <v>69.655215299999995</v>
      </c>
      <c r="Z261" s="1">
        <v>0</v>
      </c>
      <c r="AA261" s="1">
        <v>175</v>
      </c>
      <c r="AB261" s="1">
        <v>1</v>
      </c>
      <c r="AC261" s="1">
        <v>0</v>
      </c>
      <c r="AD261">
        <v>0</v>
      </c>
      <c r="AF261" s="8" cm="1">
        <f t="array" aca="1" ref="AF261" ca="1">fScore_Total("ESPN",aCols)</f>
        <v>135.86341292399999</v>
      </c>
      <c r="AG261" s="8" cm="1">
        <f t="array" aca="1" ref="AG261" ca="1">-fScore_Total("diff",aCols)</f>
        <v>0</v>
      </c>
      <c r="AH261" s="8">
        <f t="shared" ca="1" si="4"/>
        <v>135.86341292399999</v>
      </c>
      <c r="AI261" s="8"/>
    </row>
    <row r="262" spans="1:35" x14ac:dyDescent="0.25">
      <c r="A262" t="s">
        <v>156</v>
      </c>
      <c r="B262" s="1" t="s">
        <v>603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52.86248509</v>
      </c>
      <c r="N262" s="1">
        <v>0</v>
      </c>
      <c r="O262" s="1">
        <v>3.8231010649999999</v>
      </c>
      <c r="P262" s="1">
        <v>0</v>
      </c>
      <c r="Q262" s="1">
        <v>0</v>
      </c>
      <c r="R262" s="1">
        <v>529.15332679999995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174</v>
      </c>
      <c r="AB262" s="1">
        <v>1</v>
      </c>
      <c r="AC262" s="1">
        <v>0</v>
      </c>
      <c r="AD262">
        <v>0</v>
      </c>
      <c r="AF262" s="8" cm="1">
        <f t="array" aca="1" ref="AF262" ca="1">fScore_Total("ESPN",aCols)</f>
        <v>102.285181615</v>
      </c>
      <c r="AG262" s="8" cm="1">
        <f t="array" aca="1" ref="AG262" ca="1">-fScore_Total("diff",aCols)</f>
        <v>0</v>
      </c>
      <c r="AH262" s="8">
        <f t="shared" ca="1" si="4"/>
        <v>102.285181615</v>
      </c>
      <c r="AI262" s="8"/>
    </row>
    <row r="263" spans="1:35" x14ac:dyDescent="0.25">
      <c r="A263" t="s">
        <v>363</v>
      </c>
      <c r="B263" s="1" t="s">
        <v>600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3.988369901</v>
      </c>
      <c r="N263" s="1">
        <v>0</v>
      </c>
      <c r="O263" s="1">
        <v>0.143996336</v>
      </c>
      <c r="P263" s="1">
        <v>0</v>
      </c>
      <c r="Q263" s="1">
        <v>0</v>
      </c>
      <c r="R263" s="1">
        <v>27.563159280000001</v>
      </c>
      <c r="S263" s="1">
        <v>0</v>
      </c>
      <c r="T263" s="1">
        <v>0</v>
      </c>
      <c r="U263" s="1">
        <v>0</v>
      </c>
      <c r="V263" s="1">
        <v>0.360062993</v>
      </c>
      <c r="W263" s="1">
        <v>0</v>
      </c>
      <c r="X263" s="1">
        <v>0</v>
      </c>
      <c r="Y263" s="1">
        <v>70.987168909999994</v>
      </c>
      <c r="Z263" s="1">
        <v>0</v>
      </c>
      <c r="AA263" s="1">
        <v>1074</v>
      </c>
      <c r="AB263" s="1">
        <v>0</v>
      </c>
      <c r="AC263" s="1">
        <v>0</v>
      </c>
      <c r="AD263">
        <v>0</v>
      </c>
      <c r="AF263" s="8" cm="1">
        <f t="array" aca="1" ref="AF263" ca="1">fScore_Total("ESPN",aCols)</f>
        <v>14.8735737435</v>
      </c>
      <c r="AG263" s="8" cm="1">
        <f t="array" aca="1" ref="AG263" ca="1">-fScore_Total("diff",aCols)</f>
        <v>0</v>
      </c>
      <c r="AH263" s="8">
        <f t="shared" ca="1" si="4"/>
        <v>14.8735737435</v>
      </c>
      <c r="AI263" s="8"/>
    </row>
    <row r="264" spans="1:35" x14ac:dyDescent="0.25">
      <c r="A264" t="s">
        <v>359</v>
      </c>
      <c r="B264" s="1" t="s">
        <v>603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1">
        <v>0</v>
      </c>
      <c r="K264" s="1">
        <v>0</v>
      </c>
      <c r="L264" s="1">
        <v>0</v>
      </c>
      <c r="M264" s="1">
        <v>7.4737032619999999</v>
      </c>
      <c r="N264" s="1">
        <v>0</v>
      </c>
      <c r="O264" s="1">
        <v>0.41901916700000003</v>
      </c>
      <c r="P264" s="1">
        <v>0</v>
      </c>
      <c r="Q264" s="1">
        <v>0</v>
      </c>
      <c r="R264" s="1">
        <v>71.313203000000001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1072</v>
      </c>
      <c r="AB264" s="1">
        <v>0</v>
      </c>
      <c r="AC264" s="1">
        <v>0</v>
      </c>
      <c r="AD264">
        <v>0</v>
      </c>
      <c r="AF264" s="8" cm="1">
        <f t="array" aca="1" ref="AF264" ca="1">fScore_Total("ESPN",aCols)</f>
        <v>13.382286933</v>
      </c>
      <c r="AG264" s="8" cm="1">
        <f t="array" aca="1" ref="AG264" ca="1">-fScore_Total("diff",aCols)</f>
        <v>0</v>
      </c>
      <c r="AH264" s="8">
        <f t="shared" ca="1" si="4"/>
        <v>13.382286933</v>
      </c>
      <c r="AI264" s="8"/>
    </row>
    <row r="265" spans="1:35" x14ac:dyDescent="0.25">
      <c r="A265" t="s">
        <v>367</v>
      </c>
      <c r="B265" s="1" t="s">
        <v>601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6.7634447409999998</v>
      </c>
      <c r="N265" s="1">
        <v>0</v>
      </c>
      <c r="O265" s="1">
        <v>0.30801390200000001</v>
      </c>
      <c r="P265" s="1">
        <v>0</v>
      </c>
      <c r="Q265" s="1">
        <v>0</v>
      </c>
      <c r="R265" s="1">
        <v>71.287809539999998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1077</v>
      </c>
      <c r="AB265" s="1">
        <v>0</v>
      </c>
      <c r="AC265" s="1">
        <v>0</v>
      </c>
      <c r="AD265">
        <v>0</v>
      </c>
      <c r="AF265" s="8" cm="1">
        <f t="array" aca="1" ref="AF265" ca="1">fScore_Total("ESPN",aCols)</f>
        <v>12.3585867365</v>
      </c>
      <c r="AG265" s="8" cm="1">
        <f t="array" aca="1" ref="AG265" ca="1">-fScore_Total("diff",aCols)</f>
        <v>0</v>
      </c>
      <c r="AH265" s="8">
        <f t="shared" ca="1" si="4"/>
        <v>12.3585867365</v>
      </c>
      <c r="AI265" s="8"/>
    </row>
    <row r="266" spans="1:35" x14ac:dyDescent="0.25">
      <c r="A266" t="s">
        <v>366</v>
      </c>
      <c r="B266" s="1" t="s">
        <v>601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4.6605296029999996</v>
      </c>
      <c r="N266" s="1">
        <v>0</v>
      </c>
      <c r="O266" s="1">
        <v>0.39873552699999998</v>
      </c>
      <c r="P266" s="1">
        <v>0</v>
      </c>
      <c r="Q266" s="1">
        <v>0</v>
      </c>
      <c r="R266" s="1">
        <v>54.865391049999999</v>
      </c>
      <c r="S266" s="1">
        <v>0</v>
      </c>
      <c r="T266" s="1">
        <v>0</v>
      </c>
      <c r="U266" s="1">
        <v>0</v>
      </c>
      <c r="V266" s="1">
        <v>0.16370348900000001</v>
      </c>
      <c r="W266" s="1">
        <v>0</v>
      </c>
      <c r="X266" s="1">
        <v>0</v>
      </c>
      <c r="Y266" s="1">
        <v>25.717504940000001</v>
      </c>
      <c r="Z266" s="1">
        <v>0</v>
      </c>
      <c r="AA266" s="1">
        <v>1075</v>
      </c>
      <c r="AB266" s="1">
        <v>0</v>
      </c>
      <c r="AC266" s="1">
        <v>0</v>
      </c>
      <c r="AD266">
        <v>0</v>
      </c>
      <c r="AF266" s="8" cm="1">
        <f t="array" aca="1" ref="AF266" ca="1">fScore_Total("ESPN",aCols)</f>
        <v>13.7631884965</v>
      </c>
      <c r="AG266" s="8" cm="1">
        <f t="array" aca="1" ref="AG266" ca="1">-fScore_Total("diff",aCols)</f>
        <v>0</v>
      </c>
      <c r="AH266" s="8">
        <f t="shared" ca="1" si="4"/>
        <v>13.7631884965</v>
      </c>
      <c r="AI266" s="8"/>
    </row>
    <row r="267" spans="1:35" x14ac:dyDescent="0.25">
      <c r="A267" t="s">
        <v>365</v>
      </c>
      <c r="B267" s="1" t="s">
        <v>601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5.6529402260000001</v>
      </c>
      <c r="N267" s="1">
        <v>0</v>
      </c>
      <c r="O267" s="1">
        <v>0.34456582000000002</v>
      </c>
      <c r="P267" s="1">
        <v>0</v>
      </c>
      <c r="Q267" s="1">
        <v>0</v>
      </c>
      <c r="R267" s="1">
        <v>53.139328409999997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1076</v>
      </c>
      <c r="AB267" s="1">
        <v>0</v>
      </c>
      <c r="AC267" s="1">
        <v>0</v>
      </c>
      <c r="AD267">
        <v>0</v>
      </c>
      <c r="AF267" s="8" cm="1">
        <f t="array" aca="1" ref="AF267" ca="1">fScore_Total("ESPN",aCols)</f>
        <v>10.207797874000001</v>
      </c>
      <c r="AG267" s="8" cm="1">
        <f t="array" aca="1" ref="AG267" ca="1">-fScore_Total("diff",aCols)</f>
        <v>0</v>
      </c>
      <c r="AH267" s="8">
        <f t="shared" ca="1" si="4"/>
        <v>10.207797874000001</v>
      </c>
      <c r="AI267" s="8"/>
    </row>
    <row r="268" spans="1:35" x14ac:dyDescent="0.25">
      <c r="A268" t="s">
        <v>428</v>
      </c>
      <c r="B268" s="1" t="s">
        <v>601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6.5672132469999998</v>
      </c>
      <c r="N268" s="1">
        <v>0</v>
      </c>
      <c r="O268" s="1">
        <v>0.26588133400000002</v>
      </c>
      <c r="P268" s="1">
        <v>0</v>
      </c>
      <c r="Q268" s="1">
        <v>0</v>
      </c>
      <c r="R268" s="1">
        <v>74.642856890000004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1078</v>
      </c>
      <c r="AB268" s="1">
        <v>0</v>
      </c>
      <c r="AC268" s="1">
        <v>0</v>
      </c>
      <c r="AD268">
        <v>0</v>
      </c>
      <c r="AF268" s="8" cm="1">
        <f t="array" aca="1" ref="AF268" ca="1">fScore_Total("ESPN",aCols)</f>
        <v>12.3431803165</v>
      </c>
      <c r="AG268" s="8" cm="1">
        <f t="array" aca="1" ref="AG268" ca="1">-fScore_Total("diff",aCols)</f>
        <v>0</v>
      </c>
      <c r="AH268" s="8">
        <f t="shared" ca="1" si="4"/>
        <v>12.3431803165</v>
      </c>
      <c r="AI268" s="8"/>
    </row>
    <row r="269" spans="1:35" x14ac:dyDescent="0.25">
      <c r="A269" t="s">
        <v>358</v>
      </c>
      <c r="B269" s="1" t="s">
        <v>603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7.1718549869999997</v>
      </c>
      <c r="N269" s="1">
        <v>0</v>
      </c>
      <c r="O269" s="1">
        <v>0.54578968900000002</v>
      </c>
      <c r="P269" s="1">
        <v>0</v>
      </c>
      <c r="Q269" s="1">
        <v>0</v>
      </c>
      <c r="R269" s="1">
        <v>69.953447339999997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1070</v>
      </c>
      <c r="AB269" s="1">
        <v>0</v>
      </c>
      <c r="AC269" s="1">
        <v>0</v>
      </c>
      <c r="AD269">
        <v>0</v>
      </c>
      <c r="AF269" s="8" cm="1">
        <f t="array" aca="1" ref="AF269" ca="1">fScore_Total("ESPN",aCols)</f>
        <v>13.856010361499999</v>
      </c>
      <c r="AG269" s="8" cm="1">
        <f t="array" aca="1" ref="AG269" ca="1">-fScore_Total("diff",aCols)</f>
        <v>0</v>
      </c>
      <c r="AH269" s="8">
        <f t="shared" ca="1" si="4"/>
        <v>13.856010361499999</v>
      </c>
      <c r="AI269" s="8"/>
    </row>
    <row r="270" spans="1:35" x14ac:dyDescent="0.25">
      <c r="A270" t="s">
        <v>361</v>
      </c>
      <c r="B270" s="1" t="s">
        <v>600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1">
        <v>0</v>
      </c>
      <c r="K270" s="1">
        <v>0</v>
      </c>
      <c r="L270" s="1">
        <v>0</v>
      </c>
      <c r="M270" s="1">
        <v>2.1321838519999998</v>
      </c>
      <c r="N270" s="1">
        <v>0</v>
      </c>
      <c r="O270" s="1">
        <v>0.106026316</v>
      </c>
      <c r="P270" s="1">
        <v>0</v>
      </c>
      <c r="Q270" s="1">
        <v>0</v>
      </c>
      <c r="R270" s="1">
        <v>14.113979069999999</v>
      </c>
      <c r="S270" s="1">
        <v>0</v>
      </c>
      <c r="T270" s="1">
        <v>0</v>
      </c>
      <c r="U270" s="1">
        <v>0</v>
      </c>
      <c r="V270" s="1">
        <v>0.53558856899999996</v>
      </c>
      <c r="W270" s="1">
        <v>0</v>
      </c>
      <c r="X270" s="1">
        <v>0</v>
      </c>
      <c r="Y270" s="1">
        <v>98.370138389999994</v>
      </c>
      <c r="Z270" s="1">
        <v>0</v>
      </c>
      <c r="AA270" s="1">
        <v>1071</v>
      </c>
      <c r="AB270" s="1">
        <v>0</v>
      </c>
      <c r="AC270" s="1">
        <v>0</v>
      </c>
      <c r="AD270">
        <v>0</v>
      </c>
      <c r="AF270" s="8" cm="1">
        <f t="array" aca="1" ref="AF270" ca="1">fScore_Total("ESPN",aCols)</f>
        <v>16.164192981999999</v>
      </c>
      <c r="AG270" s="8" cm="1">
        <f t="array" aca="1" ref="AG270" ca="1">-fScore_Total("diff",aCols)</f>
        <v>0</v>
      </c>
      <c r="AH270" s="8">
        <f t="shared" ca="1" si="4"/>
        <v>16.164192981999999</v>
      </c>
      <c r="AI270" s="8"/>
    </row>
    <row r="271" spans="1:35" x14ac:dyDescent="0.25">
      <c r="A271" t="s">
        <v>351</v>
      </c>
      <c r="B271" s="1" t="s">
        <v>603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8.1199169980000008</v>
      </c>
      <c r="N271" s="1">
        <v>0</v>
      </c>
      <c r="O271" s="1">
        <v>0.52127168800000001</v>
      </c>
      <c r="P271" s="1">
        <v>0</v>
      </c>
      <c r="Q271" s="1">
        <v>0</v>
      </c>
      <c r="R271" s="1">
        <v>77.102676380000005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1062</v>
      </c>
      <c r="AB271" s="1">
        <v>0</v>
      </c>
      <c r="AC271" s="1">
        <v>0</v>
      </c>
      <c r="AD271">
        <v>0</v>
      </c>
      <c r="AF271" s="8" cm="1">
        <f t="array" aca="1" ref="AF271" ca="1">fScore_Total("ESPN",aCols)</f>
        <v>14.897856265000001</v>
      </c>
      <c r="AG271" s="8" cm="1">
        <f t="array" aca="1" ref="AG271" ca="1">-fScore_Total("diff",aCols)</f>
        <v>0</v>
      </c>
      <c r="AH271" s="8">
        <f t="shared" ca="1" si="4"/>
        <v>14.897856265000001</v>
      </c>
      <c r="AI271" s="8"/>
    </row>
    <row r="272" spans="1:35" x14ac:dyDescent="0.25">
      <c r="A272" t="s">
        <v>356</v>
      </c>
      <c r="B272" s="1" t="s">
        <v>601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  <c r="M272" s="1">
        <v>6.2135195269999999</v>
      </c>
      <c r="N272" s="1">
        <v>0</v>
      </c>
      <c r="O272" s="1">
        <v>0.349446704</v>
      </c>
      <c r="P272" s="1">
        <v>0</v>
      </c>
      <c r="Q272" s="1">
        <v>0</v>
      </c>
      <c r="R272" s="1">
        <v>69.997582339999994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1068</v>
      </c>
      <c r="AB272" s="1">
        <v>0</v>
      </c>
      <c r="AC272" s="1">
        <v>0</v>
      </c>
      <c r="AD272">
        <v>0</v>
      </c>
      <c r="AF272" s="8" cm="1">
        <f t="array" aca="1" ref="AF272" ca="1">fScore_Total("ESPN",aCols)</f>
        <v>12.203198221499999</v>
      </c>
      <c r="AG272" s="8" cm="1">
        <f t="array" aca="1" ref="AG272" ca="1">-fScore_Total("diff",aCols)</f>
        <v>0</v>
      </c>
      <c r="AH272" s="8">
        <f t="shared" ca="1" si="4"/>
        <v>12.203198221499999</v>
      </c>
      <c r="AI272" s="8"/>
    </row>
    <row r="273" spans="1:35" x14ac:dyDescent="0.25">
      <c r="A273" t="s">
        <v>354</v>
      </c>
      <c r="B273" s="1" t="s">
        <v>603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  <c r="M273" s="1">
        <v>7.3454140829999996</v>
      </c>
      <c r="N273" s="1">
        <v>0</v>
      </c>
      <c r="O273" s="1">
        <v>0.49472629499999998</v>
      </c>
      <c r="P273" s="1">
        <v>0</v>
      </c>
      <c r="Q273" s="1">
        <v>0</v>
      </c>
      <c r="R273" s="1">
        <v>77.737341950000001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1066</v>
      </c>
      <c r="AB273" s="1">
        <v>0</v>
      </c>
      <c r="AC273" s="1">
        <v>0</v>
      </c>
      <c r="AD273">
        <v>0</v>
      </c>
      <c r="AF273" s="8" cm="1">
        <f t="array" aca="1" ref="AF273" ca="1">fScore_Total("ESPN",aCols)</f>
        <v>14.414799006500001</v>
      </c>
      <c r="AG273" s="8" cm="1">
        <f t="array" aca="1" ref="AG273" ca="1">-fScore_Total("diff",aCols)</f>
        <v>0</v>
      </c>
      <c r="AH273" s="8">
        <f t="shared" ca="1" si="4"/>
        <v>14.414799006500001</v>
      </c>
      <c r="AI273" s="8"/>
    </row>
    <row r="274" spans="1:35" x14ac:dyDescent="0.25">
      <c r="A274" t="s">
        <v>371</v>
      </c>
      <c r="B274" s="1" t="s">
        <v>600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  <c r="M274" s="1">
        <v>4.2283261730000001</v>
      </c>
      <c r="N274" s="1">
        <v>0</v>
      </c>
      <c r="O274" s="1">
        <v>0.164065194</v>
      </c>
      <c r="P274" s="1">
        <v>0</v>
      </c>
      <c r="Q274" s="1">
        <v>0</v>
      </c>
      <c r="R274" s="1">
        <v>29.454925370000002</v>
      </c>
      <c r="S274" s="1">
        <v>0</v>
      </c>
      <c r="T274" s="1">
        <v>0</v>
      </c>
      <c r="U274" s="1">
        <v>0</v>
      </c>
      <c r="V274" s="1">
        <v>0.50986312300000003</v>
      </c>
      <c r="W274" s="1">
        <v>0</v>
      </c>
      <c r="X274" s="1">
        <v>0</v>
      </c>
      <c r="Y274" s="1">
        <v>71.269680730000005</v>
      </c>
      <c r="Z274" s="1">
        <v>0</v>
      </c>
      <c r="AA274" s="1">
        <v>1065</v>
      </c>
      <c r="AB274" s="1">
        <v>0</v>
      </c>
      <c r="AC274" s="1">
        <v>0</v>
      </c>
      <c r="AD274">
        <v>0</v>
      </c>
      <c r="AF274" s="8" cm="1">
        <f t="array" aca="1" ref="AF274" ca="1">fScore_Total("ESPN",aCols)</f>
        <v>16.230193598500001</v>
      </c>
      <c r="AG274" s="8" cm="1">
        <f t="array" aca="1" ref="AG274" ca="1">-fScore_Total("diff",aCols)</f>
        <v>0</v>
      </c>
      <c r="AH274" s="8">
        <f t="shared" ca="1" si="4"/>
        <v>16.230193598500001</v>
      </c>
      <c r="AI274" s="8"/>
    </row>
    <row r="275" spans="1:35" x14ac:dyDescent="0.25">
      <c r="A275" t="s">
        <v>353</v>
      </c>
      <c r="B275" s="1" t="s">
        <v>601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5.8300250130000002</v>
      </c>
      <c r="N275" s="1">
        <v>0</v>
      </c>
      <c r="O275" s="1">
        <v>0.55637530300000004</v>
      </c>
      <c r="P275" s="1">
        <v>0</v>
      </c>
      <c r="Q275" s="1">
        <v>0</v>
      </c>
      <c r="R275" s="1">
        <v>95.153074930000002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1064</v>
      </c>
      <c r="AB275" s="1">
        <v>0</v>
      </c>
      <c r="AC275" s="1">
        <v>0</v>
      </c>
      <c r="AD275">
        <v>0</v>
      </c>
      <c r="AF275" s="8" cm="1">
        <f t="array" aca="1" ref="AF275" ca="1">fScore_Total("ESPN",aCols)</f>
        <v>15.7685718175</v>
      </c>
      <c r="AG275" s="8" cm="1">
        <f t="array" aca="1" ref="AG275" ca="1">-fScore_Total("diff",aCols)</f>
        <v>0</v>
      </c>
      <c r="AH275" s="8">
        <f t="shared" ca="1" si="4"/>
        <v>15.7685718175</v>
      </c>
      <c r="AI275" s="8"/>
    </row>
    <row r="276" spans="1:35" x14ac:dyDescent="0.25">
      <c r="A276" t="s">
        <v>352</v>
      </c>
      <c r="B276" s="1" t="s">
        <v>603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7.4423083239999999</v>
      </c>
      <c r="N276" s="1">
        <v>0</v>
      </c>
      <c r="O276" s="1">
        <v>0.61484185300000005</v>
      </c>
      <c r="P276" s="1">
        <v>0</v>
      </c>
      <c r="Q276" s="1">
        <v>0</v>
      </c>
      <c r="R276" s="1">
        <v>75.813245809999998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1063</v>
      </c>
      <c r="AB276" s="1">
        <v>0</v>
      </c>
      <c r="AC276" s="1">
        <v>0</v>
      </c>
      <c r="AD276">
        <v>0</v>
      </c>
      <c r="AF276" s="8" cm="1">
        <f t="array" aca="1" ref="AF276" ca="1">fScore_Total("ESPN",aCols)</f>
        <v>14.991529861</v>
      </c>
      <c r="AG276" s="8" cm="1">
        <f t="array" aca="1" ref="AG276" ca="1">-fScore_Total("diff",aCols)</f>
        <v>0</v>
      </c>
      <c r="AH276" s="8">
        <f t="shared" ca="1" si="4"/>
        <v>14.991529861</v>
      </c>
      <c r="AI276" s="8"/>
    </row>
    <row r="277" spans="1:35" x14ac:dyDescent="0.25">
      <c r="A277" t="s">
        <v>369</v>
      </c>
      <c r="B277" s="1" t="s">
        <v>600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4.084059645</v>
      </c>
      <c r="N277" s="1">
        <v>0</v>
      </c>
      <c r="O277" s="1">
        <v>0.161132315</v>
      </c>
      <c r="P277" s="1">
        <v>0</v>
      </c>
      <c r="Q277" s="1">
        <v>0</v>
      </c>
      <c r="R277" s="1">
        <v>28.988611710000001</v>
      </c>
      <c r="S277" s="1">
        <v>0</v>
      </c>
      <c r="T277" s="1">
        <v>0</v>
      </c>
      <c r="U277" s="1">
        <v>0</v>
      </c>
      <c r="V277" s="1">
        <v>0.37309558799999998</v>
      </c>
      <c r="W277" s="1">
        <v>0</v>
      </c>
      <c r="X277" s="1">
        <v>0</v>
      </c>
      <c r="Y277" s="1">
        <v>50.362776240000002</v>
      </c>
      <c r="Z277" s="1">
        <v>0</v>
      </c>
      <c r="AA277" s="1">
        <v>1080</v>
      </c>
      <c r="AB277" s="1">
        <v>0</v>
      </c>
      <c r="AC277" s="1">
        <v>0</v>
      </c>
      <c r="AD277">
        <v>0</v>
      </c>
      <c r="AF277" s="8" cm="1">
        <f t="array" aca="1" ref="AF277" ca="1">fScore_Total("ESPN",aCols)</f>
        <v>13.1825360355</v>
      </c>
      <c r="AG277" s="8" cm="1">
        <f t="array" aca="1" ref="AG277" ca="1">-fScore_Total("diff",aCols)</f>
        <v>0</v>
      </c>
      <c r="AH277" s="8">
        <f t="shared" ca="1" si="4"/>
        <v>13.1825360355</v>
      </c>
      <c r="AI277" s="8"/>
    </row>
    <row r="278" spans="1:35" x14ac:dyDescent="0.25">
      <c r="A278" t="s">
        <v>350</v>
      </c>
      <c r="B278" s="1" t="s">
        <v>601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  <c r="M278" s="1">
        <v>7.1684263240000003</v>
      </c>
      <c r="N278" s="1">
        <v>0</v>
      </c>
      <c r="O278" s="1">
        <v>0.62889556499999999</v>
      </c>
      <c r="P278" s="1">
        <v>0</v>
      </c>
      <c r="Q278" s="1">
        <v>0</v>
      </c>
      <c r="R278" s="1">
        <v>82.167091889999995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1061</v>
      </c>
      <c r="AB278" s="1">
        <v>0</v>
      </c>
      <c r="AC278" s="1">
        <v>0</v>
      </c>
      <c r="AD278">
        <v>0</v>
      </c>
      <c r="AF278" s="8" cm="1">
        <f t="array" aca="1" ref="AF278" ca="1">fScore_Total("ESPN",aCols)</f>
        <v>15.574295741</v>
      </c>
      <c r="AG278" s="8" cm="1">
        <f t="array" aca="1" ref="AG278" ca="1">-fScore_Total("diff",aCols)</f>
        <v>0</v>
      </c>
      <c r="AH278" s="8">
        <f t="shared" ref="AH278:AH341" ca="1" si="5">+AF278+AG278</f>
        <v>15.574295741</v>
      </c>
      <c r="AI278" s="8"/>
    </row>
    <row r="279" spans="1:35" x14ac:dyDescent="0.25">
      <c r="A279" t="s">
        <v>368</v>
      </c>
      <c r="B279" s="1" t="s">
        <v>601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  <c r="M279" s="1">
        <v>6.1272778920000004</v>
      </c>
      <c r="N279" s="1">
        <v>0</v>
      </c>
      <c r="O279" s="1">
        <v>0.31711342799999997</v>
      </c>
      <c r="P279" s="1">
        <v>0</v>
      </c>
      <c r="Q279" s="1">
        <v>0</v>
      </c>
      <c r="R279" s="1">
        <v>75.472801559999994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1079</v>
      </c>
      <c r="AB279" s="1">
        <v>0</v>
      </c>
      <c r="AC279" s="1">
        <v>0</v>
      </c>
      <c r="AD279">
        <v>0</v>
      </c>
      <c r="AF279" s="8" cm="1">
        <f t="array" aca="1" ref="AF279" ca="1">fScore_Total("ESPN",aCols)</f>
        <v>12.51359967</v>
      </c>
      <c r="AG279" s="8" cm="1">
        <f t="array" aca="1" ref="AG279" ca="1">-fScore_Total("diff",aCols)</f>
        <v>0</v>
      </c>
      <c r="AH279" s="8">
        <f t="shared" ca="1" si="5"/>
        <v>12.51359967</v>
      </c>
      <c r="AI279" s="8"/>
    </row>
    <row r="280" spans="1:35" x14ac:dyDescent="0.25">
      <c r="A280" t="s">
        <v>377</v>
      </c>
      <c r="B280" s="1" t="s">
        <v>600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4.1826823329999998</v>
      </c>
      <c r="N280" s="1">
        <v>0</v>
      </c>
      <c r="O280" s="1">
        <v>7.3719965999999998E-2</v>
      </c>
      <c r="P280" s="1">
        <v>0</v>
      </c>
      <c r="Q280" s="1">
        <v>0</v>
      </c>
      <c r="R280" s="1">
        <v>25.232873739999999</v>
      </c>
      <c r="S280" s="1">
        <v>0</v>
      </c>
      <c r="T280" s="1">
        <v>0</v>
      </c>
      <c r="U280" s="1">
        <v>0</v>
      </c>
      <c r="V280" s="1">
        <v>0.246648177</v>
      </c>
      <c r="W280" s="1">
        <v>0</v>
      </c>
      <c r="X280" s="1">
        <v>0</v>
      </c>
      <c r="Y280" s="1">
        <v>34.975072419999996</v>
      </c>
      <c r="Z280" s="1">
        <v>0</v>
      </c>
      <c r="AA280" s="1">
        <v>1089</v>
      </c>
      <c r="AB280" s="1">
        <v>0</v>
      </c>
      <c r="AC280" s="1">
        <v>0</v>
      </c>
      <c r="AD280">
        <v>0</v>
      </c>
      <c r="AF280" s="8" cm="1">
        <f t="array" aca="1" ref="AF280" ca="1">fScore_Total("ESPN",aCols)</f>
        <v>10.034344640499999</v>
      </c>
      <c r="AG280" s="8" cm="1">
        <f t="array" aca="1" ref="AG280" ca="1">-fScore_Total("diff",aCols)</f>
        <v>0</v>
      </c>
      <c r="AH280" s="8">
        <f t="shared" ca="1" si="5"/>
        <v>10.034344640499999</v>
      </c>
      <c r="AI280" s="8"/>
    </row>
    <row r="281" spans="1:35" x14ac:dyDescent="0.25">
      <c r="A281" t="s">
        <v>507</v>
      </c>
      <c r="B281" s="1" t="s">
        <v>601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5.4649179400000003</v>
      </c>
      <c r="N281" s="1">
        <v>0</v>
      </c>
      <c r="O281" s="1">
        <v>0.40942607399999997</v>
      </c>
      <c r="P281" s="1">
        <v>0</v>
      </c>
      <c r="Q281" s="1">
        <v>0</v>
      </c>
      <c r="R281" s="1">
        <v>71.432336179999993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1081</v>
      </c>
      <c r="AB281" s="1">
        <v>0</v>
      </c>
      <c r="AC281" s="1">
        <v>0</v>
      </c>
      <c r="AD281">
        <v>0</v>
      </c>
      <c r="AF281" s="8" cm="1">
        <f t="array" aca="1" ref="AF281" ca="1">fScore_Total("ESPN",aCols)</f>
        <v>12.332249032</v>
      </c>
      <c r="AG281" s="8" cm="1">
        <f t="array" aca="1" ref="AG281" ca="1">-fScore_Total("diff",aCols)</f>
        <v>0</v>
      </c>
      <c r="AH281" s="8">
        <f t="shared" ca="1" si="5"/>
        <v>12.332249032</v>
      </c>
      <c r="AI281" s="8"/>
    </row>
    <row r="282" spans="1:35" x14ac:dyDescent="0.25">
      <c r="A282" t="s">
        <v>380</v>
      </c>
      <c r="B282" s="1" t="s">
        <v>600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  <c r="M282" s="1">
        <v>3.9919888349999999</v>
      </c>
      <c r="N282" s="1">
        <v>0</v>
      </c>
      <c r="O282" s="1">
        <v>0.146034418</v>
      </c>
      <c r="P282" s="1">
        <v>0</v>
      </c>
      <c r="Q282" s="1">
        <v>0</v>
      </c>
      <c r="R282" s="1">
        <v>29.33851349</v>
      </c>
      <c r="S282" s="1">
        <v>0</v>
      </c>
      <c r="T282" s="1">
        <v>0</v>
      </c>
      <c r="U282" s="1">
        <v>0</v>
      </c>
      <c r="V282" s="1">
        <v>0.25892331000000002</v>
      </c>
      <c r="W282" s="1">
        <v>0</v>
      </c>
      <c r="X282" s="1">
        <v>0</v>
      </c>
      <c r="Y282" s="1">
        <v>32.50445448</v>
      </c>
      <c r="Z282" s="1">
        <v>0</v>
      </c>
      <c r="AA282" s="1">
        <v>1092</v>
      </c>
      <c r="AB282" s="1">
        <v>0</v>
      </c>
      <c r="AC282" s="1">
        <v>0</v>
      </c>
      <c r="AD282">
        <v>0</v>
      </c>
      <c r="AF282" s="8" cm="1">
        <f t="array" aca="1" ref="AF282" ca="1">fScore_Total("ESPN",aCols)</f>
        <v>10.6100375825</v>
      </c>
      <c r="AG282" s="8" cm="1">
        <f t="array" aca="1" ref="AG282" ca="1">-fScore_Total("diff",aCols)</f>
        <v>0</v>
      </c>
      <c r="AH282" s="8">
        <f t="shared" ca="1" si="5"/>
        <v>10.6100375825</v>
      </c>
      <c r="AI282" s="8"/>
    </row>
    <row r="283" spans="1:35" x14ac:dyDescent="0.25">
      <c r="A283" t="s">
        <v>292</v>
      </c>
      <c r="B283" s="1" t="s">
        <v>601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4.9489398849999997</v>
      </c>
      <c r="N283" s="1">
        <v>0</v>
      </c>
      <c r="O283" s="1">
        <v>0.26129261100000001</v>
      </c>
      <c r="P283" s="1">
        <v>0</v>
      </c>
      <c r="Q283" s="1">
        <v>0</v>
      </c>
      <c r="R283" s="1">
        <v>47.71092488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1100</v>
      </c>
      <c r="AB283" s="1">
        <v>0</v>
      </c>
      <c r="AC283" s="1">
        <v>0</v>
      </c>
      <c r="AD283">
        <v>0</v>
      </c>
      <c r="AF283" s="8" cm="1">
        <f t="array" aca="1" ref="AF283" ca="1">fScore_Total("ESPN",aCols)</f>
        <v>8.8133180964999998</v>
      </c>
      <c r="AG283" s="8" cm="1">
        <f t="array" aca="1" ref="AG283" ca="1">-fScore_Total("diff",aCols)</f>
        <v>0</v>
      </c>
      <c r="AH283" s="8">
        <f t="shared" ca="1" si="5"/>
        <v>8.8133180964999998</v>
      </c>
      <c r="AI283" s="8"/>
    </row>
    <row r="284" spans="1:35" x14ac:dyDescent="0.25">
      <c r="A284" t="s">
        <v>387</v>
      </c>
      <c r="B284" s="1" t="s">
        <v>600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4.040805786</v>
      </c>
      <c r="N284" s="1">
        <v>0</v>
      </c>
      <c r="O284" s="1">
        <v>0.10892015200000001</v>
      </c>
      <c r="P284" s="1">
        <v>0</v>
      </c>
      <c r="Q284" s="1">
        <v>0</v>
      </c>
      <c r="R284" s="1">
        <v>28.941762709999999</v>
      </c>
      <c r="S284" s="1">
        <v>0</v>
      </c>
      <c r="T284" s="1">
        <v>0</v>
      </c>
      <c r="U284" s="1">
        <v>0</v>
      </c>
      <c r="V284" s="1">
        <v>0.16722882999999999</v>
      </c>
      <c r="W284" s="1">
        <v>0</v>
      </c>
      <c r="X284" s="1">
        <v>0</v>
      </c>
      <c r="Y284" s="1">
        <v>30.73287681</v>
      </c>
      <c r="Z284" s="1">
        <v>0</v>
      </c>
      <c r="AA284" s="1">
        <v>1099</v>
      </c>
      <c r="AB284" s="1">
        <v>0</v>
      </c>
      <c r="AC284" s="1">
        <v>0</v>
      </c>
      <c r="AD284">
        <v>0</v>
      </c>
      <c r="AF284" s="8" cm="1">
        <f t="array" aca="1" ref="AF284" ca="1">fScore_Total("ESPN",aCols)</f>
        <v>9.6447607370000004</v>
      </c>
      <c r="AG284" s="8" cm="1">
        <f t="array" aca="1" ref="AG284" ca="1">-fScore_Total("diff",aCols)</f>
        <v>0</v>
      </c>
      <c r="AH284" s="8">
        <f t="shared" ca="1" si="5"/>
        <v>9.6447607370000004</v>
      </c>
      <c r="AI284" s="8"/>
    </row>
    <row r="285" spans="1:35" x14ac:dyDescent="0.25">
      <c r="A285" t="s">
        <v>386</v>
      </c>
      <c r="B285" s="1" t="s">
        <v>601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  <c r="M285" s="1">
        <v>3.7592247030000001</v>
      </c>
      <c r="N285" s="1">
        <v>0</v>
      </c>
      <c r="O285" s="1">
        <v>0.27000216300000002</v>
      </c>
      <c r="P285" s="1">
        <v>0</v>
      </c>
      <c r="Q285" s="1">
        <v>0</v>
      </c>
      <c r="R285" s="1">
        <v>41.313674169999999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1098</v>
      </c>
      <c r="AB285" s="1">
        <v>0</v>
      </c>
      <c r="AC285" s="1">
        <v>0</v>
      </c>
      <c r="AD285">
        <v>0</v>
      </c>
      <c r="AF285" s="8" cm="1">
        <f t="array" aca="1" ref="AF285" ca="1">fScore_Total("ESPN",aCols)</f>
        <v>7.6309927465000005</v>
      </c>
      <c r="AG285" s="8" cm="1">
        <f t="array" aca="1" ref="AG285" ca="1">-fScore_Total("diff",aCols)</f>
        <v>0</v>
      </c>
      <c r="AH285" s="8">
        <f t="shared" ca="1" si="5"/>
        <v>7.6309927465000005</v>
      </c>
      <c r="AI285" s="8"/>
    </row>
    <row r="286" spans="1:35" x14ac:dyDescent="0.25">
      <c r="A286" t="s">
        <v>385</v>
      </c>
      <c r="B286" s="1" t="s">
        <v>600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4.6734885100000003</v>
      </c>
      <c r="N286" s="1">
        <v>0</v>
      </c>
      <c r="O286" s="1">
        <v>0.19860382700000001</v>
      </c>
      <c r="P286" s="1">
        <v>0</v>
      </c>
      <c r="Q286" s="1">
        <v>0</v>
      </c>
      <c r="R286" s="1">
        <v>33.331009119999997</v>
      </c>
      <c r="S286" s="1">
        <v>0</v>
      </c>
      <c r="T286" s="1">
        <v>0</v>
      </c>
      <c r="U286" s="1">
        <v>0</v>
      </c>
      <c r="V286" s="1">
        <v>0.13624710900000001</v>
      </c>
      <c r="W286" s="1">
        <v>0</v>
      </c>
      <c r="X286" s="1">
        <v>0</v>
      </c>
      <c r="Y286" s="1">
        <v>17.966386459999999</v>
      </c>
      <c r="Z286" s="1">
        <v>0</v>
      </c>
      <c r="AA286" s="1">
        <v>1097</v>
      </c>
      <c r="AB286" s="1">
        <v>0</v>
      </c>
      <c r="AC286" s="1">
        <v>0</v>
      </c>
      <c r="AD286">
        <v>0</v>
      </c>
      <c r="AF286" s="8" cm="1">
        <f t="array" aca="1" ref="AF286" ca="1">fScore_Total("ESPN",aCols)</f>
        <v>9.4755894289999993</v>
      </c>
      <c r="AG286" s="8" cm="1">
        <f t="array" aca="1" ref="AG286" ca="1">-fScore_Total("diff",aCols)</f>
        <v>0</v>
      </c>
      <c r="AH286" s="8">
        <f t="shared" ca="1" si="5"/>
        <v>9.4755894289999993</v>
      </c>
      <c r="AI286" s="8"/>
    </row>
    <row r="287" spans="1:35" x14ac:dyDescent="0.25">
      <c r="A287" t="s">
        <v>384</v>
      </c>
      <c r="B287" s="1" t="s">
        <v>600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  <c r="M287" s="1">
        <v>2.0226792819999999</v>
      </c>
      <c r="N287" s="1">
        <v>0</v>
      </c>
      <c r="O287" s="1">
        <v>8.7533709000000001E-2</v>
      </c>
      <c r="P287" s="1">
        <v>0</v>
      </c>
      <c r="Q287" s="1">
        <v>0</v>
      </c>
      <c r="R287" s="1">
        <v>14.45581428</v>
      </c>
      <c r="S287" s="1">
        <v>0</v>
      </c>
      <c r="T287" s="1">
        <v>0</v>
      </c>
      <c r="U287" s="1">
        <v>0</v>
      </c>
      <c r="V287" s="1">
        <v>0.423148576</v>
      </c>
      <c r="W287" s="1">
        <v>0</v>
      </c>
      <c r="X287" s="1">
        <v>0</v>
      </c>
      <c r="Y287" s="1">
        <v>52.926335819999998</v>
      </c>
      <c r="Z287" s="1">
        <v>0</v>
      </c>
      <c r="AA287" s="1">
        <v>1096</v>
      </c>
      <c r="AB287" s="1">
        <v>0</v>
      </c>
      <c r="AC287" s="1">
        <v>0</v>
      </c>
      <c r="AD287">
        <v>0</v>
      </c>
      <c r="AF287" s="8" cm="1">
        <f t="array" aca="1" ref="AF287" ca="1">fScore_Total("ESPN",aCols)</f>
        <v>10.813648361</v>
      </c>
      <c r="AG287" s="8" cm="1">
        <f t="array" aca="1" ref="AG287" ca="1">-fScore_Total("diff",aCols)</f>
        <v>0</v>
      </c>
      <c r="AH287" s="8">
        <f t="shared" ca="1" si="5"/>
        <v>10.813648361</v>
      </c>
      <c r="AI287" s="8"/>
    </row>
    <row r="288" spans="1:35" x14ac:dyDescent="0.25">
      <c r="A288" t="s">
        <v>383</v>
      </c>
      <c r="B288" s="1" t="s">
        <v>600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4.166722268</v>
      </c>
      <c r="N288" s="1">
        <v>0</v>
      </c>
      <c r="O288" s="1">
        <v>0.148030351</v>
      </c>
      <c r="P288" s="1">
        <v>0</v>
      </c>
      <c r="Q288" s="1">
        <v>0</v>
      </c>
      <c r="R288" s="1">
        <v>28.05082788</v>
      </c>
      <c r="S288" s="1">
        <v>0</v>
      </c>
      <c r="T288" s="1">
        <v>0</v>
      </c>
      <c r="U288" s="1">
        <v>0</v>
      </c>
      <c r="V288" s="1">
        <v>0.218736603</v>
      </c>
      <c r="W288" s="1">
        <v>0</v>
      </c>
      <c r="X288" s="1">
        <v>0</v>
      </c>
      <c r="Y288" s="1">
        <v>29.27452714</v>
      </c>
      <c r="Z288" s="1">
        <v>0</v>
      </c>
      <c r="AA288" s="1">
        <v>1095</v>
      </c>
      <c r="AB288" s="1">
        <v>0</v>
      </c>
      <c r="AC288" s="1">
        <v>0</v>
      </c>
      <c r="AD288">
        <v>0</v>
      </c>
      <c r="AF288" s="8" cm="1">
        <f t="array" aca="1" ref="AF288" ca="1">fScore_Total("ESPN",aCols)</f>
        <v>10.01649836</v>
      </c>
      <c r="AG288" s="8" cm="1">
        <f t="array" aca="1" ref="AG288" ca="1">-fScore_Total("diff",aCols)</f>
        <v>0</v>
      </c>
      <c r="AH288" s="8">
        <f t="shared" ca="1" si="5"/>
        <v>10.01649836</v>
      </c>
      <c r="AI288" s="8"/>
    </row>
    <row r="289" spans="1:35" x14ac:dyDescent="0.25">
      <c r="A289" t="s">
        <v>382</v>
      </c>
      <c r="B289" s="1" t="s">
        <v>601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5.070430784</v>
      </c>
      <c r="N289" s="1">
        <v>0</v>
      </c>
      <c r="O289" s="1">
        <v>0.23837773400000001</v>
      </c>
      <c r="P289" s="1">
        <v>0</v>
      </c>
      <c r="Q289" s="1">
        <v>0</v>
      </c>
      <c r="R289" s="1">
        <v>57.184484439999999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1094</v>
      </c>
      <c r="AB289" s="1">
        <v>0</v>
      </c>
      <c r="AC289" s="1">
        <v>0</v>
      </c>
      <c r="AD289">
        <v>0</v>
      </c>
      <c r="AF289" s="8" cm="1">
        <f t="array" aca="1" ref="AF289" ca="1">fScore_Total("ESPN",aCols)</f>
        <v>9.6839302400000005</v>
      </c>
      <c r="AG289" s="8" cm="1">
        <f t="array" aca="1" ref="AG289" ca="1">-fScore_Total("diff",aCols)</f>
        <v>0</v>
      </c>
      <c r="AH289" s="8">
        <f t="shared" ca="1" si="5"/>
        <v>9.6839302400000005</v>
      </c>
      <c r="AI289" s="8"/>
    </row>
    <row r="290" spans="1:35" x14ac:dyDescent="0.25">
      <c r="A290" t="s">
        <v>381</v>
      </c>
      <c r="B290" s="1" t="s">
        <v>600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4.2733542959999999</v>
      </c>
      <c r="N290" s="1">
        <v>0</v>
      </c>
      <c r="O290" s="1">
        <v>0.14317927</v>
      </c>
      <c r="P290" s="1">
        <v>0</v>
      </c>
      <c r="Q290" s="1">
        <v>0</v>
      </c>
      <c r="R290" s="1">
        <v>28.8421804</v>
      </c>
      <c r="S290" s="1">
        <v>0</v>
      </c>
      <c r="T290" s="1">
        <v>0</v>
      </c>
      <c r="U290" s="1">
        <v>0</v>
      </c>
      <c r="V290" s="1">
        <v>0.213868736</v>
      </c>
      <c r="W290" s="1">
        <v>0</v>
      </c>
      <c r="X290" s="1">
        <v>0</v>
      </c>
      <c r="Y290" s="1">
        <v>32.067737100000002</v>
      </c>
      <c r="Z290" s="1">
        <v>0</v>
      </c>
      <c r="AA290" s="1">
        <v>1093</v>
      </c>
      <c r="AB290" s="1">
        <v>0</v>
      </c>
      <c r="AC290" s="1">
        <v>0</v>
      </c>
      <c r="AD290">
        <v>0</v>
      </c>
      <c r="AF290" s="8" cm="1">
        <f t="array" aca="1" ref="AF290" ca="1">fScore_Total("ESPN",aCols)</f>
        <v>10.369956934000001</v>
      </c>
      <c r="AG290" s="8" cm="1">
        <f t="array" aca="1" ref="AG290" ca="1">-fScore_Total("diff",aCols)</f>
        <v>0</v>
      </c>
      <c r="AH290" s="8">
        <f t="shared" ca="1" si="5"/>
        <v>10.369956934000001</v>
      </c>
      <c r="AI290" s="8"/>
    </row>
    <row r="291" spans="1:35" x14ac:dyDescent="0.25">
      <c r="A291" t="s">
        <v>379</v>
      </c>
      <c r="B291" s="1" t="s">
        <v>600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  <c r="M291" s="1">
        <v>4.3835937229999997</v>
      </c>
      <c r="N291" s="1">
        <v>0</v>
      </c>
      <c r="O291" s="1">
        <v>0.185424387</v>
      </c>
      <c r="P291" s="1">
        <v>0</v>
      </c>
      <c r="Q291" s="1">
        <v>0</v>
      </c>
      <c r="R291" s="1">
        <v>29.420585880000001</v>
      </c>
      <c r="S291" s="1">
        <v>0</v>
      </c>
      <c r="T291" s="1">
        <v>0</v>
      </c>
      <c r="U291" s="1">
        <v>0</v>
      </c>
      <c r="V291" s="1">
        <v>0.15780649899999999</v>
      </c>
      <c r="W291" s="1">
        <v>0</v>
      </c>
      <c r="X291" s="1">
        <v>0</v>
      </c>
      <c r="Y291" s="1">
        <v>17.71976725</v>
      </c>
      <c r="Z291" s="1">
        <v>0</v>
      </c>
      <c r="AA291" s="1">
        <v>1091</v>
      </c>
      <c r="AB291" s="1">
        <v>0</v>
      </c>
      <c r="AC291" s="1">
        <v>0</v>
      </c>
      <c r="AD291">
        <v>0</v>
      </c>
      <c r="AF291" s="8" cm="1">
        <f t="array" aca="1" ref="AF291" ca="1">fScore_Total("ESPN",aCols)</f>
        <v>8.9652174905000006</v>
      </c>
      <c r="AG291" s="8" cm="1">
        <f t="array" aca="1" ref="AG291" ca="1">-fScore_Total("diff",aCols)</f>
        <v>0</v>
      </c>
      <c r="AH291" s="8">
        <f t="shared" ca="1" si="5"/>
        <v>8.9652174905000006</v>
      </c>
      <c r="AI291" s="8"/>
    </row>
    <row r="292" spans="1:35" x14ac:dyDescent="0.25">
      <c r="A292" t="s">
        <v>370</v>
      </c>
      <c r="B292" s="1" t="s">
        <v>601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  <c r="M292" s="1">
        <v>5.6300703140000001</v>
      </c>
      <c r="N292" s="1">
        <v>0</v>
      </c>
      <c r="O292" s="1">
        <v>0.48750061</v>
      </c>
      <c r="P292" s="1">
        <v>0</v>
      </c>
      <c r="Q292" s="1">
        <v>0</v>
      </c>
      <c r="R292" s="1">
        <v>64.536272780000004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1082</v>
      </c>
      <c r="AB292" s="1">
        <v>0</v>
      </c>
      <c r="AC292" s="1">
        <v>0</v>
      </c>
      <c r="AD292">
        <v>0</v>
      </c>
      <c r="AF292" s="8" cm="1">
        <f t="array" aca="1" ref="AF292" ca="1">fScore_Total("ESPN",aCols)</f>
        <v>12.193666095000001</v>
      </c>
      <c r="AG292" s="8" cm="1">
        <f t="array" aca="1" ref="AG292" ca="1">-fScore_Total("diff",aCols)</f>
        <v>0</v>
      </c>
      <c r="AH292" s="8">
        <f t="shared" ca="1" si="5"/>
        <v>12.193666095000001</v>
      </c>
      <c r="AI292" s="8"/>
    </row>
    <row r="293" spans="1:35" x14ac:dyDescent="0.25">
      <c r="A293" t="s">
        <v>378</v>
      </c>
      <c r="B293" s="1" t="s">
        <v>601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  <c r="M293" s="1">
        <v>5.1907414689999998</v>
      </c>
      <c r="N293" s="1">
        <v>0</v>
      </c>
      <c r="O293" s="1">
        <v>0.46006319899999998</v>
      </c>
      <c r="P293" s="1">
        <v>0</v>
      </c>
      <c r="Q293" s="1">
        <v>0</v>
      </c>
      <c r="R293" s="1">
        <v>49.743478400000001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1090</v>
      </c>
      <c r="AB293" s="1">
        <v>0</v>
      </c>
      <c r="AC293" s="1">
        <v>0</v>
      </c>
      <c r="AD293">
        <v>0</v>
      </c>
      <c r="AF293" s="8" cm="1">
        <f t="array" aca="1" ref="AF293" ca="1">fScore_Total("ESPN",aCols)</f>
        <v>10.3300977685</v>
      </c>
      <c r="AG293" s="8" cm="1">
        <f t="array" aca="1" ref="AG293" ca="1">-fScore_Total("diff",aCols)</f>
        <v>0</v>
      </c>
      <c r="AH293" s="8">
        <f t="shared" ca="1" si="5"/>
        <v>10.3300977685</v>
      </c>
      <c r="AI293" s="8"/>
    </row>
    <row r="294" spans="1:35" x14ac:dyDescent="0.25">
      <c r="A294" t="s">
        <v>349</v>
      </c>
      <c r="B294" s="1" t="s">
        <v>603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  <c r="M294" s="1">
        <v>8.0229704930000008</v>
      </c>
      <c r="N294" s="1">
        <v>0</v>
      </c>
      <c r="O294" s="1">
        <v>0.65963959999999999</v>
      </c>
      <c r="P294" s="1">
        <v>0</v>
      </c>
      <c r="Q294" s="1">
        <v>0</v>
      </c>
      <c r="R294" s="1">
        <v>78.060001409999998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1059</v>
      </c>
      <c r="AB294" s="1">
        <v>0</v>
      </c>
      <c r="AC294" s="1">
        <v>0</v>
      </c>
      <c r="AD294">
        <v>0</v>
      </c>
      <c r="AF294" s="8" cm="1">
        <f t="array" aca="1" ref="AF294" ca="1">fScore_Total("ESPN",aCols)</f>
        <v>15.775322987500001</v>
      </c>
      <c r="AG294" s="8" cm="1">
        <f t="array" aca="1" ref="AG294" ca="1">-fScore_Total("diff",aCols)</f>
        <v>0</v>
      </c>
      <c r="AH294" s="8">
        <f t="shared" ca="1" si="5"/>
        <v>15.775322987500001</v>
      </c>
      <c r="AI294" s="8"/>
    </row>
    <row r="295" spans="1:35" x14ac:dyDescent="0.25">
      <c r="A295" t="s">
        <v>559</v>
      </c>
      <c r="B295" s="1" t="s">
        <v>601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  <c r="M295" s="1">
        <v>4.8841587049999999</v>
      </c>
      <c r="N295" s="1">
        <v>0</v>
      </c>
      <c r="O295" s="1">
        <v>0.43522542400000003</v>
      </c>
      <c r="P295" s="1">
        <v>0</v>
      </c>
      <c r="Q295" s="1">
        <v>0</v>
      </c>
      <c r="R295" s="1">
        <v>61.02815081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1088</v>
      </c>
      <c r="AB295" s="1">
        <v>0</v>
      </c>
      <c r="AC295" s="1">
        <v>0</v>
      </c>
      <c r="AD295">
        <v>0</v>
      </c>
      <c r="AF295" s="8" cm="1">
        <f t="array" aca="1" ref="AF295" ca="1">fScore_Total("ESPN",aCols)</f>
        <v>11.1562469775</v>
      </c>
      <c r="AG295" s="8" cm="1">
        <f t="array" aca="1" ref="AG295" ca="1">-fScore_Total("diff",aCols)</f>
        <v>0</v>
      </c>
      <c r="AH295" s="8">
        <f t="shared" ca="1" si="5"/>
        <v>11.1562469775</v>
      </c>
      <c r="AI295" s="8"/>
    </row>
    <row r="296" spans="1:35" x14ac:dyDescent="0.25">
      <c r="A296" t="s">
        <v>376</v>
      </c>
      <c r="B296" s="1" t="s">
        <v>601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  <c r="M296" s="1">
        <v>3.2417358809999999</v>
      </c>
      <c r="N296" s="1">
        <v>0</v>
      </c>
      <c r="O296" s="1">
        <v>0.162901933</v>
      </c>
      <c r="P296" s="1">
        <v>0</v>
      </c>
      <c r="Q296" s="1">
        <v>0</v>
      </c>
      <c r="R296" s="1">
        <v>37.537514590000001</v>
      </c>
      <c r="S296" s="1">
        <v>0</v>
      </c>
      <c r="T296" s="1">
        <v>0</v>
      </c>
      <c r="U296" s="1">
        <v>0</v>
      </c>
      <c r="V296" s="1">
        <v>0.251250796</v>
      </c>
      <c r="W296" s="1">
        <v>0</v>
      </c>
      <c r="X296" s="1">
        <v>0</v>
      </c>
      <c r="Y296" s="1">
        <v>28.153358839999999</v>
      </c>
      <c r="Z296" s="1">
        <v>0</v>
      </c>
      <c r="AA296" s="1">
        <v>1087</v>
      </c>
      <c r="AB296" s="1">
        <v>0</v>
      </c>
      <c r="AC296" s="1">
        <v>0</v>
      </c>
      <c r="AD296">
        <v>0</v>
      </c>
      <c r="AF296" s="8" cm="1">
        <f t="array" aca="1" ref="AF296" ca="1">fScore_Total("ESPN",aCols)</f>
        <v>10.674871657500001</v>
      </c>
      <c r="AG296" s="8" cm="1">
        <f t="array" aca="1" ref="AG296" ca="1">-fScore_Total("diff",aCols)</f>
        <v>0</v>
      </c>
      <c r="AH296" s="8">
        <f t="shared" ca="1" si="5"/>
        <v>10.674871657500001</v>
      </c>
      <c r="AI296" s="8"/>
    </row>
    <row r="297" spans="1:35" x14ac:dyDescent="0.25">
      <c r="A297" t="s">
        <v>375</v>
      </c>
      <c r="B297" s="1" t="s">
        <v>600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2.0729518950000001</v>
      </c>
      <c r="N297" s="1">
        <v>0</v>
      </c>
      <c r="O297" s="1">
        <v>7.6336983999999997E-2</v>
      </c>
      <c r="P297" s="1">
        <v>0</v>
      </c>
      <c r="Q297" s="1">
        <v>0</v>
      </c>
      <c r="R297" s="1">
        <v>14.4142852</v>
      </c>
      <c r="S297" s="1">
        <v>0</v>
      </c>
      <c r="T297" s="1">
        <v>0</v>
      </c>
      <c r="U297" s="1">
        <v>0</v>
      </c>
      <c r="V297" s="1">
        <v>0.28331799000000002</v>
      </c>
      <c r="W297" s="1">
        <v>0</v>
      </c>
      <c r="X297" s="1">
        <v>0</v>
      </c>
      <c r="Y297" s="1">
        <v>44.902948629999997</v>
      </c>
      <c r="Z297" s="1">
        <v>0</v>
      </c>
      <c r="AA297" s="1">
        <v>1086</v>
      </c>
      <c r="AB297" s="1">
        <v>0</v>
      </c>
      <c r="AC297" s="1">
        <v>0</v>
      </c>
      <c r="AD297">
        <v>0</v>
      </c>
      <c r="AF297" s="8" cm="1">
        <f t="array" aca="1" ref="AF297" ca="1">fScore_Total("ESPN",aCols)</f>
        <v>9.1261291745000008</v>
      </c>
      <c r="AG297" s="8" cm="1">
        <f t="array" aca="1" ref="AG297" ca="1">-fScore_Total("diff",aCols)</f>
        <v>0</v>
      </c>
      <c r="AH297" s="8">
        <f t="shared" ca="1" si="5"/>
        <v>9.1261291745000008</v>
      </c>
      <c r="AI297" s="8"/>
    </row>
    <row r="298" spans="1:35" x14ac:dyDescent="0.25">
      <c r="A298" t="s">
        <v>374</v>
      </c>
      <c r="B298" s="1" t="s">
        <v>600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3.6538191250000001</v>
      </c>
      <c r="N298" s="1">
        <v>0</v>
      </c>
      <c r="O298" s="1">
        <v>0.10517561</v>
      </c>
      <c r="P298" s="1">
        <v>0</v>
      </c>
      <c r="Q298" s="1">
        <v>0</v>
      </c>
      <c r="R298" s="1">
        <v>26.471191520000001</v>
      </c>
      <c r="S298" s="1">
        <v>0</v>
      </c>
      <c r="T298" s="1">
        <v>0</v>
      </c>
      <c r="U298" s="1">
        <v>0</v>
      </c>
      <c r="V298" s="1">
        <v>0.32720938399999999</v>
      </c>
      <c r="W298" s="1">
        <v>0</v>
      </c>
      <c r="X298" s="1">
        <v>0</v>
      </c>
      <c r="Y298" s="1">
        <v>52.687452569999998</v>
      </c>
      <c r="Z298" s="1">
        <v>0</v>
      </c>
      <c r="AA298" s="1">
        <v>1085</v>
      </c>
      <c r="AB298" s="1">
        <v>0</v>
      </c>
      <c r="AC298" s="1">
        <v>0</v>
      </c>
      <c r="AD298">
        <v>0</v>
      </c>
      <c r="AF298" s="8" cm="1">
        <f t="array" aca="1" ref="AF298" ca="1">fScore_Total("ESPN",aCols)</f>
        <v>12.337083935500001</v>
      </c>
      <c r="AG298" s="8" cm="1">
        <f t="array" aca="1" ref="AG298" ca="1">-fScore_Total("diff",aCols)</f>
        <v>0</v>
      </c>
      <c r="AH298" s="8">
        <f t="shared" ca="1" si="5"/>
        <v>12.337083935500001</v>
      </c>
      <c r="AI298" s="8"/>
    </row>
    <row r="299" spans="1:35" x14ac:dyDescent="0.25">
      <c r="A299" t="s">
        <v>373</v>
      </c>
      <c r="B299" s="1" t="s">
        <v>600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  <c r="M299" s="1">
        <v>2.5574122020000001</v>
      </c>
      <c r="N299" s="1">
        <v>0</v>
      </c>
      <c r="O299" s="1">
        <v>6.6236191999999999E-2</v>
      </c>
      <c r="P299" s="1">
        <v>0</v>
      </c>
      <c r="Q299" s="1">
        <v>0</v>
      </c>
      <c r="R299" s="1">
        <v>18.030493830000001</v>
      </c>
      <c r="S299" s="1">
        <v>0</v>
      </c>
      <c r="T299" s="1">
        <v>0</v>
      </c>
      <c r="U299" s="1">
        <v>0</v>
      </c>
      <c r="V299" s="1">
        <v>0.44170000100000001</v>
      </c>
      <c r="W299" s="1">
        <v>0</v>
      </c>
      <c r="X299" s="1">
        <v>0</v>
      </c>
      <c r="Y299" s="1">
        <v>51.923069609999999</v>
      </c>
      <c r="Z299" s="1">
        <v>0</v>
      </c>
      <c r="AA299" s="1">
        <v>1084</v>
      </c>
      <c r="AB299" s="1">
        <v>0</v>
      </c>
      <c r="AC299" s="1">
        <v>0</v>
      </c>
      <c r="AD299">
        <v>0</v>
      </c>
      <c r="AF299" s="8" cm="1">
        <f t="array" aca="1" ref="AF299" ca="1">fScore_Total("ESPN",aCols)</f>
        <v>11.321679603</v>
      </c>
      <c r="AG299" s="8" cm="1">
        <f t="array" aca="1" ref="AG299" ca="1">-fScore_Total("diff",aCols)</f>
        <v>0</v>
      </c>
      <c r="AH299" s="8">
        <f t="shared" ca="1" si="5"/>
        <v>11.321679603</v>
      </c>
      <c r="AI299" s="8"/>
    </row>
    <row r="300" spans="1:35" x14ac:dyDescent="0.25">
      <c r="A300" t="s">
        <v>372</v>
      </c>
      <c r="B300" s="1" t="s">
        <v>600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2.1875884330000002</v>
      </c>
      <c r="N300" s="1">
        <v>0</v>
      </c>
      <c r="O300" s="1">
        <v>0.10988400800000001</v>
      </c>
      <c r="P300" s="1">
        <v>0</v>
      </c>
      <c r="Q300" s="1">
        <v>0</v>
      </c>
      <c r="R300" s="1">
        <v>15.78535207</v>
      </c>
      <c r="S300" s="1">
        <v>0</v>
      </c>
      <c r="T300" s="1">
        <v>0</v>
      </c>
      <c r="U300" s="1">
        <v>0</v>
      </c>
      <c r="V300" s="1">
        <v>0.47949181600000002</v>
      </c>
      <c r="W300" s="1">
        <v>0</v>
      </c>
      <c r="X300" s="1">
        <v>0</v>
      </c>
      <c r="Y300" s="1">
        <v>74.894407749999999</v>
      </c>
      <c r="Z300" s="1">
        <v>0</v>
      </c>
      <c r="AA300" s="1">
        <v>1083</v>
      </c>
      <c r="AB300" s="1">
        <v>0</v>
      </c>
      <c r="AC300" s="1">
        <v>0</v>
      </c>
      <c r="AD300">
        <v>0</v>
      </c>
      <c r="AF300" s="8" cm="1">
        <f t="array" aca="1" ref="AF300" ca="1">fScore_Total("ESPN",aCols)</f>
        <v>13.698025142500001</v>
      </c>
      <c r="AG300" s="8" cm="1">
        <f t="array" aca="1" ref="AG300" ca="1">-fScore_Total("diff",aCols)</f>
        <v>0</v>
      </c>
      <c r="AH300" s="8">
        <f t="shared" ca="1" si="5"/>
        <v>13.698025142500001</v>
      </c>
      <c r="AI300" s="8"/>
    </row>
    <row r="301" spans="1:35" x14ac:dyDescent="0.25">
      <c r="A301" t="s">
        <v>494</v>
      </c>
      <c r="B301" s="1" t="s">
        <v>601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  <c r="M301" s="1">
        <v>8.2707741890000008</v>
      </c>
      <c r="N301" s="1">
        <v>0</v>
      </c>
      <c r="O301" s="1">
        <v>0.42119620099999999</v>
      </c>
      <c r="P301" s="1">
        <v>0</v>
      </c>
      <c r="Q301" s="1">
        <v>0</v>
      </c>
      <c r="R301" s="1">
        <v>85.748119160000002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1060</v>
      </c>
      <c r="AB301" s="1">
        <v>0</v>
      </c>
      <c r="AC301" s="1">
        <v>0</v>
      </c>
      <c r="AD301">
        <v>0</v>
      </c>
      <c r="AF301" s="8" cm="1">
        <f t="array" aca="1" ref="AF301" ca="1">fScore_Total("ESPN",aCols)</f>
        <v>15.2373762165</v>
      </c>
      <c r="AG301" s="8" cm="1">
        <f t="array" aca="1" ref="AG301" ca="1">-fScore_Total("diff",aCols)</f>
        <v>0</v>
      </c>
      <c r="AH301" s="8">
        <f t="shared" ca="1" si="5"/>
        <v>15.2373762165</v>
      </c>
      <c r="AI301" s="8"/>
    </row>
    <row r="302" spans="1:35" x14ac:dyDescent="0.25">
      <c r="A302" t="s">
        <v>508</v>
      </c>
      <c r="B302" s="1" t="s">
        <v>603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8.0083967269999992</v>
      </c>
      <c r="N302" s="1">
        <v>0</v>
      </c>
      <c r="O302" s="1">
        <v>0.89117032900000004</v>
      </c>
      <c r="P302" s="1">
        <v>0</v>
      </c>
      <c r="Q302" s="1">
        <v>0</v>
      </c>
      <c r="R302" s="1">
        <v>72.279855839999996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1058</v>
      </c>
      <c r="AB302" s="1">
        <v>0</v>
      </c>
      <c r="AC302" s="1">
        <v>0</v>
      </c>
      <c r="AD302">
        <v>0</v>
      </c>
      <c r="AF302" s="8" cm="1">
        <f t="array" aca="1" ref="AF302" ca="1">fScore_Total("ESPN",aCols)</f>
        <v>16.579205921499998</v>
      </c>
      <c r="AG302" s="8" cm="1">
        <f t="array" aca="1" ref="AG302" ca="1">-fScore_Total("diff",aCols)</f>
        <v>0</v>
      </c>
      <c r="AH302" s="8">
        <f t="shared" ca="1" si="5"/>
        <v>16.579205921499998</v>
      </c>
      <c r="AI302" s="8"/>
    </row>
    <row r="303" spans="1:35" x14ac:dyDescent="0.25">
      <c r="A303" t="s">
        <v>328</v>
      </c>
      <c r="B303" s="1" t="s">
        <v>602</v>
      </c>
      <c r="C303" s="1">
        <v>0</v>
      </c>
      <c r="D303" s="1">
        <v>1.773001805</v>
      </c>
      <c r="E303" s="1">
        <v>0</v>
      </c>
      <c r="F303" s="1">
        <v>0</v>
      </c>
      <c r="G303" s="1">
        <v>2.588018017</v>
      </c>
      <c r="H303" s="1">
        <v>0</v>
      </c>
      <c r="I303" s="1">
        <v>0</v>
      </c>
      <c r="J303" s="1">
        <v>481.7822195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0.16919563600000001</v>
      </c>
      <c r="W303" s="1">
        <v>0</v>
      </c>
      <c r="X303" s="1">
        <v>0</v>
      </c>
      <c r="Y303" s="1">
        <v>19.7842068</v>
      </c>
      <c r="Z303" s="1">
        <v>0</v>
      </c>
      <c r="AA303" s="1">
        <v>1033</v>
      </c>
      <c r="AB303" s="1">
        <v>0</v>
      </c>
      <c r="AC303" s="1">
        <v>0</v>
      </c>
      <c r="AD303">
        <v>0</v>
      </c>
      <c r="AF303" s="8" cm="1">
        <f t="array" aca="1" ref="AF303" ca="1">fScore_Total("ESPN",aCols)</f>
        <v>29.070951733999998</v>
      </c>
      <c r="AG303" s="8" cm="1">
        <f t="array" aca="1" ref="AG303" ca="1">-fScore_Total("diff",aCols)</f>
        <v>0</v>
      </c>
      <c r="AH303" s="8">
        <f t="shared" ca="1" si="5"/>
        <v>29.070951733999998</v>
      </c>
      <c r="AI303" s="8"/>
    </row>
    <row r="304" spans="1:35" x14ac:dyDescent="0.25">
      <c r="A304" t="s">
        <v>327</v>
      </c>
      <c r="B304" s="1" t="s">
        <v>603</v>
      </c>
      <c r="C304" s="1">
        <v>0</v>
      </c>
      <c r="D304" s="1">
        <v>0</v>
      </c>
      <c r="E304" s="1">
        <v>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11.803664489999999</v>
      </c>
      <c r="N304" s="1">
        <v>0</v>
      </c>
      <c r="O304" s="1">
        <v>0.87990261999999997</v>
      </c>
      <c r="P304" s="1">
        <v>0</v>
      </c>
      <c r="Q304" s="1">
        <v>0</v>
      </c>
      <c r="R304" s="1">
        <v>118.209154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1032</v>
      </c>
      <c r="AB304" s="1">
        <v>0</v>
      </c>
      <c r="AC304" s="1">
        <v>0</v>
      </c>
      <c r="AD304">
        <v>0</v>
      </c>
      <c r="AF304" s="8" cm="1">
        <f t="array" aca="1" ref="AF304" ca="1">fScore_Total("ESPN",aCols)</f>
        <v>23.002163365000001</v>
      </c>
      <c r="AG304" s="8" cm="1">
        <f t="array" aca="1" ref="AG304" ca="1">-fScore_Total("diff",aCols)</f>
        <v>0</v>
      </c>
      <c r="AH304" s="8">
        <f t="shared" ca="1" si="5"/>
        <v>23.002163365000001</v>
      </c>
      <c r="AI304" s="8"/>
    </row>
    <row r="305" spans="1:35" x14ac:dyDescent="0.25">
      <c r="A305" t="s">
        <v>326</v>
      </c>
      <c r="B305" s="1" t="s">
        <v>601</v>
      </c>
      <c r="C305" s="1">
        <v>0</v>
      </c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12.41133426</v>
      </c>
      <c r="N305" s="1">
        <v>0</v>
      </c>
      <c r="O305" s="1">
        <v>0.46337906000000001</v>
      </c>
      <c r="P305" s="1">
        <v>0</v>
      </c>
      <c r="Q305" s="1">
        <v>0</v>
      </c>
      <c r="R305" s="1">
        <v>100.35530850000001</v>
      </c>
      <c r="S305" s="1">
        <v>0</v>
      </c>
      <c r="T305" s="1">
        <v>0</v>
      </c>
      <c r="U305" s="1">
        <v>0</v>
      </c>
      <c r="V305" s="1">
        <v>0.16592866000000001</v>
      </c>
      <c r="W305" s="1">
        <v>0</v>
      </c>
      <c r="X305" s="1">
        <v>0</v>
      </c>
      <c r="Y305" s="1">
        <v>20.285988759999999</v>
      </c>
      <c r="Z305" s="1">
        <v>0</v>
      </c>
      <c r="AA305" s="1">
        <v>1031</v>
      </c>
      <c r="AB305" s="1">
        <v>0</v>
      </c>
      <c r="AC305" s="1">
        <v>0</v>
      </c>
      <c r="AD305">
        <v>0</v>
      </c>
      <c r="AF305" s="8" cm="1">
        <f t="array" aca="1" ref="AF305" ca="1">fScore_Total("ESPN",aCols)</f>
        <v>22.045643176000002</v>
      </c>
      <c r="AG305" s="8" cm="1">
        <f t="array" aca="1" ref="AG305" ca="1">-fScore_Total("diff",aCols)</f>
        <v>0</v>
      </c>
      <c r="AH305" s="8">
        <f t="shared" ca="1" si="5"/>
        <v>22.045643176000002</v>
      </c>
      <c r="AI305" s="8"/>
    </row>
    <row r="306" spans="1:35" x14ac:dyDescent="0.25">
      <c r="A306" t="s">
        <v>325</v>
      </c>
      <c r="B306" s="1" t="s">
        <v>603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13.70052218</v>
      </c>
      <c r="N306" s="1">
        <v>0</v>
      </c>
      <c r="O306" s="1">
        <v>0.73543014299999998</v>
      </c>
      <c r="P306" s="1">
        <v>0</v>
      </c>
      <c r="Q306" s="1">
        <v>0</v>
      </c>
      <c r="R306" s="1">
        <v>116.45002460000001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1029</v>
      </c>
      <c r="AB306" s="1">
        <v>0</v>
      </c>
      <c r="AC306" s="1">
        <v>0</v>
      </c>
      <c r="AD306">
        <v>0</v>
      </c>
      <c r="AF306" s="8" cm="1">
        <f t="array" aca="1" ref="AF306" ca="1">fScore_Total("ESPN",aCols)</f>
        <v>22.907844408000003</v>
      </c>
      <c r="AG306" s="8" cm="1">
        <f t="array" aca="1" ref="AG306" ca="1">-fScore_Total("diff",aCols)</f>
        <v>0</v>
      </c>
      <c r="AH306" s="8">
        <f t="shared" ca="1" si="5"/>
        <v>22.907844408000003</v>
      </c>
      <c r="AI306" s="8"/>
    </row>
    <row r="307" spans="1:35" x14ac:dyDescent="0.25">
      <c r="A307" t="s">
        <v>322</v>
      </c>
      <c r="B307" s="1" t="s">
        <v>601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  <c r="M307" s="1">
        <v>11.195339300000001</v>
      </c>
      <c r="N307" s="1">
        <v>0</v>
      </c>
      <c r="O307" s="1">
        <v>0.97760638099999997</v>
      </c>
      <c r="P307" s="1">
        <v>0</v>
      </c>
      <c r="Q307" s="1">
        <v>0</v>
      </c>
      <c r="R307" s="1">
        <v>128.91916950000001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1027</v>
      </c>
      <c r="AB307" s="1">
        <v>0</v>
      </c>
      <c r="AC307" s="1">
        <v>0</v>
      </c>
      <c r="AD307">
        <v>0</v>
      </c>
      <c r="AF307" s="8" cm="1">
        <f t="array" aca="1" ref="AF307" ca="1">fScore_Total("ESPN",aCols)</f>
        <v>24.355224886000002</v>
      </c>
      <c r="AG307" s="8" cm="1">
        <f t="array" aca="1" ref="AG307" ca="1">-fScore_Total("diff",aCols)</f>
        <v>0</v>
      </c>
      <c r="AH307" s="8">
        <f t="shared" ca="1" si="5"/>
        <v>24.355224886000002</v>
      </c>
      <c r="AI307" s="8"/>
    </row>
    <row r="308" spans="1:35" x14ac:dyDescent="0.25">
      <c r="A308" t="s">
        <v>321</v>
      </c>
      <c r="B308" s="1" t="s">
        <v>603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11.73304781</v>
      </c>
      <c r="N308" s="1">
        <v>0</v>
      </c>
      <c r="O308" s="1">
        <v>0.897093645</v>
      </c>
      <c r="P308" s="1">
        <v>0</v>
      </c>
      <c r="Q308" s="1">
        <v>0</v>
      </c>
      <c r="R308" s="1">
        <v>129.13010159999999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1026</v>
      </c>
      <c r="AB308" s="1">
        <v>0</v>
      </c>
      <c r="AC308" s="1">
        <v>0</v>
      </c>
      <c r="AD308">
        <v>0</v>
      </c>
      <c r="AF308" s="8" cm="1">
        <f t="array" aca="1" ref="AF308" ca="1">fScore_Total("ESPN",aCols)</f>
        <v>24.162095935</v>
      </c>
      <c r="AG308" s="8" cm="1">
        <f t="array" aca="1" ref="AG308" ca="1">-fScore_Total("diff",aCols)</f>
        <v>0</v>
      </c>
      <c r="AH308" s="8">
        <f t="shared" ca="1" si="5"/>
        <v>24.162095935</v>
      </c>
      <c r="AI308" s="8"/>
    </row>
    <row r="309" spans="1:35" x14ac:dyDescent="0.25">
      <c r="A309" t="s">
        <v>320</v>
      </c>
      <c r="B309" s="1" t="s">
        <v>602</v>
      </c>
      <c r="C309" s="1">
        <v>0</v>
      </c>
      <c r="D309" s="1">
        <v>1.707328368</v>
      </c>
      <c r="E309" s="1">
        <v>0</v>
      </c>
      <c r="F309" s="1">
        <v>0</v>
      </c>
      <c r="G309" s="1">
        <v>2.8402394809999998</v>
      </c>
      <c r="H309" s="1">
        <v>0</v>
      </c>
      <c r="I309" s="1">
        <v>0</v>
      </c>
      <c r="J309" s="1">
        <v>459.24446269999999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0.32900979200000002</v>
      </c>
      <c r="W309" s="1">
        <v>0</v>
      </c>
      <c r="X309" s="1">
        <v>0</v>
      </c>
      <c r="Y309" s="1">
        <v>25.480752079999998</v>
      </c>
      <c r="Z309" s="1">
        <v>0</v>
      </c>
      <c r="AA309" s="1">
        <v>1025</v>
      </c>
      <c r="AB309" s="1">
        <v>0</v>
      </c>
      <c r="AC309" s="1">
        <v>0</v>
      </c>
      <c r="AD309">
        <v>0</v>
      </c>
      <c r="AF309" s="8" cm="1">
        <f t="array" aca="1" ref="AF309" ca="1">fScore_Total("ESPN",aCols)</f>
        <v>30.838213656000001</v>
      </c>
      <c r="AG309" s="8" cm="1">
        <f t="array" aca="1" ref="AG309" ca="1">-fScore_Total("diff",aCols)</f>
        <v>0</v>
      </c>
      <c r="AH309" s="8">
        <f t="shared" ca="1" si="5"/>
        <v>30.838213656000001</v>
      </c>
      <c r="AI309" s="8"/>
    </row>
    <row r="310" spans="1:35" x14ac:dyDescent="0.25">
      <c r="A310" t="s">
        <v>319</v>
      </c>
      <c r="B310" s="1" t="s">
        <v>602</v>
      </c>
      <c r="C310" s="1">
        <v>0</v>
      </c>
      <c r="D310" s="1">
        <v>1.5999853310000001</v>
      </c>
      <c r="E310" s="1">
        <v>0</v>
      </c>
      <c r="F310" s="1">
        <v>0</v>
      </c>
      <c r="G310" s="1">
        <v>3.090928291</v>
      </c>
      <c r="H310" s="1">
        <v>0</v>
      </c>
      <c r="I310" s="1">
        <v>0</v>
      </c>
      <c r="J310" s="1">
        <v>428.71200199999998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0.231160639</v>
      </c>
      <c r="W310" s="1">
        <v>0</v>
      </c>
      <c r="X310" s="1">
        <v>0</v>
      </c>
      <c r="Y310" s="1">
        <v>38.16610463</v>
      </c>
      <c r="Z310" s="1">
        <v>0</v>
      </c>
      <c r="AA310" s="1">
        <v>1024</v>
      </c>
      <c r="AB310" s="1">
        <v>0</v>
      </c>
      <c r="AC310" s="1">
        <v>0</v>
      </c>
      <c r="AD310">
        <v>0</v>
      </c>
      <c r="AF310" s="8" cm="1">
        <f t="array" aca="1" ref="AF310" ca="1">fScore_Total("ESPN",aCols)</f>
        <v>31.515796878999996</v>
      </c>
      <c r="AG310" s="8" cm="1">
        <f t="array" aca="1" ref="AG310" ca="1">-fScore_Total("diff",aCols)</f>
        <v>0</v>
      </c>
      <c r="AH310" s="8">
        <f t="shared" ca="1" si="5"/>
        <v>31.515796878999996</v>
      </c>
      <c r="AI310" s="8"/>
    </row>
    <row r="311" spans="1:35" x14ac:dyDescent="0.25">
      <c r="A311" t="s">
        <v>318</v>
      </c>
      <c r="B311" s="1" t="s">
        <v>602</v>
      </c>
      <c r="C311" s="1">
        <v>0</v>
      </c>
      <c r="D311" s="1">
        <v>1.580251836</v>
      </c>
      <c r="E311" s="1">
        <v>0</v>
      </c>
      <c r="F311" s="1">
        <v>0</v>
      </c>
      <c r="G311" s="1">
        <v>2.2715016270000001</v>
      </c>
      <c r="H311" s="1">
        <v>0</v>
      </c>
      <c r="I311" s="1">
        <v>0</v>
      </c>
      <c r="J311" s="1">
        <v>495.72770059999999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0.53052661999999995</v>
      </c>
      <c r="W311" s="1">
        <v>0</v>
      </c>
      <c r="X311" s="1">
        <v>0</v>
      </c>
      <c r="Y311" s="1">
        <v>28.56521167</v>
      </c>
      <c r="Z311" s="1">
        <v>0</v>
      </c>
      <c r="AA311" s="1">
        <v>1023</v>
      </c>
      <c r="AB311" s="1">
        <v>0</v>
      </c>
      <c r="AC311" s="1">
        <v>0</v>
      </c>
      <c r="AD311">
        <v>0</v>
      </c>
      <c r="AF311" s="8" cm="1">
        <f t="array" aca="1" ref="AF311" ca="1">fScore_Total("ESPN",aCols)</f>
        <v>31.794291746999999</v>
      </c>
      <c r="AG311" s="8" cm="1">
        <f t="array" aca="1" ref="AG311" ca="1">-fScore_Total("diff",aCols)</f>
        <v>0</v>
      </c>
      <c r="AH311" s="8">
        <f t="shared" ca="1" si="5"/>
        <v>31.794291746999999</v>
      </c>
      <c r="AI311" s="8"/>
    </row>
    <row r="312" spans="1:35" x14ac:dyDescent="0.25">
      <c r="A312" t="s">
        <v>316</v>
      </c>
      <c r="B312" s="1" t="s">
        <v>603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13.16576517</v>
      </c>
      <c r="N312" s="1">
        <v>0</v>
      </c>
      <c r="O312" s="1">
        <v>0.82232525700000003</v>
      </c>
      <c r="P312" s="1">
        <v>0</v>
      </c>
      <c r="Q312" s="1">
        <v>0</v>
      </c>
      <c r="R312" s="1">
        <v>132.54689110000001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Y312" s="1">
        <v>0</v>
      </c>
      <c r="Z312" s="1">
        <v>0</v>
      </c>
      <c r="AA312" s="1">
        <v>1021</v>
      </c>
      <c r="AB312" s="1">
        <v>0</v>
      </c>
      <c r="AC312" s="1">
        <v>0</v>
      </c>
      <c r="AD312">
        <v>0</v>
      </c>
      <c r="AF312" s="8" cm="1">
        <f t="array" aca="1" ref="AF312" ca="1">fScore_Total("ESPN",aCols)</f>
        <v>24.771523237</v>
      </c>
      <c r="AG312" s="8" cm="1">
        <f t="array" aca="1" ref="AG312" ca="1">-fScore_Total("diff",aCols)</f>
        <v>0</v>
      </c>
      <c r="AH312" s="8">
        <f t="shared" ca="1" si="5"/>
        <v>24.771523237</v>
      </c>
      <c r="AI312" s="8"/>
    </row>
    <row r="313" spans="1:35" x14ac:dyDescent="0.25">
      <c r="A313" t="s">
        <v>315</v>
      </c>
      <c r="B313" s="1" t="s">
        <v>603</v>
      </c>
      <c r="C313" s="1">
        <v>0</v>
      </c>
      <c r="D313" s="1">
        <v>0</v>
      </c>
      <c r="E313" s="1">
        <v>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12.172186910000001</v>
      </c>
      <c r="N313" s="1">
        <v>0</v>
      </c>
      <c r="O313" s="1">
        <v>1.1402392180000001</v>
      </c>
      <c r="P313" s="1">
        <v>0</v>
      </c>
      <c r="Q313" s="1">
        <v>0</v>
      </c>
      <c r="R313" s="1">
        <v>125.58293380000001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1020</v>
      </c>
      <c r="AB313" s="1">
        <v>0</v>
      </c>
      <c r="AC313" s="1">
        <v>0</v>
      </c>
      <c r="AD313">
        <v>0</v>
      </c>
      <c r="AF313" s="8" cm="1">
        <f t="array" aca="1" ref="AF313" ca="1">fScore_Total("ESPN",aCols)</f>
        <v>25.485822143000004</v>
      </c>
      <c r="AG313" s="8" cm="1">
        <f t="array" aca="1" ref="AG313" ca="1">-fScore_Total("diff",aCols)</f>
        <v>0</v>
      </c>
      <c r="AH313" s="8">
        <f t="shared" ca="1" si="5"/>
        <v>25.485822143000004</v>
      </c>
      <c r="AI313" s="8"/>
    </row>
    <row r="314" spans="1:35" x14ac:dyDescent="0.25">
      <c r="A314" t="s">
        <v>314</v>
      </c>
      <c r="B314" s="1" t="s">
        <v>602</v>
      </c>
      <c r="C314" s="1">
        <v>0</v>
      </c>
      <c r="D314" s="1">
        <v>1.79680274</v>
      </c>
      <c r="E314" s="1">
        <v>0</v>
      </c>
      <c r="F314" s="1">
        <v>0</v>
      </c>
      <c r="G314" s="1">
        <v>3.1868040209999999</v>
      </c>
      <c r="H314" s="1">
        <v>0</v>
      </c>
      <c r="I314" s="1">
        <v>0</v>
      </c>
      <c r="J314" s="1">
        <v>473.84050189999999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0.23527754200000001</v>
      </c>
      <c r="W314" s="1">
        <v>0</v>
      </c>
      <c r="X314" s="1">
        <v>0</v>
      </c>
      <c r="Y314" s="1">
        <v>27.585265369999998</v>
      </c>
      <c r="Z314" s="1">
        <v>0</v>
      </c>
      <c r="AA314" s="1">
        <v>1019</v>
      </c>
      <c r="AB314" s="1">
        <v>0</v>
      </c>
      <c r="AC314" s="1">
        <v>0</v>
      </c>
      <c r="AD314">
        <v>0</v>
      </c>
      <c r="AF314" s="8" cm="1">
        <f t="array" aca="1" ref="AF314" ca="1">fScore_Total("ESPN",aCols)</f>
        <v>32.277422469000001</v>
      </c>
      <c r="AG314" s="8" cm="1">
        <f t="array" aca="1" ref="AG314" ca="1">-fScore_Total("diff",aCols)</f>
        <v>0</v>
      </c>
      <c r="AH314" s="8">
        <f t="shared" ca="1" si="5"/>
        <v>32.277422469000001</v>
      </c>
      <c r="AI314" s="8"/>
    </row>
    <row r="315" spans="1:35" x14ac:dyDescent="0.25">
      <c r="A315" t="s">
        <v>313</v>
      </c>
      <c r="B315" s="1" t="s">
        <v>602</v>
      </c>
      <c r="C315" s="1">
        <v>0</v>
      </c>
      <c r="D315" s="1">
        <v>1.84388039</v>
      </c>
      <c r="E315" s="1">
        <v>0</v>
      </c>
      <c r="F315" s="1">
        <v>0</v>
      </c>
      <c r="G315" s="1">
        <v>3.5503399560000002</v>
      </c>
      <c r="H315" s="1">
        <v>0</v>
      </c>
      <c r="I315" s="1">
        <v>0</v>
      </c>
      <c r="J315" s="1">
        <v>473.3003602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0.187378604</v>
      </c>
      <c r="W315" s="1">
        <v>0</v>
      </c>
      <c r="X315" s="1">
        <v>0</v>
      </c>
      <c r="Y315" s="1">
        <v>18.965016219999999</v>
      </c>
      <c r="Z315" s="1">
        <v>0</v>
      </c>
      <c r="AA315" s="1">
        <v>1018</v>
      </c>
      <c r="AB315" s="1">
        <v>0</v>
      </c>
      <c r="AC315" s="1">
        <v>0</v>
      </c>
      <c r="AD315">
        <v>0</v>
      </c>
      <c r="AF315" s="8" cm="1">
        <f t="array" aca="1" ref="AF315" ca="1">fScore_Total("ESPN",aCols)</f>
        <v>32.466386698000001</v>
      </c>
      <c r="AG315" s="8" cm="1">
        <f t="array" aca="1" ref="AG315" ca="1">-fScore_Total("diff",aCols)</f>
        <v>0</v>
      </c>
      <c r="AH315" s="8">
        <f t="shared" ca="1" si="5"/>
        <v>32.466386698000001</v>
      </c>
      <c r="AI315" s="8"/>
    </row>
    <row r="316" spans="1:35" x14ac:dyDescent="0.25">
      <c r="A316" t="s">
        <v>312</v>
      </c>
      <c r="B316" s="1" t="s">
        <v>601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  <c r="M316" s="1">
        <v>7.1637508859999999</v>
      </c>
      <c r="N316" s="1">
        <v>0</v>
      </c>
      <c r="O316" s="1">
        <v>0.51387886599999999</v>
      </c>
      <c r="P316" s="1">
        <v>0</v>
      </c>
      <c r="Q316" s="1">
        <v>0</v>
      </c>
      <c r="R316" s="1">
        <v>72.964479139999995</v>
      </c>
      <c r="S316" s="1">
        <v>0</v>
      </c>
      <c r="T316" s="1">
        <v>0</v>
      </c>
      <c r="U316" s="1">
        <v>0</v>
      </c>
      <c r="V316" s="1">
        <v>0.33877000299999999</v>
      </c>
      <c r="W316" s="1">
        <v>0</v>
      </c>
      <c r="X316" s="1">
        <v>0</v>
      </c>
      <c r="Y316" s="1">
        <v>85.732524280000007</v>
      </c>
      <c r="Z316" s="1">
        <v>0</v>
      </c>
      <c r="AA316" s="1">
        <v>1017</v>
      </c>
      <c r="AB316" s="1">
        <v>0</v>
      </c>
      <c r="AC316" s="1">
        <v>0</v>
      </c>
      <c r="AD316">
        <v>0</v>
      </c>
      <c r="AF316" s="8" cm="1">
        <f t="array" aca="1" ref="AF316" ca="1">fScore_Total("ESPN",aCols)</f>
        <v>24.567468998999999</v>
      </c>
      <c r="AG316" s="8" cm="1">
        <f t="array" aca="1" ref="AG316" ca="1">-fScore_Total("diff",aCols)</f>
        <v>0</v>
      </c>
      <c r="AH316" s="8">
        <f t="shared" ca="1" si="5"/>
        <v>24.567468998999999</v>
      </c>
      <c r="AI316" s="8"/>
    </row>
    <row r="317" spans="1:35" x14ac:dyDescent="0.25">
      <c r="A317" t="s">
        <v>310</v>
      </c>
      <c r="B317" s="1" t="s">
        <v>602</v>
      </c>
      <c r="C317" s="1">
        <v>0</v>
      </c>
      <c r="D317" s="1">
        <v>1.731386391</v>
      </c>
      <c r="E317" s="1">
        <v>0</v>
      </c>
      <c r="F317" s="1">
        <v>0</v>
      </c>
      <c r="G317" s="1">
        <v>2.7038335080000002</v>
      </c>
      <c r="H317" s="1">
        <v>0</v>
      </c>
      <c r="I317" s="1">
        <v>0</v>
      </c>
      <c r="J317" s="1">
        <v>440.55502109999998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0.53001495499999995</v>
      </c>
      <c r="W317" s="1">
        <v>0</v>
      </c>
      <c r="X317" s="1">
        <v>0</v>
      </c>
      <c r="Y317" s="1">
        <v>48.033130219999997</v>
      </c>
      <c r="Z317" s="1">
        <v>0</v>
      </c>
      <c r="AA317" s="1">
        <v>1016</v>
      </c>
      <c r="AB317" s="1">
        <v>0</v>
      </c>
      <c r="AC317" s="1">
        <v>0</v>
      </c>
      <c r="AD317">
        <v>0</v>
      </c>
      <c r="AF317" s="8" cm="1">
        <f t="array" aca="1" ref="AF317" ca="1">fScore_Total("ESPN",aCols)</f>
        <v>32.958164845999995</v>
      </c>
      <c r="AG317" s="8" cm="1">
        <f t="array" aca="1" ref="AG317" ca="1">-fScore_Total("diff",aCols)</f>
        <v>0</v>
      </c>
      <c r="AH317" s="8">
        <f t="shared" ca="1" si="5"/>
        <v>32.958164845999995</v>
      </c>
      <c r="AI317" s="8"/>
    </row>
    <row r="318" spans="1:35" x14ac:dyDescent="0.25">
      <c r="A318" t="s">
        <v>389</v>
      </c>
      <c r="B318" s="1" t="s">
        <v>600</v>
      </c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4.4593735150000002</v>
      </c>
      <c r="N318" s="1">
        <v>0</v>
      </c>
      <c r="O318" s="1">
        <v>0.14398200999999999</v>
      </c>
      <c r="P318" s="1">
        <v>0</v>
      </c>
      <c r="Q318" s="1">
        <v>0</v>
      </c>
      <c r="R318" s="1">
        <v>31.846175859999999</v>
      </c>
      <c r="S318" s="1">
        <v>0</v>
      </c>
      <c r="T318" s="1">
        <v>0</v>
      </c>
      <c r="U318" s="1">
        <v>0</v>
      </c>
      <c r="V318" s="1">
        <v>0.102360433</v>
      </c>
      <c r="W318" s="1">
        <v>0</v>
      </c>
      <c r="X318" s="1">
        <v>0</v>
      </c>
      <c r="Y318" s="1">
        <v>18.339923859999999</v>
      </c>
      <c r="Z318" s="1">
        <v>0</v>
      </c>
      <c r="AA318" s="1">
        <v>1102</v>
      </c>
      <c r="AB318" s="1">
        <v>0</v>
      </c>
      <c r="AC318" s="1">
        <v>0</v>
      </c>
      <c r="AD318">
        <v>0</v>
      </c>
      <c r="AF318" s="8" cm="1">
        <f t="array" aca="1" ref="AF318" ca="1">fScore_Total("ESPN",aCols)</f>
        <v>8.7263513874999994</v>
      </c>
      <c r="AG318" s="8" cm="1">
        <f t="array" aca="1" ref="AG318" ca="1">-fScore_Total("diff",aCols)</f>
        <v>0</v>
      </c>
      <c r="AH318" s="8">
        <f t="shared" ca="1" si="5"/>
        <v>8.7263513874999994</v>
      </c>
      <c r="AI318" s="8"/>
    </row>
    <row r="319" spans="1:35" x14ac:dyDescent="0.25">
      <c r="A319" t="s">
        <v>329</v>
      </c>
      <c r="B319" s="1" t="s">
        <v>603</v>
      </c>
      <c r="C319" s="1">
        <v>0</v>
      </c>
      <c r="D319" s="1">
        <v>0</v>
      </c>
      <c r="E319" s="1">
        <v>0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13.257045529999999</v>
      </c>
      <c r="N319" s="1">
        <v>0</v>
      </c>
      <c r="O319" s="1">
        <v>0.60496403700000001</v>
      </c>
      <c r="P319" s="1">
        <v>0</v>
      </c>
      <c r="Q319" s="1">
        <v>0</v>
      </c>
      <c r="R319" s="1">
        <v>117.9382712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1034</v>
      </c>
      <c r="AB319" s="1">
        <v>0</v>
      </c>
      <c r="AC319" s="1">
        <v>0</v>
      </c>
      <c r="AD319">
        <v>0</v>
      </c>
      <c r="AF319" s="8" cm="1">
        <f t="array" aca="1" ref="AF319" ca="1">fScore_Total("ESPN",aCols)</f>
        <v>22.052134107000001</v>
      </c>
      <c r="AG319" s="8" cm="1">
        <f t="array" aca="1" ref="AG319" ca="1">-fScore_Total("diff",aCols)</f>
        <v>0</v>
      </c>
      <c r="AH319" s="8">
        <f t="shared" ca="1" si="5"/>
        <v>22.052134107000001</v>
      </c>
      <c r="AI319" s="8"/>
    </row>
    <row r="320" spans="1:35" x14ac:dyDescent="0.25">
      <c r="A320" t="s">
        <v>296</v>
      </c>
      <c r="B320" s="1" t="s">
        <v>603</v>
      </c>
      <c r="C320" s="1">
        <v>0</v>
      </c>
      <c r="D320" s="1">
        <v>0</v>
      </c>
      <c r="E320" s="1">
        <v>0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10.268034419999999</v>
      </c>
      <c r="N320" s="1">
        <v>0</v>
      </c>
      <c r="O320" s="1">
        <v>0.97915195899999996</v>
      </c>
      <c r="P320" s="1">
        <v>0</v>
      </c>
      <c r="Q320" s="1">
        <v>0</v>
      </c>
      <c r="R320" s="1">
        <v>122.389894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1035</v>
      </c>
      <c r="AB320" s="1">
        <v>0</v>
      </c>
      <c r="AC320" s="1">
        <v>0</v>
      </c>
      <c r="AD320">
        <v>0</v>
      </c>
      <c r="AF320" s="8" cm="1">
        <f t="array" aca="1" ref="AF320" ca="1">fScore_Total("ESPN",aCols)</f>
        <v>23.247918364</v>
      </c>
      <c r="AG320" s="8" cm="1">
        <f t="array" aca="1" ref="AG320" ca="1">-fScore_Total("diff",aCols)</f>
        <v>0</v>
      </c>
      <c r="AH320" s="8">
        <f t="shared" ca="1" si="5"/>
        <v>23.247918364</v>
      </c>
      <c r="AI320" s="8"/>
    </row>
    <row r="321" spans="1:35" x14ac:dyDescent="0.25">
      <c r="A321" t="s">
        <v>330</v>
      </c>
      <c r="B321" s="1" t="s">
        <v>601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10.651487210000001</v>
      </c>
      <c r="N321" s="1">
        <v>0</v>
      </c>
      <c r="O321" s="1">
        <v>0.76494466999999999</v>
      </c>
      <c r="P321" s="1">
        <v>0</v>
      </c>
      <c r="Q321" s="1">
        <v>0</v>
      </c>
      <c r="R321" s="1">
        <v>131.14875960000001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1036</v>
      </c>
      <c r="AB321" s="1">
        <v>0</v>
      </c>
      <c r="AC321" s="1">
        <v>0</v>
      </c>
      <c r="AD321">
        <v>0</v>
      </c>
      <c r="AF321" s="8" cm="1">
        <f t="array" aca="1" ref="AF321" ca="1">fScore_Total("ESPN",aCols)</f>
        <v>23.030287585000004</v>
      </c>
      <c r="AG321" s="8" cm="1">
        <f t="array" aca="1" ref="AG321" ca="1">-fScore_Total("diff",aCols)</f>
        <v>0</v>
      </c>
      <c r="AH321" s="8">
        <f t="shared" ca="1" si="5"/>
        <v>23.030287585000004</v>
      </c>
      <c r="AI321" s="8"/>
    </row>
    <row r="322" spans="1:35" x14ac:dyDescent="0.25">
      <c r="A322" t="s">
        <v>341</v>
      </c>
      <c r="B322" s="1" t="s">
        <v>601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9.9885183990000002</v>
      </c>
      <c r="N322" s="1">
        <v>0</v>
      </c>
      <c r="O322" s="1">
        <v>0.52100983199999995</v>
      </c>
      <c r="P322" s="1">
        <v>0</v>
      </c>
      <c r="Q322" s="1">
        <v>0</v>
      </c>
      <c r="R322" s="1">
        <v>114.0935915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1047</v>
      </c>
      <c r="AB322" s="1">
        <v>0</v>
      </c>
      <c r="AC322" s="1">
        <v>0</v>
      </c>
      <c r="AD322">
        <v>0</v>
      </c>
      <c r="AF322" s="8" cm="1">
        <f t="array" aca="1" ref="AF322" ca="1">fScore_Total("ESPN",aCols)</f>
        <v>19.529677341500001</v>
      </c>
      <c r="AG322" s="8" cm="1">
        <f t="array" aca="1" ref="AG322" ca="1">-fScore_Total("diff",aCols)</f>
        <v>0</v>
      </c>
      <c r="AH322" s="8">
        <f t="shared" ca="1" si="5"/>
        <v>19.529677341500001</v>
      </c>
      <c r="AI322" s="8"/>
    </row>
    <row r="323" spans="1:35" x14ac:dyDescent="0.25">
      <c r="A323" t="s">
        <v>348</v>
      </c>
      <c r="B323" s="1" t="s">
        <v>603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8.2636796080000003</v>
      </c>
      <c r="N323" s="1">
        <v>0</v>
      </c>
      <c r="O323" s="1">
        <v>0.77153640599999995</v>
      </c>
      <c r="P323" s="1">
        <v>0</v>
      </c>
      <c r="Q323" s="1">
        <v>0</v>
      </c>
      <c r="R323" s="1">
        <v>84.674003459999994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1055</v>
      </c>
      <c r="AB323" s="1">
        <v>0</v>
      </c>
      <c r="AC323" s="1">
        <v>0</v>
      </c>
      <c r="AD323">
        <v>0</v>
      </c>
      <c r="AF323" s="8" cm="1">
        <f t="array" aca="1" ref="AF323" ca="1">fScore_Total("ESPN",aCols)</f>
        <v>17.228458586000002</v>
      </c>
      <c r="AG323" s="8" cm="1">
        <f t="array" aca="1" ref="AG323" ca="1">-fScore_Total("diff",aCols)</f>
        <v>0</v>
      </c>
      <c r="AH323" s="8">
        <f t="shared" ca="1" si="5"/>
        <v>17.228458586000002</v>
      </c>
      <c r="AI323" s="8"/>
    </row>
    <row r="324" spans="1:35" x14ac:dyDescent="0.25">
      <c r="A324" t="s">
        <v>346</v>
      </c>
      <c r="B324" s="1" t="s">
        <v>601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8.2658241920000002</v>
      </c>
      <c r="N324" s="1">
        <v>0</v>
      </c>
      <c r="O324" s="1">
        <v>0.54257279599999997</v>
      </c>
      <c r="P324" s="1">
        <v>0</v>
      </c>
      <c r="Q324" s="1">
        <v>0</v>
      </c>
      <c r="R324" s="1">
        <v>104.9866818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1054</v>
      </c>
      <c r="AB324" s="1">
        <v>0</v>
      </c>
      <c r="AC324" s="1">
        <v>0</v>
      </c>
      <c r="AD324">
        <v>0</v>
      </c>
      <c r="AF324" s="8" cm="1">
        <f t="array" aca="1" ref="AF324" ca="1">fScore_Total("ESPN",aCols)</f>
        <v>17.887017052000001</v>
      </c>
      <c r="AG324" s="8" cm="1">
        <f t="array" aca="1" ref="AG324" ca="1">-fScore_Total("diff",aCols)</f>
        <v>0</v>
      </c>
      <c r="AH324" s="8">
        <f t="shared" ca="1" si="5"/>
        <v>17.887017052000001</v>
      </c>
      <c r="AI324" s="8"/>
    </row>
    <row r="325" spans="1:35" x14ac:dyDescent="0.25">
      <c r="A325" t="s">
        <v>345</v>
      </c>
      <c r="B325" s="1" t="s">
        <v>601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  <c r="M325" s="1">
        <v>8.2777721769999992</v>
      </c>
      <c r="N325" s="1">
        <v>0</v>
      </c>
      <c r="O325" s="1">
        <v>0.64853063300000002</v>
      </c>
      <c r="P325" s="1">
        <v>0</v>
      </c>
      <c r="Q325" s="1">
        <v>0</v>
      </c>
      <c r="R325" s="1">
        <v>101.8272233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1053</v>
      </c>
      <c r="AB325" s="1">
        <v>0</v>
      </c>
      <c r="AC325" s="1">
        <v>0</v>
      </c>
      <c r="AD325">
        <v>0</v>
      </c>
      <c r="AF325" s="8" cm="1">
        <f t="array" aca="1" ref="AF325" ca="1">fScore_Total("ESPN",aCols)</f>
        <v>18.212792216499999</v>
      </c>
      <c r="AG325" s="8" cm="1">
        <f t="array" aca="1" ref="AG325" ca="1">-fScore_Total("diff",aCols)</f>
        <v>0</v>
      </c>
      <c r="AH325" s="8">
        <f t="shared" ca="1" si="5"/>
        <v>18.212792216499999</v>
      </c>
      <c r="AI325" s="8"/>
    </row>
    <row r="326" spans="1:35" x14ac:dyDescent="0.25">
      <c r="A326" t="s">
        <v>505</v>
      </c>
      <c r="B326" s="1" t="s">
        <v>601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7.7221846300000001</v>
      </c>
      <c r="N326" s="1">
        <v>0</v>
      </c>
      <c r="O326" s="1">
        <v>0.39377426700000001</v>
      </c>
      <c r="P326" s="1">
        <v>0</v>
      </c>
      <c r="Q326" s="1">
        <v>0</v>
      </c>
      <c r="R326" s="1">
        <v>77.122502920000002</v>
      </c>
      <c r="S326" s="1">
        <v>0</v>
      </c>
      <c r="T326" s="1">
        <v>0</v>
      </c>
      <c r="U326" s="1">
        <v>0</v>
      </c>
      <c r="V326" s="1">
        <v>0.16404908100000001</v>
      </c>
      <c r="W326" s="1">
        <v>0</v>
      </c>
      <c r="X326" s="1">
        <v>0</v>
      </c>
      <c r="Y326" s="1">
        <v>22.44404965</v>
      </c>
      <c r="Z326" s="1">
        <v>0</v>
      </c>
      <c r="AA326" s="1">
        <v>1052</v>
      </c>
      <c r="AB326" s="1">
        <v>0</v>
      </c>
      <c r="AC326" s="1">
        <v>0</v>
      </c>
      <c r="AD326">
        <v>0</v>
      </c>
      <c r="AF326" s="8" cm="1">
        <f t="array" aca="1" ref="AF326" ca="1">fScore_Total("ESPN",aCols)</f>
        <v>17.164687660000002</v>
      </c>
      <c r="AG326" s="8" cm="1">
        <f t="array" aca="1" ref="AG326" ca="1">-fScore_Total("diff",aCols)</f>
        <v>0</v>
      </c>
      <c r="AH326" s="8">
        <f t="shared" ca="1" si="5"/>
        <v>17.164687660000002</v>
      </c>
      <c r="AI326" s="8"/>
    </row>
    <row r="327" spans="1:35" x14ac:dyDescent="0.25">
      <c r="A327" t="s">
        <v>343</v>
      </c>
      <c r="B327" s="1" t="s">
        <v>600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4.1006965219999998</v>
      </c>
      <c r="N327" s="1">
        <v>0</v>
      </c>
      <c r="O327" s="1">
        <v>0.16772678799999999</v>
      </c>
      <c r="P327" s="1">
        <v>0</v>
      </c>
      <c r="Q327" s="1">
        <v>0</v>
      </c>
      <c r="R327" s="1">
        <v>29.146751170000002</v>
      </c>
      <c r="S327" s="1">
        <v>0</v>
      </c>
      <c r="T327" s="1">
        <v>0</v>
      </c>
      <c r="U327" s="1">
        <v>0</v>
      </c>
      <c r="V327" s="1">
        <v>0.82110793999999998</v>
      </c>
      <c r="W327" s="1">
        <v>0</v>
      </c>
      <c r="X327" s="1">
        <v>0</v>
      </c>
      <c r="Y327" s="1">
        <v>107.34377189999999</v>
      </c>
      <c r="Z327" s="1">
        <v>0</v>
      </c>
      <c r="AA327" s="1">
        <v>1049</v>
      </c>
      <c r="AB327" s="1">
        <v>0</v>
      </c>
      <c r="AC327" s="1">
        <v>0</v>
      </c>
      <c r="AD327">
        <v>0</v>
      </c>
      <c r="AF327" s="8" cm="1">
        <f t="array" aca="1" ref="AF327" ca="1">fScore_Total("ESPN",aCols)</f>
        <v>21.632408936000001</v>
      </c>
      <c r="AG327" s="8" cm="1">
        <f t="array" aca="1" ref="AG327" ca="1">-fScore_Total("diff",aCols)</f>
        <v>0</v>
      </c>
      <c r="AH327" s="8">
        <f t="shared" ca="1" si="5"/>
        <v>21.632408936000001</v>
      </c>
      <c r="AI327" s="8"/>
    </row>
    <row r="328" spans="1:35" x14ac:dyDescent="0.25">
      <c r="A328" t="s">
        <v>342</v>
      </c>
      <c r="B328" s="1" t="s">
        <v>603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  <c r="M328" s="1">
        <v>9.9736768910000002</v>
      </c>
      <c r="N328" s="1">
        <v>0</v>
      </c>
      <c r="O328" s="1">
        <v>0.72344997300000002</v>
      </c>
      <c r="P328" s="1">
        <v>0</v>
      </c>
      <c r="Q328" s="1">
        <v>0</v>
      </c>
      <c r="R328" s="1">
        <v>100.9583695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1048</v>
      </c>
      <c r="AB328" s="1">
        <v>0</v>
      </c>
      <c r="AC328" s="1">
        <v>0</v>
      </c>
      <c r="AD328">
        <v>0</v>
      </c>
      <c r="AF328" s="8" cm="1">
        <f t="array" aca="1" ref="AF328" ca="1">fScore_Total("ESPN",aCols)</f>
        <v>19.423375233500003</v>
      </c>
      <c r="AG328" s="8" cm="1">
        <f t="array" aca="1" ref="AG328" ca="1">-fScore_Total("diff",aCols)</f>
        <v>0</v>
      </c>
      <c r="AH328" s="8">
        <f t="shared" ca="1" si="5"/>
        <v>19.423375233500003</v>
      </c>
      <c r="AI328" s="8"/>
    </row>
    <row r="329" spans="1:35" x14ac:dyDescent="0.25">
      <c r="A329" t="s">
        <v>340</v>
      </c>
      <c r="B329" s="1" t="s">
        <v>600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  <c r="M329" s="1">
        <v>12.970324400000001</v>
      </c>
      <c r="N329" s="1">
        <v>0</v>
      </c>
      <c r="O329" s="1">
        <v>0.44965467199999998</v>
      </c>
      <c r="P329" s="1">
        <v>0</v>
      </c>
      <c r="Q329" s="1">
        <v>0</v>
      </c>
      <c r="R329" s="1">
        <v>94.541963050000007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1046</v>
      </c>
      <c r="AB329" s="1">
        <v>0</v>
      </c>
      <c r="AC329" s="1">
        <v>0</v>
      </c>
      <c r="AD329">
        <v>0</v>
      </c>
      <c r="AF329" s="8" cm="1">
        <f t="array" aca="1" ref="AF329" ca="1">fScore_Total("ESPN",aCols)</f>
        <v>18.637286537000001</v>
      </c>
      <c r="AG329" s="8" cm="1">
        <f t="array" aca="1" ref="AG329" ca="1">-fScore_Total("diff",aCols)</f>
        <v>0</v>
      </c>
      <c r="AH329" s="8">
        <f t="shared" ca="1" si="5"/>
        <v>18.637286537000001</v>
      </c>
      <c r="AI329" s="8"/>
    </row>
    <row r="330" spans="1:35" x14ac:dyDescent="0.25">
      <c r="A330" t="s">
        <v>331</v>
      </c>
      <c r="B330" s="1" t="s">
        <v>601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  <c r="M330" s="1">
        <v>9.7399369920000005</v>
      </c>
      <c r="N330" s="1">
        <v>0</v>
      </c>
      <c r="O330" s="1">
        <v>0.99645657600000004</v>
      </c>
      <c r="P330" s="1">
        <v>0</v>
      </c>
      <c r="Q330" s="1">
        <v>0</v>
      </c>
      <c r="R330" s="1">
        <v>122.8944496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1037</v>
      </c>
      <c r="AB330" s="1">
        <v>0</v>
      </c>
      <c r="AC330" s="1">
        <v>0</v>
      </c>
      <c r="AD330">
        <v>0</v>
      </c>
      <c r="AF330" s="8" cm="1">
        <f t="array" aca="1" ref="AF330" ca="1">fScore_Total("ESPN",aCols)</f>
        <v>23.138152912000002</v>
      </c>
      <c r="AG330" s="8" cm="1">
        <f t="array" aca="1" ref="AG330" ca="1">-fScore_Total("diff",aCols)</f>
        <v>0</v>
      </c>
      <c r="AH330" s="8">
        <f t="shared" ca="1" si="5"/>
        <v>23.138152912000002</v>
      </c>
      <c r="AI330" s="8"/>
    </row>
    <row r="331" spans="1:35" x14ac:dyDescent="0.25">
      <c r="A331" t="s">
        <v>646</v>
      </c>
      <c r="B331" s="1" t="s">
        <v>602</v>
      </c>
      <c r="C331" s="1">
        <v>0</v>
      </c>
      <c r="D331" s="1">
        <v>2.1453033029999999</v>
      </c>
      <c r="E331" s="1">
        <v>0</v>
      </c>
      <c r="F331" s="1">
        <v>0</v>
      </c>
      <c r="G331" s="1">
        <v>2.4526078240000002</v>
      </c>
      <c r="H331" s="1">
        <v>0</v>
      </c>
      <c r="I331" s="1">
        <v>0</v>
      </c>
      <c r="J331" s="1">
        <v>440.36417799999998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0.15806245799999999</v>
      </c>
      <c r="W331" s="1">
        <v>0</v>
      </c>
      <c r="X331" s="1">
        <v>0</v>
      </c>
      <c r="Y331" s="1">
        <v>17.512006679999999</v>
      </c>
      <c r="Z331" s="1">
        <v>0</v>
      </c>
      <c r="AA331" s="1">
        <v>1045</v>
      </c>
      <c r="AB331" s="1">
        <v>0</v>
      </c>
      <c r="AC331" s="1">
        <v>0</v>
      </c>
      <c r="AD331">
        <v>0</v>
      </c>
      <c r="AF331" s="8" cm="1">
        <f t="array" aca="1" ref="AF331" ca="1">fScore_Total("ESPN",aCols)</f>
        <v>25.833967225999999</v>
      </c>
      <c r="AG331" s="8" cm="1">
        <f t="array" aca="1" ref="AG331" ca="1">-fScore_Total("diff",aCols)</f>
        <v>0</v>
      </c>
      <c r="AH331" s="8">
        <f t="shared" ca="1" si="5"/>
        <v>25.833967225999999</v>
      </c>
      <c r="AI331" s="8"/>
    </row>
    <row r="332" spans="1:35" x14ac:dyDescent="0.25">
      <c r="A332" t="s">
        <v>338</v>
      </c>
      <c r="B332" s="1" t="s">
        <v>601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10.47493351</v>
      </c>
      <c r="N332" s="1">
        <v>0</v>
      </c>
      <c r="O332" s="1">
        <v>0.61471180700000005</v>
      </c>
      <c r="P332" s="1">
        <v>0</v>
      </c>
      <c r="Q332" s="1">
        <v>0</v>
      </c>
      <c r="R332" s="1">
        <v>122.12307730000001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1044</v>
      </c>
      <c r="AB332" s="1">
        <v>0</v>
      </c>
      <c r="AC332" s="1">
        <v>0</v>
      </c>
      <c r="AD332">
        <v>0</v>
      </c>
      <c r="AF332" s="8" cm="1">
        <f t="array" aca="1" ref="AF332" ca="1">fScore_Total("ESPN",aCols)</f>
        <v>21.138045327</v>
      </c>
      <c r="AG332" s="8" cm="1">
        <f t="array" aca="1" ref="AG332" ca="1">-fScore_Total("diff",aCols)</f>
        <v>0</v>
      </c>
      <c r="AH332" s="8">
        <f t="shared" ca="1" si="5"/>
        <v>21.138045327</v>
      </c>
      <c r="AI332" s="8"/>
    </row>
    <row r="333" spans="1:35" x14ac:dyDescent="0.25">
      <c r="A333" t="s">
        <v>337</v>
      </c>
      <c r="B333" s="1" t="s">
        <v>601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  <c r="M333" s="1">
        <v>10.48522438</v>
      </c>
      <c r="N333" s="1">
        <v>0</v>
      </c>
      <c r="O333" s="1">
        <v>0.546096523</v>
      </c>
      <c r="P333" s="1">
        <v>0</v>
      </c>
      <c r="Q333" s="1">
        <v>0</v>
      </c>
      <c r="R333" s="1">
        <v>129.77027699999999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1043</v>
      </c>
      <c r="AB333" s="1">
        <v>0</v>
      </c>
      <c r="AC333" s="1">
        <v>0</v>
      </c>
      <c r="AD333">
        <v>0</v>
      </c>
      <c r="AF333" s="8" cm="1">
        <f t="array" aca="1" ref="AF333" ca="1">fScore_Total("ESPN",aCols)</f>
        <v>21.496219027999999</v>
      </c>
      <c r="AG333" s="8" cm="1">
        <f t="array" aca="1" ref="AG333" ca="1">-fScore_Total("diff",aCols)</f>
        <v>0</v>
      </c>
      <c r="AH333" s="8">
        <f t="shared" ca="1" si="5"/>
        <v>21.496219027999999</v>
      </c>
      <c r="AI333" s="8"/>
    </row>
    <row r="334" spans="1:35" x14ac:dyDescent="0.25">
      <c r="A334" t="s">
        <v>334</v>
      </c>
      <c r="B334" s="1" t="s">
        <v>601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  <c r="M334" s="1">
        <v>8.7470448540000003</v>
      </c>
      <c r="N334" s="1">
        <v>0</v>
      </c>
      <c r="O334" s="1">
        <v>0.71469353000000002</v>
      </c>
      <c r="P334" s="1">
        <v>0</v>
      </c>
      <c r="Q334" s="1">
        <v>0</v>
      </c>
      <c r="R334" s="1">
        <v>86.756535290000002</v>
      </c>
      <c r="S334" s="1">
        <v>0</v>
      </c>
      <c r="T334" s="1">
        <v>0</v>
      </c>
      <c r="U334" s="1">
        <v>0</v>
      </c>
      <c r="V334" s="1">
        <v>0.33582251800000001</v>
      </c>
      <c r="W334" s="1">
        <v>0</v>
      </c>
      <c r="X334" s="1">
        <v>0</v>
      </c>
      <c r="Y334" s="1">
        <v>32.843836019999998</v>
      </c>
      <c r="Z334" s="1">
        <v>0</v>
      </c>
      <c r="AA334" s="1">
        <v>1042</v>
      </c>
      <c r="AB334" s="1">
        <v>0</v>
      </c>
      <c r="AC334" s="1">
        <v>0</v>
      </c>
      <c r="AD334">
        <v>0</v>
      </c>
      <c r="AF334" s="8" cm="1">
        <f t="array" aca="1" ref="AF334" ca="1">fScore_Total("ESPN",aCols)</f>
        <v>22.636655846000004</v>
      </c>
      <c r="AG334" s="8" cm="1">
        <f t="array" aca="1" ref="AG334" ca="1">-fScore_Total("diff",aCols)</f>
        <v>0</v>
      </c>
      <c r="AH334" s="8">
        <f t="shared" ca="1" si="5"/>
        <v>22.636655846000004</v>
      </c>
      <c r="AI334" s="8"/>
    </row>
    <row r="335" spans="1:35" x14ac:dyDescent="0.25">
      <c r="A335" t="s">
        <v>336</v>
      </c>
      <c r="B335" s="1" t="s">
        <v>603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  <c r="M335" s="1">
        <v>10.96299469</v>
      </c>
      <c r="N335" s="1">
        <v>0</v>
      </c>
      <c r="O335" s="1">
        <v>0.85021058000000005</v>
      </c>
      <c r="P335" s="1">
        <v>0</v>
      </c>
      <c r="Q335" s="1">
        <v>0</v>
      </c>
      <c r="R335" s="1">
        <v>113.22526499999999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1041</v>
      </c>
      <c r="AB335" s="1">
        <v>0</v>
      </c>
      <c r="AC335" s="1">
        <v>0</v>
      </c>
      <c r="AD335">
        <v>0</v>
      </c>
      <c r="AF335" s="8" cm="1">
        <f t="array" aca="1" ref="AF335" ca="1">fScore_Total("ESPN",aCols)</f>
        <v>21.905287325000003</v>
      </c>
      <c r="AG335" s="8" cm="1">
        <f t="array" aca="1" ref="AG335" ca="1">-fScore_Total("diff",aCols)</f>
        <v>0</v>
      </c>
      <c r="AH335" s="8">
        <f t="shared" ca="1" si="5"/>
        <v>21.905287325000003</v>
      </c>
      <c r="AI335" s="8"/>
    </row>
    <row r="336" spans="1:35" x14ac:dyDescent="0.25">
      <c r="A336" t="s">
        <v>335</v>
      </c>
      <c r="B336" s="1" t="s">
        <v>601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9.9463260069999997</v>
      </c>
      <c r="N336" s="1">
        <v>0</v>
      </c>
      <c r="O336" s="1">
        <v>0.89807037899999997</v>
      </c>
      <c r="P336" s="1">
        <v>0</v>
      </c>
      <c r="Q336" s="1">
        <v>0</v>
      </c>
      <c r="R336" s="1">
        <v>122.4955705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1040</v>
      </c>
      <c r="AB336" s="1">
        <v>0</v>
      </c>
      <c r="AC336" s="1">
        <v>0</v>
      </c>
      <c r="AD336">
        <v>0</v>
      </c>
      <c r="AF336" s="8" cm="1">
        <f t="array" aca="1" ref="AF336" ca="1">fScore_Total("ESPN",aCols)</f>
        <v>22.611142327499998</v>
      </c>
      <c r="AG336" s="8" cm="1">
        <f t="array" aca="1" ref="AG336" ca="1">-fScore_Total("diff",aCols)</f>
        <v>0</v>
      </c>
      <c r="AH336" s="8">
        <f t="shared" ca="1" si="5"/>
        <v>22.611142327499998</v>
      </c>
      <c r="AI336" s="8"/>
    </row>
    <row r="337" spans="1:35" x14ac:dyDescent="0.25">
      <c r="A337" t="s">
        <v>333</v>
      </c>
      <c r="B337" s="1" t="s">
        <v>603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  <c r="M337" s="1">
        <v>12.253362989999999</v>
      </c>
      <c r="N337" s="1">
        <v>0</v>
      </c>
      <c r="O337" s="1">
        <v>0.56553948600000004</v>
      </c>
      <c r="P337" s="1">
        <v>0</v>
      </c>
      <c r="Q337" s="1">
        <v>0</v>
      </c>
      <c r="R337" s="1">
        <v>123.1938889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1039</v>
      </c>
      <c r="AB337" s="1">
        <v>0</v>
      </c>
      <c r="AC337" s="1">
        <v>0</v>
      </c>
      <c r="AD337">
        <v>0</v>
      </c>
      <c r="AF337" s="8" cm="1">
        <f t="array" aca="1" ref="AF337" ca="1">fScore_Total("ESPN",aCols)</f>
        <v>21.839307300999998</v>
      </c>
      <c r="AG337" s="8" cm="1">
        <f t="array" aca="1" ref="AG337" ca="1">-fScore_Total("diff",aCols)</f>
        <v>0</v>
      </c>
      <c r="AH337" s="8">
        <f t="shared" ca="1" si="5"/>
        <v>21.839307300999998</v>
      </c>
      <c r="AI337" s="8"/>
    </row>
    <row r="338" spans="1:35" x14ac:dyDescent="0.25">
      <c r="A338" t="s">
        <v>332</v>
      </c>
      <c r="B338" s="1" t="s">
        <v>601</v>
      </c>
      <c r="C338" s="1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9.9272096199999993</v>
      </c>
      <c r="N338" s="1">
        <v>0</v>
      </c>
      <c r="O338" s="1">
        <v>0.798632589</v>
      </c>
      <c r="P338" s="1">
        <v>0</v>
      </c>
      <c r="Q338" s="1">
        <v>0</v>
      </c>
      <c r="R338" s="1">
        <v>115.45280080000001</v>
      </c>
      <c r="S338" s="1">
        <v>0</v>
      </c>
      <c r="T338" s="1">
        <v>0</v>
      </c>
      <c r="U338" s="1">
        <v>0</v>
      </c>
      <c r="V338" s="1">
        <v>7.8629625999999994E-2</v>
      </c>
      <c r="W338" s="1">
        <v>0</v>
      </c>
      <c r="X338" s="1">
        <v>0</v>
      </c>
      <c r="Y338" s="1">
        <v>12.6517219</v>
      </c>
      <c r="Z338" s="1">
        <v>0</v>
      </c>
      <c r="AA338" s="1">
        <v>1038</v>
      </c>
      <c r="AB338" s="1">
        <v>0</v>
      </c>
      <c r="AC338" s="1">
        <v>0</v>
      </c>
      <c r="AD338">
        <v>0</v>
      </c>
      <c r="AF338" s="8" cm="1">
        <f t="array" aca="1" ref="AF338" ca="1">fScore_Total("ESPN",aCols)</f>
        <v>23.037630370000002</v>
      </c>
      <c r="AG338" s="8" cm="1">
        <f t="array" aca="1" ref="AG338" ca="1">-fScore_Total("diff",aCols)</f>
        <v>0</v>
      </c>
      <c r="AH338" s="8">
        <f t="shared" ca="1" si="5"/>
        <v>23.037630370000002</v>
      </c>
      <c r="AI338" s="8"/>
    </row>
    <row r="339" spans="1:35" x14ac:dyDescent="0.25">
      <c r="A339" t="s">
        <v>388</v>
      </c>
      <c r="B339" s="1" t="s">
        <v>600</v>
      </c>
      <c r="C339" s="1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4.4278449640000002</v>
      </c>
      <c r="N339" s="1">
        <v>0</v>
      </c>
      <c r="O339" s="1">
        <v>0.224058706</v>
      </c>
      <c r="P339" s="1">
        <v>0</v>
      </c>
      <c r="Q339" s="1">
        <v>0</v>
      </c>
      <c r="R339" s="1">
        <v>30.2026097</v>
      </c>
      <c r="S339" s="1">
        <v>0</v>
      </c>
      <c r="T339" s="1">
        <v>0</v>
      </c>
      <c r="U339" s="1">
        <v>0</v>
      </c>
      <c r="V339" s="1">
        <v>0.121662743</v>
      </c>
      <c r="W339" s="1">
        <v>0</v>
      </c>
      <c r="X339" s="1">
        <v>0</v>
      </c>
      <c r="Y339" s="1">
        <v>16.645453809999999</v>
      </c>
      <c r="Z339" s="1">
        <v>0</v>
      </c>
      <c r="AA339" s="1">
        <v>1101</v>
      </c>
      <c r="AB339" s="1">
        <v>0</v>
      </c>
      <c r="AC339" s="1">
        <v>0</v>
      </c>
      <c r="AD339">
        <v>0</v>
      </c>
      <c r="AF339" s="8" cm="1">
        <f t="array" aca="1" ref="AF339" ca="1">fScore_Total("ESPN",aCols)</f>
        <v>8.9730575270000017</v>
      </c>
      <c r="AG339" s="8" cm="1">
        <f t="array" aca="1" ref="AG339" ca="1">-fScore_Total("diff",aCols)</f>
        <v>0</v>
      </c>
      <c r="AH339" s="8">
        <f t="shared" ca="1" si="5"/>
        <v>8.9730575270000017</v>
      </c>
      <c r="AI339" s="8"/>
    </row>
    <row r="340" spans="1:35" x14ac:dyDescent="0.25">
      <c r="A340" t="s">
        <v>415</v>
      </c>
      <c r="B340" s="1" t="s">
        <v>601</v>
      </c>
      <c r="C340" s="1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1183</v>
      </c>
      <c r="AB340" s="1">
        <v>0</v>
      </c>
      <c r="AC340" s="1">
        <v>0</v>
      </c>
      <c r="AD340">
        <v>0</v>
      </c>
      <c r="AF340" s="8" cm="1">
        <f t="array" aca="1" ref="AF340" ca="1">fScore_Total("ESPN",aCols)</f>
        <v>0</v>
      </c>
      <c r="AG340" s="8" cm="1">
        <f t="array" aca="1" ref="AG340" ca="1">-fScore_Total("diff",aCols)</f>
        <v>0</v>
      </c>
      <c r="AH340" s="8">
        <f t="shared" ca="1" si="5"/>
        <v>0</v>
      </c>
      <c r="AI340" s="8"/>
    </row>
    <row r="341" spans="1:35" x14ac:dyDescent="0.25">
      <c r="A341" t="s">
        <v>390</v>
      </c>
      <c r="B341" s="1" t="s">
        <v>600</v>
      </c>
      <c r="C341" s="1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2.1594480190000001</v>
      </c>
      <c r="N341" s="1">
        <v>0</v>
      </c>
      <c r="O341" s="1">
        <v>0.10181092899999999</v>
      </c>
      <c r="P341" s="1">
        <v>0</v>
      </c>
      <c r="Q341" s="1">
        <v>0</v>
      </c>
      <c r="R341" s="1">
        <v>15.30536337</v>
      </c>
      <c r="S341" s="1">
        <v>0</v>
      </c>
      <c r="T341" s="1">
        <v>0</v>
      </c>
      <c r="U341" s="1">
        <v>0</v>
      </c>
      <c r="V341" s="1">
        <v>0.347530962</v>
      </c>
      <c r="W341" s="1">
        <v>0</v>
      </c>
      <c r="X341" s="1">
        <v>0</v>
      </c>
      <c r="Y341" s="1">
        <v>45.15081009</v>
      </c>
      <c r="Z341" s="1">
        <v>0</v>
      </c>
      <c r="AA341" s="1">
        <v>1103</v>
      </c>
      <c r="AB341" s="1">
        <v>0</v>
      </c>
      <c r="AC341" s="1">
        <v>0</v>
      </c>
      <c r="AD341">
        <v>0</v>
      </c>
      <c r="AF341" s="8" cm="1">
        <f t="array" aca="1" ref="AF341" ca="1">fScore_Total("ESPN",aCols)</f>
        <v>9.8213927014999989</v>
      </c>
      <c r="AG341" s="8" cm="1">
        <f t="array" aca="1" ref="AG341" ca="1">-fScore_Total("diff",aCols)</f>
        <v>0</v>
      </c>
      <c r="AH341" s="8">
        <f t="shared" ca="1" si="5"/>
        <v>9.8213927014999989</v>
      </c>
      <c r="AI341" s="8"/>
    </row>
    <row r="342" spans="1:35" x14ac:dyDescent="0.25">
      <c r="A342" t="s">
        <v>430</v>
      </c>
      <c r="B342" s="1" t="s">
        <v>601</v>
      </c>
      <c r="C342" s="1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3.2859689419999998</v>
      </c>
      <c r="N342" s="1">
        <v>0</v>
      </c>
      <c r="O342" s="1">
        <v>0.177092836</v>
      </c>
      <c r="P342" s="1">
        <v>0</v>
      </c>
      <c r="Q342" s="1">
        <v>0</v>
      </c>
      <c r="R342" s="1">
        <v>37.887195030000001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1148</v>
      </c>
      <c r="AB342" s="1">
        <v>0</v>
      </c>
      <c r="AC342" s="1">
        <v>0</v>
      </c>
      <c r="AD342">
        <v>0</v>
      </c>
      <c r="AF342" s="8" cm="1">
        <f t="array" aca="1" ref="AF342" ca="1">fScore_Total("ESPN",aCols)</f>
        <v>6.4942609899999999</v>
      </c>
      <c r="AG342" s="8" cm="1">
        <f t="array" aca="1" ref="AG342" ca="1">-fScore_Total("diff",aCols)</f>
        <v>0</v>
      </c>
      <c r="AH342" s="8">
        <f t="shared" ref="AH342:AH405" ca="1" si="6">+AF342+AG342</f>
        <v>6.4942609899999999</v>
      </c>
      <c r="AI342" s="8"/>
    </row>
    <row r="343" spans="1:35" x14ac:dyDescent="0.25">
      <c r="A343" t="s">
        <v>448</v>
      </c>
      <c r="B343" s="1" t="s">
        <v>603</v>
      </c>
      <c r="C343" s="1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  <c r="M343" s="1">
        <v>1.778894314</v>
      </c>
      <c r="N343" s="1">
        <v>0</v>
      </c>
      <c r="O343" s="1">
        <v>0.114044228</v>
      </c>
      <c r="P343" s="1">
        <v>0</v>
      </c>
      <c r="Q343" s="1">
        <v>0</v>
      </c>
      <c r="R343" s="1">
        <v>17.052592189999999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1168</v>
      </c>
      <c r="AB343" s="1">
        <v>0</v>
      </c>
      <c r="AC343" s="1">
        <v>0</v>
      </c>
      <c r="AD343">
        <v>0</v>
      </c>
      <c r="AF343" s="8" cm="1">
        <f t="array" aca="1" ref="AF343" ca="1">fScore_Total("ESPN",aCols)</f>
        <v>3.2789717439999997</v>
      </c>
      <c r="AG343" s="8" cm="1">
        <f t="array" aca="1" ref="AG343" ca="1">-fScore_Total("diff",aCols)</f>
        <v>0</v>
      </c>
      <c r="AH343" s="8">
        <f t="shared" ca="1" si="6"/>
        <v>3.2789717439999997</v>
      </c>
      <c r="AI343" s="8"/>
    </row>
    <row r="344" spans="1:35" x14ac:dyDescent="0.25">
      <c r="A344" t="s">
        <v>449</v>
      </c>
      <c r="B344" s="1" t="s">
        <v>601</v>
      </c>
      <c r="C344" s="1">
        <v>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  <c r="M344" s="1">
        <v>1.530494389</v>
      </c>
      <c r="N344" s="1">
        <v>0</v>
      </c>
      <c r="O344" s="1">
        <v>0.13421275099999999</v>
      </c>
      <c r="P344" s="1">
        <v>0</v>
      </c>
      <c r="Q344" s="1">
        <v>0</v>
      </c>
      <c r="R344" s="1">
        <v>18.984308250000002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1167</v>
      </c>
      <c r="AB344" s="1">
        <v>0</v>
      </c>
      <c r="AC344" s="1">
        <v>0</v>
      </c>
      <c r="AD344">
        <v>0</v>
      </c>
      <c r="AF344" s="8" cm="1">
        <f t="array" aca="1" ref="AF344" ca="1">fScore_Total("ESPN",aCols)</f>
        <v>3.4689545255000001</v>
      </c>
      <c r="AG344" s="8" cm="1">
        <f t="array" aca="1" ref="AG344" ca="1">-fScore_Total("diff",aCols)</f>
        <v>0</v>
      </c>
      <c r="AH344" s="8">
        <f t="shared" ca="1" si="6"/>
        <v>3.4689545255000001</v>
      </c>
      <c r="AI344" s="8"/>
    </row>
    <row r="345" spans="1:35" x14ac:dyDescent="0.25">
      <c r="A345" t="s">
        <v>447</v>
      </c>
      <c r="B345" s="1" t="s">
        <v>603</v>
      </c>
      <c r="C345" s="1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1.67678332</v>
      </c>
      <c r="N345" s="1">
        <v>0</v>
      </c>
      <c r="O345" s="1">
        <v>0.14135887899999999</v>
      </c>
      <c r="P345" s="1">
        <v>0</v>
      </c>
      <c r="Q345" s="1">
        <v>0</v>
      </c>
      <c r="R345" s="1">
        <v>17.48841616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1166</v>
      </c>
      <c r="AB345" s="1">
        <v>0</v>
      </c>
      <c r="AC345" s="1">
        <v>0</v>
      </c>
      <c r="AD345">
        <v>0</v>
      </c>
      <c r="AF345" s="8" cm="1">
        <f t="array" aca="1" ref="AF345" ca="1">fScore_Total("ESPN",aCols)</f>
        <v>3.43538655</v>
      </c>
      <c r="AG345" s="8" cm="1">
        <f t="array" aca="1" ref="AG345" ca="1">-fScore_Total("diff",aCols)</f>
        <v>0</v>
      </c>
      <c r="AH345" s="8">
        <f t="shared" ca="1" si="6"/>
        <v>3.43538655</v>
      </c>
      <c r="AI345" s="8"/>
    </row>
    <row r="346" spans="1:35" x14ac:dyDescent="0.25">
      <c r="A346" t="s">
        <v>444</v>
      </c>
      <c r="B346" s="1" t="s">
        <v>601</v>
      </c>
      <c r="C346" s="1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  <c r="M346" s="1">
        <v>1.653878424</v>
      </c>
      <c r="N346" s="1">
        <v>0</v>
      </c>
      <c r="O346" s="1">
        <v>0.12784960000000001</v>
      </c>
      <c r="P346" s="1">
        <v>0</v>
      </c>
      <c r="Q346" s="1">
        <v>0</v>
      </c>
      <c r="R346" s="1">
        <v>19.675313450000001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1165</v>
      </c>
      <c r="AB346" s="1">
        <v>0</v>
      </c>
      <c r="AC346" s="1">
        <v>0</v>
      </c>
      <c r="AD346">
        <v>0</v>
      </c>
      <c r="AF346" s="8" cm="1">
        <f t="array" aca="1" ref="AF346" ca="1">fScore_Total("ESPN",aCols)</f>
        <v>3.5615681570000004</v>
      </c>
      <c r="AG346" s="8" cm="1">
        <f t="array" aca="1" ref="AG346" ca="1">-fScore_Total("diff",aCols)</f>
        <v>0</v>
      </c>
      <c r="AH346" s="8">
        <f t="shared" ca="1" si="6"/>
        <v>3.5615681570000004</v>
      </c>
      <c r="AI346" s="8"/>
    </row>
    <row r="347" spans="1:35" x14ac:dyDescent="0.25">
      <c r="A347" t="s">
        <v>446</v>
      </c>
      <c r="B347" s="1" t="s">
        <v>601</v>
      </c>
      <c r="C347" s="1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  <c r="M347" s="1">
        <v>1.7219174370000001</v>
      </c>
      <c r="N347" s="1">
        <v>0</v>
      </c>
      <c r="O347" s="1">
        <v>7.8515695999999996E-2</v>
      </c>
      <c r="P347" s="1">
        <v>0</v>
      </c>
      <c r="Q347" s="1">
        <v>0</v>
      </c>
      <c r="R347" s="1">
        <v>19.675277170000001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1164</v>
      </c>
      <c r="AB347" s="1">
        <v>0</v>
      </c>
      <c r="AC347" s="1">
        <v>0</v>
      </c>
      <c r="AD347">
        <v>0</v>
      </c>
      <c r="AF347" s="8" cm="1">
        <f t="array" aca="1" ref="AF347" ca="1">fScore_Total("ESPN",aCols)</f>
        <v>3.2995806115000006</v>
      </c>
      <c r="AG347" s="8" cm="1">
        <f t="array" aca="1" ref="AG347" ca="1">-fScore_Total("diff",aCols)</f>
        <v>0</v>
      </c>
      <c r="AH347" s="8">
        <f t="shared" ca="1" si="6"/>
        <v>3.2995806115000006</v>
      </c>
      <c r="AI347" s="8"/>
    </row>
    <row r="348" spans="1:35" x14ac:dyDescent="0.25">
      <c r="A348" t="s">
        <v>445</v>
      </c>
      <c r="B348" s="1" t="s">
        <v>601</v>
      </c>
      <c r="C348" s="1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1.680728609</v>
      </c>
      <c r="N348" s="1">
        <v>0</v>
      </c>
      <c r="O348" s="1">
        <v>0.128363692</v>
      </c>
      <c r="P348" s="1">
        <v>0</v>
      </c>
      <c r="Q348" s="1">
        <v>0</v>
      </c>
      <c r="R348" s="1">
        <v>20.1088883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1163</v>
      </c>
      <c r="AB348" s="1">
        <v>0</v>
      </c>
      <c r="AC348" s="1">
        <v>0</v>
      </c>
      <c r="AD348">
        <v>0</v>
      </c>
      <c r="AF348" s="8" cm="1">
        <f t="array" aca="1" ref="AF348" ca="1">fScore_Total("ESPN",aCols)</f>
        <v>3.6214352865000006</v>
      </c>
      <c r="AG348" s="8" cm="1">
        <f t="array" aca="1" ref="AG348" ca="1">-fScore_Total("diff",aCols)</f>
        <v>0</v>
      </c>
      <c r="AH348" s="8">
        <f t="shared" ca="1" si="6"/>
        <v>3.6214352865000006</v>
      </c>
      <c r="AI348" s="8"/>
    </row>
    <row r="349" spans="1:35" x14ac:dyDescent="0.25">
      <c r="A349" t="s">
        <v>442</v>
      </c>
      <c r="B349" s="1" t="s">
        <v>601</v>
      </c>
      <c r="C349" s="1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1.6579317579999999</v>
      </c>
      <c r="N349" s="1">
        <v>0</v>
      </c>
      <c r="O349" s="1">
        <v>0.14514206399999999</v>
      </c>
      <c r="P349" s="1">
        <v>0</v>
      </c>
      <c r="Q349" s="1">
        <v>0</v>
      </c>
      <c r="R349" s="1">
        <v>19.389371799999999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1162</v>
      </c>
      <c r="AB349" s="1">
        <v>0</v>
      </c>
      <c r="AC349" s="1">
        <v>0</v>
      </c>
      <c r="AD349">
        <v>0</v>
      </c>
      <c r="AF349" s="8" cm="1">
        <f t="array" aca="1" ref="AF349" ca="1">fScore_Total("ESPN",aCols)</f>
        <v>3.638755443</v>
      </c>
      <c r="AG349" s="8" cm="1">
        <f t="array" aca="1" ref="AG349" ca="1">-fScore_Total("diff",aCols)</f>
        <v>0</v>
      </c>
      <c r="AH349" s="8">
        <f t="shared" ca="1" si="6"/>
        <v>3.638755443</v>
      </c>
      <c r="AI349" s="8"/>
    </row>
    <row r="350" spans="1:35" x14ac:dyDescent="0.25">
      <c r="A350" t="s">
        <v>443</v>
      </c>
      <c r="B350" s="1" t="s">
        <v>603</v>
      </c>
      <c r="C350" s="1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1.8675904000000001</v>
      </c>
      <c r="N350" s="1">
        <v>0</v>
      </c>
      <c r="O350" s="1">
        <v>0.12850572399999999</v>
      </c>
      <c r="P350" s="1">
        <v>0</v>
      </c>
      <c r="Q350" s="1">
        <v>0</v>
      </c>
      <c r="R350" s="1">
        <v>18.44720534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1161</v>
      </c>
      <c r="AB350" s="1">
        <v>0</v>
      </c>
      <c r="AC350" s="1">
        <v>0</v>
      </c>
      <c r="AD350">
        <v>0</v>
      </c>
      <c r="AF350" s="8" cm="1">
        <f t="array" aca="1" ref="AF350" ca="1">fScore_Total("ESPN",aCols)</f>
        <v>3.5495500780000002</v>
      </c>
      <c r="AG350" s="8" cm="1">
        <f t="array" aca="1" ref="AG350" ca="1">-fScore_Total("diff",aCols)</f>
        <v>0</v>
      </c>
      <c r="AH350" s="8">
        <f t="shared" ca="1" si="6"/>
        <v>3.5495500780000002</v>
      </c>
      <c r="AI350" s="8"/>
    </row>
    <row r="351" spans="1:35" x14ac:dyDescent="0.25">
      <c r="A351" t="s">
        <v>441</v>
      </c>
      <c r="B351" s="1" t="s">
        <v>603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1.8223842029999999</v>
      </c>
      <c r="N351" s="1">
        <v>0</v>
      </c>
      <c r="O351" s="1">
        <v>0.144787147</v>
      </c>
      <c r="P351" s="1">
        <v>0</v>
      </c>
      <c r="Q351" s="1">
        <v>0</v>
      </c>
      <c r="R351" s="1">
        <v>18.019622250000001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1160</v>
      </c>
      <c r="AB351" s="1">
        <v>0</v>
      </c>
      <c r="AC351" s="1">
        <v>0</v>
      </c>
      <c r="AD351">
        <v>0</v>
      </c>
      <c r="AF351" s="8" cm="1">
        <f t="array" aca="1" ref="AF351" ca="1">fScore_Total("ESPN",aCols)</f>
        <v>3.5818772084999999</v>
      </c>
      <c r="AG351" s="8" cm="1">
        <f t="array" aca="1" ref="AG351" ca="1">-fScore_Total("diff",aCols)</f>
        <v>0</v>
      </c>
      <c r="AH351" s="8">
        <f t="shared" ca="1" si="6"/>
        <v>3.5818772084999999</v>
      </c>
      <c r="AI351" s="8"/>
    </row>
    <row r="352" spans="1:35" x14ac:dyDescent="0.25">
      <c r="A352" t="s">
        <v>440</v>
      </c>
      <c r="B352" s="1" t="s">
        <v>603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1">
        <v>0</v>
      </c>
      <c r="K352" s="1">
        <v>0</v>
      </c>
      <c r="L352" s="1">
        <v>0</v>
      </c>
      <c r="M352" s="1">
        <v>1.841536957</v>
      </c>
      <c r="N352" s="1">
        <v>0</v>
      </c>
      <c r="O352" s="1">
        <v>0.15406903899999999</v>
      </c>
      <c r="P352" s="1">
        <v>0</v>
      </c>
      <c r="Q352" s="1">
        <v>0</v>
      </c>
      <c r="R352" s="1">
        <v>17.820263990000001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1159</v>
      </c>
      <c r="AB352" s="1">
        <v>0</v>
      </c>
      <c r="AC352" s="1">
        <v>0</v>
      </c>
      <c r="AD352">
        <v>0</v>
      </c>
      <c r="AF352" s="8" cm="1">
        <f t="array" aca="1" ref="AF352" ca="1">fScore_Total("ESPN",aCols)</f>
        <v>3.6272091115</v>
      </c>
      <c r="AG352" s="8" cm="1">
        <f t="array" aca="1" ref="AG352" ca="1">-fScore_Total("diff",aCols)</f>
        <v>0</v>
      </c>
      <c r="AH352" s="8">
        <f t="shared" ca="1" si="6"/>
        <v>3.6272091115</v>
      </c>
      <c r="AI352" s="8"/>
    </row>
    <row r="353" spans="1:35" x14ac:dyDescent="0.25">
      <c r="A353" t="s">
        <v>647</v>
      </c>
      <c r="B353" s="1" t="s">
        <v>600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0.23130646499999999</v>
      </c>
      <c r="W353" s="1">
        <v>0</v>
      </c>
      <c r="X353" s="1">
        <v>0</v>
      </c>
      <c r="Y353" s="1">
        <v>32.277435279999999</v>
      </c>
      <c r="Z353" s="1">
        <v>0</v>
      </c>
      <c r="AA353" s="1">
        <v>1158</v>
      </c>
      <c r="AB353" s="1">
        <v>0</v>
      </c>
      <c r="AC353" s="1">
        <v>0</v>
      </c>
      <c r="AD353">
        <v>0</v>
      </c>
      <c r="AF353" s="8" cm="1">
        <f t="array" aca="1" ref="AF353" ca="1">fScore_Total("ESPN",aCols)</f>
        <v>4.6155823179999995</v>
      </c>
      <c r="AG353" s="8" cm="1">
        <f t="array" aca="1" ref="AG353" ca="1">-fScore_Total("diff",aCols)</f>
        <v>0</v>
      </c>
      <c r="AH353" s="8">
        <f t="shared" ca="1" si="6"/>
        <v>4.6155823179999995</v>
      </c>
      <c r="AI353" s="8"/>
    </row>
    <row r="354" spans="1:35" x14ac:dyDescent="0.25">
      <c r="A354" t="s">
        <v>439</v>
      </c>
      <c r="B354" s="1" t="s">
        <v>603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1.8937012550000001</v>
      </c>
      <c r="N354" s="1">
        <v>0</v>
      </c>
      <c r="O354" s="1">
        <v>0.13663825199999999</v>
      </c>
      <c r="P354" s="1">
        <v>0</v>
      </c>
      <c r="Q354" s="1">
        <v>0</v>
      </c>
      <c r="R354" s="1">
        <v>18.994274560000001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1157</v>
      </c>
      <c r="AB354" s="1">
        <v>0</v>
      </c>
      <c r="AC354" s="1">
        <v>0</v>
      </c>
      <c r="AD354">
        <v>0</v>
      </c>
      <c r="AF354" s="8" cm="1">
        <f t="array" aca="1" ref="AF354" ca="1">fScore_Total("ESPN",aCols)</f>
        <v>3.6661075955000002</v>
      </c>
      <c r="AG354" s="8" cm="1">
        <f t="array" aca="1" ref="AG354" ca="1">-fScore_Total("diff",aCols)</f>
        <v>0</v>
      </c>
      <c r="AH354" s="8">
        <f t="shared" ca="1" si="6"/>
        <v>3.6661075955000002</v>
      </c>
      <c r="AI354" s="8"/>
    </row>
    <row r="355" spans="1:35" x14ac:dyDescent="0.25">
      <c r="A355" t="s">
        <v>438</v>
      </c>
      <c r="B355" s="1" t="s">
        <v>600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0.29845083900000002</v>
      </c>
      <c r="W355" s="1">
        <v>0</v>
      </c>
      <c r="X355" s="1">
        <v>0</v>
      </c>
      <c r="Y355" s="1">
        <v>43.54802677</v>
      </c>
      <c r="Z355" s="1">
        <v>0</v>
      </c>
      <c r="AA355" s="1">
        <v>1156</v>
      </c>
      <c r="AB355" s="1">
        <v>0</v>
      </c>
      <c r="AC355" s="1">
        <v>0</v>
      </c>
      <c r="AD355">
        <v>0</v>
      </c>
      <c r="AF355" s="8" cm="1">
        <f t="array" aca="1" ref="AF355" ca="1">fScore_Total("ESPN",aCols)</f>
        <v>6.1455077110000005</v>
      </c>
      <c r="AG355" s="8" cm="1">
        <f t="array" aca="1" ref="AG355" ca="1">-fScore_Total("diff",aCols)</f>
        <v>0</v>
      </c>
      <c r="AH355" s="8">
        <f t="shared" ca="1" si="6"/>
        <v>6.1455077110000005</v>
      </c>
      <c r="AI355" s="8"/>
    </row>
    <row r="356" spans="1:35" x14ac:dyDescent="0.25">
      <c r="A356" t="s">
        <v>437</v>
      </c>
      <c r="B356" s="1" t="s">
        <v>600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2.0347338430000002</v>
      </c>
      <c r="N356" s="1">
        <v>0</v>
      </c>
      <c r="O356" s="1">
        <v>6.3126663E-2</v>
      </c>
      <c r="P356" s="1">
        <v>0</v>
      </c>
      <c r="Q356" s="1">
        <v>0</v>
      </c>
      <c r="R356" s="1">
        <v>14.52889092</v>
      </c>
      <c r="S356" s="1">
        <v>0</v>
      </c>
      <c r="T356" s="1">
        <v>0</v>
      </c>
      <c r="U356" s="1">
        <v>0</v>
      </c>
      <c r="V356" s="1">
        <v>0.112674843</v>
      </c>
      <c r="W356" s="1">
        <v>0</v>
      </c>
      <c r="X356" s="1">
        <v>0</v>
      </c>
      <c r="Y356" s="1">
        <v>17.319644199999999</v>
      </c>
      <c r="Z356" s="1">
        <v>0</v>
      </c>
      <c r="AA356" s="1">
        <v>1155</v>
      </c>
      <c r="AB356" s="1">
        <v>0</v>
      </c>
      <c r="AC356" s="1">
        <v>0</v>
      </c>
      <c r="AD356">
        <v>0</v>
      </c>
      <c r="AF356" s="8" cm="1">
        <f t="array" aca="1" ref="AF356" ca="1">fScore_Total("ESPN",aCols)</f>
        <v>5.2570294694999999</v>
      </c>
      <c r="AG356" s="8" cm="1">
        <f t="array" aca="1" ref="AG356" ca="1">-fScore_Total("diff",aCols)</f>
        <v>0</v>
      </c>
      <c r="AH356" s="8">
        <f t="shared" ca="1" si="6"/>
        <v>5.2570294694999999</v>
      </c>
      <c r="AI356" s="8"/>
    </row>
    <row r="357" spans="1:35" x14ac:dyDescent="0.25">
      <c r="A357" t="s">
        <v>436</v>
      </c>
      <c r="B357" s="1" t="s">
        <v>601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1.6679385840000001</v>
      </c>
      <c r="N357" s="1">
        <v>0</v>
      </c>
      <c r="O357" s="1">
        <v>0.14874320299999999</v>
      </c>
      <c r="P357" s="1">
        <v>0</v>
      </c>
      <c r="Q357" s="1">
        <v>0</v>
      </c>
      <c r="R357" s="1">
        <v>19.565102549999999</v>
      </c>
      <c r="S357" s="1">
        <v>0</v>
      </c>
      <c r="T357" s="1">
        <v>0</v>
      </c>
      <c r="U357" s="1">
        <v>0</v>
      </c>
      <c r="V357" s="1">
        <v>9.1810396000000002E-2</v>
      </c>
      <c r="W357" s="1">
        <v>0</v>
      </c>
      <c r="X357" s="1">
        <v>0</v>
      </c>
      <c r="Y357" s="1">
        <v>12.74130521</v>
      </c>
      <c r="Z357" s="1">
        <v>0</v>
      </c>
      <c r="AA357" s="1">
        <v>1154</v>
      </c>
      <c r="AB357" s="1">
        <v>0</v>
      </c>
      <c r="AC357" s="1">
        <v>0</v>
      </c>
      <c r="AD357">
        <v>0</v>
      </c>
      <c r="AF357" s="8" cm="1">
        <f t="array" aca="1" ref="AF357" ca="1">fScore_Total("ESPN",aCols)</f>
        <v>5.5079316619999998</v>
      </c>
      <c r="AG357" s="8" cm="1">
        <f t="array" aca="1" ref="AG357" ca="1">-fScore_Total("diff",aCols)</f>
        <v>0</v>
      </c>
      <c r="AH357" s="8">
        <f t="shared" ca="1" si="6"/>
        <v>5.5079316619999998</v>
      </c>
      <c r="AI357" s="8"/>
    </row>
    <row r="358" spans="1:35" x14ac:dyDescent="0.25">
      <c r="A358" t="s">
        <v>510</v>
      </c>
      <c r="B358" s="1" t="s">
        <v>601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1.5189063380000001</v>
      </c>
      <c r="N358" s="1">
        <v>0</v>
      </c>
      <c r="O358" s="1">
        <v>0.110274205</v>
      </c>
      <c r="P358" s="1">
        <v>0</v>
      </c>
      <c r="Q358" s="1">
        <v>0</v>
      </c>
      <c r="R358" s="1">
        <v>18.71329124</v>
      </c>
      <c r="S358" s="1">
        <v>0</v>
      </c>
      <c r="T358" s="1">
        <v>0</v>
      </c>
      <c r="U358" s="1">
        <v>0</v>
      </c>
      <c r="V358" s="1">
        <v>8.5073287999999997E-2</v>
      </c>
      <c r="W358" s="1">
        <v>0</v>
      </c>
      <c r="X358" s="1">
        <v>0</v>
      </c>
      <c r="Y358" s="1">
        <v>13.75970921</v>
      </c>
      <c r="Z358" s="1">
        <v>0</v>
      </c>
      <c r="AA358" s="1">
        <v>1153</v>
      </c>
      <c r="AB358" s="1">
        <v>0</v>
      </c>
      <c r="AC358" s="1">
        <v>0</v>
      </c>
      <c r="AD358">
        <v>0</v>
      </c>
      <c r="AF358" s="8" cm="1">
        <f t="array" aca="1" ref="AF358" ca="1">fScore_Total("ESPN",aCols)</f>
        <v>5.1788381719999999</v>
      </c>
      <c r="AG358" s="8" cm="1">
        <f t="array" aca="1" ref="AG358" ca="1">-fScore_Total("diff",aCols)</f>
        <v>0</v>
      </c>
      <c r="AH358" s="8">
        <f t="shared" ca="1" si="6"/>
        <v>5.1788381719999999</v>
      </c>
      <c r="AI358" s="8"/>
    </row>
    <row r="359" spans="1:35" x14ac:dyDescent="0.25">
      <c r="A359" t="s">
        <v>435</v>
      </c>
      <c r="B359" s="1" t="s">
        <v>600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3.7468928400000001</v>
      </c>
      <c r="N359" s="1">
        <v>0</v>
      </c>
      <c r="O359" s="1">
        <v>0.20158947299999999</v>
      </c>
      <c r="P359" s="1">
        <v>0</v>
      </c>
      <c r="Q359" s="1">
        <v>0</v>
      </c>
      <c r="R359" s="1">
        <v>26.29172397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1152</v>
      </c>
      <c r="AB359" s="1">
        <v>0</v>
      </c>
      <c r="AC359" s="1">
        <v>0</v>
      </c>
      <c r="AD359">
        <v>0</v>
      </c>
      <c r="AF359" s="8" cm="1">
        <f t="array" aca="1" ref="AF359" ca="1">fScore_Total("ESPN",aCols)</f>
        <v>5.7121556550000001</v>
      </c>
      <c r="AG359" s="8" cm="1">
        <f t="array" aca="1" ref="AG359" ca="1">-fScore_Total("diff",aCols)</f>
        <v>0</v>
      </c>
      <c r="AH359" s="8">
        <f t="shared" ca="1" si="6"/>
        <v>5.7121556550000001</v>
      </c>
      <c r="AI359" s="8"/>
    </row>
    <row r="360" spans="1:35" x14ac:dyDescent="0.25">
      <c r="A360" t="s">
        <v>434</v>
      </c>
      <c r="B360" s="1" t="s">
        <v>601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3.0879740469999999</v>
      </c>
      <c r="N360" s="1">
        <v>0</v>
      </c>
      <c r="O360" s="1">
        <v>0.204755891</v>
      </c>
      <c r="P360" s="1">
        <v>0</v>
      </c>
      <c r="Q360" s="1">
        <v>0</v>
      </c>
      <c r="R360" s="1">
        <v>34.759921919999996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1151</v>
      </c>
      <c r="AB360" s="1">
        <v>0</v>
      </c>
      <c r="AC360" s="1">
        <v>0</v>
      </c>
      <c r="AD360">
        <v>0</v>
      </c>
      <c r="AF360" s="8" cm="1">
        <f t="array" aca="1" ref="AF360" ca="1">fScore_Total("ESPN",aCols)</f>
        <v>6.2485145614999995</v>
      </c>
      <c r="AG360" s="8" cm="1">
        <f t="array" aca="1" ref="AG360" ca="1">-fScore_Total("diff",aCols)</f>
        <v>0</v>
      </c>
      <c r="AH360" s="8">
        <f t="shared" ca="1" si="6"/>
        <v>6.2485145614999995</v>
      </c>
      <c r="AI360" s="8"/>
    </row>
    <row r="361" spans="1:35" x14ac:dyDescent="0.25">
      <c r="A361" t="s">
        <v>432</v>
      </c>
      <c r="B361" s="1" t="s">
        <v>601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3.0387836369999999</v>
      </c>
      <c r="N361" s="1">
        <v>0</v>
      </c>
      <c r="O361" s="1">
        <v>0.19287833200000001</v>
      </c>
      <c r="P361" s="1">
        <v>0</v>
      </c>
      <c r="Q361" s="1">
        <v>0</v>
      </c>
      <c r="R361" s="1">
        <v>36.817153019999999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1150</v>
      </c>
      <c r="AB361" s="1">
        <v>0</v>
      </c>
      <c r="AC361" s="1">
        <v>0</v>
      </c>
      <c r="AD361">
        <v>0</v>
      </c>
      <c r="AF361" s="8" cm="1">
        <f t="array" aca="1" ref="AF361" ca="1">fScore_Total("ESPN",aCols)</f>
        <v>6.3583771124999995</v>
      </c>
      <c r="AG361" s="8" cm="1">
        <f t="array" aca="1" ref="AG361" ca="1">-fScore_Total("diff",aCols)</f>
        <v>0</v>
      </c>
      <c r="AH361" s="8">
        <f t="shared" ca="1" si="6"/>
        <v>6.3583771124999995</v>
      </c>
      <c r="AI361" s="8"/>
    </row>
    <row r="362" spans="1:35" x14ac:dyDescent="0.25">
      <c r="A362" t="s">
        <v>450</v>
      </c>
      <c r="B362" s="1" t="s">
        <v>601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1.5033212469999999</v>
      </c>
      <c r="N362" s="1">
        <v>0</v>
      </c>
      <c r="O362" s="1">
        <v>9.6289472000000001E-2</v>
      </c>
      <c r="P362" s="1">
        <v>0</v>
      </c>
      <c r="Q362" s="1">
        <v>0</v>
      </c>
      <c r="R362" s="1">
        <v>20.96232552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1169</v>
      </c>
      <c r="AB362" s="1">
        <v>0</v>
      </c>
      <c r="AC362" s="1">
        <v>0</v>
      </c>
      <c r="AD362">
        <v>0</v>
      </c>
      <c r="AF362" s="8" cm="1">
        <f t="array" aca="1" ref="AF362" ca="1">fScore_Total("ESPN",aCols)</f>
        <v>3.4256300075000001</v>
      </c>
      <c r="AG362" s="8" cm="1">
        <f t="array" aca="1" ref="AG362" ca="1">-fScore_Total("diff",aCols)</f>
        <v>0</v>
      </c>
      <c r="AH362" s="8">
        <f t="shared" ca="1" si="6"/>
        <v>3.4256300075000001</v>
      </c>
      <c r="AI362" s="8"/>
    </row>
    <row r="363" spans="1:35" x14ac:dyDescent="0.25">
      <c r="A363" t="s">
        <v>451</v>
      </c>
      <c r="B363" s="1" t="s">
        <v>603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1.9602740569999999</v>
      </c>
      <c r="N363" s="1">
        <v>0</v>
      </c>
      <c r="O363" s="1">
        <v>7.0842848999999999E-2</v>
      </c>
      <c r="P363" s="1">
        <v>0</v>
      </c>
      <c r="Q363" s="1">
        <v>0</v>
      </c>
      <c r="R363" s="1">
        <v>17.764535469999998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1170</v>
      </c>
      <c r="AB363" s="1">
        <v>0</v>
      </c>
      <c r="AC363" s="1">
        <v>0</v>
      </c>
      <c r="AD363">
        <v>0</v>
      </c>
      <c r="AF363" s="8" cm="1">
        <f t="array" aca="1" ref="AF363" ca="1">fScore_Total("ESPN",aCols)</f>
        <v>3.1816476695000002</v>
      </c>
      <c r="AG363" s="8" cm="1">
        <f t="array" aca="1" ref="AG363" ca="1">-fScore_Total("diff",aCols)</f>
        <v>0</v>
      </c>
      <c r="AH363" s="8">
        <f t="shared" ca="1" si="6"/>
        <v>3.1816476695000002</v>
      </c>
      <c r="AI363" s="8"/>
    </row>
    <row r="364" spans="1:35" x14ac:dyDescent="0.25">
      <c r="A364" t="s">
        <v>452</v>
      </c>
      <c r="B364" s="1" t="s">
        <v>600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2.0702701399999999</v>
      </c>
      <c r="N364" s="1">
        <v>0</v>
      </c>
      <c r="O364" s="1">
        <v>6.3849937999999995E-2</v>
      </c>
      <c r="P364" s="1">
        <v>0</v>
      </c>
      <c r="Q364" s="1">
        <v>0</v>
      </c>
      <c r="R364" s="1">
        <v>14.02100448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1171</v>
      </c>
      <c r="AB364" s="1">
        <v>0</v>
      </c>
      <c r="AC364" s="1">
        <v>0</v>
      </c>
      <c r="AD364">
        <v>0</v>
      </c>
      <c r="AF364" s="8" cm="1">
        <f t="array" aca="1" ref="AF364" ca="1">fScore_Total("ESPN",aCols)</f>
        <v>2.8203351460000001</v>
      </c>
      <c r="AG364" s="8" cm="1">
        <f t="array" aca="1" ref="AG364" ca="1">-fScore_Total("diff",aCols)</f>
        <v>0</v>
      </c>
      <c r="AH364" s="8">
        <f t="shared" ca="1" si="6"/>
        <v>2.8203351460000001</v>
      </c>
      <c r="AI364" s="8"/>
    </row>
    <row r="365" spans="1:35" x14ac:dyDescent="0.25">
      <c r="A365" t="s">
        <v>308</v>
      </c>
      <c r="B365" s="1" t="s">
        <v>602</v>
      </c>
      <c r="C365" s="1">
        <v>0</v>
      </c>
      <c r="D365" s="1">
        <v>1.666979585</v>
      </c>
      <c r="E365" s="1">
        <v>0</v>
      </c>
      <c r="F365" s="1">
        <v>0</v>
      </c>
      <c r="G365" s="1">
        <v>3.474105776</v>
      </c>
      <c r="H365" s="1">
        <v>0</v>
      </c>
      <c r="I365" s="1">
        <v>0</v>
      </c>
      <c r="J365" s="1">
        <v>467.16116529999999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0.21325454599999999</v>
      </c>
      <c r="W365" s="1">
        <v>0</v>
      </c>
      <c r="X365" s="1">
        <v>0</v>
      </c>
      <c r="Y365" s="1">
        <v>26.124125530000001</v>
      </c>
      <c r="Z365" s="1">
        <v>0</v>
      </c>
      <c r="AA365" s="1">
        <v>1014</v>
      </c>
      <c r="AB365" s="1">
        <v>0</v>
      </c>
      <c r="AC365" s="1">
        <v>0</v>
      </c>
      <c r="AD365">
        <v>0</v>
      </c>
      <c r="AF365" s="8" cm="1">
        <f t="array" aca="1" ref="AF365" ca="1">fScore_Total("ESPN",aCols)</f>
        <v>33.140850374999999</v>
      </c>
      <c r="AG365" s="8" cm="1">
        <f t="array" aca="1" ref="AG365" ca="1">-fScore_Total("diff",aCols)</f>
        <v>0</v>
      </c>
      <c r="AH365" s="8">
        <f t="shared" ca="1" si="6"/>
        <v>33.140850374999999</v>
      </c>
      <c r="AI365" s="8"/>
    </row>
    <row r="366" spans="1:35" x14ac:dyDescent="0.25">
      <c r="A366" t="s">
        <v>467</v>
      </c>
      <c r="B366" s="1" t="s">
        <v>600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1562</v>
      </c>
      <c r="AB366" s="1">
        <v>0</v>
      </c>
      <c r="AC366" s="1">
        <v>0</v>
      </c>
      <c r="AD366">
        <v>0</v>
      </c>
      <c r="AF366" s="8" cm="1">
        <f t="array" aca="1" ref="AF366" ca="1">fScore_Total("ESPN",aCols)</f>
        <v>0</v>
      </c>
      <c r="AG366" s="8" cm="1">
        <f t="array" aca="1" ref="AG366" ca="1">-fScore_Total("diff",aCols)</f>
        <v>0</v>
      </c>
      <c r="AH366" s="8">
        <f t="shared" ca="1" si="6"/>
        <v>0</v>
      </c>
      <c r="AI366" s="8"/>
    </row>
    <row r="367" spans="1:35" x14ac:dyDescent="0.25">
      <c r="A367" t="s">
        <v>466</v>
      </c>
      <c r="B367" s="1" t="s">
        <v>601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1453</v>
      </c>
      <c r="AB367" s="1">
        <v>0</v>
      </c>
      <c r="AC367" s="1">
        <v>0</v>
      </c>
      <c r="AD367">
        <v>0</v>
      </c>
      <c r="AF367" s="8" cm="1">
        <f t="array" aca="1" ref="AF367" ca="1">fScore_Total("ESPN",aCols)</f>
        <v>0</v>
      </c>
      <c r="AG367" s="8" cm="1">
        <f t="array" aca="1" ref="AG367" ca="1">-fScore_Total("diff",aCols)</f>
        <v>0</v>
      </c>
      <c r="AH367" s="8">
        <f t="shared" ca="1" si="6"/>
        <v>0</v>
      </c>
      <c r="AI367" s="8"/>
    </row>
    <row r="368" spans="1:35" x14ac:dyDescent="0.25">
      <c r="A368" t="s">
        <v>465</v>
      </c>
      <c r="B368" s="1" t="s">
        <v>601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1189</v>
      </c>
      <c r="AB368" s="1">
        <v>0</v>
      </c>
      <c r="AC368" s="1">
        <v>0</v>
      </c>
      <c r="AD368">
        <v>0</v>
      </c>
      <c r="AF368" s="8" cm="1">
        <f t="array" aca="1" ref="AF368" ca="1">fScore_Total("ESPN",aCols)</f>
        <v>0</v>
      </c>
      <c r="AG368" s="8" cm="1">
        <f t="array" aca="1" ref="AG368" ca="1">-fScore_Total("diff",aCols)</f>
        <v>0</v>
      </c>
      <c r="AH368" s="8">
        <f t="shared" ca="1" si="6"/>
        <v>0</v>
      </c>
      <c r="AI368" s="8"/>
    </row>
    <row r="369" spans="1:35" x14ac:dyDescent="0.25">
      <c r="A369" t="s">
        <v>464</v>
      </c>
      <c r="B369" s="1" t="s">
        <v>601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1188</v>
      </c>
      <c r="AB369" s="1">
        <v>0</v>
      </c>
      <c r="AC369" s="1">
        <v>0</v>
      </c>
      <c r="AD369">
        <v>0</v>
      </c>
      <c r="AF369" s="8" cm="1">
        <f t="array" aca="1" ref="AF369" ca="1">fScore_Total("ESPN",aCols)</f>
        <v>0</v>
      </c>
      <c r="AG369" s="8" cm="1">
        <f t="array" aca="1" ref="AG369" ca="1">-fScore_Total("diff",aCols)</f>
        <v>0</v>
      </c>
      <c r="AH369" s="8">
        <f t="shared" ca="1" si="6"/>
        <v>0</v>
      </c>
      <c r="AI369" s="8"/>
    </row>
    <row r="370" spans="1:35" x14ac:dyDescent="0.25">
      <c r="A370" t="s">
        <v>463</v>
      </c>
      <c r="B370" s="1" t="s">
        <v>601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1187</v>
      </c>
      <c r="AB370" s="1">
        <v>0</v>
      </c>
      <c r="AC370" s="1">
        <v>0</v>
      </c>
      <c r="AD370">
        <v>0</v>
      </c>
      <c r="AF370" s="8" cm="1">
        <f t="array" aca="1" ref="AF370" ca="1">fScore_Total("ESPN",aCols)</f>
        <v>0</v>
      </c>
      <c r="AG370" s="8" cm="1">
        <f t="array" aca="1" ref="AG370" ca="1">-fScore_Total("diff",aCols)</f>
        <v>0</v>
      </c>
      <c r="AH370" s="8">
        <f t="shared" ca="1" si="6"/>
        <v>0</v>
      </c>
      <c r="AI370" s="8"/>
    </row>
    <row r="371" spans="1:35" x14ac:dyDescent="0.25">
      <c r="A371" t="s">
        <v>462</v>
      </c>
      <c r="B371" s="1" t="s">
        <v>601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1186</v>
      </c>
      <c r="AB371" s="1">
        <v>0</v>
      </c>
      <c r="AC371" s="1">
        <v>0</v>
      </c>
      <c r="AD371">
        <v>0</v>
      </c>
      <c r="AF371" s="8" cm="1">
        <f t="array" aca="1" ref="AF371" ca="1">fScore_Total("ESPN",aCols)</f>
        <v>0</v>
      </c>
      <c r="AG371" s="8" cm="1">
        <f t="array" aca="1" ref="AG371" ca="1">-fScore_Total("diff",aCols)</f>
        <v>0</v>
      </c>
      <c r="AH371" s="8">
        <f t="shared" ca="1" si="6"/>
        <v>0</v>
      </c>
      <c r="AI371" s="8"/>
    </row>
    <row r="372" spans="1:35" x14ac:dyDescent="0.25">
      <c r="A372" t="s">
        <v>512</v>
      </c>
      <c r="B372" s="1" t="s">
        <v>600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1185</v>
      </c>
      <c r="AB372" s="1">
        <v>0</v>
      </c>
      <c r="AC372" s="1">
        <v>0</v>
      </c>
      <c r="AD372">
        <v>0</v>
      </c>
      <c r="AF372" s="8" cm="1">
        <f t="array" aca="1" ref="AF372" ca="1">fScore_Total("ESPN",aCols)</f>
        <v>0</v>
      </c>
      <c r="AG372" s="8" cm="1">
        <f t="array" aca="1" ref="AG372" ca="1">-fScore_Total("diff",aCols)</f>
        <v>0</v>
      </c>
      <c r="AH372" s="8">
        <f t="shared" ca="1" si="6"/>
        <v>0</v>
      </c>
      <c r="AI372" s="8"/>
    </row>
    <row r="373" spans="1:35" x14ac:dyDescent="0.25">
      <c r="A373" t="s">
        <v>461</v>
      </c>
      <c r="B373" s="1" t="s">
        <v>600</v>
      </c>
      <c r="C373" s="1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1184</v>
      </c>
      <c r="AB373" s="1">
        <v>0</v>
      </c>
      <c r="AC373" s="1">
        <v>0</v>
      </c>
      <c r="AD373">
        <v>0</v>
      </c>
      <c r="AF373" s="8" cm="1">
        <f t="array" aca="1" ref="AF373" ca="1">fScore_Total("ESPN",aCols)</f>
        <v>0</v>
      </c>
      <c r="AG373" s="8" cm="1">
        <f t="array" aca="1" ref="AG373" ca="1">-fScore_Total("diff",aCols)</f>
        <v>0</v>
      </c>
      <c r="AH373" s="8">
        <f t="shared" ca="1" si="6"/>
        <v>0</v>
      </c>
      <c r="AI373" s="8"/>
    </row>
    <row r="374" spans="1:35" x14ac:dyDescent="0.25">
      <c r="A374" t="s">
        <v>513</v>
      </c>
      <c r="B374" s="1" t="s">
        <v>601</v>
      </c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1182</v>
      </c>
      <c r="AB374" s="1">
        <v>0</v>
      </c>
      <c r="AC374" s="1">
        <v>0</v>
      </c>
      <c r="AD374">
        <v>0</v>
      </c>
      <c r="AF374" s="8" cm="1">
        <f t="array" aca="1" ref="AF374" ca="1">fScore_Total("ESPN",aCols)</f>
        <v>0</v>
      </c>
      <c r="AG374" s="8" cm="1">
        <f t="array" aca="1" ref="AG374" ca="1">-fScore_Total("diff",aCols)</f>
        <v>0</v>
      </c>
      <c r="AH374" s="8">
        <f t="shared" ca="1" si="6"/>
        <v>0</v>
      </c>
      <c r="AI374" s="8"/>
    </row>
    <row r="375" spans="1:35" x14ac:dyDescent="0.25">
      <c r="A375" t="s">
        <v>453</v>
      </c>
      <c r="B375" s="1" t="s">
        <v>603</v>
      </c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1.204570516</v>
      </c>
      <c r="N375" s="1">
        <v>0</v>
      </c>
      <c r="O375" s="1">
        <v>7.8854934000000002E-2</v>
      </c>
      <c r="P375" s="1">
        <v>0</v>
      </c>
      <c r="Q375" s="1">
        <v>0</v>
      </c>
      <c r="R375" s="1">
        <v>12.394176140000001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1172</v>
      </c>
      <c r="AB375" s="1">
        <v>0</v>
      </c>
      <c r="AC375" s="1">
        <v>0</v>
      </c>
      <c r="AD375">
        <v>0</v>
      </c>
      <c r="AF375" s="8" cm="1">
        <f t="array" aca="1" ref="AF375" ca="1">fScore_Total("ESPN",aCols)</f>
        <v>2.3148324760000003</v>
      </c>
      <c r="AG375" s="8" cm="1">
        <f t="array" aca="1" ref="AG375" ca="1">-fScore_Total("diff",aCols)</f>
        <v>0</v>
      </c>
      <c r="AH375" s="8">
        <f t="shared" ca="1" si="6"/>
        <v>2.3148324760000003</v>
      </c>
      <c r="AI375" s="8"/>
    </row>
    <row r="376" spans="1:35" x14ac:dyDescent="0.25">
      <c r="A376" t="s">
        <v>460</v>
      </c>
      <c r="B376" s="1" t="s">
        <v>601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1180</v>
      </c>
      <c r="AB376" s="1">
        <v>0</v>
      </c>
      <c r="AC376" s="1">
        <v>0</v>
      </c>
      <c r="AD376">
        <v>0</v>
      </c>
      <c r="AF376" s="8" cm="1">
        <f t="array" aca="1" ref="AF376" ca="1">fScore_Total("ESPN",aCols)</f>
        <v>0</v>
      </c>
      <c r="AG376" s="8" cm="1">
        <f t="array" aca="1" ref="AG376" ca="1">-fScore_Total("diff",aCols)</f>
        <v>0</v>
      </c>
      <c r="AH376" s="8">
        <f t="shared" ca="1" si="6"/>
        <v>0</v>
      </c>
      <c r="AI376" s="8"/>
    </row>
    <row r="377" spans="1:35" x14ac:dyDescent="0.25">
      <c r="A377" t="s">
        <v>459</v>
      </c>
      <c r="B377" s="1" t="s">
        <v>601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1179</v>
      </c>
      <c r="AB377" s="1">
        <v>0</v>
      </c>
      <c r="AC377" s="1">
        <v>0</v>
      </c>
      <c r="AD377">
        <v>0</v>
      </c>
      <c r="AF377" s="8" cm="1">
        <f t="array" aca="1" ref="AF377" ca="1">fScore_Total("ESPN",aCols)</f>
        <v>0</v>
      </c>
      <c r="AG377" s="8" cm="1">
        <f t="array" aca="1" ref="AG377" ca="1">-fScore_Total("diff",aCols)</f>
        <v>0</v>
      </c>
      <c r="AH377" s="8">
        <f t="shared" ca="1" si="6"/>
        <v>0</v>
      </c>
      <c r="AI377" s="8"/>
    </row>
    <row r="378" spans="1:35" x14ac:dyDescent="0.25">
      <c r="A378" t="s">
        <v>458</v>
      </c>
      <c r="B378" s="1" t="s">
        <v>601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1178</v>
      </c>
      <c r="AB378" s="1">
        <v>0</v>
      </c>
      <c r="AC378" s="1">
        <v>0</v>
      </c>
      <c r="AD378">
        <v>0</v>
      </c>
      <c r="AF378" s="8" cm="1">
        <f t="array" aca="1" ref="AF378" ca="1">fScore_Total("ESPN",aCols)</f>
        <v>0</v>
      </c>
      <c r="AG378" s="8" cm="1">
        <f t="array" aca="1" ref="AG378" ca="1">-fScore_Total("diff",aCols)</f>
        <v>0</v>
      </c>
      <c r="AH378" s="8">
        <f t="shared" ca="1" si="6"/>
        <v>0</v>
      </c>
      <c r="AI378" s="8"/>
    </row>
    <row r="379" spans="1:35" x14ac:dyDescent="0.25">
      <c r="A379" t="s">
        <v>457</v>
      </c>
      <c r="B379" s="1" t="s">
        <v>601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1177</v>
      </c>
      <c r="AB379" s="1">
        <v>0</v>
      </c>
      <c r="AC379" s="1">
        <v>0</v>
      </c>
      <c r="AD379">
        <v>0</v>
      </c>
      <c r="AF379" s="8" cm="1">
        <f t="array" aca="1" ref="AF379" ca="1">fScore_Total("ESPN",aCols)</f>
        <v>0</v>
      </c>
      <c r="AG379" s="8" cm="1">
        <f t="array" aca="1" ref="AG379" ca="1">-fScore_Total("diff",aCols)</f>
        <v>0</v>
      </c>
      <c r="AH379" s="8">
        <f t="shared" ca="1" si="6"/>
        <v>0</v>
      </c>
      <c r="AI379" s="8"/>
    </row>
    <row r="380" spans="1:35" x14ac:dyDescent="0.25">
      <c r="A380" t="s">
        <v>648</v>
      </c>
      <c r="B380" s="1" t="s">
        <v>601</v>
      </c>
      <c r="C380" s="1">
        <v>0</v>
      </c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  <c r="M380" s="1">
        <v>0.86240842399999995</v>
      </c>
      <c r="N380" s="1">
        <v>0</v>
      </c>
      <c r="O380" s="1">
        <v>4.8612586999999999E-2</v>
      </c>
      <c r="P380" s="1">
        <v>0</v>
      </c>
      <c r="Q380" s="1">
        <v>0</v>
      </c>
      <c r="R380" s="1">
        <v>9.2674956430000002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1176</v>
      </c>
      <c r="AB380" s="1">
        <v>0</v>
      </c>
      <c r="AC380" s="1">
        <v>0</v>
      </c>
      <c r="AD380">
        <v>0</v>
      </c>
      <c r="AF380" s="8" cm="1">
        <f t="array" aca="1" ref="AF380" ca="1">fScore_Total("ESPN",aCols)</f>
        <v>1.6496292983</v>
      </c>
      <c r="AG380" s="8" cm="1">
        <f t="array" aca="1" ref="AG380" ca="1">-fScore_Total("diff",aCols)</f>
        <v>0</v>
      </c>
      <c r="AH380" s="8">
        <f t="shared" ca="1" si="6"/>
        <v>1.6496292983</v>
      </c>
      <c r="AI380" s="8"/>
    </row>
    <row r="381" spans="1:35" x14ac:dyDescent="0.25">
      <c r="A381" t="s">
        <v>456</v>
      </c>
      <c r="B381" s="1" t="s">
        <v>600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9.0732973999999994E-2</v>
      </c>
      <c r="W381" s="1">
        <v>0</v>
      </c>
      <c r="X381" s="1">
        <v>0</v>
      </c>
      <c r="Y381" s="1">
        <v>16.467621380000001</v>
      </c>
      <c r="Z381" s="1">
        <v>0</v>
      </c>
      <c r="AA381" s="1">
        <v>1175</v>
      </c>
      <c r="AB381" s="1">
        <v>0</v>
      </c>
      <c r="AC381" s="1">
        <v>0</v>
      </c>
      <c r="AD381">
        <v>0</v>
      </c>
      <c r="AF381" s="8" cm="1">
        <f t="array" aca="1" ref="AF381" ca="1">fScore_Total("ESPN",aCols)</f>
        <v>2.1911599820000003</v>
      </c>
      <c r="AG381" s="8" cm="1">
        <f t="array" aca="1" ref="AG381" ca="1">-fScore_Total("diff",aCols)</f>
        <v>0</v>
      </c>
      <c r="AH381" s="8">
        <f t="shared" ca="1" si="6"/>
        <v>2.1911599820000003</v>
      </c>
      <c r="AI381" s="8"/>
    </row>
    <row r="382" spans="1:35" x14ac:dyDescent="0.25">
      <c r="A382" t="s">
        <v>455</v>
      </c>
      <c r="B382" s="1" t="s">
        <v>600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9.8122659000000001E-2</v>
      </c>
      <c r="W382" s="1">
        <v>0</v>
      </c>
      <c r="X382" s="1">
        <v>0</v>
      </c>
      <c r="Y382" s="1">
        <v>16.81076298</v>
      </c>
      <c r="Z382" s="1">
        <v>0</v>
      </c>
      <c r="AA382" s="1">
        <v>1174</v>
      </c>
      <c r="AB382" s="1">
        <v>0</v>
      </c>
      <c r="AC382" s="1">
        <v>0</v>
      </c>
      <c r="AD382">
        <v>0</v>
      </c>
      <c r="AF382" s="8" cm="1">
        <f t="array" aca="1" ref="AF382" ca="1">fScore_Total("ESPN",aCols)</f>
        <v>2.2698122519999999</v>
      </c>
      <c r="AG382" s="8" cm="1">
        <f t="array" aca="1" ref="AG382" ca="1">-fScore_Total("diff",aCols)</f>
        <v>0</v>
      </c>
      <c r="AH382" s="8">
        <f t="shared" ca="1" si="6"/>
        <v>2.2698122519999999</v>
      </c>
      <c r="AI382" s="8"/>
    </row>
    <row r="383" spans="1:35" x14ac:dyDescent="0.25">
      <c r="A383" t="s">
        <v>454</v>
      </c>
      <c r="B383" s="1" t="s">
        <v>600</v>
      </c>
      <c r="C383" s="1">
        <v>0</v>
      </c>
      <c r="D383" s="1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0.12448890899999999</v>
      </c>
      <c r="W383" s="1">
        <v>0</v>
      </c>
      <c r="X383" s="1">
        <v>0</v>
      </c>
      <c r="Y383" s="1">
        <v>17.070181789999999</v>
      </c>
      <c r="Z383" s="1">
        <v>0</v>
      </c>
      <c r="AA383" s="1">
        <v>1173</v>
      </c>
      <c r="AB383" s="1">
        <v>0</v>
      </c>
      <c r="AC383" s="1">
        <v>0</v>
      </c>
      <c r="AD383">
        <v>0</v>
      </c>
      <c r="AF383" s="8" cm="1">
        <f t="array" aca="1" ref="AF383" ca="1">fScore_Total("ESPN",aCols)</f>
        <v>2.453951633</v>
      </c>
      <c r="AG383" s="8" cm="1">
        <f t="array" aca="1" ref="AG383" ca="1">-fScore_Total("diff",aCols)</f>
        <v>0</v>
      </c>
      <c r="AH383" s="8">
        <f t="shared" ca="1" si="6"/>
        <v>2.453951633</v>
      </c>
      <c r="AI383" s="8"/>
    </row>
    <row r="384" spans="1:35" x14ac:dyDescent="0.25">
      <c r="A384" t="s">
        <v>431</v>
      </c>
      <c r="B384" s="1" t="s">
        <v>601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  <c r="M384" s="1">
        <v>3.3770170259999999</v>
      </c>
      <c r="N384" s="1">
        <v>0</v>
      </c>
      <c r="O384" s="1">
        <v>0.15891849</v>
      </c>
      <c r="P384" s="1">
        <v>0</v>
      </c>
      <c r="Q384" s="1">
        <v>0</v>
      </c>
      <c r="R384" s="1">
        <v>37.996578169999999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1149</v>
      </c>
      <c r="AB384" s="1">
        <v>0</v>
      </c>
      <c r="AC384" s="1">
        <v>0</v>
      </c>
      <c r="AD384">
        <v>0</v>
      </c>
      <c r="AF384" s="8" cm="1">
        <f t="array" aca="1" ref="AF384" ca="1">fScore_Total("ESPN",aCols)</f>
        <v>6.4416772699999996</v>
      </c>
      <c r="AG384" s="8" cm="1">
        <f t="array" aca="1" ref="AG384" ca="1">-fScore_Total("diff",aCols)</f>
        <v>0</v>
      </c>
      <c r="AH384" s="8">
        <f t="shared" ca="1" si="6"/>
        <v>6.4416772699999996</v>
      </c>
      <c r="AI384" s="8"/>
    </row>
    <row r="385" spans="1:35" x14ac:dyDescent="0.25">
      <c r="A385" t="s">
        <v>429</v>
      </c>
      <c r="B385" s="1" t="s">
        <v>603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  <c r="M385" s="1">
        <v>3.259721716</v>
      </c>
      <c r="N385" s="1">
        <v>0</v>
      </c>
      <c r="O385" s="1">
        <v>0.28269921599999998</v>
      </c>
      <c r="P385" s="1">
        <v>0</v>
      </c>
      <c r="Q385" s="1">
        <v>0</v>
      </c>
      <c r="R385" s="1">
        <v>32.203752950000002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1147</v>
      </c>
      <c r="AB385" s="1">
        <v>0</v>
      </c>
      <c r="AC385" s="1">
        <v>0</v>
      </c>
      <c r="AD385">
        <v>0</v>
      </c>
      <c r="AF385" s="8" cm="1">
        <f t="array" aca="1" ref="AF385" ca="1">fScore_Total("ESPN",aCols)</f>
        <v>6.546431449</v>
      </c>
      <c r="AG385" s="8" cm="1">
        <f t="array" aca="1" ref="AG385" ca="1">-fScore_Total("diff",aCols)</f>
        <v>0</v>
      </c>
      <c r="AH385" s="8">
        <f t="shared" ca="1" si="6"/>
        <v>6.546431449</v>
      </c>
      <c r="AI385" s="8"/>
    </row>
    <row r="386" spans="1:35" x14ac:dyDescent="0.25">
      <c r="A386" t="s">
        <v>515</v>
      </c>
      <c r="B386" s="1" t="s">
        <v>603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3.9946734589999999</v>
      </c>
      <c r="N386" s="1">
        <v>0</v>
      </c>
      <c r="O386" s="1">
        <v>0.33484033800000002</v>
      </c>
      <c r="P386" s="1">
        <v>0</v>
      </c>
      <c r="Q386" s="1">
        <v>0</v>
      </c>
      <c r="R386" s="1">
        <v>40.935541649999998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1104</v>
      </c>
      <c r="AB386" s="1">
        <v>0</v>
      </c>
      <c r="AC386" s="1">
        <v>0</v>
      </c>
      <c r="AD386">
        <v>0</v>
      </c>
      <c r="AF386" s="8" cm="1">
        <f t="array" aca="1" ref="AF386" ca="1">fScore_Total("ESPN",aCols)</f>
        <v>8.099932922499999</v>
      </c>
      <c r="AG386" s="8" cm="1">
        <f t="array" aca="1" ref="AG386" ca="1">-fScore_Total("diff",aCols)</f>
        <v>0</v>
      </c>
      <c r="AH386" s="8">
        <f t="shared" ca="1" si="6"/>
        <v>8.099932922499999</v>
      </c>
      <c r="AI386" s="8"/>
    </row>
    <row r="387" spans="1:35" x14ac:dyDescent="0.25">
      <c r="A387" t="s">
        <v>427</v>
      </c>
      <c r="B387" s="1" t="s">
        <v>603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  <c r="M387" s="1">
        <v>3.5928897580000001</v>
      </c>
      <c r="N387" s="1">
        <v>0</v>
      </c>
      <c r="O387" s="1">
        <v>0.19507893700000001</v>
      </c>
      <c r="P387" s="1">
        <v>0</v>
      </c>
      <c r="Q387" s="1">
        <v>0</v>
      </c>
      <c r="R387" s="1">
        <v>35.627105370000002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1146</v>
      </c>
      <c r="AB387" s="1">
        <v>0</v>
      </c>
      <c r="AC387" s="1">
        <v>0</v>
      </c>
      <c r="AD387">
        <v>0</v>
      </c>
      <c r="AF387" s="8" cm="1">
        <f t="array" aca="1" ref="AF387" ca="1">fScore_Total("ESPN",aCols)</f>
        <v>6.5296290380000013</v>
      </c>
      <c r="AG387" s="8" cm="1">
        <f t="array" aca="1" ref="AG387" ca="1">-fScore_Total("diff",aCols)</f>
        <v>0</v>
      </c>
      <c r="AH387" s="8">
        <f t="shared" ca="1" si="6"/>
        <v>6.5296290380000013</v>
      </c>
      <c r="AI387" s="8"/>
    </row>
    <row r="388" spans="1:35" x14ac:dyDescent="0.25">
      <c r="A388" t="s">
        <v>406</v>
      </c>
      <c r="B388" s="1" t="s">
        <v>601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3.3373089729999998</v>
      </c>
      <c r="N388" s="1">
        <v>0</v>
      </c>
      <c r="O388" s="1">
        <v>0.31245035900000001</v>
      </c>
      <c r="P388" s="1">
        <v>0</v>
      </c>
      <c r="Q388" s="1">
        <v>0</v>
      </c>
      <c r="R388" s="1">
        <v>36.135768380000002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1123</v>
      </c>
      <c r="AB388" s="1">
        <v>0</v>
      </c>
      <c r="AC388" s="1">
        <v>0</v>
      </c>
      <c r="AD388">
        <v>0</v>
      </c>
      <c r="AF388" s="8" cm="1">
        <f t="array" aca="1" ref="AF388" ca="1">fScore_Total("ESPN",aCols)</f>
        <v>7.1569334785000001</v>
      </c>
      <c r="AG388" s="8" cm="1">
        <f t="array" aca="1" ref="AG388" ca="1">-fScore_Total("diff",aCols)</f>
        <v>0</v>
      </c>
      <c r="AH388" s="8">
        <f t="shared" ca="1" si="6"/>
        <v>7.1569334785000001</v>
      </c>
      <c r="AI388" s="8"/>
    </row>
    <row r="389" spans="1:35" x14ac:dyDescent="0.25">
      <c r="A389" t="s">
        <v>405</v>
      </c>
      <c r="B389" s="1" t="s">
        <v>603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  <c r="M389" s="1">
        <v>4.0386993029999996</v>
      </c>
      <c r="N389" s="1">
        <v>0</v>
      </c>
      <c r="O389" s="1">
        <v>0.23250821499999999</v>
      </c>
      <c r="P389" s="1">
        <v>0</v>
      </c>
      <c r="Q389" s="1">
        <v>0</v>
      </c>
      <c r="R389" s="1">
        <v>36.769336150000001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1122</v>
      </c>
      <c r="AB389" s="1">
        <v>0</v>
      </c>
      <c r="AC389" s="1">
        <v>0</v>
      </c>
      <c r="AD389">
        <v>0</v>
      </c>
      <c r="AF389" s="8" cm="1">
        <f t="array" aca="1" ref="AF389" ca="1">fScore_Total("ESPN",aCols)</f>
        <v>7.0913325565000003</v>
      </c>
      <c r="AG389" s="8" cm="1">
        <f t="array" aca="1" ref="AG389" ca="1">-fScore_Total("diff",aCols)</f>
        <v>0</v>
      </c>
      <c r="AH389" s="8">
        <f t="shared" ca="1" si="6"/>
        <v>7.0913325565000003</v>
      </c>
      <c r="AI389" s="8"/>
    </row>
    <row r="390" spans="1:35" x14ac:dyDescent="0.25">
      <c r="A390" t="s">
        <v>404</v>
      </c>
      <c r="B390" s="1" t="s">
        <v>603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3.707213173</v>
      </c>
      <c r="N390" s="1">
        <v>0</v>
      </c>
      <c r="O390" s="1">
        <v>0.33875965600000002</v>
      </c>
      <c r="P390" s="1">
        <v>0</v>
      </c>
      <c r="Q390" s="1">
        <v>0</v>
      </c>
      <c r="R390" s="1">
        <v>34.312563730000001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1121</v>
      </c>
      <c r="AB390" s="1">
        <v>0</v>
      </c>
      <c r="AC390" s="1">
        <v>0</v>
      </c>
      <c r="AD390">
        <v>0</v>
      </c>
      <c r="AF390" s="8" cm="1">
        <f t="array" aca="1" ref="AF390" ca="1">fScore_Total("ESPN",aCols)</f>
        <v>7.3174208954999997</v>
      </c>
      <c r="AG390" s="8" cm="1">
        <f t="array" aca="1" ref="AG390" ca="1">-fScore_Total("diff",aCols)</f>
        <v>0</v>
      </c>
      <c r="AH390" s="8">
        <f t="shared" ca="1" si="6"/>
        <v>7.3174208954999997</v>
      </c>
      <c r="AI390" s="8"/>
    </row>
    <row r="391" spans="1:35" x14ac:dyDescent="0.25">
      <c r="A391" t="s">
        <v>403</v>
      </c>
      <c r="B391" s="1" t="s">
        <v>601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  <c r="M391" s="1">
        <v>3.1101687070000001</v>
      </c>
      <c r="N391" s="1">
        <v>0</v>
      </c>
      <c r="O391" s="1">
        <v>0.229394562</v>
      </c>
      <c r="P391" s="1">
        <v>0</v>
      </c>
      <c r="Q391" s="1">
        <v>0</v>
      </c>
      <c r="R391" s="1">
        <v>38.535138830000001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1120</v>
      </c>
      <c r="AB391" s="1">
        <v>0</v>
      </c>
      <c r="AC391" s="1">
        <v>0</v>
      </c>
      <c r="AD391">
        <v>0</v>
      </c>
      <c r="AF391" s="8" cm="1">
        <f t="array" aca="1" ref="AF391" ca="1">fScore_Total("ESPN",aCols)</f>
        <v>6.7849656085000003</v>
      </c>
      <c r="AG391" s="8" cm="1">
        <f t="array" aca="1" ref="AG391" ca="1">-fScore_Total("diff",aCols)</f>
        <v>0</v>
      </c>
      <c r="AH391" s="8">
        <f t="shared" ca="1" si="6"/>
        <v>6.7849656085000003</v>
      </c>
      <c r="AI391" s="8"/>
    </row>
    <row r="392" spans="1:35" x14ac:dyDescent="0.25">
      <c r="A392" t="s">
        <v>402</v>
      </c>
      <c r="B392" s="1" t="s">
        <v>603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3.7628096430000002</v>
      </c>
      <c r="N392" s="1">
        <v>0</v>
      </c>
      <c r="O392" s="1">
        <v>0.297536099</v>
      </c>
      <c r="P392" s="1">
        <v>0</v>
      </c>
      <c r="Q392" s="1">
        <v>0</v>
      </c>
      <c r="R392" s="1">
        <v>36.302751829999998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1119</v>
      </c>
      <c r="AB392" s="1">
        <v>0</v>
      </c>
      <c r="AC392" s="1">
        <v>0</v>
      </c>
      <c r="AD392">
        <v>0</v>
      </c>
      <c r="AF392" s="8" cm="1">
        <f t="array" aca="1" ref="AF392" ca="1">fScore_Total("ESPN",aCols)</f>
        <v>7.2968965985000001</v>
      </c>
      <c r="AG392" s="8" cm="1">
        <f t="array" aca="1" ref="AG392" ca="1">-fScore_Total("diff",aCols)</f>
        <v>0</v>
      </c>
      <c r="AH392" s="8">
        <f t="shared" ca="1" si="6"/>
        <v>7.2968965985000001</v>
      </c>
      <c r="AI392" s="8"/>
    </row>
    <row r="393" spans="1:35" x14ac:dyDescent="0.25">
      <c r="A393" t="s">
        <v>497</v>
      </c>
      <c r="B393" s="1" t="s">
        <v>600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  <c r="M393" s="1">
        <v>4.5195312909999998</v>
      </c>
      <c r="N393" s="1">
        <v>0</v>
      </c>
      <c r="O393" s="1">
        <v>0.105315138</v>
      </c>
      <c r="P393" s="1">
        <v>0</v>
      </c>
      <c r="Q393" s="1">
        <v>0</v>
      </c>
      <c r="R393" s="1">
        <v>29.381924510000001</v>
      </c>
      <c r="S393" s="1">
        <v>0</v>
      </c>
      <c r="T393" s="1">
        <v>0</v>
      </c>
      <c r="U393" s="1">
        <v>0</v>
      </c>
      <c r="V393" s="1">
        <v>5.8113369999999998E-2</v>
      </c>
      <c r="W393" s="1">
        <v>0</v>
      </c>
      <c r="X393" s="1">
        <v>0</v>
      </c>
      <c r="Y393" s="1">
        <v>8.0770852099999999</v>
      </c>
      <c r="Z393" s="1">
        <v>0</v>
      </c>
      <c r="AA393" s="1">
        <v>1118</v>
      </c>
      <c r="AB393" s="1">
        <v>0</v>
      </c>
      <c r="AC393" s="1">
        <v>0</v>
      </c>
      <c r="AD393">
        <v>0</v>
      </c>
      <c r="AF393" s="8" cm="1">
        <f t="array" aca="1" ref="AF393" ca="1">fScore_Total("ESPN",aCols)</f>
        <v>6.9862376655000009</v>
      </c>
      <c r="AG393" s="8" cm="1">
        <f t="array" aca="1" ref="AG393" ca="1">-fScore_Total("diff",aCols)</f>
        <v>0</v>
      </c>
      <c r="AH393" s="8">
        <f t="shared" ca="1" si="6"/>
        <v>6.9862376655000009</v>
      </c>
      <c r="AI393" s="8"/>
    </row>
    <row r="394" spans="1:35" x14ac:dyDescent="0.25">
      <c r="A394" t="s">
        <v>401</v>
      </c>
      <c r="B394" s="1" t="s">
        <v>603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  <c r="M394" s="1">
        <v>4.2060136469999998</v>
      </c>
      <c r="N394" s="1">
        <v>0</v>
      </c>
      <c r="O394" s="1">
        <v>0.21308496299999999</v>
      </c>
      <c r="P394" s="1">
        <v>0</v>
      </c>
      <c r="Q394" s="1">
        <v>0</v>
      </c>
      <c r="R394" s="1">
        <v>37.967315820000003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1117</v>
      </c>
      <c r="AB394" s="1">
        <v>0</v>
      </c>
      <c r="AC394" s="1">
        <v>0</v>
      </c>
      <c r="AD394">
        <v>0</v>
      </c>
      <c r="AF394" s="8" cm="1">
        <f t="array" aca="1" ref="AF394" ca="1">fScore_Total("ESPN",aCols)</f>
        <v>7.1782481835</v>
      </c>
      <c r="AG394" s="8" cm="1">
        <f t="array" aca="1" ref="AG394" ca="1">-fScore_Total("diff",aCols)</f>
        <v>0</v>
      </c>
      <c r="AH394" s="8">
        <f t="shared" ca="1" si="6"/>
        <v>7.1782481835</v>
      </c>
      <c r="AI394" s="8"/>
    </row>
    <row r="395" spans="1:35" x14ac:dyDescent="0.25">
      <c r="A395" t="s">
        <v>400</v>
      </c>
      <c r="B395" s="1" t="s">
        <v>600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1.8828873960000001</v>
      </c>
      <c r="N395" s="1">
        <v>0</v>
      </c>
      <c r="O395" s="1">
        <v>6.9649925000000001E-2</v>
      </c>
      <c r="P395" s="1">
        <v>0</v>
      </c>
      <c r="Q395" s="1">
        <v>0</v>
      </c>
      <c r="R395" s="1">
        <v>13.04399776</v>
      </c>
      <c r="S395" s="1">
        <v>0</v>
      </c>
      <c r="T395" s="1">
        <v>0</v>
      </c>
      <c r="U395" s="1">
        <v>0</v>
      </c>
      <c r="V395" s="1">
        <v>0.28661799700000001</v>
      </c>
      <c r="W395" s="1">
        <v>0</v>
      </c>
      <c r="X395" s="1">
        <v>0</v>
      </c>
      <c r="Y395" s="1">
        <v>40.364839500000002</v>
      </c>
      <c r="Z395" s="1">
        <v>0</v>
      </c>
      <c r="AA395" s="1">
        <v>1116</v>
      </c>
      <c r="AB395" s="1">
        <v>0</v>
      </c>
      <c r="AC395" s="1">
        <v>0</v>
      </c>
      <c r="AD395">
        <v>0</v>
      </c>
      <c r="AF395" s="8" cm="1">
        <f t="array" aca="1" ref="AF395" ca="1">fScore_Total("ESPN",aCols)</f>
        <v>8.4199349560000005</v>
      </c>
      <c r="AG395" s="8" cm="1">
        <f t="array" aca="1" ref="AG395" ca="1">-fScore_Total("diff",aCols)</f>
        <v>0</v>
      </c>
      <c r="AH395" s="8">
        <f t="shared" ca="1" si="6"/>
        <v>8.4199349560000005</v>
      </c>
      <c r="AI395" s="8"/>
    </row>
    <row r="396" spans="1:35" x14ac:dyDescent="0.25">
      <c r="A396" t="s">
        <v>399</v>
      </c>
      <c r="B396" s="1" t="s">
        <v>603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3.6737646900000001</v>
      </c>
      <c r="N396" s="1">
        <v>0</v>
      </c>
      <c r="O396" s="1">
        <v>0.33245310500000003</v>
      </c>
      <c r="P396" s="1">
        <v>0</v>
      </c>
      <c r="Q396" s="1">
        <v>0</v>
      </c>
      <c r="R396" s="1">
        <v>36.59054794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1115</v>
      </c>
      <c r="AB396" s="1">
        <v>0</v>
      </c>
      <c r="AC396" s="1">
        <v>0</v>
      </c>
      <c r="AD396">
        <v>0</v>
      </c>
      <c r="AF396" s="8" cm="1">
        <f t="array" aca="1" ref="AF396" ca="1">fScore_Total("ESPN",aCols)</f>
        <v>7.490655769</v>
      </c>
      <c r="AG396" s="8" cm="1">
        <f t="array" aca="1" ref="AG396" ca="1">-fScore_Total("diff",aCols)</f>
        <v>0</v>
      </c>
      <c r="AH396" s="8">
        <f t="shared" ca="1" si="6"/>
        <v>7.490655769</v>
      </c>
      <c r="AI396" s="8"/>
    </row>
    <row r="397" spans="1:35" x14ac:dyDescent="0.25">
      <c r="A397" t="s">
        <v>398</v>
      </c>
      <c r="B397" s="1" t="s">
        <v>603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3.9646651140000002</v>
      </c>
      <c r="N397" s="1">
        <v>0</v>
      </c>
      <c r="O397" s="1">
        <v>0.29308577000000002</v>
      </c>
      <c r="P397" s="1">
        <v>0</v>
      </c>
      <c r="Q397" s="1">
        <v>0</v>
      </c>
      <c r="R397" s="1">
        <v>36.842226349999997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1114</v>
      </c>
      <c r="AB397" s="1">
        <v>0</v>
      </c>
      <c r="AC397" s="1">
        <v>0</v>
      </c>
      <c r="AD397">
        <v>0</v>
      </c>
      <c r="AF397" s="8" cm="1">
        <f t="array" aca="1" ref="AF397" ca="1">fScore_Total("ESPN",aCols)</f>
        <v>7.4250698120000003</v>
      </c>
      <c r="AG397" s="8" cm="1">
        <f t="array" aca="1" ref="AG397" ca="1">-fScore_Total("diff",aCols)</f>
        <v>0</v>
      </c>
      <c r="AH397" s="8">
        <f t="shared" ca="1" si="6"/>
        <v>7.4250698120000003</v>
      </c>
      <c r="AI397" s="8"/>
    </row>
    <row r="398" spans="1:35" x14ac:dyDescent="0.25">
      <c r="A398" t="s">
        <v>397</v>
      </c>
      <c r="B398" s="1" t="s">
        <v>603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3.712659999</v>
      </c>
      <c r="N398" s="1">
        <v>0</v>
      </c>
      <c r="O398" s="1">
        <v>0.32463642599999998</v>
      </c>
      <c r="P398" s="1">
        <v>0</v>
      </c>
      <c r="Q398" s="1">
        <v>0</v>
      </c>
      <c r="R398" s="1">
        <v>37.385198080000002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1113</v>
      </c>
      <c r="AB398" s="1">
        <v>0</v>
      </c>
      <c r="AC398" s="1">
        <v>0</v>
      </c>
      <c r="AD398">
        <v>0</v>
      </c>
      <c r="AF398" s="8" cm="1">
        <f t="array" aca="1" ref="AF398" ca="1">fScore_Total("ESPN",aCols)</f>
        <v>7.5426683635000007</v>
      </c>
      <c r="AG398" s="8" cm="1">
        <f t="array" aca="1" ref="AG398" ca="1">-fScore_Total("diff",aCols)</f>
        <v>0</v>
      </c>
      <c r="AH398" s="8">
        <f t="shared" ca="1" si="6"/>
        <v>7.5426683635000007</v>
      </c>
      <c r="AI398" s="8"/>
    </row>
    <row r="399" spans="1:35" x14ac:dyDescent="0.25">
      <c r="A399" t="s">
        <v>396</v>
      </c>
      <c r="B399" s="1" t="s">
        <v>601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3.4594605110000001</v>
      </c>
      <c r="N399" s="1">
        <v>0</v>
      </c>
      <c r="O399" s="1">
        <v>0.339998472</v>
      </c>
      <c r="P399" s="1">
        <v>0</v>
      </c>
      <c r="Q399" s="1">
        <v>0</v>
      </c>
      <c r="R399" s="1">
        <v>39.75455213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1112</v>
      </c>
      <c r="AB399" s="1">
        <v>0</v>
      </c>
      <c r="AC399" s="1">
        <v>0</v>
      </c>
      <c r="AD399">
        <v>0</v>
      </c>
      <c r="AF399" s="8" cm="1">
        <f t="array" aca="1" ref="AF399" ca="1">fScore_Total("ESPN",aCols)</f>
        <v>7.7451763004999998</v>
      </c>
      <c r="AG399" s="8" cm="1">
        <f t="array" aca="1" ref="AG399" ca="1">-fScore_Total("diff",aCols)</f>
        <v>0</v>
      </c>
      <c r="AH399" s="8">
        <f t="shared" ca="1" si="6"/>
        <v>7.7451763004999998</v>
      </c>
      <c r="AI399" s="8"/>
    </row>
    <row r="400" spans="1:35" x14ac:dyDescent="0.25">
      <c r="A400" t="s">
        <v>514</v>
      </c>
      <c r="B400" s="1" t="s">
        <v>603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  <c r="M400" s="1">
        <v>3.5445097470000002</v>
      </c>
      <c r="N400" s="1">
        <v>0</v>
      </c>
      <c r="O400" s="1">
        <v>0.41834180399999998</v>
      </c>
      <c r="P400" s="1">
        <v>0</v>
      </c>
      <c r="Q400" s="1">
        <v>0</v>
      </c>
      <c r="R400" s="1">
        <v>35.769358660000002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1109</v>
      </c>
      <c r="AB400" s="1">
        <v>0</v>
      </c>
      <c r="AC400" s="1">
        <v>0</v>
      </c>
      <c r="AD400">
        <v>0</v>
      </c>
      <c r="AF400" s="8" cm="1">
        <f t="array" aca="1" ref="AF400" ca="1">fScore_Total("ESPN",aCols)</f>
        <v>7.8592415635000004</v>
      </c>
      <c r="AG400" s="8" cm="1">
        <f t="array" aca="1" ref="AG400" ca="1">-fScore_Total("diff",aCols)</f>
        <v>0</v>
      </c>
      <c r="AH400" s="8">
        <f t="shared" ca="1" si="6"/>
        <v>7.8592415635000004</v>
      </c>
      <c r="AI400" s="8"/>
    </row>
    <row r="401" spans="1:35" x14ac:dyDescent="0.25">
      <c r="A401" t="s">
        <v>393</v>
      </c>
      <c r="B401" s="1" t="s">
        <v>603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3.9799448590000002</v>
      </c>
      <c r="N401" s="1">
        <v>0</v>
      </c>
      <c r="O401" s="1">
        <v>0.32299369100000003</v>
      </c>
      <c r="P401" s="1">
        <v>0</v>
      </c>
      <c r="Q401" s="1">
        <v>0</v>
      </c>
      <c r="R401" s="1">
        <v>40.30389624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1108</v>
      </c>
      <c r="AB401" s="1">
        <v>0</v>
      </c>
      <c r="AC401" s="1">
        <v>0</v>
      </c>
      <c r="AD401">
        <v>0</v>
      </c>
      <c r="AF401" s="8" cm="1">
        <f t="array" aca="1" ref="AF401" ca="1">fScore_Total("ESPN",aCols)</f>
        <v>7.9583241995000007</v>
      </c>
      <c r="AG401" s="8" cm="1">
        <f t="array" aca="1" ref="AG401" ca="1">-fScore_Total("diff",aCols)</f>
        <v>0</v>
      </c>
      <c r="AH401" s="8">
        <f t="shared" ca="1" si="6"/>
        <v>7.9583241995000007</v>
      </c>
      <c r="AI401" s="8"/>
    </row>
    <row r="402" spans="1:35" x14ac:dyDescent="0.25">
      <c r="A402" t="s">
        <v>495</v>
      </c>
      <c r="B402" s="1" t="s">
        <v>601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3.7225106509999999</v>
      </c>
      <c r="N402" s="1">
        <v>0</v>
      </c>
      <c r="O402" s="1">
        <v>0.32331310099999999</v>
      </c>
      <c r="P402" s="1">
        <v>0</v>
      </c>
      <c r="Q402" s="1">
        <v>0</v>
      </c>
      <c r="R402" s="1">
        <v>43.608564319999999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</v>
      </c>
      <c r="Z402" s="1">
        <v>0</v>
      </c>
      <c r="AA402" s="1">
        <v>1107</v>
      </c>
      <c r="AB402" s="1">
        <v>0</v>
      </c>
      <c r="AC402" s="1">
        <v>0</v>
      </c>
      <c r="AD402">
        <v>0</v>
      </c>
      <c r="AF402" s="8" cm="1">
        <f t="array" aca="1" ref="AF402" ca="1">fScore_Total("ESPN",aCols)</f>
        <v>8.1619903634999993</v>
      </c>
      <c r="AG402" s="8" cm="1">
        <f t="array" aca="1" ref="AG402" ca="1">-fScore_Total("diff",aCols)</f>
        <v>0</v>
      </c>
      <c r="AH402" s="8">
        <f t="shared" ca="1" si="6"/>
        <v>8.1619903634999993</v>
      </c>
      <c r="AI402" s="8"/>
    </row>
    <row r="403" spans="1:35" x14ac:dyDescent="0.25">
      <c r="A403" t="s">
        <v>392</v>
      </c>
      <c r="B403" s="1" t="s">
        <v>601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  <c r="M403" s="1">
        <v>3.1649986210000001</v>
      </c>
      <c r="N403" s="1">
        <v>0</v>
      </c>
      <c r="O403" s="1">
        <v>0.17406434900000001</v>
      </c>
      <c r="P403" s="1">
        <v>0</v>
      </c>
      <c r="Q403" s="1">
        <v>0</v>
      </c>
      <c r="R403" s="1">
        <v>37.34007888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1106</v>
      </c>
      <c r="AB403" s="1">
        <v>0</v>
      </c>
      <c r="AC403" s="1">
        <v>0</v>
      </c>
      <c r="AD403">
        <v>0</v>
      </c>
      <c r="AF403" s="8" cm="1">
        <f t="array" aca="1" ref="AF403" ca="1">fScore_Total("ESPN",aCols)</f>
        <v>6.3608932925000001</v>
      </c>
      <c r="AG403" s="8" cm="1">
        <f t="array" aca="1" ref="AG403" ca="1">-fScore_Total("diff",aCols)</f>
        <v>0</v>
      </c>
      <c r="AH403" s="8">
        <f t="shared" ca="1" si="6"/>
        <v>6.3608932925000001</v>
      </c>
      <c r="AI403" s="8"/>
    </row>
    <row r="404" spans="1:35" x14ac:dyDescent="0.25">
      <c r="A404" t="s">
        <v>511</v>
      </c>
      <c r="B404" s="1" t="s">
        <v>603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  <c r="M404" s="1">
        <v>3.5187121499999998</v>
      </c>
      <c r="N404" s="1">
        <v>0</v>
      </c>
      <c r="O404" s="1">
        <v>0.30828988400000001</v>
      </c>
      <c r="P404" s="1">
        <v>0</v>
      </c>
      <c r="Q404" s="1">
        <v>0</v>
      </c>
      <c r="R404" s="1">
        <v>36.478588520000002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1124</v>
      </c>
      <c r="AB404" s="1">
        <v>0</v>
      </c>
      <c r="AC404" s="1">
        <v>0</v>
      </c>
      <c r="AD404">
        <v>0</v>
      </c>
      <c r="AF404" s="8" cm="1">
        <f t="array" aca="1" ref="AF404" ca="1">fScore_Total("ESPN",aCols)</f>
        <v>7.2569542310000008</v>
      </c>
      <c r="AG404" s="8" cm="1">
        <f t="array" aca="1" ref="AG404" ca="1">-fScore_Total("diff",aCols)</f>
        <v>0</v>
      </c>
      <c r="AH404" s="8">
        <f t="shared" ca="1" si="6"/>
        <v>7.2569542310000008</v>
      </c>
      <c r="AI404" s="8"/>
    </row>
    <row r="405" spans="1:35" x14ac:dyDescent="0.25">
      <c r="A405" t="s">
        <v>407</v>
      </c>
      <c r="B405" s="1" t="s">
        <v>603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3.687300461</v>
      </c>
      <c r="N405" s="1">
        <v>0</v>
      </c>
      <c r="O405" s="1">
        <v>0.2640052</v>
      </c>
      <c r="P405" s="1">
        <v>0</v>
      </c>
      <c r="Q405" s="1">
        <v>0</v>
      </c>
      <c r="R405" s="1">
        <v>36.902123160000002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1125</v>
      </c>
      <c r="AB405" s="1">
        <v>0</v>
      </c>
      <c r="AC405" s="1">
        <v>0</v>
      </c>
      <c r="AD405">
        <v>0</v>
      </c>
      <c r="AF405" s="8" cm="1">
        <f t="array" aca="1" ref="AF405" ca="1">fScore_Total("ESPN",aCols)</f>
        <v>7.1178937465000001</v>
      </c>
      <c r="AG405" s="8" cm="1">
        <f t="array" aca="1" ref="AG405" ca="1">-fScore_Total("diff",aCols)</f>
        <v>0</v>
      </c>
      <c r="AH405" s="8">
        <f t="shared" ca="1" si="6"/>
        <v>7.1178937465000001</v>
      </c>
      <c r="AI405" s="8"/>
    </row>
    <row r="406" spans="1:35" x14ac:dyDescent="0.25">
      <c r="A406" t="s">
        <v>408</v>
      </c>
      <c r="B406" s="1" t="s">
        <v>601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3.4658631820000001</v>
      </c>
      <c r="N406" s="1">
        <v>0</v>
      </c>
      <c r="O406" s="1">
        <v>0.24305200299999999</v>
      </c>
      <c r="P406" s="1">
        <v>0</v>
      </c>
      <c r="Q406" s="1">
        <v>0</v>
      </c>
      <c r="R406" s="1">
        <v>40.139072040000002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1126</v>
      </c>
      <c r="AB406" s="1">
        <v>0</v>
      </c>
      <c r="AC406" s="1">
        <v>0</v>
      </c>
      <c r="AD406">
        <v>0</v>
      </c>
      <c r="AF406" s="8" cm="1">
        <f t="array" aca="1" ref="AF406" ca="1">fScore_Total("ESPN",aCols)</f>
        <v>7.2051508130000004</v>
      </c>
      <c r="AG406" s="8" cm="1">
        <f t="array" aca="1" ref="AG406" ca="1">-fScore_Total("diff",aCols)</f>
        <v>0</v>
      </c>
      <c r="AH406" s="8">
        <f t="shared" ref="AH406:AH469" ca="1" si="7">+AF406+AG406</f>
        <v>7.2051508130000004</v>
      </c>
      <c r="AI406" s="8"/>
    </row>
    <row r="407" spans="1:35" x14ac:dyDescent="0.25">
      <c r="A407" t="s">
        <v>419</v>
      </c>
      <c r="B407" s="1" t="s">
        <v>601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1.3738095939999999</v>
      </c>
      <c r="N407" s="1">
        <v>0</v>
      </c>
      <c r="O407" s="1">
        <v>0.105419681</v>
      </c>
      <c r="P407" s="1">
        <v>0</v>
      </c>
      <c r="Q407" s="1">
        <v>0</v>
      </c>
      <c r="R407" s="1">
        <v>19.707089799999999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1137</v>
      </c>
      <c r="AB407" s="1">
        <v>0</v>
      </c>
      <c r="AC407" s="1">
        <v>0</v>
      </c>
      <c r="AD407">
        <v>0</v>
      </c>
      <c r="AF407" s="8" cm="1">
        <f t="array" aca="1" ref="AF407" ca="1">fScore_Total("ESPN",aCols)</f>
        <v>3.290131863</v>
      </c>
      <c r="AG407" s="8" cm="1">
        <f t="array" aca="1" ref="AG407" ca="1">-fScore_Total("diff",aCols)</f>
        <v>0</v>
      </c>
      <c r="AH407" s="8">
        <f t="shared" ca="1" si="7"/>
        <v>3.290131863</v>
      </c>
      <c r="AI407" s="8"/>
    </row>
    <row r="408" spans="1:35" x14ac:dyDescent="0.25">
      <c r="A408" t="s">
        <v>424</v>
      </c>
      <c r="B408" s="1" t="s">
        <v>601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3.1967902989999999</v>
      </c>
      <c r="N408" s="1">
        <v>0</v>
      </c>
      <c r="O408" s="1">
        <v>0.18465171999999999</v>
      </c>
      <c r="P408" s="1">
        <v>0</v>
      </c>
      <c r="Q408" s="1">
        <v>0</v>
      </c>
      <c r="R408" s="1">
        <v>37.898194879999998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1143</v>
      </c>
      <c r="AB408" s="1">
        <v>0</v>
      </c>
      <c r="AC408" s="1">
        <v>0</v>
      </c>
      <c r="AD408">
        <v>0</v>
      </c>
      <c r="AF408" s="8" cm="1">
        <f t="array" aca="1" ref="AF408" ca="1">fScore_Total("ESPN",aCols)</f>
        <v>6.4961249575000002</v>
      </c>
      <c r="AG408" s="8" cm="1">
        <f t="array" aca="1" ref="AG408" ca="1">-fScore_Total("diff",aCols)</f>
        <v>0</v>
      </c>
      <c r="AH408" s="8">
        <f t="shared" ca="1" si="7"/>
        <v>6.4961249575000002</v>
      </c>
      <c r="AI408" s="8"/>
    </row>
    <row r="409" spans="1:35" x14ac:dyDescent="0.25">
      <c r="A409" t="s">
        <v>423</v>
      </c>
      <c r="B409" s="1" t="s">
        <v>601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3.5686301409999999</v>
      </c>
      <c r="N409" s="1">
        <v>0</v>
      </c>
      <c r="O409" s="1">
        <v>0.27459830899999998</v>
      </c>
      <c r="P409" s="1">
        <v>0</v>
      </c>
      <c r="Q409" s="1">
        <v>0</v>
      </c>
      <c r="R409" s="1">
        <v>32.920581409999997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Y409" s="1">
        <v>0</v>
      </c>
      <c r="Z409" s="1">
        <v>0</v>
      </c>
      <c r="AA409" s="1">
        <v>1142</v>
      </c>
      <c r="AB409" s="1">
        <v>0</v>
      </c>
      <c r="AC409" s="1">
        <v>0</v>
      </c>
      <c r="AD409">
        <v>0</v>
      </c>
      <c r="AF409" s="8" cm="1">
        <f t="array" aca="1" ref="AF409" ca="1">fScore_Total("ESPN",aCols)</f>
        <v>6.7239630654999996</v>
      </c>
      <c r="AG409" s="8" cm="1">
        <f t="array" aca="1" ref="AG409" ca="1">-fScore_Total("diff",aCols)</f>
        <v>0</v>
      </c>
      <c r="AH409" s="8">
        <f t="shared" ca="1" si="7"/>
        <v>6.7239630654999996</v>
      </c>
      <c r="AI409" s="8"/>
    </row>
    <row r="410" spans="1:35" x14ac:dyDescent="0.25">
      <c r="A410" t="s">
        <v>421</v>
      </c>
      <c r="B410" s="1" t="s">
        <v>601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3.060988778</v>
      </c>
      <c r="N410" s="1">
        <v>0</v>
      </c>
      <c r="O410" s="1">
        <v>0.26842550300000001</v>
      </c>
      <c r="P410" s="1">
        <v>0</v>
      </c>
      <c r="Q410" s="1">
        <v>0</v>
      </c>
      <c r="R410" s="1">
        <v>38.069472900000001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1141</v>
      </c>
      <c r="AB410" s="1">
        <v>0</v>
      </c>
      <c r="AC410" s="1">
        <v>0</v>
      </c>
      <c r="AD410">
        <v>0</v>
      </c>
      <c r="AF410" s="8" cm="1">
        <f t="array" aca="1" ref="AF410" ca="1">fScore_Total("ESPN",aCols)</f>
        <v>6.9479946970000004</v>
      </c>
      <c r="AG410" s="8" cm="1">
        <f t="array" aca="1" ref="AG410" ca="1">-fScore_Total("diff",aCols)</f>
        <v>0</v>
      </c>
      <c r="AH410" s="8">
        <f t="shared" ca="1" si="7"/>
        <v>6.9479946970000004</v>
      </c>
      <c r="AI410" s="8"/>
    </row>
    <row r="411" spans="1:35" x14ac:dyDescent="0.25">
      <c r="A411" t="s">
        <v>422</v>
      </c>
      <c r="B411" s="1" t="s">
        <v>603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  <c r="M411" s="1">
        <v>3.6768837190000001</v>
      </c>
      <c r="N411" s="1">
        <v>0</v>
      </c>
      <c r="O411" s="1">
        <v>0.20022221200000001</v>
      </c>
      <c r="P411" s="1">
        <v>0</v>
      </c>
      <c r="Q411" s="1">
        <v>0</v>
      </c>
      <c r="R411" s="1">
        <v>35.974808979999999</v>
      </c>
      <c r="S411" s="1">
        <v>0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1140</v>
      </c>
      <c r="AB411" s="1">
        <v>0</v>
      </c>
      <c r="AC411" s="1">
        <v>0</v>
      </c>
      <c r="AD411">
        <v>0</v>
      </c>
      <c r="AF411" s="8" cm="1">
        <f t="array" aca="1" ref="AF411" ca="1">fScore_Total("ESPN",aCols)</f>
        <v>6.6372560294999996</v>
      </c>
      <c r="AG411" s="8" cm="1">
        <f t="array" aca="1" ref="AG411" ca="1">-fScore_Total("diff",aCols)</f>
        <v>0</v>
      </c>
      <c r="AH411" s="8">
        <f t="shared" ca="1" si="7"/>
        <v>6.6372560294999996</v>
      </c>
      <c r="AI411" s="8"/>
    </row>
    <row r="412" spans="1:35" x14ac:dyDescent="0.25">
      <c r="A412" t="s">
        <v>420</v>
      </c>
      <c r="B412" s="1" t="s">
        <v>603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  <c r="M412" s="1">
        <v>3.3535666399999999</v>
      </c>
      <c r="N412" s="1">
        <v>0</v>
      </c>
      <c r="O412" s="1">
        <v>0.28271775799999999</v>
      </c>
      <c r="P412" s="1">
        <v>0</v>
      </c>
      <c r="Q412" s="1">
        <v>0</v>
      </c>
      <c r="R412" s="1">
        <v>35.023724510000001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1138</v>
      </c>
      <c r="AB412" s="1">
        <v>0</v>
      </c>
      <c r="AC412" s="1">
        <v>0</v>
      </c>
      <c r="AD412">
        <v>0</v>
      </c>
      <c r="AF412" s="8" cm="1">
        <f t="array" aca="1" ref="AF412" ca="1">fScore_Total("ESPN",aCols)</f>
        <v>6.8754623190000004</v>
      </c>
      <c r="AG412" s="8" cm="1">
        <f t="array" aca="1" ref="AG412" ca="1">-fScore_Total("diff",aCols)</f>
        <v>0</v>
      </c>
      <c r="AH412" s="8">
        <f t="shared" ca="1" si="7"/>
        <v>6.8754623190000004</v>
      </c>
      <c r="AI412" s="8"/>
    </row>
    <row r="413" spans="1:35" x14ac:dyDescent="0.25">
      <c r="A413" t="s">
        <v>418</v>
      </c>
      <c r="B413" s="1" t="s">
        <v>603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3.4136045410000002</v>
      </c>
      <c r="N413" s="1">
        <v>0</v>
      </c>
      <c r="O413" s="1">
        <v>0.30139922600000002</v>
      </c>
      <c r="P413" s="1">
        <v>0</v>
      </c>
      <c r="Q413" s="1">
        <v>0</v>
      </c>
      <c r="R413" s="1">
        <v>34.097611829999998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1136</v>
      </c>
      <c r="AB413" s="1">
        <v>0</v>
      </c>
      <c r="AC413" s="1">
        <v>0</v>
      </c>
      <c r="AD413">
        <v>0</v>
      </c>
      <c r="AF413" s="8" cm="1">
        <f t="array" aca="1" ref="AF413" ca="1">fScore_Total("ESPN",aCols)</f>
        <v>6.9249588094999996</v>
      </c>
      <c r="AG413" s="8" cm="1">
        <f t="array" aca="1" ref="AG413" ca="1">-fScore_Total("diff",aCols)</f>
        <v>0</v>
      </c>
      <c r="AH413" s="8">
        <f t="shared" ca="1" si="7"/>
        <v>6.9249588094999996</v>
      </c>
      <c r="AI413" s="8"/>
    </row>
    <row r="414" spans="1:35" x14ac:dyDescent="0.25">
      <c r="A414" t="s">
        <v>409</v>
      </c>
      <c r="B414" s="1" t="s">
        <v>603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3.796647959</v>
      </c>
      <c r="N414" s="1">
        <v>0</v>
      </c>
      <c r="O414" s="1">
        <v>0.22408128299999999</v>
      </c>
      <c r="P414" s="1">
        <v>0</v>
      </c>
      <c r="Q414" s="1">
        <v>0</v>
      </c>
      <c r="R414" s="1">
        <v>37.736162980000003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1127</v>
      </c>
      <c r="AB414" s="1">
        <v>0</v>
      </c>
      <c r="AC414" s="1">
        <v>0</v>
      </c>
      <c r="AD414">
        <v>0</v>
      </c>
      <c r="AF414" s="8" cm="1">
        <f t="array" aca="1" ref="AF414" ca="1">fScore_Total("ESPN",aCols)</f>
        <v>7.0164279755000001</v>
      </c>
      <c r="AG414" s="8" cm="1">
        <f t="array" aca="1" ref="AG414" ca="1">-fScore_Total("diff",aCols)</f>
        <v>0</v>
      </c>
      <c r="AH414" s="8">
        <f t="shared" ca="1" si="7"/>
        <v>7.0164279755000001</v>
      </c>
      <c r="AI414" s="8"/>
    </row>
    <row r="415" spans="1:35" x14ac:dyDescent="0.25">
      <c r="A415" t="s">
        <v>417</v>
      </c>
      <c r="B415" s="1" t="s">
        <v>601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2.4684602949999999</v>
      </c>
      <c r="N415" s="1">
        <v>0</v>
      </c>
      <c r="O415" s="1">
        <v>0.240761948</v>
      </c>
      <c r="P415" s="1">
        <v>0</v>
      </c>
      <c r="Q415" s="1">
        <v>0</v>
      </c>
      <c r="R415" s="1">
        <v>28.478805980000001</v>
      </c>
      <c r="S415" s="1">
        <v>0</v>
      </c>
      <c r="T415" s="1">
        <v>0</v>
      </c>
      <c r="U415" s="1">
        <v>0</v>
      </c>
      <c r="V415" s="1">
        <v>0.127282959</v>
      </c>
      <c r="W415" s="1">
        <v>0</v>
      </c>
      <c r="X415" s="1">
        <v>0</v>
      </c>
      <c r="Y415" s="1">
        <v>12.135345689999999</v>
      </c>
      <c r="Z415" s="1">
        <v>0</v>
      </c>
      <c r="AA415" s="1">
        <v>1135</v>
      </c>
      <c r="AB415" s="1">
        <v>0</v>
      </c>
      <c r="AC415" s="1">
        <v>0</v>
      </c>
      <c r="AD415">
        <v>0</v>
      </c>
      <c r="AF415" s="8" cm="1">
        <f t="array" aca="1" ref="AF415" ca="1">fScore_Total("ESPN",aCols)</f>
        <v>7.5039147564999995</v>
      </c>
      <c r="AG415" s="8" cm="1">
        <f t="array" aca="1" ref="AG415" ca="1">-fScore_Total("diff",aCols)</f>
        <v>0</v>
      </c>
      <c r="AH415" s="8">
        <f t="shared" ca="1" si="7"/>
        <v>7.5039147564999995</v>
      </c>
      <c r="AI415" s="8"/>
    </row>
    <row r="416" spans="1:35" x14ac:dyDescent="0.25">
      <c r="A416" t="s">
        <v>416</v>
      </c>
      <c r="B416" s="1" t="s">
        <v>603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  <c r="M416" s="1">
        <v>3.664779105</v>
      </c>
      <c r="N416" s="1">
        <v>0</v>
      </c>
      <c r="O416" s="1">
        <v>0.225558332</v>
      </c>
      <c r="P416" s="1">
        <v>0</v>
      </c>
      <c r="Q416" s="1">
        <v>0</v>
      </c>
      <c r="R416" s="1">
        <v>36.887844309999998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0</v>
      </c>
      <c r="Y416" s="1">
        <v>0</v>
      </c>
      <c r="Z416" s="1">
        <v>0</v>
      </c>
      <c r="AA416" s="1">
        <v>1134</v>
      </c>
      <c r="AB416" s="1">
        <v>0</v>
      </c>
      <c r="AC416" s="1">
        <v>0</v>
      </c>
      <c r="AD416">
        <v>0</v>
      </c>
      <c r="AF416" s="8" cm="1">
        <f t="array" aca="1" ref="AF416" ca="1">fScore_Total("ESPN",aCols)</f>
        <v>6.8745239755000007</v>
      </c>
      <c r="AG416" s="8" cm="1">
        <f t="array" aca="1" ref="AG416" ca="1">-fScore_Total("diff",aCols)</f>
        <v>0</v>
      </c>
      <c r="AH416" s="8">
        <f t="shared" ca="1" si="7"/>
        <v>6.8745239755000007</v>
      </c>
      <c r="AI416" s="8"/>
    </row>
    <row r="417" spans="1:35" x14ac:dyDescent="0.25">
      <c r="A417" t="s">
        <v>496</v>
      </c>
      <c r="B417" s="1" t="s">
        <v>601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  <c r="M417" s="1">
        <v>3.2068062820000001</v>
      </c>
      <c r="N417" s="1">
        <v>0</v>
      </c>
      <c r="O417" s="1">
        <v>0.21367778900000001</v>
      </c>
      <c r="P417" s="1">
        <v>0</v>
      </c>
      <c r="Q417" s="1">
        <v>0</v>
      </c>
      <c r="R417" s="1">
        <v>43.023899559999997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1133</v>
      </c>
      <c r="AB417" s="1">
        <v>0</v>
      </c>
      <c r="AC417" s="1">
        <v>0</v>
      </c>
      <c r="AD417">
        <v>0</v>
      </c>
      <c r="AF417" s="8" cm="1">
        <f t="array" aca="1" ref="AF417" ca="1">fScore_Total("ESPN",aCols)</f>
        <v>7.1878598309999999</v>
      </c>
      <c r="AG417" s="8" cm="1">
        <f t="array" aca="1" ref="AG417" ca="1">-fScore_Total("diff",aCols)</f>
        <v>0</v>
      </c>
      <c r="AH417" s="8">
        <f t="shared" ca="1" si="7"/>
        <v>7.1878598309999999</v>
      </c>
      <c r="AI417" s="8"/>
    </row>
    <row r="418" spans="1:35" x14ac:dyDescent="0.25">
      <c r="A418" t="s">
        <v>414</v>
      </c>
      <c r="B418" s="1" t="s">
        <v>601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  <c r="M418" s="1">
        <v>3.6158613179999999</v>
      </c>
      <c r="N418" s="1">
        <v>0</v>
      </c>
      <c r="O418" s="1">
        <v>0.24735642599999999</v>
      </c>
      <c r="P418" s="1">
        <v>0</v>
      </c>
      <c r="Q418" s="1">
        <v>0</v>
      </c>
      <c r="R418" s="1">
        <v>36.772999570000003</v>
      </c>
      <c r="S418" s="1">
        <v>0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1132</v>
      </c>
      <c r="AB418" s="1">
        <v>0</v>
      </c>
      <c r="AC418" s="1">
        <v>0</v>
      </c>
      <c r="AD418">
        <v>0</v>
      </c>
      <c r="AF418" s="8" cm="1">
        <f t="array" aca="1" ref="AF418" ca="1">fScore_Total("ESPN",aCols)</f>
        <v>6.9693691720000004</v>
      </c>
      <c r="AG418" s="8" cm="1">
        <f t="array" aca="1" ref="AG418" ca="1">-fScore_Total("diff",aCols)</f>
        <v>0</v>
      </c>
      <c r="AH418" s="8">
        <f t="shared" ca="1" si="7"/>
        <v>6.9693691720000004</v>
      </c>
      <c r="AI418" s="8"/>
    </row>
    <row r="419" spans="1:35" x14ac:dyDescent="0.25">
      <c r="A419" t="s">
        <v>413</v>
      </c>
      <c r="B419" s="1" t="s">
        <v>601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  <c r="M419" s="1">
        <v>3.3420395919999999</v>
      </c>
      <c r="N419" s="1">
        <v>0</v>
      </c>
      <c r="O419" s="1">
        <v>0.26598889100000001</v>
      </c>
      <c r="P419" s="1">
        <v>0</v>
      </c>
      <c r="Q419" s="1">
        <v>0</v>
      </c>
      <c r="R419" s="1">
        <v>39.069071790000002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1131</v>
      </c>
      <c r="AB419" s="1">
        <v>0</v>
      </c>
      <c r="AC419" s="1">
        <v>0</v>
      </c>
      <c r="AD419">
        <v>0</v>
      </c>
      <c r="AF419" s="8" cm="1">
        <f t="array" aca="1" ref="AF419" ca="1">fScore_Total("ESPN",aCols)</f>
        <v>7.1738603210000012</v>
      </c>
      <c r="AG419" s="8" cm="1">
        <f t="array" aca="1" ref="AG419" ca="1">-fScore_Total("diff",aCols)</f>
        <v>0</v>
      </c>
      <c r="AH419" s="8">
        <f t="shared" ca="1" si="7"/>
        <v>7.1738603210000012</v>
      </c>
      <c r="AI419" s="8"/>
    </row>
    <row r="420" spans="1:35" x14ac:dyDescent="0.25">
      <c r="A420" t="s">
        <v>412</v>
      </c>
      <c r="B420" s="1" t="s">
        <v>601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3.3571958180000001</v>
      </c>
      <c r="N420" s="1">
        <v>0</v>
      </c>
      <c r="O420" s="1">
        <v>0.25653775099999998</v>
      </c>
      <c r="P420" s="1">
        <v>0</v>
      </c>
      <c r="Q420" s="1">
        <v>0</v>
      </c>
      <c r="R420" s="1">
        <v>39.462908419999998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1130</v>
      </c>
      <c r="AB420" s="1">
        <v>0</v>
      </c>
      <c r="AC420" s="1">
        <v>0</v>
      </c>
      <c r="AD420">
        <v>0</v>
      </c>
      <c r="AF420" s="8" cm="1">
        <f t="array" aca="1" ref="AF420" ca="1">fScore_Total("ESPN",aCols)</f>
        <v>7.1641152569999997</v>
      </c>
      <c r="AG420" s="8" cm="1">
        <f t="array" aca="1" ref="AG420" ca="1">-fScore_Total("diff",aCols)</f>
        <v>0</v>
      </c>
      <c r="AH420" s="8">
        <f t="shared" ca="1" si="7"/>
        <v>7.1641152569999997</v>
      </c>
      <c r="AI420" s="8"/>
    </row>
    <row r="421" spans="1:35" x14ac:dyDescent="0.25">
      <c r="A421" t="s">
        <v>410</v>
      </c>
      <c r="B421" s="1" t="s">
        <v>603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  <c r="M421" s="1">
        <v>3.931045342</v>
      </c>
      <c r="N421" s="1">
        <v>0</v>
      </c>
      <c r="O421" s="1">
        <v>0.212440184</v>
      </c>
      <c r="P421" s="1">
        <v>0</v>
      </c>
      <c r="Q421" s="1">
        <v>0</v>
      </c>
      <c r="R421" s="1">
        <v>36.639448790000003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0</v>
      </c>
      <c r="Z421" s="1">
        <v>0</v>
      </c>
      <c r="AA421" s="1">
        <v>1129</v>
      </c>
      <c r="AB421" s="1">
        <v>0</v>
      </c>
      <c r="AC421" s="1">
        <v>0</v>
      </c>
      <c r="AD421">
        <v>0</v>
      </c>
      <c r="AF421" s="8" cm="1">
        <f t="array" aca="1" ref="AF421" ca="1">fScore_Total("ESPN",aCols)</f>
        <v>6.9041086540000007</v>
      </c>
      <c r="AG421" s="8" cm="1">
        <f t="array" aca="1" ref="AG421" ca="1">-fScore_Total("diff",aCols)</f>
        <v>0</v>
      </c>
      <c r="AH421" s="8">
        <f t="shared" ca="1" si="7"/>
        <v>6.9041086540000007</v>
      </c>
      <c r="AI421" s="8"/>
    </row>
    <row r="422" spans="1:35" x14ac:dyDescent="0.25">
      <c r="A422" t="s">
        <v>411</v>
      </c>
      <c r="B422" s="1" t="s">
        <v>603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3.4528609229999998</v>
      </c>
      <c r="N422" s="1">
        <v>0</v>
      </c>
      <c r="O422" s="1">
        <v>0.363143467</v>
      </c>
      <c r="P422" s="1">
        <v>0</v>
      </c>
      <c r="Q422" s="1">
        <v>0</v>
      </c>
      <c r="R422" s="1">
        <v>32.215802089999997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0</v>
      </c>
      <c r="Z422" s="1">
        <v>0</v>
      </c>
      <c r="AA422" s="1">
        <v>1128</v>
      </c>
      <c r="AB422" s="1">
        <v>0</v>
      </c>
      <c r="AC422" s="1">
        <v>0</v>
      </c>
      <c r="AD422">
        <v>0</v>
      </c>
      <c r="AF422" s="8" cm="1">
        <f t="array" aca="1" ref="AF422" ca="1">fScore_Total("ESPN",aCols)</f>
        <v>7.1268714724999995</v>
      </c>
      <c r="AG422" s="8" cm="1">
        <f t="array" aca="1" ref="AG422" ca="1">-fScore_Total("diff",aCols)</f>
        <v>0</v>
      </c>
      <c r="AH422" s="8">
        <f t="shared" ca="1" si="7"/>
        <v>7.1268714724999995</v>
      </c>
      <c r="AI422" s="8"/>
    </row>
    <row r="423" spans="1:35" x14ac:dyDescent="0.25">
      <c r="A423" t="s">
        <v>309</v>
      </c>
      <c r="B423" s="1" t="s">
        <v>601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  <c r="M423" s="1">
        <v>11.64908556</v>
      </c>
      <c r="N423" s="1">
        <v>0</v>
      </c>
      <c r="O423" s="1">
        <v>0.690220524</v>
      </c>
      <c r="P423" s="1">
        <v>0</v>
      </c>
      <c r="Q423" s="1">
        <v>0</v>
      </c>
      <c r="R423" s="1">
        <v>111.2279557</v>
      </c>
      <c r="S423" s="1">
        <v>0</v>
      </c>
      <c r="T423" s="1">
        <v>0</v>
      </c>
      <c r="U423" s="1">
        <v>0</v>
      </c>
      <c r="V423" s="1">
        <v>7.8561359999999997E-2</v>
      </c>
      <c r="W423" s="1">
        <v>0</v>
      </c>
      <c r="X423" s="1">
        <v>0</v>
      </c>
      <c r="Y423" s="1">
        <v>13.026492709999999</v>
      </c>
      <c r="Z423" s="1">
        <v>0</v>
      </c>
      <c r="AA423" s="1">
        <v>1015</v>
      </c>
      <c r="AB423" s="1">
        <v>0</v>
      </c>
      <c r="AC423" s="1">
        <v>0</v>
      </c>
      <c r="AD423">
        <v>0</v>
      </c>
      <c r="AF423" s="8" cm="1">
        <f t="array" aca="1" ref="AF423" ca="1">fScore_Total("ESPN",aCols)</f>
        <v>22.862678925000001</v>
      </c>
      <c r="AG423" s="8" cm="1">
        <f t="array" aca="1" ref="AG423" ca="1">-fScore_Total("diff",aCols)</f>
        <v>0</v>
      </c>
      <c r="AH423" s="8">
        <f t="shared" ca="1" si="7"/>
        <v>22.862678925000001</v>
      </c>
      <c r="AI423" s="8"/>
    </row>
    <row r="424" spans="1:35" x14ac:dyDescent="0.25">
      <c r="A424" t="s">
        <v>141</v>
      </c>
      <c r="B424" s="1" t="s">
        <v>601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  <c r="M424" s="1">
        <v>25.17501451</v>
      </c>
      <c r="N424" s="1">
        <v>0</v>
      </c>
      <c r="O424" s="1">
        <v>1.9703724949999999</v>
      </c>
      <c r="P424" s="1">
        <v>0</v>
      </c>
      <c r="Q424" s="1">
        <v>0</v>
      </c>
      <c r="R424" s="1">
        <v>293.67683820000002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422</v>
      </c>
      <c r="AB424" s="1">
        <v>0</v>
      </c>
      <c r="AC424" s="1">
        <v>0</v>
      </c>
      <c r="AD424">
        <v>0</v>
      </c>
      <c r="AF424" s="8" cm="1">
        <f t="array" aca="1" ref="AF424" ca="1">fScore_Total("ESPN",aCols)</f>
        <v>53.777426045000006</v>
      </c>
      <c r="AG424" s="8" cm="1">
        <f t="array" aca="1" ref="AG424" ca="1">-fScore_Total("diff",aCols)</f>
        <v>0</v>
      </c>
      <c r="AH424" s="8">
        <f t="shared" ca="1" si="7"/>
        <v>53.777426045000006</v>
      </c>
      <c r="AI424" s="8"/>
    </row>
    <row r="425" spans="1:35" x14ac:dyDescent="0.25">
      <c r="A425" t="s">
        <v>307</v>
      </c>
      <c r="B425" s="1" t="s">
        <v>602</v>
      </c>
      <c r="C425" s="1">
        <v>0</v>
      </c>
      <c r="D425" s="1">
        <v>1.7144125290000001</v>
      </c>
      <c r="E425" s="1">
        <v>0</v>
      </c>
      <c r="F425" s="1">
        <v>0</v>
      </c>
      <c r="G425" s="1">
        <v>2.9259784390000001</v>
      </c>
      <c r="H425" s="1">
        <v>0</v>
      </c>
      <c r="I425" s="1">
        <v>0</v>
      </c>
      <c r="J425" s="1">
        <v>482.89913309999997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0.45460310599999998</v>
      </c>
      <c r="W425" s="1">
        <v>0</v>
      </c>
      <c r="X425" s="1">
        <v>0</v>
      </c>
      <c r="Y425" s="1">
        <v>33.065014239999996</v>
      </c>
      <c r="Z425" s="1">
        <v>0</v>
      </c>
      <c r="AA425" s="1">
        <v>1013</v>
      </c>
      <c r="AB425" s="1">
        <v>0</v>
      </c>
      <c r="AC425" s="1">
        <v>0</v>
      </c>
      <c r="AD425">
        <v>0</v>
      </c>
      <c r="AF425" s="8" cm="1">
        <f t="array" aca="1" ref="AF425" ca="1">fScore_Total("ESPN",aCols)</f>
        <v>33.625174082000001</v>
      </c>
      <c r="AG425" s="8" cm="1">
        <f t="array" aca="1" ref="AG425" ca="1">-fScore_Total("diff",aCols)</f>
        <v>0</v>
      </c>
      <c r="AH425" s="8">
        <f t="shared" ca="1" si="7"/>
        <v>33.625174082000001</v>
      </c>
      <c r="AI425" s="8"/>
    </row>
    <row r="426" spans="1:35" x14ac:dyDescent="0.25">
      <c r="A426" t="s">
        <v>504</v>
      </c>
      <c r="B426" s="1" t="s">
        <v>601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  <c r="M426" s="1">
        <v>34.886965189999998</v>
      </c>
      <c r="N426" s="1">
        <v>0</v>
      </c>
      <c r="O426" s="1">
        <v>1.926458915</v>
      </c>
      <c r="P426" s="1">
        <v>0</v>
      </c>
      <c r="Q426" s="1">
        <v>0</v>
      </c>
      <c r="R426" s="1">
        <v>448.15345580000002</v>
      </c>
      <c r="S426" s="1">
        <v>0</v>
      </c>
      <c r="T426" s="1">
        <v>0</v>
      </c>
      <c r="U426" s="1">
        <v>0</v>
      </c>
      <c r="V426" s="1">
        <v>0.29807751700000001</v>
      </c>
      <c r="W426" s="1">
        <v>0</v>
      </c>
      <c r="X426" s="1">
        <v>0</v>
      </c>
      <c r="Y426" s="1">
        <v>44.616483449999997</v>
      </c>
      <c r="Z426" s="1">
        <v>0</v>
      </c>
      <c r="AA426" s="1">
        <v>328</v>
      </c>
      <c r="AB426" s="1">
        <v>0</v>
      </c>
      <c r="AC426" s="1">
        <v>0</v>
      </c>
      <c r="AD426">
        <v>0</v>
      </c>
      <c r="AF426" s="8" cm="1">
        <f t="array" aca="1" ref="AF426" ca="1">fScore_Total("ESPN",aCols)</f>
        <v>80.06769511200001</v>
      </c>
      <c r="AG426" s="8" cm="1">
        <f t="array" aca="1" ref="AG426" ca="1">-fScore_Total("diff",aCols)</f>
        <v>0</v>
      </c>
      <c r="AH426" s="8">
        <f t="shared" ca="1" si="7"/>
        <v>80.06769511200001</v>
      </c>
      <c r="AI426" s="8"/>
    </row>
    <row r="427" spans="1:35" x14ac:dyDescent="0.25">
      <c r="A427" t="s">
        <v>210</v>
      </c>
      <c r="B427" s="1" t="s">
        <v>601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32.472590310000001</v>
      </c>
      <c r="N427" s="1">
        <v>0</v>
      </c>
      <c r="O427" s="1">
        <v>1.78750231</v>
      </c>
      <c r="P427" s="1">
        <v>0</v>
      </c>
      <c r="Q427" s="1">
        <v>0</v>
      </c>
      <c r="R427" s="1">
        <v>359.37077319999997</v>
      </c>
      <c r="S427" s="1">
        <v>0</v>
      </c>
      <c r="T427" s="1">
        <v>0</v>
      </c>
      <c r="U427" s="1">
        <v>0</v>
      </c>
      <c r="V427" s="1">
        <v>0.19983706900000001</v>
      </c>
      <c r="W427" s="1">
        <v>0</v>
      </c>
      <c r="X427" s="1">
        <v>0</v>
      </c>
      <c r="Y427" s="1">
        <v>29.908418279999999</v>
      </c>
      <c r="Z427" s="1">
        <v>0</v>
      </c>
      <c r="AA427" s="1">
        <v>358</v>
      </c>
      <c r="AB427" s="1">
        <v>0</v>
      </c>
      <c r="AC427" s="1">
        <v>0</v>
      </c>
      <c r="AD427">
        <v>0</v>
      </c>
      <c r="AF427" s="8" cm="1">
        <f t="array" aca="1" ref="AF427" ca="1">fScore_Total("ESPN",aCols)</f>
        <v>67.088250576999997</v>
      </c>
      <c r="AG427" s="8" cm="1">
        <f t="array" aca="1" ref="AG427" ca="1">-fScore_Total("diff",aCols)</f>
        <v>0</v>
      </c>
      <c r="AH427" s="8">
        <f t="shared" ca="1" si="7"/>
        <v>67.088250576999997</v>
      </c>
      <c r="AI427" s="8"/>
    </row>
    <row r="428" spans="1:35" x14ac:dyDescent="0.25">
      <c r="A428" t="s">
        <v>204</v>
      </c>
      <c r="B428" s="1" t="s">
        <v>600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  <c r="M428" s="1">
        <v>9.2296061950000006</v>
      </c>
      <c r="N428" s="1">
        <v>0</v>
      </c>
      <c r="O428" s="1">
        <v>0.25922284499999998</v>
      </c>
      <c r="P428" s="1">
        <v>0</v>
      </c>
      <c r="Q428" s="1">
        <v>0</v>
      </c>
      <c r="R428" s="1">
        <v>59.595870130000002</v>
      </c>
      <c r="S428" s="1">
        <v>0</v>
      </c>
      <c r="T428" s="1">
        <v>0</v>
      </c>
      <c r="U428" s="1">
        <v>0</v>
      </c>
      <c r="V428" s="1">
        <v>1.384042539</v>
      </c>
      <c r="W428" s="1">
        <v>0</v>
      </c>
      <c r="X428" s="1">
        <v>0</v>
      </c>
      <c r="Y428" s="1">
        <v>181.8147491</v>
      </c>
      <c r="Z428" s="1">
        <v>0</v>
      </c>
      <c r="AA428" s="1">
        <v>357</v>
      </c>
      <c r="AB428" s="1">
        <v>0</v>
      </c>
      <c r="AC428" s="1">
        <v>0</v>
      </c>
      <c r="AD428">
        <v>0</v>
      </c>
      <c r="AF428" s="8" cm="1">
        <f t="array" aca="1" ref="AF428" ca="1">fScore_Total("ESPN",aCols)</f>
        <v>38.615457324499999</v>
      </c>
      <c r="AG428" s="8" cm="1">
        <f t="array" aca="1" ref="AG428" ca="1">-fScore_Total("diff",aCols)</f>
        <v>0</v>
      </c>
      <c r="AH428" s="8">
        <f t="shared" ca="1" si="7"/>
        <v>38.615457324499999</v>
      </c>
      <c r="AI428" s="8"/>
    </row>
    <row r="429" spans="1:35" x14ac:dyDescent="0.25">
      <c r="A429" t="s">
        <v>203</v>
      </c>
      <c r="B429" s="1" t="s">
        <v>600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  <c r="M429" s="1">
        <v>8.8542926640000008</v>
      </c>
      <c r="N429" s="1">
        <v>0</v>
      </c>
      <c r="O429" s="1">
        <v>0.22657155700000001</v>
      </c>
      <c r="P429" s="1">
        <v>0</v>
      </c>
      <c r="Q429" s="1">
        <v>0</v>
      </c>
      <c r="R429" s="1">
        <v>62.460239729999998</v>
      </c>
      <c r="S429" s="1">
        <v>0</v>
      </c>
      <c r="T429" s="1">
        <v>0</v>
      </c>
      <c r="U429" s="1">
        <v>0</v>
      </c>
      <c r="V429" s="1">
        <v>1.2889097309999999</v>
      </c>
      <c r="W429" s="1">
        <v>0</v>
      </c>
      <c r="X429" s="1">
        <v>0</v>
      </c>
      <c r="Y429" s="1">
        <v>241.07442660000001</v>
      </c>
      <c r="Z429" s="1">
        <v>0</v>
      </c>
      <c r="AA429" s="1">
        <v>356</v>
      </c>
      <c r="AB429" s="1">
        <v>0</v>
      </c>
      <c r="AC429" s="1">
        <v>0</v>
      </c>
      <c r="AD429">
        <v>0</v>
      </c>
      <c r="AF429" s="8" cm="1">
        <f t="array" aca="1" ref="AF429" ca="1">fScore_Total("ESPN",aCols)</f>
        <v>43.873500693000004</v>
      </c>
      <c r="AG429" s="8" cm="1">
        <f t="array" aca="1" ref="AG429" ca="1">-fScore_Total("diff",aCols)</f>
        <v>0</v>
      </c>
      <c r="AH429" s="8">
        <f t="shared" ca="1" si="7"/>
        <v>43.873500693000004</v>
      </c>
      <c r="AI429" s="8"/>
    </row>
    <row r="430" spans="1:35" x14ac:dyDescent="0.25">
      <c r="A430" t="s">
        <v>202</v>
      </c>
      <c r="B430" s="1" t="s">
        <v>600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  <c r="M430" s="1">
        <v>9.2742555489999994</v>
      </c>
      <c r="N430" s="1">
        <v>0</v>
      </c>
      <c r="O430" s="1">
        <v>0.27724347599999999</v>
      </c>
      <c r="P430" s="1">
        <v>0</v>
      </c>
      <c r="Q430" s="1">
        <v>0</v>
      </c>
      <c r="R430" s="1">
        <v>65.482250030000003</v>
      </c>
      <c r="S430" s="1">
        <v>0</v>
      </c>
      <c r="T430" s="1">
        <v>0</v>
      </c>
      <c r="U430" s="1">
        <v>0</v>
      </c>
      <c r="V430" s="1">
        <v>1.520709541</v>
      </c>
      <c r="W430" s="1">
        <v>0</v>
      </c>
      <c r="X430" s="1">
        <v>0</v>
      </c>
      <c r="Y430" s="1">
        <v>222.99968519999999</v>
      </c>
      <c r="Z430" s="1">
        <v>0</v>
      </c>
      <c r="AA430" s="1">
        <v>354</v>
      </c>
      <c r="AB430" s="1">
        <v>0</v>
      </c>
      <c r="AC430" s="1">
        <v>0</v>
      </c>
      <c r="AD430">
        <v>0</v>
      </c>
      <c r="AF430" s="8" cm="1">
        <f t="array" aca="1" ref="AF430" ca="1">fScore_Total("ESPN",aCols)</f>
        <v>44.2730393995</v>
      </c>
      <c r="AG430" s="8" cm="1">
        <f t="array" aca="1" ref="AG430" ca="1">-fScore_Total("diff",aCols)</f>
        <v>0</v>
      </c>
      <c r="AH430" s="8">
        <f t="shared" ca="1" si="7"/>
        <v>44.2730393995</v>
      </c>
      <c r="AI430" s="8"/>
    </row>
    <row r="431" spans="1:35" x14ac:dyDescent="0.25">
      <c r="A431" t="s">
        <v>201</v>
      </c>
      <c r="B431" s="1" t="s">
        <v>600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  <c r="M431" s="1">
        <v>10.043080290000001</v>
      </c>
      <c r="N431" s="1">
        <v>0</v>
      </c>
      <c r="O431" s="1">
        <v>0.2539517</v>
      </c>
      <c r="P431" s="1">
        <v>0</v>
      </c>
      <c r="Q431" s="1">
        <v>0</v>
      </c>
      <c r="R431" s="1">
        <v>68.280870039999996</v>
      </c>
      <c r="S431" s="1">
        <v>0</v>
      </c>
      <c r="T431" s="1">
        <v>0</v>
      </c>
      <c r="U431" s="1">
        <v>0</v>
      </c>
      <c r="V431" s="1">
        <v>1.4894201819999999</v>
      </c>
      <c r="W431" s="1">
        <v>0</v>
      </c>
      <c r="X431" s="1">
        <v>0</v>
      </c>
      <c r="Y431" s="1">
        <v>243.6287872</v>
      </c>
      <c r="Z431" s="1">
        <v>0</v>
      </c>
      <c r="AA431" s="1">
        <v>353</v>
      </c>
      <c r="AB431" s="1">
        <v>0</v>
      </c>
      <c r="AC431" s="1">
        <v>0</v>
      </c>
      <c r="AD431">
        <v>0</v>
      </c>
      <c r="AF431" s="8" cm="1">
        <f t="array" aca="1" ref="AF431" ca="1">fScore_Total("ESPN",aCols)</f>
        <v>46.672737161000001</v>
      </c>
      <c r="AG431" s="8" cm="1">
        <f t="array" aca="1" ref="AG431" ca="1">-fScore_Total("diff",aCols)</f>
        <v>0</v>
      </c>
      <c r="AH431" s="8">
        <f t="shared" ca="1" si="7"/>
        <v>46.672737161000001</v>
      </c>
      <c r="AI431" s="8"/>
    </row>
    <row r="432" spans="1:35" x14ac:dyDescent="0.25">
      <c r="A432" t="s">
        <v>200</v>
      </c>
      <c r="B432" s="1" t="s">
        <v>600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  <c r="M432" s="1">
        <v>16.243350370000002</v>
      </c>
      <c r="N432" s="1">
        <v>0</v>
      </c>
      <c r="O432" s="1">
        <v>0.42730056399999999</v>
      </c>
      <c r="P432" s="1">
        <v>0</v>
      </c>
      <c r="Q432" s="1">
        <v>0</v>
      </c>
      <c r="R432" s="1">
        <v>106.5768127</v>
      </c>
      <c r="S432" s="1">
        <v>0</v>
      </c>
      <c r="T432" s="1">
        <v>0</v>
      </c>
      <c r="U432" s="1">
        <v>0</v>
      </c>
      <c r="V432" s="1">
        <v>1.0194445910000001</v>
      </c>
      <c r="W432" s="1">
        <v>0</v>
      </c>
      <c r="X432" s="1">
        <v>0</v>
      </c>
      <c r="Y432" s="1">
        <v>188.63608110000001</v>
      </c>
      <c r="Z432" s="1">
        <v>0</v>
      </c>
      <c r="AA432" s="1">
        <v>352</v>
      </c>
      <c r="AB432" s="1">
        <v>0</v>
      </c>
      <c r="AC432" s="1">
        <v>0</v>
      </c>
      <c r="AD432">
        <v>0</v>
      </c>
      <c r="AF432" s="8" cm="1">
        <f t="array" aca="1" ref="AF432" ca="1">fScore_Total("ESPN",aCols)</f>
        <v>46.323435495000005</v>
      </c>
      <c r="AG432" s="8" cm="1">
        <f t="array" aca="1" ref="AG432" ca="1">-fScore_Total("diff",aCols)</f>
        <v>0</v>
      </c>
      <c r="AH432" s="8">
        <f t="shared" ca="1" si="7"/>
        <v>46.323435495000005</v>
      </c>
      <c r="AI432" s="8"/>
    </row>
    <row r="433" spans="1:35" x14ac:dyDescent="0.25">
      <c r="A433" t="s">
        <v>199</v>
      </c>
      <c r="B433" s="1" t="s">
        <v>600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  <c r="M433" s="1">
        <v>18.33479999</v>
      </c>
      <c r="N433" s="1">
        <v>0</v>
      </c>
      <c r="O433" s="1">
        <v>0.74715997099999998</v>
      </c>
      <c r="P433" s="1">
        <v>0</v>
      </c>
      <c r="Q433" s="1">
        <v>0</v>
      </c>
      <c r="R433" s="1">
        <v>132.94706690000001</v>
      </c>
      <c r="S433" s="1">
        <v>0</v>
      </c>
      <c r="T433" s="1">
        <v>0</v>
      </c>
      <c r="U433" s="1">
        <v>0</v>
      </c>
      <c r="V433" s="1">
        <v>0.79885148100000003</v>
      </c>
      <c r="W433" s="1">
        <v>0</v>
      </c>
      <c r="X433" s="1">
        <v>0</v>
      </c>
      <c r="Y433" s="1">
        <v>103.6298644</v>
      </c>
      <c r="Z433" s="1">
        <v>0</v>
      </c>
      <c r="AA433" s="1">
        <v>351</v>
      </c>
      <c r="AB433" s="1">
        <v>0</v>
      </c>
      <c r="AC433" s="1">
        <v>0</v>
      </c>
      <c r="AD433">
        <v>0</v>
      </c>
      <c r="AF433" s="8" cm="1">
        <f t="array" aca="1" ref="AF433" ca="1">fScore_Total("ESPN",aCols)</f>
        <v>42.101161836999999</v>
      </c>
      <c r="AG433" s="8" cm="1">
        <f t="array" aca="1" ref="AG433" ca="1">-fScore_Total("diff",aCols)</f>
        <v>0</v>
      </c>
      <c r="AH433" s="8">
        <f t="shared" ca="1" si="7"/>
        <v>42.101161836999999</v>
      </c>
      <c r="AI433" s="8"/>
    </row>
    <row r="434" spans="1:35" x14ac:dyDescent="0.25">
      <c r="A434" t="s">
        <v>197</v>
      </c>
      <c r="B434" s="1" t="s">
        <v>600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  <c r="M434" s="1">
        <v>13.32492592</v>
      </c>
      <c r="N434" s="1">
        <v>0</v>
      </c>
      <c r="O434" s="1">
        <v>0.455166711</v>
      </c>
      <c r="P434" s="1">
        <v>0</v>
      </c>
      <c r="Q434" s="1">
        <v>0</v>
      </c>
      <c r="R434" s="1">
        <v>89.00162693</v>
      </c>
      <c r="S434" s="1">
        <v>0</v>
      </c>
      <c r="T434" s="1">
        <v>0</v>
      </c>
      <c r="U434" s="1">
        <v>0</v>
      </c>
      <c r="V434" s="1">
        <v>1.584406559</v>
      </c>
      <c r="W434" s="1">
        <v>0</v>
      </c>
      <c r="X434" s="1">
        <v>0</v>
      </c>
      <c r="Y434" s="1">
        <v>225.3067854</v>
      </c>
      <c r="Z434" s="1">
        <v>0</v>
      </c>
      <c r="AA434" s="1">
        <v>347</v>
      </c>
      <c r="AB434" s="1">
        <v>0</v>
      </c>
      <c r="AC434" s="1">
        <v>0</v>
      </c>
      <c r="AD434">
        <v>0</v>
      </c>
      <c r="AF434" s="8" cm="1">
        <f t="array" aca="1" ref="AF434" ca="1">fScore_Total("ESPN",aCols)</f>
        <v>50.330743812999998</v>
      </c>
      <c r="AG434" s="8" cm="1">
        <f t="array" aca="1" ref="AG434" ca="1">-fScore_Total("diff",aCols)</f>
        <v>0</v>
      </c>
      <c r="AH434" s="8">
        <f t="shared" ca="1" si="7"/>
        <v>50.330743812999998</v>
      </c>
      <c r="AI434" s="8"/>
    </row>
    <row r="435" spans="1:35" x14ac:dyDescent="0.25">
      <c r="A435" t="s">
        <v>194</v>
      </c>
      <c r="B435" s="1" t="s">
        <v>600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  <c r="M435" s="1">
        <v>18.283713850000002</v>
      </c>
      <c r="N435" s="1">
        <v>0</v>
      </c>
      <c r="O435" s="1">
        <v>0.40703155099999999</v>
      </c>
      <c r="P435" s="1">
        <v>0</v>
      </c>
      <c r="Q435" s="1">
        <v>0</v>
      </c>
      <c r="R435" s="1">
        <v>130.60015079999999</v>
      </c>
      <c r="S435" s="1">
        <v>0</v>
      </c>
      <c r="T435" s="1">
        <v>0</v>
      </c>
      <c r="U435" s="1">
        <v>0</v>
      </c>
      <c r="V435" s="1">
        <v>1.0619976259999999</v>
      </c>
      <c r="W435" s="1">
        <v>0</v>
      </c>
      <c r="X435" s="1">
        <v>0</v>
      </c>
      <c r="Y435" s="1">
        <v>182.95603550000001</v>
      </c>
      <c r="Z435" s="1">
        <v>0</v>
      </c>
      <c r="AA435" s="1">
        <v>345</v>
      </c>
      <c r="AB435" s="1">
        <v>0</v>
      </c>
      <c r="AC435" s="1">
        <v>0</v>
      </c>
      <c r="AD435">
        <v>0</v>
      </c>
      <c r="AF435" s="8" cm="1">
        <f t="array" aca="1" ref="AF435" ca="1">fScore_Total("ESPN",aCols)</f>
        <v>49.311650617000005</v>
      </c>
      <c r="AG435" s="8" cm="1">
        <f t="array" aca="1" ref="AG435" ca="1">-fScore_Total("diff",aCols)</f>
        <v>0</v>
      </c>
      <c r="AH435" s="8">
        <f t="shared" ca="1" si="7"/>
        <v>49.311650617000005</v>
      </c>
      <c r="AI435" s="8"/>
    </row>
    <row r="436" spans="1:35" x14ac:dyDescent="0.25">
      <c r="A436" t="s">
        <v>195</v>
      </c>
      <c r="B436" s="1" t="s">
        <v>600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  <c r="M436" s="1">
        <v>10.368411610000001</v>
      </c>
      <c r="N436" s="1">
        <v>0</v>
      </c>
      <c r="O436" s="1">
        <v>0.39797849699999999</v>
      </c>
      <c r="P436" s="1">
        <v>0</v>
      </c>
      <c r="Q436" s="1">
        <v>0</v>
      </c>
      <c r="R436" s="1">
        <v>70.775575000000003</v>
      </c>
      <c r="S436" s="1">
        <v>0</v>
      </c>
      <c r="T436" s="1">
        <v>0</v>
      </c>
      <c r="U436" s="1">
        <v>0</v>
      </c>
      <c r="V436" s="1">
        <v>0.81905063899999997</v>
      </c>
      <c r="W436" s="1">
        <v>0</v>
      </c>
      <c r="X436" s="1">
        <v>0</v>
      </c>
      <c r="Y436" s="1">
        <v>192.59649949999999</v>
      </c>
      <c r="Z436" s="1">
        <v>0</v>
      </c>
      <c r="AA436" s="1">
        <v>344</v>
      </c>
      <c r="AB436" s="1">
        <v>0</v>
      </c>
      <c r="AC436" s="1">
        <v>0</v>
      </c>
      <c r="AD436">
        <v>0</v>
      </c>
      <c r="AF436" s="8" cm="1">
        <f t="array" aca="1" ref="AF436" ca="1">fScore_Total("ESPN",aCols)</f>
        <v>38.823588071000003</v>
      </c>
      <c r="AG436" s="8" cm="1">
        <f t="array" aca="1" ref="AG436" ca="1">-fScore_Total("diff",aCols)</f>
        <v>0</v>
      </c>
      <c r="AH436" s="8">
        <f t="shared" ca="1" si="7"/>
        <v>38.823588071000003</v>
      </c>
      <c r="AI436" s="8"/>
    </row>
    <row r="437" spans="1:35" x14ac:dyDescent="0.25">
      <c r="A437" t="s">
        <v>193</v>
      </c>
      <c r="B437" s="1" t="s">
        <v>600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  <c r="M437" s="1">
        <v>15.18636025</v>
      </c>
      <c r="N437" s="1">
        <v>0</v>
      </c>
      <c r="O437" s="1">
        <v>0.48981656699999998</v>
      </c>
      <c r="P437" s="1">
        <v>0</v>
      </c>
      <c r="Q437" s="1">
        <v>0</v>
      </c>
      <c r="R437" s="1">
        <v>145.50327680000001</v>
      </c>
      <c r="S437" s="1">
        <v>0</v>
      </c>
      <c r="T437" s="1">
        <v>0</v>
      </c>
      <c r="U437" s="1">
        <v>0</v>
      </c>
      <c r="V437" s="1">
        <v>1.3947690239999999</v>
      </c>
      <c r="W437" s="1">
        <v>0</v>
      </c>
      <c r="X437" s="1">
        <v>0</v>
      </c>
      <c r="Y437" s="1">
        <v>192.2899482</v>
      </c>
      <c r="Z437" s="1">
        <v>0</v>
      </c>
      <c r="AA437" s="1">
        <v>342</v>
      </c>
      <c r="AB437" s="1">
        <v>0</v>
      </c>
      <c r="AC437" s="1">
        <v>0</v>
      </c>
      <c r="AD437">
        <v>0</v>
      </c>
      <c r="AF437" s="8" cm="1">
        <f t="array" aca="1" ref="AF437" ca="1">fScore_Total("ESPN",aCols)</f>
        <v>52.680016171000005</v>
      </c>
      <c r="AG437" s="8" cm="1">
        <f t="array" aca="1" ref="AG437" ca="1">-fScore_Total("diff",aCols)</f>
        <v>0</v>
      </c>
      <c r="AH437" s="8">
        <f t="shared" ca="1" si="7"/>
        <v>52.680016171000005</v>
      </c>
      <c r="AI437" s="8"/>
    </row>
    <row r="438" spans="1:35" x14ac:dyDescent="0.25">
      <c r="A438" t="s">
        <v>206</v>
      </c>
      <c r="B438" s="1" t="s">
        <v>601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  <c r="M438" s="1">
        <v>31.158842669999999</v>
      </c>
      <c r="N438" s="1">
        <v>0</v>
      </c>
      <c r="O438" s="1">
        <v>2.7324158010000001</v>
      </c>
      <c r="P438" s="1">
        <v>0</v>
      </c>
      <c r="Q438" s="1">
        <v>0</v>
      </c>
      <c r="R438" s="1">
        <v>371.9202535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334</v>
      </c>
      <c r="AB438" s="1">
        <v>0</v>
      </c>
      <c r="AC438" s="1">
        <v>0</v>
      </c>
      <c r="AD438">
        <v>0</v>
      </c>
      <c r="AF438" s="8" cm="1">
        <f t="array" aca="1" ref="AF438" ca="1">fScore_Total("ESPN",aCols)</f>
        <v>69.165941490999998</v>
      </c>
      <c r="AG438" s="8" cm="1">
        <f t="array" aca="1" ref="AG438" ca="1">-fScore_Total("diff",aCols)</f>
        <v>0</v>
      </c>
      <c r="AH438" s="8">
        <f t="shared" ca="1" si="7"/>
        <v>69.165941490999998</v>
      </c>
      <c r="AI438" s="8"/>
    </row>
    <row r="439" spans="1:35" x14ac:dyDescent="0.25">
      <c r="A439" t="s">
        <v>205</v>
      </c>
      <c r="B439" s="1" t="s">
        <v>601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  <c r="M439" s="1">
        <v>34.597083529999999</v>
      </c>
      <c r="N439" s="1">
        <v>0</v>
      </c>
      <c r="O439" s="1">
        <v>2.57356491</v>
      </c>
      <c r="P439" s="1">
        <v>0</v>
      </c>
      <c r="Q439" s="1">
        <v>0</v>
      </c>
      <c r="R439" s="1">
        <v>439.3685274</v>
      </c>
      <c r="S439" s="1">
        <v>0</v>
      </c>
      <c r="T439" s="1">
        <v>0</v>
      </c>
      <c r="U439" s="1">
        <v>0</v>
      </c>
      <c r="V439" s="1">
        <v>0.170164493</v>
      </c>
      <c r="W439" s="1">
        <v>0</v>
      </c>
      <c r="X439" s="1">
        <v>0</v>
      </c>
      <c r="Y439" s="1">
        <v>24.435112329999999</v>
      </c>
      <c r="Z439" s="1">
        <v>0</v>
      </c>
      <c r="AA439" s="1">
        <v>332</v>
      </c>
      <c r="AB439" s="1">
        <v>0</v>
      </c>
      <c r="AC439" s="1">
        <v>0</v>
      </c>
      <c r="AD439">
        <v>0</v>
      </c>
      <c r="AF439" s="8" cm="1">
        <f t="array" aca="1" ref="AF439" ca="1">fScore_Total("ESPN",aCols)</f>
        <v>80.141282155999988</v>
      </c>
      <c r="AG439" s="8" cm="1">
        <f t="array" aca="1" ref="AG439" ca="1">-fScore_Total("diff",aCols)</f>
        <v>0</v>
      </c>
      <c r="AH439" s="8">
        <f t="shared" ca="1" si="7"/>
        <v>80.141282155999988</v>
      </c>
      <c r="AI439" s="8"/>
    </row>
    <row r="440" spans="1:35" x14ac:dyDescent="0.25">
      <c r="A440" t="s">
        <v>211</v>
      </c>
      <c r="B440" s="1" t="s">
        <v>601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31.303835599999999</v>
      </c>
      <c r="N440" s="1">
        <v>0</v>
      </c>
      <c r="O440" s="1">
        <v>2.7137631880000002</v>
      </c>
      <c r="P440" s="1">
        <v>0</v>
      </c>
      <c r="Q440" s="1">
        <v>0</v>
      </c>
      <c r="R440" s="1">
        <v>353.53598799999997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359</v>
      </c>
      <c r="AB440" s="1">
        <v>0</v>
      </c>
      <c r="AC440" s="1">
        <v>0</v>
      </c>
      <c r="AD440">
        <v>0</v>
      </c>
      <c r="AF440" s="8" cm="1">
        <f t="array" aca="1" ref="AF440" ca="1">fScore_Total("ESPN",aCols)</f>
        <v>67.288095728000002</v>
      </c>
      <c r="AG440" s="8" cm="1">
        <f t="array" aca="1" ref="AG440" ca="1">-fScore_Total("diff",aCols)</f>
        <v>0</v>
      </c>
      <c r="AH440" s="8">
        <f t="shared" ca="1" si="7"/>
        <v>67.288095728000002</v>
      </c>
      <c r="AI440" s="8"/>
    </row>
    <row r="441" spans="1:35" x14ac:dyDescent="0.25">
      <c r="A441" t="s">
        <v>207</v>
      </c>
      <c r="B441" s="1" t="s">
        <v>603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  <c r="M441" s="1">
        <v>33.775942819999997</v>
      </c>
      <c r="N441" s="1">
        <v>0</v>
      </c>
      <c r="O441" s="1">
        <v>2.994013587</v>
      </c>
      <c r="P441" s="1">
        <v>0</v>
      </c>
      <c r="Q441" s="1">
        <v>0</v>
      </c>
      <c r="R441" s="1">
        <v>381.81679550000001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366</v>
      </c>
      <c r="AB441" s="1">
        <v>0</v>
      </c>
      <c r="AC441" s="1">
        <v>0</v>
      </c>
      <c r="AD441">
        <v>0</v>
      </c>
      <c r="AF441" s="8" cm="1">
        <f t="array" aca="1" ref="AF441" ca="1">fScore_Total("ESPN",aCols)</f>
        <v>73.033732482000005</v>
      </c>
      <c r="AG441" s="8" cm="1">
        <f t="array" aca="1" ref="AG441" ca="1">-fScore_Total("diff",aCols)</f>
        <v>0</v>
      </c>
      <c r="AH441" s="8">
        <f t="shared" ca="1" si="7"/>
        <v>73.033732482000005</v>
      </c>
      <c r="AI441" s="8"/>
    </row>
    <row r="442" spans="1:35" x14ac:dyDescent="0.25">
      <c r="A442" t="s">
        <v>208</v>
      </c>
      <c r="B442" s="1" t="s">
        <v>603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  <c r="M442" s="1">
        <v>31.338340580000001</v>
      </c>
      <c r="N442" s="1">
        <v>0</v>
      </c>
      <c r="O442" s="1">
        <v>2.4311232949999999</v>
      </c>
      <c r="P442" s="1">
        <v>0</v>
      </c>
      <c r="Q442" s="1">
        <v>0</v>
      </c>
      <c r="R442" s="1">
        <v>366.7572333</v>
      </c>
      <c r="S442" s="1">
        <v>0</v>
      </c>
      <c r="T442" s="1">
        <v>0</v>
      </c>
      <c r="U442" s="1">
        <v>0</v>
      </c>
      <c r="V442" s="1">
        <v>6.205128E-2</v>
      </c>
      <c r="W442" s="1">
        <v>0</v>
      </c>
      <c r="X442" s="1">
        <v>0</v>
      </c>
      <c r="Y442" s="1">
        <v>2.1103387730000001</v>
      </c>
      <c r="Z442" s="1">
        <v>0</v>
      </c>
      <c r="AA442" s="1">
        <v>367</v>
      </c>
      <c r="AB442" s="1">
        <v>0</v>
      </c>
      <c r="AC442" s="1">
        <v>0</v>
      </c>
      <c r="AD442">
        <v>0</v>
      </c>
      <c r="AF442" s="8" cm="1">
        <f t="array" aca="1" ref="AF442" ca="1">fScore_Total("ESPN",aCols)</f>
        <v>67.514974947300004</v>
      </c>
      <c r="AG442" s="8" cm="1">
        <f t="array" aca="1" ref="AG442" ca="1">-fScore_Total("diff",aCols)</f>
        <v>0</v>
      </c>
      <c r="AH442" s="8">
        <f t="shared" ca="1" si="7"/>
        <v>67.514974947300004</v>
      </c>
      <c r="AI442" s="8"/>
    </row>
    <row r="443" spans="1:35" x14ac:dyDescent="0.25">
      <c r="A443" t="s">
        <v>221</v>
      </c>
      <c r="B443" s="1" t="s">
        <v>600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  <c r="M443" s="1">
        <v>13.05345129</v>
      </c>
      <c r="N443" s="1">
        <v>0</v>
      </c>
      <c r="O443" s="1">
        <v>0.41411277299999999</v>
      </c>
      <c r="P443" s="1">
        <v>0</v>
      </c>
      <c r="Q443" s="1">
        <v>0</v>
      </c>
      <c r="R443" s="1">
        <v>94.332731620000004</v>
      </c>
      <c r="S443" s="1">
        <v>0</v>
      </c>
      <c r="T443" s="1">
        <v>0</v>
      </c>
      <c r="U443" s="1">
        <v>0</v>
      </c>
      <c r="V443" s="1">
        <v>0.60229135600000006</v>
      </c>
      <c r="W443" s="1">
        <v>0</v>
      </c>
      <c r="X443" s="1">
        <v>0</v>
      </c>
      <c r="Y443" s="1">
        <v>102.32724380000001</v>
      </c>
      <c r="Z443" s="1">
        <v>0</v>
      </c>
      <c r="AA443" s="1">
        <v>398</v>
      </c>
      <c r="AB443" s="1">
        <v>0</v>
      </c>
      <c r="AC443" s="1">
        <v>0</v>
      </c>
      <c r="AD443">
        <v>0</v>
      </c>
      <c r="AF443" s="8" cm="1">
        <f t="array" aca="1" ref="AF443" ca="1">fScore_Total("ESPN",aCols)</f>
        <v>32.291147961000007</v>
      </c>
      <c r="AG443" s="8" cm="1">
        <f t="array" aca="1" ref="AG443" ca="1">-fScore_Total("diff",aCols)</f>
        <v>0</v>
      </c>
      <c r="AH443" s="8">
        <f t="shared" ca="1" si="7"/>
        <v>32.291147961000007</v>
      </c>
      <c r="AI443" s="8"/>
    </row>
    <row r="444" spans="1:35" x14ac:dyDescent="0.25">
      <c r="A444" t="s">
        <v>519</v>
      </c>
      <c r="B444" s="1" t="s">
        <v>600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  <c r="M444" s="1">
        <v>11.96978023</v>
      </c>
      <c r="N444" s="1">
        <v>0</v>
      </c>
      <c r="O444" s="1">
        <v>0.39306808999999998</v>
      </c>
      <c r="P444" s="1">
        <v>0</v>
      </c>
      <c r="Q444" s="1">
        <v>0</v>
      </c>
      <c r="R444" s="1">
        <v>83.514039429999997</v>
      </c>
      <c r="S444" s="1">
        <v>0</v>
      </c>
      <c r="T444" s="1">
        <v>0</v>
      </c>
      <c r="U444" s="1">
        <v>0</v>
      </c>
      <c r="V444" s="1">
        <v>0.74837217599999994</v>
      </c>
      <c r="W444" s="1">
        <v>0</v>
      </c>
      <c r="X444" s="1">
        <v>0</v>
      </c>
      <c r="Y444" s="1">
        <v>117.664575</v>
      </c>
      <c r="Z444" s="1">
        <v>0</v>
      </c>
      <c r="AA444" s="1">
        <v>397</v>
      </c>
      <c r="AB444" s="1">
        <v>0</v>
      </c>
      <c r="AC444" s="1">
        <v>0</v>
      </c>
      <c r="AD444">
        <v>0</v>
      </c>
      <c r="AF444" s="8" cm="1">
        <f t="array" aca="1" ref="AF444" ca="1">fScore_Total("ESPN",aCols)</f>
        <v>32.951393154000002</v>
      </c>
      <c r="AG444" s="8" cm="1">
        <f t="array" aca="1" ref="AG444" ca="1">-fScore_Total("diff",aCols)</f>
        <v>0</v>
      </c>
      <c r="AH444" s="8">
        <f t="shared" ca="1" si="7"/>
        <v>32.951393154000002</v>
      </c>
      <c r="AI444" s="8"/>
    </row>
    <row r="445" spans="1:35" x14ac:dyDescent="0.25">
      <c r="A445" t="s">
        <v>220</v>
      </c>
      <c r="B445" s="1" t="s">
        <v>601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  <c r="M445" s="1">
        <v>21.527819950000001</v>
      </c>
      <c r="N445" s="1">
        <v>0</v>
      </c>
      <c r="O445" s="1">
        <v>2.1796413760000002</v>
      </c>
      <c r="P445" s="1">
        <v>0</v>
      </c>
      <c r="Q445" s="1">
        <v>0</v>
      </c>
      <c r="R445" s="1">
        <v>265.76381190000001</v>
      </c>
      <c r="S445" s="1">
        <v>0</v>
      </c>
      <c r="T445" s="1">
        <v>0</v>
      </c>
      <c r="U445" s="1">
        <v>0</v>
      </c>
      <c r="V445" s="1">
        <v>0.31575214400000001</v>
      </c>
      <c r="W445" s="1">
        <v>0</v>
      </c>
      <c r="X445" s="1">
        <v>0</v>
      </c>
      <c r="Y445" s="1">
        <v>28.45766987</v>
      </c>
      <c r="Z445" s="1">
        <v>0</v>
      </c>
      <c r="AA445" s="1">
        <v>396</v>
      </c>
      <c r="AB445" s="1">
        <v>0</v>
      </c>
      <c r="AC445" s="1">
        <v>0</v>
      </c>
      <c r="AD445">
        <v>0</v>
      </c>
      <c r="AF445" s="8" cm="1">
        <f t="array" aca="1" ref="AF445" ca="1">fScore_Total("ESPN",aCols)</f>
        <v>55.158419272000003</v>
      </c>
      <c r="AG445" s="8" cm="1">
        <f t="array" aca="1" ref="AG445" ca="1">-fScore_Total("diff",aCols)</f>
        <v>0</v>
      </c>
      <c r="AH445" s="8">
        <f t="shared" ca="1" si="7"/>
        <v>55.158419272000003</v>
      </c>
      <c r="AI445" s="8"/>
    </row>
    <row r="446" spans="1:35" x14ac:dyDescent="0.25">
      <c r="A446" t="s">
        <v>219</v>
      </c>
      <c r="B446" s="1" t="s">
        <v>601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  <c r="M446" s="1">
        <v>25.19321193</v>
      </c>
      <c r="N446" s="1">
        <v>0</v>
      </c>
      <c r="O446" s="1">
        <v>1.7266835110000001</v>
      </c>
      <c r="P446" s="1">
        <v>0</v>
      </c>
      <c r="Q446" s="1">
        <v>0</v>
      </c>
      <c r="R446" s="1">
        <v>323.93746970000001</v>
      </c>
      <c r="S446" s="1">
        <v>0</v>
      </c>
      <c r="T446" s="1">
        <v>0</v>
      </c>
      <c r="U446" s="1">
        <v>0</v>
      </c>
      <c r="V446" s="1">
        <v>0.17363031400000001</v>
      </c>
      <c r="W446" s="1">
        <v>0</v>
      </c>
      <c r="X446" s="1">
        <v>0</v>
      </c>
      <c r="Y446" s="1">
        <v>21.984647710000001</v>
      </c>
      <c r="Z446" s="1">
        <v>0</v>
      </c>
      <c r="AA446" s="1">
        <v>394</v>
      </c>
      <c r="AB446" s="1">
        <v>0</v>
      </c>
      <c r="AC446" s="1">
        <v>0</v>
      </c>
      <c r="AD446">
        <v>0</v>
      </c>
      <c r="AF446" s="8" cm="1">
        <f t="array" aca="1" ref="AF446" ca="1">fScore_Total("ESPN",aCols)</f>
        <v>58.590700656000003</v>
      </c>
      <c r="AG446" s="8" cm="1">
        <f t="array" aca="1" ref="AG446" ca="1">-fScore_Total("diff",aCols)</f>
        <v>0</v>
      </c>
      <c r="AH446" s="8">
        <f t="shared" ca="1" si="7"/>
        <v>58.590700656000003</v>
      </c>
      <c r="AI446" s="8"/>
    </row>
    <row r="447" spans="1:35" x14ac:dyDescent="0.25">
      <c r="A447" t="s">
        <v>218</v>
      </c>
      <c r="B447" s="1" t="s">
        <v>601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  <c r="M447" s="1">
        <v>25.681715520000001</v>
      </c>
      <c r="N447" s="1">
        <v>0</v>
      </c>
      <c r="O447" s="1">
        <v>2.2601755529999998</v>
      </c>
      <c r="P447" s="1">
        <v>0</v>
      </c>
      <c r="Q447" s="1">
        <v>0</v>
      </c>
      <c r="R447" s="1">
        <v>325.24151430000001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0</v>
      </c>
      <c r="Z447" s="1">
        <v>0</v>
      </c>
      <c r="AA447" s="1">
        <v>393</v>
      </c>
      <c r="AB447" s="1">
        <v>0</v>
      </c>
      <c r="AC447" s="1">
        <v>0</v>
      </c>
      <c r="AD447">
        <v>0</v>
      </c>
      <c r="AF447" s="8" cm="1">
        <f t="array" aca="1" ref="AF447" ca="1">fScore_Total("ESPN",aCols)</f>
        <v>58.926062508000001</v>
      </c>
      <c r="AG447" s="8" cm="1">
        <f t="array" aca="1" ref="AG447" ca="1">-fScore_Total("diff",aCols)</f>
        <v>0</v>
      </c>
      <c r="AH447" s="8">
        <f t="shared" ca="1" si="7"/>
        <v>58.926062508000001</v>
      </c>
      <c r="AI447" s="8"/>
    </row>
    <row r="448" spans="1:35" x14ac:dyDescent="0.25">
      <c r="A448" t="s">
        <v>217</v>
      </c>
      <c r="B448" s="1" t="s">
        <v>601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1">
        <v>0</v>
      </c>
      <c r="J448" s="1">
        <v>0</v>
      </c>
      <c r="K448" s="1">
        <v>0</v>
      </c>
      <c r="L448" s="1">
        <v>0</v>
      </c>
      <c r="M448" s="1">
        <v>27.931296629999999</v>
      </c>
      <c r="N448" s="1">
        <v>0</v>
      </c>
      <c r="O448" s="1">
        <v>1.558652878</v>
      </c>
      <c r="P448" s="1">
        <v>0</v>
      </c>
      <c r="Q448" s="1">
        <v>0</v>
      </c>
      <c r="R448" s="1">
        <v>363.92408180000001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392</v>
      </c>
      <c r="AB448" s="1">
        <v>0</v>
      </c>
      <c r="AC448" s="1">
        <v>0</v>
      </c>
      <c r="AD448">
        <v>0</v>
      </c>
      <c r="AF448" s="8" cm="1">
        <f t="array" aca="1" ref="AF448" ca="1">fScore_Total("ESPN",aCols)</f>
        <v>59.709973763000001</v>
      </c>
      <c r="AG448" s="8" cm="1">
        <f t="array" aca="1" ref="AG448" ca="1">-fScore_Total("diff",aCols)</f>
        <v>0</v>
      </c>
      <c r="AH448" s="8">
        <f t="shared" ca="1" si="7"/>
        <v>59.709973763000001</v>
      </c>
      <c r="AI448" s="8"/>
    </row>
    <row r="449" spans="1:35" x14ac:dyDescent="0.25">
      <c r="A449" t="s">
        <v>216</v>
      </c>
      <c r="B449" s="1" t="s">
        <v>601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  <c r="M449" s="1">
        <v>28.573008229999999</v>
      </c>
      <c r="N449" s="1">
        <v>0</v>
      </c>
      <c r="O449" s="1">
        <v>2.1883879199999998</v>
      </c>
      <c r="P449" s="1">
        <v>0</v>
      </c>
      <c r="Q449" s="1">
        <v>0</v>
      </c>
      <c r="R449" s="1">
        <v>373.93190320000002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</v>
      </c>
      <c r="Z449" s="1">
        <v>0</v>
      </c>
      <c r="AA449" s="1">
        <v>391</v>
      </c>
      <c r="AB449" s="1">
        <v>0</v>
      </c>
      <c r="AC449" s="1">
        <v>0</v>
      </c>
      <c r="AD449">
        <v>0</v>
      </c>
      <c r="AF449" s="8" cm="1">
        <f t="array" aca="1" ref="AF449" ca="1">fScore_Total("ESPN",aCols)</f>
        <v>64.810021954999996</v>
      </c>
      <c r="AG449" s="8" cm="1">
        <f t="array" aca="1" ref="AG449" ca="1">-fScore_Total("diff",aCols)</f>
        <v>0</v>
      </c>
      <c r="AH449" s="8">
        <f t="shared" ca="1" si="7"/>
        <v>64.810021954999996</v>
      </c>
      <c r="AI449" s="8"/>
    </row>
    <row r="450" spans="1:35" x14ac:dyDescent="0.25">
      <c r="A450" t="s">
        <v>209</v>
      </c>
      <c r="B450" s="1" t="s">
        <v>603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  <c r="M450" s="1">
        <v>29.047673939999999</v>
      </c>
      <c r="N450" s="1">
        <v>0</v>
      </c>
      <c r="O450" s="1">
        <v>3.437789848</v>
      </c>
      <c r="P450" s="1">
        <v>0</v>
      </c>
      <c r="Q450" s="1">
        <v>0</v>
      </c>
      <c r="R450" s="1">
        <v>326.60816019999999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369</v>
      </c>
      <c r="AB450" s="1">
        <v>0</v>
      </c>
      <c r="AC450" s="1">
        <v>0</v>
      </c>
      <c r="AD450">
        <v>0</v>
      </c>
      <c r="AF450" s="8" cm="1">
        <f t="array" aca="1" ref="AF450" ca="1">fScore_Total("ESPN",aCols)</f>
        <v>67.811392077999997</v>
      </c>
      <c r="AG450" s="8" cm="1">
        <f t="array" aca="1" ref="AG450" ca="1">-fScore_Total("diff",aCols)</f>
        <v>0</v>
      </c>
      <c r="AH450" s="8">
        <f t="shared" ca="1" si="7"/>
        <v>67.811392077999997</v>
      </c>
      <c r="AI450" s="8"/>
    </row>
    <row r="451" spans="1:35" x14ac:dyDescent="0.25">
      <c r="A451" t="s">
        <v>213</v>
      </c>
      <c r="B451" s="1" t="s">
        <v>600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  <c r="M451" s="1">
        <v>8.0921890259999998</v>
      </c>
      <c r="N451" s="1">
        <v>0</v>
      </c>
      <c r="O451" s="1">
        <v>0.30185231800000001</v>
      </c>
      <c r="P451" s="1">
        <v>0</v>
      </c>
      <c r="Q451" s="1">
        <v>0</v>
      </c>
      <c r="R451" s="1">
        <v>56.518335610000001</v>
      </c>
      <c r="S451" s="1">
        <v>0</v>
      </c>
      <c r="T451" s="1">
        <v>0</v>
      </c>
      <c r="U451" s="1">
        <v>0</v>
      </c>
      <c r="V451" s="1">
        <v>1.4508145210000001</v>
      </c>
      <c r="W451" s="1">
        <v>0</v>
      </c>
      <c r="X451" s="1">
        <v>0</v>
      </c>
      <c r="Y451" s="1">
        <v>200.48655020000001</v>
      </c>
      <c r="Z451" s="1">
        <v>0</v>
      </c>
      <c r="AA451" s="1">
        <v>377</v>
      </c>
      <c r="AB451" s="1">
        <v>0</v>
      </c>
      <c r="AC451" s="1">
        <v>0</v>
      </c>
      <c r="AD451">
        <v>0</v>
      </c>
      <c r="AF451" s="8" cm="1">
        <f t="array" aca="1" ref="AF451" ca="1">fScore_Total("ESPN",aCols)</f>
        <v>40.262584128</v>
      </c>
      <c r="AG451" s="8" cm="1">
        <f t="array" aca="1" ref="AG451" ca="1">-fScore_Total("diff",aCols)</f>
        <v>0</v>
      </c>
      <c r="AH451" s="8">
        <f t="shared" ca="1" si="7"/>
        <v>40.262584128</v>
      </c>
      <c r="AI451" s="8"/>
    </row>
    <row r="452" spans="1:35" x14ac:dyDescent="0.25">
      <c r="A452" t="s">
        <v>212</v>
      </c>
      <c r="B452" s="1" t="s">
        <v>601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  <c r="M452" s="1">
        <v>27.604971190000001</v>
      </c>
      <c r="N452" s="1">
        <v>0</v>
      </c>
      <c r="O452" s="1">
        <v>1.992841912</v>
      </c>
      <c r="P452" s="1">
        <v>0</v>
      </c>
      <c r="Q452" s="1">
        <v>0</v>
      </c>
      <c r="R452" s="1">
        <v>402.5415994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373</v>
      </c>
      <c r="AB452" s="1">
        <v>0</v>
      </c>
      <c r="AC452" s="1">
        <v>0</v>
      </c>
      <c r="AD452">
        <v>0</v>
      </c>
      <c r="AF452" s="8" cm="1">
        <f t="array" aca="1" ref="AF452" ca="1">fScore_Total("ESPN",aCols)</f>
        <v>66.013697007000005</v>
      </c>
      <c r="AG452" s="8" cm="1">
        <f t="array" aca="1" ref="AG452" ca="1">-fScore_Total("diff",aCols)</f>
        <v>0</v>
      </c>
      <c r="AH452" s="8">
        <f t="shared" ca="1" si="7"/>
        <v>66.013697007000005</v>
      </c>
      <c r="AI452" s="8"/>
    </row>
    <row r="453" spans="1:35" x14ac:dyDescent="0.25">
      <c r="A453" t="s">
        <v>305</v>
      </c>
      <c r="B453" s="1" t="s">
        <v>601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27.092407470000001</v>
      </c>
      <c r="N453" s="1">
        <v>0</v>
      </c>
      <c r="O453" s="1">
        <v>1.844353701</v>
      </c>
      <c r="P453" s="1">
        <v>0</v>
      </c>
      <c r="Q453" s="1">
        <v>0</v>
      </c>
      <c r="R453" s="1">
        <v>409.16114490000001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372</v>
      </c>
      <c r="AB453" s="1">
        <v>0</v>
      </c>
      <c r="AC453" s="1">
        <v>0</v>
      </c>
      <c r="AD453">
        <v>0</v>
      </c>
      <c r="AF453" s="8" cm="1">
        <f t="array" aca="1" ref="AF453" ca="1">fScore_Total("ESPN",aCols)</f>
        <v>65.528440431000007</v>
      </c>
      <c r="AG453" s="8" cm="1">
        <f t="array" aca="1" ref="AG453" ca="1">-fScore_Total("diff",aCols)</f>
        <v>0</v>
      </c>
      <c r="AH453" s="8">
        <f t="shared" ca="1" si="7"/>
        <v>65.528440431000007</v>
      </c>
      <c r="AI453" s="8"/>
    </row>
    <row r="454" spans="1:35" x14ac:dyDescent="0.25">
      <c r="A454" t="s">
        <v>560</v>
      </c>
      <c r="B454" s="1" t="s">
        <v>601</v>
      </c>
      <c r="C454" s="1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  <c r="M454" s="1">
        <v>31.943210300000001</v>
      </c>
      <c r="N454" s="1">
        <v>0</v>
      </c>
      <c r="O454" s="1">
        <v>2.0342137660000001</v>
      </c>
      <c r="P454" s="1">
        <v>0</v>
      </c>
      <c r="Q454" s="1">
        <v>0</v>
      </c>
      <c r="R454" s="1">
        <v>327.11057010000002</v>
      </c>
      <c r="S454" s="1">
        <v>0</v>
      </c>
      <c r="T454" s="1">
        <v>0</v>
      </c>
      <c r="U454" s="1">
        <v>0</v>
      </c>
      <c r="V454" s="1">
        <v>0.24582611300000001</v>
      </c>
      <c r="W454" s="1">
        <v>0</v>
      </c>
      <c r="X454" s="1">
        <v>0</v>
      </c>
      <c r="Y454" s="1">
        <v>32.06421418</v>
      </c>
      <c r="Z454" s="1">
        <v>0</v>
      </c>
      <c r="AA454" s="1">
        <v>370</v>
      </c>
      <c r="AB454" s="1">
        <v>0</v>
      </c>
      <c r="AC454" s="1">
        <v>0</v>
      </c>
      <c r="AD454">
        <v>0</v>
      </c>
      <c r="AF454" s="8" cm="1">
        <f t="array" aca="1" ref="AF454" ca="1">fScore_Total("ESPN",aCols)</f>
        <v>65.569322851999999</v>
      </c>
      <c r="AG454" s="8" cm="1">
        <f t="array" aca="1" ref="AG454" ca="1">-fScore_Total("diff",aCols)</f>
        <v>0</v>
      </c>
      <c r="AH454" s="8">
        <f t="shared" ca="1" si="7"/>
        <v>65.569322851999999</v>
      </c>
      <c r="AI454" s="8"/>
    </row>
    <row r="455" spans="1:35" x14ac:dyDescent="0.25">
      <c r="A455" t="s">
        <v>187</v>
      </c>
      <c r="B455" s="1" t="s">
        <v>601</v>
      </c>
      <c r="C455" s="1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  <c r="M455" s="1">
        <v>28.388749700000002</v>
      </c>
      <c r="N455" s="1">
        <v>0</v>
      </c>
      <c r="O455" s="1">
        <v>1.9594750869999999</v>
      </c>
      <c r="P455" s="1">
        <v>0</v>
      </c>
      <c r="Q455" s="1">
        <v>0</v>
      </c>
      <c r="R455" s="1">
        <v>330.20043029999999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327</v>
      </c>
      <c r="AB455" s="1">
        <v>0</v>
      </c>
      <c r="AC455" s="1">
        <v>0</v>
      </c>
      <c r="AD455">
        <v>0</v>
      </c>
      <c r="AF455" s="8" cm="1">
        <f t="array" aca="1" ref="AF455" ca="1">fScore_Total("ESPN",aCols)</f>
        <v>58.971268402000007</v>
      </c>
      <c r="AG455" s="8" cm="1">
        <f t="array" aca="1" ref="AG455" ca="1">-fScore_Total("diff",aCols)</f>
        <v>0</v>
      </c>
      <c r="AH455" s="8">
        <f t="shared" ca="1" si="7"/>
        <v>58.971268402000007</v>
      </c>
      <c r="AI455" s="8"/>
    </row>
    <row r="456" spans="1:35" x14ac:dyDescent="0.25">
      <c r="A456" t="s">
        <v>433</v>
      </c>
      <c r="B456" s="1" t="s">
        <v>603</v>
      </c>
      <c r="C456" s="1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  <c r="M456" s="1">
        <v>14.655730569999999</v>
      </c>
      <c r="N456" s="1">
        <v>0</v>
      </c>
      <c r="O456" s="1">
        <v>0.64731815599999998</v>
      </c>
      <c r="P456" s="1">
        <v>0</v>
      </c>
      <c r="Q456" s="1">
        <v>0</v>
      </c>
      <c r="R456" s="1">
        <v>147.3088678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1012</v>
      </c>
      <c r="AB456" s="1">
        <v>0</v>
      </c>
      <c r="AC456" s="1">
        <v>0</v>
      </c>
      <c r="AD456">
        <v>0</v>
      </c>
      <c r="AF456" s="8" cm="1">
        <f t="array" aca="1" ref="AF456" ca="1">fScore_Total("ESPN",aCols)</f>
        <v>25.942661000999998</v>
      </c>
      <c r="AG456" s="8" cm="1">
        <f t="array" aca="1" ref="AG456" ca="1">-fScore_Total("diff",aCols)</f>
        <v>0</v>
      </c>
      <c r="AH456" s="8">
        <f t="shared" ca="1" si="7"/>
        <v>25.942661000999998</v>
      </c>
      <c r="AI456" s="8"/>
    </row>
    <row r="457" spans="1:35" x14ac:dyDescent="0.25">
      <c r="A457" t="s">
        <v>184</v>
      </c>
      <c r="B457" s="1" t="s">
        <v>600</v>
      </c>
      <c r="C457" s="1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  <c r="M457" s="1">
        <v>6.8631169859999996</v>
      </c>
      <c r="N457" s="1">
        <v>0</v>
      </c>
      <c r="O457" s="1">
        <v>0.23215751200000001</v>
      </c>
      <c r="P457" s="1">
        <v>0</v>
      </c>
      <c r="Q457" s="1">
        <v>0</v>
      </c>
      <c r="R457" s="1">
        <v>49.532037989999999</v>
      </c>
      <c r="S457" s="1">
        <v>0</v>
      </c>
      <c r="T457" s="1">
        <v>0</v>
      </c>
      <c r="U457" s="1">
        <v>0</v>
      </c>
      <c r="V457" s="1">
        <v>2.6643509399999998</v>
      </c>
      <c r="W457" s="1">
        <v>0</v>
      </c>
      <c r="X457" s="1">
        <v>0</v>
      </c>
      <c r="Y457" s="1">
        <v>334.76025270000002</v>
      </c>
      <c r="Z457" s="1">
        <v>0</v>
      </c>
      <c r="AA457" s="1">
        <v>326</v>
      </c>
      <c r="AB457" s="1">
        <v>0</v>
      </c>
      <c r="AC457" s="1">
        <v>0</v>
      </c>
      <c r="AD457">
        <v>0</v>
      </c>
      <c r="AF457" s="8" cm="1">
        <f t="array" aca="1" ref="AF457" ca="1">fScore_Total("ESPN",aCols)</f>
        <v>59.239838274</v>
      </c>
      <c r="AG457" s="8" cm="1">
        <f t="array" aca="1" ref="AG457" ca="1">-fScore_Total("diff",aCols)</f>
        <v>0</v>
      </c>
      <c r="AH457" s="8">
        <f t="shared" ca="1" si="7"/>
        <v>59.239838274</v>
      </c>
      <c r="AI457" s="8"/>
    </row>
    <row r="458" spans="1:35" x14ac:dyDescent="0.25">
      <c r="A458" t="s">
        <v>516</v>
      </c>
      <c r="B458" s="1" t="s">
        <v>601</v>
      </c>
      <c r="C458" s="1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  <c r="M458" s="1">
        <v>41.727378620000003</v>
      </c>
      <c r="N458" s="1">
        <v>0</v>
      </c>
      <c r="O458" s="1">
        <v>4.9792656019999999</v>
      </c>
      <c r="P458" s="1">
        <v>0</v>
      </c>
      <c r="Q458" s="1">
        <v>0</v>
      </c>
      <c r="R458" s="1">
        <v>618.4817984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285</v>
      </c>
      <c r="AB458" s="1">
        <v>0</v>
      </c>
      <c r="AC458" s="1">
        <v>0</v>
      </c>
      <c r="AD458">
        <v>0</v>
      </c>
      <c r="AF458" s="8" cm="1">
        <f t="array" aca="1" ref="AF458" ca="1">fScore_Total("ESPN",aCols)</f>
        <v>112.587462762</v>
      </c>
      <c r="AG458" s="8" cm="1">
        <f t="array" aca="1" ref="AG458" ca="1">-fScore_Total("diff",aCols)</f>
        <v>0</v>
      </c>
      <c r="AH458" s="8">
        <f t="shared" ca="1" si="7"/>
        <v>112.587462762</v>
      </c>
      <c r="AI458" s="8"/>
    </row>
    <row r="459" spans="1:35" x14ac:dyDescent="0.25">
      <c r="A459" t="s">
        <v>167</v>
      </c>
      <c r="B459" s="1" t="s">
        <v>601</v>
      </c>
      <c r="C459" s="1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  <c r="M459" s="1">
        <v>62.350246210000002</v>
      </c>
      <c r="N459" s="1">
        <v>0</v>
      </c>
      <c r="O459" s="1">
        <v>1.26128668</v>
      </c>
      <c r="P459" s="1">
        <v>0</v>
      </c>
      <c r="Q459" s="1">
        <v>0</v>
      </c>
      <c r="R459" s="1">
        <v>573.70313309999995</v>
      </c>
      <c r="S459" s="1">
        <v>0</v>
      </c>
      <c r="T459" s="1">
        <v>0</v>
      </c>
      <c r="U459" s="1">
        <v>0</v>
      </c>
      <c r="V459" s="1">
        <v>0.38891078899999998</v>
      </c>
      <c r="W459" s="1">
        <v>0</v>
      </c>
      <c r="X459" s="1">
        <v>0</v>
      </c>
      <c r="Y459" s="1">
        <v>51.133908529999999</v>
      </c>
      <c r="Z459" s="1">
        <v>0</v>
      </c>
      <c r="AA459" s="1">
        <v>284</v>
      </c>
      <c r="AB459" s="1">
        <v>0</v>
      </c>
      <c r="AC459" s="1">
        <v>0</v>
      </c>
      <c r="AD459">
        <v>0</v>
      </c>
      <c r="AF459" s="8" cm="1">
        <f t="array" aca="1" ref="AF459" ca="1">fScore_Total("ESPN",aCols)</f>
        <v>103.560012082</v>
      </c>
      <c r="AG459" s="8" cm="1">
        <f t="array" aca="1" ref="AG459" ca="1">-fScore_Total("diff",aCols)</f>
        <v>0</v>
      </c>
      <c r="AH459" s="8">
        <f t="shared" ca="1" si="7"/>
        <v>103.560012082</v>
      </c>
      <c r="AI459" s="8"/>
    </row>
    <row r="460" spans="1:35" x14ac:dyDescent="0.25">
      <c r="A460" t="s">
        <v>134</v>
      </c>
      <c r="B460" s="1" t="s">
        <v>600</v>
      </c>
      <c r="C460" s="1">
        <v>0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  <c r="M460" s="1">
        <v>23.159123269999998</v>
      </c>
      <c r="N460" s="1">
        <v>0</v>
      </c>
      <c r="O460" s="1">
        <v>0.87649050799999995</v>
      </c>
      <c r="P460" s="1">
        <v>0</v>
      </c>
      <c r="Q460" s="1">
        <v>0</v>
      </c>
      <c r="R460" s="1">
        <v>177.4264498</v>
      </c>
      <c r="S460" s="1">
        <v>0</v>
      </c>
      <c r="T460" s="1">
        <v>0</v>
      </c>
      <c r="U460" s="1">
        <v>0</v>
      </c>
      <c r="V460" s="1">
        <v>3.04464121</v>
      </c>
      <c r="W460" s="1">
        <v>0</v>
      </c>
      <c r="X460" s="1">
        <v>0</v>
      </c>
      <c r="Y460" s="1">
        <v>442.86070580000001</v>
      </c>
      <c r="Z460" s="1">
        <v>0</v>
      </c>
      <c r="AA460" s="1">
        <v>269</v>
      </c>
      <c r="AB460" s="1">
        <v>0</v>
      </c>
      <c r="AC460" s="1">
        <v>0</v>
      </c>
      <c r="AD460">
        <v>0</v>
      </c>
      <c r="AF460" s="8" cm="1">
        <f t="array" aca="1" ref="AF460" ca="1">fScore_Total("ESPN",aCols)</f>
        <v>97.135067503000002</v>
      </c>
      <c r="AG460" s="8" cm="1">
        <f t="array" aca="1" ref="AG460" ca="1">-fScore_Total("diff",aCols)</f>
        <v>0</v>
      </c>
      <c r="AH460" s="8">
        <f t="shared" ca="1" si="7"/>
        <v>97.135067503000002</v>
      </c>
      <c r="AI460" s="8"/>
    </row>
    <row r="461" spans="1:35" x14ac:dyDescent="0.25">
      <c r="A461" t="s">
        <v>142</v>
      </c>
      <c r="B461" s="1" t="s">
        <v>601</v>
      </c>
      <c r="C461" s="1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  <c r="M461" s="1">
        <v>49.586299689999997</v>
      </c>
      <c r="N461" s="1">
        <v>0</v>
      </c>
      <c r="O461" s="1">
        <v>3.0649007319999999</v>
      </c>
      <c r="P461" s="1">
        <v>0</v>
      </c>
      <c r="Q461" s="1">
        <v>0</v>
      </c>
      <c r="R461" s="1">
        <v>576.98363619999998</v>
      </c>
      <c r="S461" s="1">
        <v>0</v>
      </c>
      <c r="T461" s="1">
        <v>0</v>
      </c>
      <c r="U461" s="1">
        <v>0</v>
      </c>
      <c r="V461" s="1">
        <v>5.4817460999999998E-2</v>
      </c>
      <c r="W461" s="1">
        <v>0</v>
      </c>
      <c r="X461" s="1">
        <v>0</v>
      </c>
      <c r="Y461" s="1">
        <v>13.054166520000001</v>
      </c>
      <c r="Z461" s="1">
        <v>0</v>
      </c>
      <c r="AA461" s="1">
        <v>262</v>
      </c>
      <c r="AB461" s="1">
        <v>0</v>
      </c>
      <c r="AC461" s="1">
        <v>0</v>
      </c>
      <c r="AD461">
        <v>0</v>
      </c>
      <c r="AF461" s="8" cm="1">
        <f t="array" aca="1" ref="AF461" ca="1">fScore_Total("ESPN",aCols)</f>
        <v>102.515239275</v>
      </c>
      <c r="AG461" s="8" cm="1">
        <f t="array" aca="1" ref="AG461" ca="1">-fScore_Total("diff",aCols)</f>
        <v>0</v>
      </c>
      <c r="AH461" s="8">
        <f t="shared" ca="1" si="7"/>
        <v>102.515239275</v>
      </c>
      <c r="AI461" s="8"/>
    </row>
    <row r="462" spans="1:35" x14ac:dyDescent="0.25">
      <c r="A462" t="s">
        <v>164</v>
      </c>
      <c r="B462" s="1" t="s">
        <v>603</v>
      </c>
      <c r="C462" s="1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  <c r="M462" s="1">
        <v>45.374470590000001</v>
      </c>
      <c r="N462" s="1">
        <v>0</v>
      </c>
      <c r="O462" s="1">
        <v>3.8898674089999998</v>
      </c>
      <c r="P462" s="1">
        <v>0</v>
      </c>
      <c r="Q462" s="1">
        <v>0</v>
      </c>
      <c r="R462" s="1">
        <v>510.8676044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260</v>
      </c>
      <c r="AB462" s="1">
        <v>0</v>
      </c>
      <c r="AC462" s="1">
        <v>0</v>
      </c>
      <c r="AD462">
        <v>0</v>
      </c>
      <c r="AF462" s="8" cm="1">
        <f t="array" aca="1" ref="AF462" ca="1">fScore_Total("ESPN",aCols)</f>
        <v>97.113200188999997</v>
      </c>
      <c r="AG462" s="8" cm="1">
        <f t="array" aca="1" ref="AG462" ca="1">-fScore_Total("diff",aCols)</f>
        <v>0</v>
      </c>
      <c r="AH462" s="8">
        <f t="shared" ca="1" si="7"/>
        <v>97.113200188999997</v>
      </c>
      <c r="AI462" s="8"/>
    </row>
    <row r="463" spans="1:35" x14ac:dyDescent="0.25">
      <c r="A463" t="s">
        <v>163</v>
      </c>
      <c r="B463" s="1" t="s">
        <v>603</v>
      </c>
      <c r="C463" s="1">
        <v>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  <c r="M463" s="1">
        <v>44.874916910000003</v>
      </c>
      <c r="N463" s="1">
        <v>0</v>
      </c>
      <c r="O463" s="1">
        <v>3.7236820490000002</v>
      </c>
      <c r="P463" s="1">
        <v>0</v>
      </c>
      <c r="Q463" s="1">
        <v>0</v>
      </c>
      <c r="R463" s="1">
        <v>437.57780480000002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221</v>
      </c>
      <c r="AB463" s="1">
        <v>0</v>
      </c>
      <c r="AC463" s="1">
        <v>0</v>
      </c>
      <c r="AD463">
        <v>0</v>
      </c>
      <c r="AF463" s="8" cm="1">
        <f t="array" aca="1" ref="AF463" ca="1">fScore_Total("ESPN",aCols)</f>
        <v>88.537331229000017</v>
      </c>
      <c r="AG463" s="8" cm="1">
        <f t="array" aca="1" ref="AG463" ca="1">-fScore_Total("diff",aCols)</f>
        <v>0</v>
      </c>
      <c r="AH463" s="8">
        <f t="shared" ca="1" si="7"/>
        <v>88.537331229000017</v>
      </c>
      <c r="AI463" s="8"/>
    </row>
    <row r="464" spans="1:35" x14ac:dyDescent="0.25">
      <c r="A464" t="s">
        <v>162</v>
      </c>
      <c r="B464" s="1" t="s">
        <v>603</v>
      </c>
      <c r="C464" s="1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  <c r="M464" s="1">
        <v>49.714795719999998</v>
      </c>
      <c r="N464" s="1">
        <v>0</v>
      </c>
      <c r="O464" s="1">
        <v>2.4914566960000002</v>
      </c>
      <c r="P464" s="1">
        <v>0</v>
      </c>
      <c r="Q464" s="1">
        <v>0</v>
      </c>
      <c r="R464" s="1">
        <v>538.92344490000005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0.61622136199999999</v>
      </c>
      <c r="Z464" s="1">
        <v>0</v>
      </c>
      <c r="AA464" s="1">
        <v>220</v>
      </c>
      <c r="AB464" s="1">
        <v>0</v>
      </c>
      <c r="AC464" s="1">
        <v>0</v>
      </c>
      <c r="AD464">
        <v>0</v>
      </c>
      <c r="AF464" s="8" cm="1">
        <f t="array" aca="1" ref="AF464" ca="1">fScore_Total("ESPN",aCols)</f>
        <v>93.760104662200007</v>
      </c>
      <c r="AG464" s="8" cm="1">
        <f t="array" aca="1" ref="AG464" ca="1">-fScore_Total("diff",aCols)</f>
        <v>0</v>
      </c>
      <c r="AH464" s="8">
        <f t="shared" ca="1" si="7"/>
        <v>93.760104662200007</v>
      </c>
      <c r="AI464" s="8"/>
    </row>
    <row r="465" spans="1:35" x14ac:dyDescent="0.25">
      <c r="A465" t="s">
        <v>166</v>
      </c>
      <c r="B465" s="1" t="s">
        <v>601</v>
      </c>
      <c r="C465" s="1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  <c r="M465" s="1">
        <v>57.722625260000001</v>
      </c>
      <c r="N465" s="1">
        <v>0</v>
      </c>
      <c r="O465" s="1">
        <v>4.3822117289999998</v>
      </c>
      <c r="P465" s="1">
        <v>0</v>
      </c>
      <c r="Q465" s="1">
        <v>0</v>
      </c>
      <c r="R465" s="1">
        <v>697.50103960000001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211</v>
      </c>
      <c r="AB465" s="1">
        <v>0</v>
      </c>
      <c r="AC465" s="1">
        <v>0</v>
      </c>
      <c r="AD465">
        <v>0</v>
      </c>
      <c r="AF465" s="8" cm="1">
        <f t="array" aca="1" ref="AF465" ca="1">fScore_Total("ESPN",aCols)</f>
        <v>124.90468696400001</v>
      </c>
      <c r="AG465" s="8" cm="1">
        <f t="array" aca="1" ref="AG465" ca="1">-fScore_Total("diff",aCols)</f>
        <v>0</v>
      </c>
      <c r="AH465" s="8">
        <f t="shared" ca="1" si="7"/>
        <v>124.90468696400001</v>
      </c>
      <c r="AI465" s="8"/>
    </row>
    <row r="466" spans="1:35" x14ac:dyDescent="0.25">
      <c r="A466" t="s">
        <v>169</v>
      </c>
      <c r="B466" s="1" t="s">
        <v>601</v>
      </c>
      <c r="C466" s="1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44.281361859999997</v>
      </c>
      <c r="N466" s="1">
        <v>0</v>
      </c>
      <c r="O466" s="1">
        <v>2.3171386680000001</v>
      </c>
      <c r="P466" s="1">
        <v>0</v>
      </c>
      <c r="Q466" s="1">
        <v>0</v>
      </c>
      <c r="R466" s="1">
        <v>571.61131169999999</v>
      </c>
      <c r="S466" s="1">
        <v>0</v>
      </c>
      <c r="T466" s="1">
        <v>0</v>
      </c>
      <c r="U466" s="1">
        <v>0</v>
      </c>
      <c r="V466" s="1">
        <v>0.45989515600000003</v>
      </c>
      <c r="W466" s="1">
        <v>0</v>
      </c>
      <c r="X466" s="1">
        <v>0</v>
      </c>
      <c r="Y466" s="1">
        <v>77.261938279999995</v>
      </c>
      <c r="Z466" s="1">
        <v>0</v>
      </c>
      <c r="AA466" s="1">
        <v>210</v>
      </c>
      <c r="AB466" s="1">
        <v>0</v>
      </c>
      <c r="AC466" s="1">
        <v>0</v>
      </c>
      <c r="AD466">
        <v>0</v>
      </c>
      <c r="AF466" s="8" cm="1">
        <f t="array" aca="1" ref="AF466" ca="1">fScore_Total("ESPN",aCols)</f>
        <v>103.690208872</v>
      </c>
      <c r="AG466" s="8" cm="1">
        <f t="array" aca="1" ref="AG466" ca="1">-fScore_Total("diff",aCols)</f>
        <v>0</v>
      </c>
      <c r="AH466" s="8">
        <f t="shared" ca="1" si="7"/>
        <v>103.690208872</v>
      </c>
      <c r="AI466" s="8"/>
    </row>
    <row r="467" spans="1:35" x14ac:dyDescent="0.25">
      <c r="A467" t="s">
        <v>173</v>
      </c>
      <c r="B467" s="1" t="s">
        <v>601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L467" s="1">
        <v>0</v>
      </c>
      <c r="M467" s="1">
        <v>45.690392989999999</v>
      </c>
      <c r="N467" s="1">
        <v>0</v>
      </c>
      <c r="O467" s="1">
        <v>2.6132302219999999</v>
      </c>
      <c r="P467" s="1">
        <v>0</v>
      </c>
      <c r="Q467" s="1">
        <v>0</v>
      </c>
      <c r="R467" s="1">
        <v>603.05713300000002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294</v>
      </c>
      <c r="AB467" s="1">
        <v>0</v>
      </c>
      <c r="AC467" s="1">
        <v>0</v>
      </c>
      <c r="AD467">
        <v>0</v>
      </c>
      <c r="AF467" s="8" cm="1">
        <f t="array" aca="1" ref="AF467" ca="1">fScore_Total("ESPN",aCols)</f>
        <v>98.83029112700001</v>
      </c>
      <c r="AG467" s="8" cm="1">
        <f t="array" aca="1" ref="AG467" ca="1">-fScore_Total("diff",aCols)</f>
        <v>0</v>
      </c>
      <c r="AH467" s="8">
        <f t="shared" ca="1" si="7"/>
        <v>98.83029112700001</v>
      </c>
      <c r="AI467" s="8"/>
    </row>
    <row r="468" spans="1:35" x14ac:dyDescent="0.25">
      <c r="A468" t="s">
        <v>170</v>
      </c>
      <c r="B468" s="1" t="s">
        <v>603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L468" s="1">
        <v>0</v>
      </c>
      <c r="M468" s="1">
        <v>38.511258650000002</v>
      </c>
      <c r="N468" s="1">
        <v>0</v>
      </c>
      <c r="O468" s="1">
        <v>2.5910744889999999</v>
      </c>
      <c r="P468" s="1">
        <v>0</v>
      </c>
      <c r="Q468" s="1">
        <v>0</v>
      </c>
      <c r="R468" s="1">
        <v>376.31605839999997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297</v>
      </c>
      <c r="AB468" s="1">
        <v>0</v>
      </c>
      <c r="AC468" s="1">
        <v>0</v>
      </c>
      <c r="AD468">
        <v>0</v>
      </c>
      <c r="AF468" s="8" cm="1">
        <f t="array" aca="1" ref="AF468" ca="1">fScore_Total("ESPN",aCols)</f>
        <v>72.433682099000009</v>
      </c>
      <c r="AG468" s="8" cm="1">
        <f t="array" aca="1" ref="AG468" ca="1">-fScore_Total("diff",aCols)</f>
        <v>0</v>
      </c>
      <c r="AH468" s="8">
        <f t="shared" ca="1" si="7"/>
        <v>72.433682099000009</v>
      </c>
      <c r="AI468" s="8"/>
    </row>
    <row r="469" spans="1:35" x14ac:dyDescent="0.25">
      <c r="A469" t="s">
        <v>177</v>
      </c>
      <c r="B469" s="1" t="s">
        <v>603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1">
        <v>0</v>
      </c>
      <c r="K469" s="1">
        <v>0</v>
      </c>
      <c r="L469" s="1">
        <v>0</v>
      </c>
      <c r="M469" s="1">
        <v>41.423851149999997</v>
      </c>
      <c r="N469" s="1">
        <v>0</v>
      </c>
      <c r="O469" s="1">
        <v>3.1502149500000001</v>
      </c>
      <c r="P469" s="1">
        <v>0</v>
      </c>
      <c r="Q469" s="1">
        <v>0</v>
      </c>
      <c r="R469" s="1">
        <v>393.41961800000001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313</v>
      </c>
      <c r="AB469" s="1">
        <v>0</v>
      </c>
      <c r="AC469" s="1">
        <v>0</v>
      </c>
      <c r="AD469">
        <v>0</v>
      </c>
      <c r="AF469" s="8" cm="1">
        <f t="array" aca="1" ref="AF469" ca="1">fScore_Total("ESPN",aCols)</f>
        <v>78.955177075000009</v>
      </c>
      <c r="AG469" s="8" cm="1">
        <f t="array" aca="1" ref="AG469" ca="1">-fScore_Total("diff",aCols)</f>
        <v>0</v>
      </c>
      <c r="AH469" s="8">
        <f t="shared" ca="1" si="7"/>
        <v>78.955177075000009</v>
      </c>
      <c r="AI469" s="8"/>
    </row>
    <row r="470" spans="1:35" x14ac:dyDescent="0.25">
      <c r="A470" t="s">
        <v>183</v>
      </c>
      <c r="B470" s="1" t="s">
        <v>600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L470" s="1">
        <v>0</v>
      </c>
      <c r="M470" s="1">
        <v>16.372804940000002</v>
      </c>
      <c r="N470" s="1">
        <v>0</v>
      </c>
      <c r="O470" s="1">
        <v>0.547916666</v>
      </c>
      <c r="P470" s="1">
        <v>0</v>
      </c>
      <c r="Q470" s="1">
        <v>0</v>
      </c>
      <c r="R470" s="1">
        <v>122.98683440000001</v>
      </c>
      <c r="S470" s="1">
        <v>0</v>
      </c>
      <c r="T470" s="1">
        <v>0</v>
      </c>
      <c r="U470" s="1">
        <v>0</v>
      </c>
      <c r="V470" s="1">
        <v>1.823311125</v>
      </c>
      <c r="W470" s="1">
        <v>0</v>
      </c>
      <c r="X470" s="1">
        <v>0</v>
      </c>
      <c r="Y470" s="1">
        <v>234.6844839</v>
      </c>
      <c r="Z470" s="1">
        <v>0</v>
      </c>
      <c r="AA470" s="1">
        <v>325</v>
      </c>
      <c r="AB470" s="1">
        <v>0</v>
      </c>
      <c r="AC470" s="1">
        <v>0</v>
      </c>
      <c r="AD470">
        <v>0</v>
      </c>
      <c r="AF470" s="8" cm="1">
        <f t="array" aca="1" ref="AF470" ca="1">fScore_Total("ESPN",aCols)</f>
        <v>58.180901046000002</v>
      </c>
      <c r="AG470" s="8" cm="1">
        <f t="array" aca="1" ref="AG470" ca="1">-fScore_Total("diff",aCols)</f>
        <v>0</v>
      </c>
      <c r="AH470" s="8">
        <f t="shared" ref="AH470:AH533" ca="1" si="8">+AF470+AG470</f>
        <v>58.180901046000002</v>
      </c>
      <c r="AI470" s="8"/>
    </row>
    <row r="471" spans="1:35" x14ac:dyDescent="0.25">
      <c r="A471" t="s">
        <v>180</v>
      </c>
      <c r="B471" s="1" t="s">
        <v>600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1">
        <v>0</v>
      </c>
      <c r="K471" s="1">
        <v>0</v>
      </c>
      <c r="L471" s="1">
        <v>0</v>
      </c>
      <c r="M471" s="1">
        <v>19.93543519</v>
      </c>
      <c r="N471" s="1">
        <v>0</v>
      </c>
      <c r="O471" s="1">
        <v>0.48098635899999997</v>
      </c>
      <c r="P471" s="1">
        <v>0</v>
      </c>
      <c r="Q471" s="1">
        <v>0</v>
      </c>
      <c r="R471" s="1">
        <v>138.74121919999999</v>
      </c>
      <c r="S471" s="1">
        <v>0</v>
      </c>
      <c r="T471" s="1">
        <v>0</v>
      </c>
      <c r="U471" s="1">
        <v>0</v>
      </c>
      <c r="V471" s="1">
        <v>1.962862562</v>
      </c>
      <c r="W471" s="1">
        <v>0</v>
      </c>
      <c r="X471" s="1">
        <v>0</v>
      </c>
      <c r="Y471" s="1">
        <v>265.71736060000001</v>
      </c>
      <c r="Z471" s="1">
        <v>0</v>
      </c>
      <c r="AA471" s="1">
        <v>320</v>
      </c>
      <c r="AB471" s="1">
        <v>0</v>
      </c>
      <c r="AC471" s="1">
        <v>0</v>
      </c>
      <c r="AD471">
        <v>0</v>
      </c>
      <c r="AF471" s="8" cm="1">
        <f t="array" aca="1" ref="AF471" ca="1">fScore_Total("ESPN",aCols)</f>
        <v>65.076669101000007</v>
      </c>
      <c r="AG471" s="8" cm="1">
        <f t="array" aca="1" ref="AG471" ca="1">-fScore_Total("diff",aCols)</f>
        <v>0</v>
      </c>
      <c r="AH471" s="8">
        <f t="shared" ca="1" si="8"/>
        <v>65.076669101000007</v>
      </c>
      <c r="AI471" s="8"/>
    </row>
    <row r="472" spans="1:35" x14ac:dyDescent="0.25">
      <c r="A472" t="s">
        <v>176</v>
      </c>
      <c r="B472" s="1" t="s">
        <v>603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L472" s="1">
        <v>0</v>
      </c>
      <c r="M472" s="1">
        <v>43.217975060000001</v>
      </c>
      <c r="N472" s="1">
        <v>0</v>
      </c>
      <c r="O472" s="1">
        <v>3.459503453</v>
      </c>
      <c r="P472" s="1">
        <v>0</v>
      </c>
      <c r="Q472" s="1">
        <v>0</v>
      </c>
      <c r="R472" s="1">
        <v>455.92000359999997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312</v>
      </c>
      <c r="AB472" s="1">
        <v>0</v>
      </c>
      <c r="AC472" s="1">
        <v>0</v>
      </c>
      <c r="AD472">
        <v>0</v>
      </c>
      <c r="AF472" s="8" cm="1">
        <f t="array" aca="1" ref="AF472" ca="1">fScore_Total("ESPN",aCols)</f>
        <v>87.958008608</v>
      </c>
      <c r="AG472" s="8" cm="1">
        <f t="array" aca="1" ref="AG472" ca="1">-fScore_Total("diff",aCols)</f>
        <v>0</v>
      </c>
      <c r="AH472" s="8">
        <f t="shared" ca="1" si="8"/>
        <v>87.958008608</v>
      </c>
      <c r="AI472" s="8"/>
    </row>
    <row r="473" spans="1:35" x14ac:dyDescent="0.25">
      <c r="A473" t="s">
        <v>171</v>
      </c>
      <c r="B473" s="1" t="s">
        <v>603</v>
      </c>
      <c r="C473" s="1">
        <v>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L473" s="1">
        <v>0</v>
      </c>
      <c r="M473" s="1">
        <v>34.645020500000001</v>
      </c>
      <c r="N473" s="1">
        <v>0</v>
      </c>
      <c r="O473" s="1">
        <v>2.0586675099999998</v>
      </c>
      <c r="P473" s="1">
        <v>0</v>
      </c>
      <c r="Q473" s="1">
        <v>0</v>
      </c>
      <c r="R473" s="1">
        <v>341.36368299999998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298</v>
      </c>
      <c r="AB473" s="1">
        <v>0</v>
      </c>
      <c r="AC473" s="1">
        <v>0</v>
      </c>
      <c r="AD473">
        <v>0</v>
      </c>
      <c r="AF473" s="8" cm="1">
        <f t="array" aca="1" ref="AF473" ca="1">fScore_Total("ESPN",aCols)</f>
        <v>63.810883610000005</v>
      </c>
      <c r="AG473" s="8" cm="1">
        <f t="array" aca="1" ref="AG473" ca="1">-fScore_Total("diff",aCols)</f>
        <v>0</v>
      </c>
      <c r="AH473" s="8">
        <f t="shared" ca="1" si="8"/>
        <v>63.810883610000005</v>
      </c>
      <c r="AI473" s="8"/>
    </row>
    <row r="474" spans="1:35" x14ac:dyDescent="0.25">
      <c r="A474" t="s">
        <v>153</v>
      </c>
      <c r="B474" s="1" t="s">
        <v>603</v>
      </c>
      <c r="C474" s="1">
        <v>0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L474" s="1">
        <v>0</v>
      </c>
      <c r="M474" s="1">
        <v>46.011760219999999</v>
      </c>
      <c r="N474" s="1">
        <v>0</v>
      </c>
      <c r="O474" s="1">
        <v>1.928305969</v>
      </c>
      <c r="P474" s="1">
        <v>0</v>
      </c>
      <c r="Q474" s="1">
        <v>0</v>
      </c>
      <c r="R474" s="1">
        <v>455.81677869999999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311</v>
      </c>
      <c r="AB474" s="1">
        <v>0</v>
      </c>
      <c r="AC474" s="1">
        <v>0</v>
      </c>
      <c r="AD474">
        <v>0</v>
      </c>
      <c r="AF474" s="8" cm="1">
        <f t="array" aca="1" ref="AF474" ca="1">fScore_Total("ESPN",aCols)</f>
        <v>80.157393794000001</v>
      </c>
      <c r="AG474" s="8" cm="1">
        <f t="array" aca="1" ref="AG474" ca="1">-fScore_Total("diff",aCols)</f>
        <v>0</v>
      </c>
      <c r="AH474" s="8">
        <f t="shared" ca="1" si="8"/>
        <v>80.157393794000001</v>
      </c>
      <c r="AI474" s="8"/>
    </row>
    <row r="475" spans="1:35" x14ac:dyDescent="0.25">
      <c r="A475" t="s">
        <v>175</v>
      </c>
      <c r="B475" s="1" t="s">
        <v>600</v>
      </c>
      <c r="C475" s="1">
        <v>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L475" s="1">
        <v>0</v>
      </c>
      <c r="M475" s="1">
        <v>12.946208759999999</v>
      </c>
      <c r="N475" s="1">
        <v>0</v>
      </c>
      <c r="O475" s="1">
        <v>0.50551027500000001</v>
      </c>
      <c r="P475" s="1">
        <v>0</v>
      </c>
      <c r="Q475" s="1">
        <v>0</v>
      </c>
      <c r="R475" s="1">
        <v>91.041117740000004</v>
      </c>
      <c r="S475" s="1">
        <v>0</v>
      </c>
      <c r="T475" s="1">
        <v>0</v>
      </c>
      <c r="U475" s="1">
        <v>0</v>
      </c>
      <c r="V475" s="1">
        <v>2.6177118799999999</v>
      </c>
      <c r="W475" s="1">
        <v>0</v>
      </c>
      <c r="X475" s="1">
        <v>0</v>
      </c>
      <c r="Y475" s="1">
        <v>344.25528809999997</v>
      </c>
      <c r="Z475" s="1">
        <v>0</v>
      </c>
      <c r="AA475" s="1">
        <v>309</v>
      </c>
      <c r="AB475" s="1">
        <v>0</v>
      </c>
      <c r="AC475" s="1">
        <v>0</v>
      </c>
      <c r="AD475">
        <v>0</v>
      </c>
      <c r="AF475" s="8" cm="1">
        <f t="array" aca="1" ref="AF475" ca="1">fScore_Total("ESPN",aCols)</f>
        <v>68.742077894000005</v>
      </c>
      <c r="AG475" s="8" cm="1">
        <f t="array" aca="1" ref="AG475" ca="1">-fScore_Total("diff",aCols)</f>
        <v>0</v>
      </c>
      <c r="AH475" s="8">
        <f t="shared" ca="1" si="8"/>
        <v>68.742077894000005</v>
      </c>
      <c r="AI475" s="8"/>
    </row>
    <row r="476" spans="1:35" x14ac:dyDescent="0.25">
      <c r="A476" t="s">
        <v>185</v>
      </c>
      <c r="B476" s="1" t="s">
        <v>601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L476" s="1">
        <v>0</v>
      </c>
      <c r="M476" s="1">
        <v>41.581154120000001</v>
      </c>
      <c r="N476" s="1">
        <v>0</v>
      </c>
      <c r="O476" s="1">
        <v>3.0787592020000001</v>
      </c>
      <c r="P476" s="1">
        <v>0</v>
      </c>
      <c r="Q476" s="1">
        <v>0</v>
      </c>
      <c r="R476" s="1">
        <v>516.8026539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304</v>
      </c>
      <c r="AB476" s="1">
        <v>0</v>
      </c>
      <c r="AC476" s="1">
        <v>0</v>
      </c>
      <c r="AD476">
        <v>0</v>
      </c>
      <c r="AF476" s="8" cm="1">
        <f t="array" aca="1" ref="AF476" ca="1">fScore_Total("ESPN",aCols)</f>
        <v>90.943397661999995</v>
      </c>
      <c r="AG476" s="8" cm="1">
        <f t="array" aca="1" ref="AG476" ca="1">-fScore_Total("diff",aCols)</f>
        <v>0</v>
      </c>
      <c r="AH476" s="8">
        <f t="shared" ca="1" si="8"/>
        <v>90.943397661999995</v>
      </c>
      <c r="AI476" s="8"/>
    </row>
    <row r="477" spans="1:35" x14ac:dyDescent="0.25">
      <c r="A477" t="s">
        <v>182</v>
      </c>
      <c r="B477" s="1" t="s">
        <v>601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1">
        <v>0</v>
      </c>
      <c r="K477" s="1">
        <v>0</v>
      </c>
      <c r="L477" s="1">
        <v>0</v>
      </c>
      <c r="M477" s="1">
        <v>44.225772130000003</v>
      </c>
      <c r="N477" s="1">
        <v>0</v>
      </c>
      <c r="O477" s="1">
        <v>2.1585901779999999</v>
      </c>
      <c r="P477" s="1">
        <v>0</v>
      </c>
      <c r="Q477" s="1">
        <v>0</v>
      </c>
      <c r="R477" s="1">
        <v>609.41969140000003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302</v>
      </c>
      <c r="AB477" s="1">
        <v>0</v>
      </c>
      <c r="AC477" s="1">
        <v>0</v>
      </c>
      <c r="AD477">
        <v>0</v>
      </c>
      <c r="AF477" s="8" cm="1">
        <f t="array" aca="1" ref="AF477" ca="1">fScore_Total("ESPN",aCols)</f>
        <v>96.006396273000007</v>
      </c>
      <c r="AG477" s="8" cm="1">
        <f t="array" aca="1" ref="AG477" ca="1">-fScore_Total("diff",aCols)</f>
        <v>0</v>
      </c>
      <c r="AH477" s="8">
        <f t="shared" ca="1" si="8"/>
        <v>96.006396273000007</v>
      </c>
      <c r="AI477" s="8"/>
    </row>
    <row r="478" spans="1:35" x14ac:dyDescent="0.25">
      <c r="A478" t="s">
        <v>144</v>
      </c>
      <c r="B478" s="1" t="s">
        <v>601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1">
        <v>0</v>
      </c>
      <c r="K478" s="1">
        <v>0</v>
      </c>
      <c r="L478" s="1">
        <v>0</v>
      </c>
      <c r="M478" s="1">
        <v>43.24494911</v>
      </c>
      <c r="N478" s="1">
        <v>0</v>
      </c>
      <c r="O478" s="1">
        <v>3.4712589629999999</v>
      </c>
      <c r="P478" s="1">
        <v>0</v>
      </c>
      <c r="Q478" s="1">
        <v>0</v>
      </c>
      <c r="R478" s="1">
        <v>574.35923130000003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301</v>
      </c>
      <c r="AB478" s="1">
        <v>0</v>
      </c>
      <c r="AC478" s="1">
        <v>0</v>
      </c>
      <c r="AD478">
        <v>0</v>
      </c>
      <c r="AF478" s="8" cm="1">
        <f t="array" aca="1" ref="AF478" ca="1">fScore_Total("ESPN",aCols)</f>
        <v>99.885951462999998</v>
      </c>
      <c r="AG478" s="8" cm="1">
        <f t="array" aca="1" ref="AG478" ca="1">-fScore_Total("diff",aCols)</f>
        <v>0</v>
      </c>
      <c r="AH478" s="8">
        <f t="shared" ca="1" si="8"/>
        <v>99.885951462999998</v>
      </c>
      <c r="AI478" s="8"/>
    </row>
    <row r="479" spans="1:35" x14ac:dyDescent="0.25">
      <c r="A479" t="s">
        <v>223</v>
      </c>
      <c r="B479" s="1" t="s">
        <v>600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7.2890444790000002</v>
      </c>
      <c r="N479" s="1">
        <v>0</v>
      </c>
      <c r="O479" s="1">
        <v>0.34302541600000003</v>
      </c>
      <c r="P479" s="1">
        <v>0</v>
      </c>
      <c r="Q479" s="1">
        <v>0</v>
      </c>
      <c r="R479" s="1">
        <v>54.238953510000002</v>
      </c>
      <c r="S479" s="1">
        <v>0</v>
      </c>
      <c r="T479" s="1">
        <v>0</v>
      </c>
      <c r="U479" s="1">
        <v>0</v>
      </c>
      <c r="V479" s="1">
        <v>0.95133992199999995</v>
      </c>
      <c r="W479" s="1">
        <v>0</v>
      </c>
      <c r="X479" s="1">
        <v>0</v>
      </c>
      <c r="Y479" s="1">
        <v>124.90406280000001</v>
      </c>
      <c r="Z479" s="1">
        <v>0</v>
      </c>
      <c r="AA479" s="1">
        <v>401</v>
      </c>
      <c r="AB479" s="1">
        <v>0</v>
      </c>
      <c r="AC479" s="1">
        <v>0</v>
      </c>
      <c r="AD479">
        <v>0</v>
      </c>
      <c r="AF479" s="8" cm="1">
        <f t="array" aca="1" ref="AF479" ca="1">fScore_Total("ESPN",aCols)</f>
        <v>29.325015898500002</v>
      </c>
      <c r="AG479" s="8" cm="1">
        <f t="array" aca="1" ref="AG479" ca="1">-fScore_Total("diff",aCols)</f>
        <v>0</v>
      </c>
      <c r="AH479" s="8">
        <f t="shared" ca="1" si="8"/>
        <v>29.325015898500002</v>
      </c>
      <c r="AI479" s="8"/>
    </row>
    <row r="480" spans="1:35" x14ac:dyDescent="0.25">
      <c r="A480" t="s">
        <v>224</v>
      </c>
      <c r="B480" s="1" t="s">
        <v>600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  <c r="M480" s="1">
        <v>10.04698084</v>
      </c>
      <c r="N480" s="1">
        <v>0</v>
      </c>
      <c r="O480" s="1">
        <v>0.312443042</v>
      </c>
      <c r="P480" s="1">
        <v>0</v>
      </c>
      <c r="Q480" s="1">
        <v>0</v>
      </c>
      <c r="R480" s="1">
        <v>74.072357350000004</v>
      </c>
      <c r="S480" s="1">
        <v>0</v>
      </c>
      <c r="T480" s="1">
        <v>0</v>
      </c>
      <c r="U480" s="1">
        <v>0</v>
      </c>
      <c r="V480" s="1">
        <v>0.73123605599999997</v>
      </c>
      <c r="W480" s="1">
        <v>0</v>
      </c>
      <c r="X480" s="1">
        <v>0</v>
      </c>
      <c r="Y480" s="1">
        <v>126.50556659999999</v>
      </c>
      <c r="Z480" s="1">
        <v>0</v>
      </c>
      <c r="AA480" s="1">
        <v>404</v>
      </c>
      <c r="AB480" s="1">
        <v>0</v>
      </c>
      <c r="AC480" s="1">
        <v>0</v>
      </c>
      <c r="AD480">
        <v>0</v>
      </c>
      <c r="AF480" s="8" cm="1">
        <f t="array" aca="1" ref="AF480" ca="1">fScore_Total("ESPN",aCols)</f>
        <v>31.343357402999999</v>
      </c>
      <c r="AG480" s="8" cm="1">
        <f t="array" aca="1" ref="AG480" ca="1">-fScore_Total("diff",aCols)</f>
        <v>0</v>
      </c>
      <c r="AH480" s="8">
        <f t="shared" ca="1" si="8"/>
        <v>31.343357402999999</v>
      </c>
      <c r="AI480" s="8"/>
    </row>
    <row r="481" spans="1:35" x14ac:dyDescent="0.25">
      <c r="A481" t="s">
        <v>225</v>
      </c>
      <c r="B481" s="1" t="s">
        <v>600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  <c r="M481" s="1">
        <v>8.6573256389999997</v>
      </c>
      <c r="N481" s="1">
        <v>0</v>
      </c>
      <c r="O481" s="1">
        <v>0.29218979299999998</v>
      </c>
      <c r="P481" s="1">
        <v>0</v>
      </c>
      <c r="Q481" s="1">
        <v>0</v>
      </c>
      <c r="R481" s="1">
        <v>60.857997099999999</v>
      </c>
      <c r="S481" s="1">
        <v>0</v>
      </c>
      <c r="T481" s="1">
        <v>0</v>
      </c>
      <c r="U481" s="1">
        <v>0</v>
      </c>
      <c r="V481" s="1">
        <v>0.82267712000000004</v>
      </c>
      <c r="W481" s="1">
        <v>0</v>
      </c>
      <c r="X481" s="1">
        <v>0</v>
      </c>
      <c r="Y481" s="1">
        <v>115.42770729999999</v>
      </c>
      <c r="Z481" s="1">
        <v>0</v>
      </c>
      <c r="AA481" s="1">
        <v>405</v>
      </c>
      <c r="AB481" s="1">
        <v>0</v>
      </c>
      <c r="AC481" s="1">
        <v>0</v>
      </c>
      <c r="AD481">
        <v>0</v>
      </c>
      <c r="AF481" s="8" cm="1">
        <f t="array" aca="1" ref="AF481" ca="1">fScore_Total("ESPN",aCols)</f>
        <v>28.646434737500002</v>
      </c>
      <c r="AG481" s="8" cm="1">
        <f t="array" aca="1" ref="AG481" ca="1">-fScore_Total("diff",aCols)</f>
        <v>0</v>
      </c>
      <c r="AH481" s="8">
        <f t="shared" ca="1" si="8"/>
        <v>28.646434737500002</v>
      </c>
      <c r="AI481" s="8"/>
    </row>
    <row r="482" spans="1:35" x14ac:dyDescent="0.25">
      <c r="A482" t="s">
        <v>297</v>
      </c>
      <c r="B482" s="1" t="s">
        <v>601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  <c r="M482" s="1">
        <v>16.336228200000001</v>
      </c>
      <c r="N482" s="1">
        <v>0</v>
      </c>
      <c r="O482" s="1">
        <v>1.6214931779999999</v>
      </c>
      <c r="P482" s="1">
        <v>0</v>
      </c>
      <c r="Q482" s="1">
        <v>0</v>
      </c>
      <c r="R482" s="1">
        <v>217.32714530000001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989</v>
      </c>
      <c r="AB482" s="1">
        <v>0</v>
      </c>
      <c r="AC482" s="1">
        <v>0</v>
      </c>
      <c r="AD482">
        <v>0</v>
      </c>
      <c r="AF482" s="8" cm="1">
        <f t="array" aca="1" ref="AF482" ca="1">fScore_Total("ESPN",aCols)</f>
        <v>39.629787698000001</v>
      </c>
      <c r="AG482" s="8" cm="1">
        <f t="array" aca="1" ref="AG482" ca="1">-fScore_Total("diff",aCols)</f>
        <v>0</v>
      </c>
      <c r="AH482" s="8">
        <f t="shared" ca="1" si="8"/>
        <v>39.629787698000001</v>
      </c>
      <c r="AI482" s="8"/>
    </row>
    <row r="483" spans="1:35" x14ac:dyDescent="0.25">
      <c r="A483" t="s">
        <v>509</v>
      </c>
      <c r="B483" s="1" t="s">
        <v>601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  <c r="M483" s="1">
        <v>18.08158693</v>
      </c>
      <c r="N483" s="1">
        <v>0</v>
      </c>
      <c r="O483" s="1">
        <v>1.417574777</v>
      </c>
      <c r="P483" s="1">
        <v>0</v>
      </c>
      <c r="Q483" s="1">
        <v>0</v>
      </c>
      <c r="R483" s="1">
        <v>220.71968509999999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988</v>
      </c>
      <c r="AB483" s="1">
        <v>0</v>
      </c>
      <c r="AC483" s="1">
        <v>0</v>
      </c>
      <c r="AD483">
        <v>0</v>
      </c>
      <c r="AF483" s="8" cm="1">
        <f t="array" aca="1" ref="AF483" ca="1">fScore_Total("ESPN",aCols)</f>
        <v>39.618210637000004</v>
      </c>
      <c r="AG483" s="8" cm="1">
        <f t="array" aca="1" ref="AG483" ca="1">-fScore_Total("diff",aCols)</f>
        <v>0</v>
      </c>
      <c r="AH483" s="8">
        <f t="shared" ca="1" si="8"/>
        <v>39.618210637000004</v>
      </c>
      <c r="AI483" s="8"/>
    </row>
    <row r="484" spans="1:35" x14ac:dyDescent="0.25">
      <c r="A484" t="s">
        <v>280</v>
      </c>
      <c r="B484" s="1" t="s">
        <v>601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  <c r="M484" s="1">
        <v>17.51427451</v>
      </c>
      <c r="N484" s="1">
        <v>0</v>
      </c>
      <c r="O484" s="1">
        <v>1.5820261410000001</v>
      </c>
      <c r="P484" s="1">
        <v>0</v>
      </c>
      <c r="Q484" s="1">
        <v>0</v>
      </c>
      <c r="R484" s="1">
        <v>236.18852620000001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987</v>
      </c>
      <c r="AB484" s="1">
        <v>0</v>
      </c>
      <c r="AC484" s="1">
        <v>0</v>
      </c>
      <c r="AD484">
        <v>0</v>
      </c>
      <c r="AF484" s="8" cm="1">
        <f t="array" aca="1" ref="AF484" ca="1">fScore_Total("ESPN",aCols)</f>
        <v>41.868146721000002</v>
      </c>
      <c r="AG484" s="8" cm="1">
        <f t="array" aca="1" ref="AG484" ca="1">-fScore_Total("diff",aCols)</f>
        <v>0</v>
      </c>
      <c r="AH484" s="8">
        <f t="shared" ca="1" si="8"/>
        <v>41.868146721000002</v>
      </c>
      <c r="AI484" s="8"/>
    </row>
    <row r="485" spans="1:35" x14ac:dyDescent="0.25">
      <c r="A485" t="s">
        <v>278</v>
      </c>
      <c r="B485" s="1" t="s">
        <v>601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0</v>
      </c>
      <c r="J485" s="1">
        <v>0</v>
      </c>
      <c r="K485" s="1">
        <v>0</v>
      </c>
      <c r="L485" s="1">
        <v>0</v>
      </c>
      <c r="M485" s="1">
        <v>19.66267363</v>
      </c>
      <c r="N485" s="1">
        <v>0</v>
      </c>
      <c r="O485" s="1">
        <v>1.340032817</v>
      </c>
      <c r="P485" s="1">
        <v>0</v>
      </c>
      <c r="Q485" s="1">
        <v>0</v>
      </c>
      <c r="R485" s="1">
        <v>264.94761670000003</v>
      </c>
      <c r="S485" s="1">
        <v>0</v>
      </c>
      <c r="T485" s="1">
        <v>0</v>
      </c>
      <c r="U485" s="1">
        <v>0</v>
      </c>
      <c r="V485" s="1">
        <v>0.123200631</v>
      </c>
      <c r="W485" s="1">
        <v>0</v>
      </c>
      <c r="X485" s="1">
        <v>0</v>
      </c>
      <c r="Y485" s="1">
        <v>12.255135170000001</v>
      </c>
      <c r="Z485" s="1">
        <v>0</v>
      </c>
      <c r="AA485" s="1">
        <v>985</v>
      </c>
      <c r="AB485" s="1">
        <v>0</v>
      </c>
      <c r="AC485" s="1">
        <v>0</v>
      </c>
      <c r="AD485">
        <v>0</v>
      </c>
      <c r="AF485" s="8" cm="1">
        <f t="array" aca="1" ref="AF485" ca="1">fScore_Total("ESPN",aCols)</f>
        <v>46.331012690000001</v>
      </c>
      <c r="AG485" s="8" cm="1">
        <f t="array" aca="1" ref="AG485" ca="1">-fScore_Total("diff",aCols)</f>
        <v>0</v>
      </c>
      <c r="AH485" s="8">
        <f t="shared" ca="1" si="8"/>
        <v>46.331012690000001</v>
      </c>
      <c r="AI485" s="8"/>
    </row>
    <row r="486" spans="1:35" x14ac:dyDescent="0.25">
      <c r="A486" t="s">
        <v>277</v>
      </c>
      <c r="B486" s="1" t="s">
        <v>601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  <c r="M486" s="1">
        <v>20.579599590000001</v>
      </c>
      <c r="N486" s="1">
        <v>0</v>
      </c>
      <c r="O486" s="1">
        <v>1.097767076</v>
      </c>
      <c r="P486" s="1">
        <v>0</v>
      </c>
      <c r="Q486" s="1">
        <v>0</v>
      </c>
      <c r="R486" s="1">
        <v>284.7160743</v>
      </c>
      <c r="S486" s="1">
        <v>0</v>
      </c>
      <c r="T486" s="1">
        <v>0</v>
      </c>
      <c r="U486" s="1">
        <v>0</v>
      </c>
      <c r="V486" s="1">
        <v>0.15138088799999999</v>
      </c>
      <c r="W486" s="1">
        <v>0</v>
      </c>
      <c r="X486" s="1">
        <v>0</v>
      </c>
      <c r="Y486" s="1">
        <v>22.0344902</v>
      </c>
      <c r="Z486" s="1">
        <v>0</v>
      </c>
      <c r="AA486" s="1">
        <v>984</v>
      </c>
      <c r="AB486" s="1">
        <v>0</v>
      </c>
      <c r="AC486" s="1">
        <v>0</v>
      </c>
      <c r="AD486">
        <v>0</v>
      </c>
      <c r="AF486" s="8" cm="1">
        <f t="array" aca="1" ref="AF486" ca="1">fScore_Total("ESPN",aCols)</f>
        <v>48.459744029000007</v>
      </c>
      <c r="AG486" s="8" cm="1">
        <f t="array" aca="1" ref="AG486" ca="1">-fScore_Total("diff",aCols)</f>
        <v>0</v>
      </c>
      <c r="AH486" s="8">
        <f t="shared" ca="1" si="8"/>
        <v>48.459744029000007</v>
      </c>
      <c r="AI486" s="8"/>
    </row>
    <row r="487" spans="1:35" x14ac:dyDescent="0.25">
      <c r="A487" t="s">
        <v>232</v>
      </c>
      <c r="B487" s="1" t="s">
        <v>601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  <c r="M487" s="1">
        <v>21.301574649999999</v>
      </c>
      <c r="N487" s="1">
        <v>0</v>
      </c>
      <c r="O487" s="1">
        <v>1.793816324</v>
      </c>
      <c r="P487" s="1">
        <v>0</v>
      </c>
      <c r="Q487" s="1">
        <v>0</v>
      </c>
      <c r="R487" s="1">
        <v>279.48830359999999</v>
      </c>
      <c r="S487" s="1">
        <v>0</v>
      </c>
      <c r="T487" s="1">
        <v>0</v>
      </c>
      <c r="U487" s="1">
        <v>0</v>
      </c>
      <c r="V487" s="1">
        <v>0</v>
      </c>
      <c r="W487" s="1">
        <v>0</v>
      </c>
      <c r="X487" s="1">
        <v>0</v>
      </c>
      <c r="Y487" s="1">
        <v>0</v>
      </c>
      <c r="Z487" s="1">
        <v>0</v>
      </c>
      <c r="AA487" s="1">
        <v>982</v>
      </c>
      <c r="AB487" s="1">
        <v>0</v>
      </c>
      <c r="AC487" s="1">
        <v>0</v>
      </c>
      <c r="AD487">
        <v>0</v>
      </c>
      <c r="AF487" s="8" cm="1">
        <f t="array" aca="1" ref="AF487" ca="1">fScore_Total("ESPN",aCols)</f>
        <v>49.362515629000001</v>
      </c>
      <c r="AG487" s="8" cm="1">
        <f t="array" aca="1" ref="AG487" ca="1">-fScore_Total("diff",aCols)</f>
        <v>0</v>
      </c>
      <c r="AH487" s="8">
        <f t="shared" ca="1" si="8"/>
        <v>49.362515629000001</v>
      </c>
      <c r="AI487" s="8"/>
    </row>
    <row r="488" spans="1:35" x14ac:dyDescent="0.25">
      <c r="A488" t="s">
        <v>231</v>
      </c>
      <c r="B488" s="1" t="s">
        <v>601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  <c r="M488" s="1">
        <v>18.406529689999999</v>
      </c>
      <c r="N488" s="1">
        <v>0</v>
      </c>
      <c r="O488" s="1">
        <v>1.598825945</v>
      </c>
      <c r="P488" s="1">
        <v>0</v>
      </c>
      <c r="Q488" s="1">
        <v>0</v>
      </c>
      <c r="R488" s="1">
        <v>229.69995990000001</v>
      </c>
      <c r="S488" s="1">
        <v>0</v>
      </c>
      <c r="T488" s="1">
        <v>0</v>
      </c>
      <c r="U488" s="1">
        <v>0</v>
      </c>
      <c r="V488" s="1">
        <v>0.40964695699999998</v>
      </c>
      <c r="W488" s="1">
        <v>0</v>
      </c>
      <c r="X488" s="1">
        <v>0</v>
      </c>
      <c r="Y488" s="1">
        <v>59.61171513</v>
      </c>
      <c r="Z488" s="1">
        <v>0</v>
      </c>
      <c r="AA488" s="1">
        <v>981</v>
      </c>
      <c r="AB488" s="1">
        <v>0</v>
      </c>
      <c r="AC488" s="1">
        <v>0</v>
      </c>
      <c r="AD488">
        <v>0</v>
      </c>
      <c r="AF488" s="8" cm="1">
        <f t="array" aca="1" ref="AF488" ca="1">fScore_Total("ESPN",aCols)</f>
        <v>50.185269759999997</v>
      </c>
      <c r="AG488" s="8" cm="1">
        <f t="array" aca="1" ref="AG488" ca="1">-fScore_Total("diff",aCols)</f>
        <v>0</v>
      </c>
      <c r="AH488" s="8">
        <f t="shared" ca="1" si="8"/>
        <v>50.185269759999997</v>
      </c>
      <c r="AI488" s="8"/>
    </row>
    <row r="489" spans="1:35" x14ac:dyDescent="0.25">
      <c r="A489" t="s">
        <v>561</v>
      </c>
      <c r="B489" s="1" t="s">
        <v>601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  <c r="M489" s="1">
        <v>21.00319103</v>
      </c>
      <c r="N489" s="1">
        <v>0</v>
      </c>
      <c r="O489" s="1">
        <v>1.065208087</v>
      </c>
      <c r="P489" s="1">
        <v>0</v>
      </c>
      <c r="Q489" s="1">
        <v>0</v>
      </c>
      <c r="R489" s="1">
        <v>277.5185371</v>
      </c>
      <c r="S489" s="1">
        <v>0</v>
      </c>
      <c r="T489" s="1">
        <v>0</v>
      </c>
      <c r="U489" s="1">
        <v>0</v>
      </c>
      <c r="V489" s="1">
        <v>0.37941524199999999</v>
      </c>
      <c r="W489" s="1">
        <v>0</v>
      </c>
      <c r="X489" s="1">
        <v>0</v>
      </c>
      <c r="Y489" s="1">
        <v>53.747119220000002</v>
      </c>
      <c r="Z489" s="1">
        <v>0</v>
      </c>
      <c r="AA489" s="1">
        <v>980</v>
      </c>
      <c r="AB489" s="1">
        <v>0</v>
      </c>
      <c r="AC489" s="1">
        <v>0</v>
      </c>
      <c r="AD489">
        <v>0</v>
      </c>
      <c r="AF489" s="8" cm="1">
        <f t="array" aca="1" ref="AF489" ca="1">fScore_Total("ESPN",aCols)</f>
        <v>52.295901121000007</v>
      </c>
      <c r="AG489" s="8" cm="1">
        <f t="array" aca="1" ref="AG489" ca="1">-fScore_Total("diff",aCols)</f>
        <v>0</v>
      </c>
      <c r="AH489" s="8">
        <f t="shared" ca="1" si="8"/>
        <v>52.295901121000007</v>
      </c>
      <c r="AI489" s="8"/>
    </row>
    <row r="490" spans="1:35" x14ac:dyDescent="0.25">
      <c r="A490" t="s">
        <v>275</v>
      </c>
      <c r="B490" s="1" t="s">
        <v>602</v>
      </c>
      <c r="C490" s="1">
        <v>0</v>
      </c>
      <c r="D490" s="1">
        <v>1.8694218389999999</v>
      </c>
      <c r="E490" s="1">
        <v>0</v>
      </c>
      <c r="F490" s="1">
        <v>0</v>
      </c>
      <c r="G490" s="1">
        <v>3.0462216830000002</v>
      </c>
      <c r="H490" s="1">
        <v>0</v>
      </c>
      <c r="I490" s="1">
        <v>0</v>
      </c>
      <c r="J490" s="1">
        <v>469.56015430000002</v>
      </c>
      <c r="K490" s="1">
        <v>0</v>
      </c>
      <c r="L490" s="1">
        <v>0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0.939176707</v>
      </c>
      <c r="W490" s="1">
        <v>0</v>
      </c>
      <c r="X490" s="1">
        <v>0</v>
      </c>
      <c r="Y490" s="1">
        <v>41.104169970000001</v>
      </c>
      <c r="Z490" s="1">
        <v>0</v>
      </c>
      <c r="AA490" s="1">
        <v>487</v>
      </c>
      <c r="AB490" s="1">
        <v>0</v>
      </c>
      <c r="AC490" s="1">
        <v>0</v>
      </c>
      <c r="AD490">
        <v>0</v>
      </c>
      <c r="AF490" s="8" cm="1">
        <f t="array" aca="1" ref="AF490" ca="1">fScore_Total("ESPN",aCols)</f>
        <v>36.973926465000005</v>
      </c>
      <c r="AG490" s="8" cm="1">
        <f t="array" aca="1" ref="AG490" ca="1">-fScore_Total("diff",aCols)</f>
        <v>0</v>
      </c>
      <c r="AH490" s="8">
        <f t="shared" ca="1" si="8"/>
        <v>36.973926465000005</v>
      </c>
      <c r="AI490" s="8"/>
    </row>
    <row r="491" spans="1:35" x14ac:dyDescent="0.25">
      <c r="A491" t="s">
        <v>274</v>
      </c>
      <c r="B491" s="1" t="s">
        <v>602</v>
      </c>
      <c r="C491" s="1">
        <v>0</v>
      </c>
      <c r="D491" s="1">
        <v>1.898234604</v>
      </c>
      <c r="E491" s="1">
        <v>0</v>
      </c>
      <c r="F491" s="1">
        <v>0</v>
      </c>
      <c r="G491" s="1">
        <v>1.858809843</v>
      </c>
      <c r="H491" s="1">
        <v>0</v>
      </c>
      <c r="I491" s="1">
        <v>0</v>
      </c>
      <c r="J491" s="1">
        <v>485.72144880000002</v>
      </c>
      <c r="K491" s="1">
        <v>0</v>
      </c>
      <c r="L491" s="1">
        <v>0</v>
      </c>
      <c r="M491" s="1">
        <v>0</v>
      </c>
      <c r="N491" s="1">
        <v>0</v>
      </c>
      <c r="O491" s="1">
        <v>0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0.52465683299999999</v>
      </c>
      <c r="W491" s="1">
        <v>0</v>
      </c>
      <c r="X491" s="1">
        <v>0</v>
      </c>
      <c r="Y491" s="1">
        <v>70.242532240000003</v>
      </c>
      <c r="Z491" s="1">
        <v>0</v>
      </c>
      <c r="AA491" s="1">
        <v>486</v>
      </c>
      <c r="AB491" s="1">
        <v>0</v>
      </c>
      <c r="AC491" s="1">
        <v>0</v>
      </c>
      <c r="AD491">
        <v>0</v>
      </c>
      <c r="AF491" s="8" cm="1">
        <f t="array" aca="1" ref="AF491" ca="1">fScore_Total("ESPN",aCols)</f>
        <v>33.239822338000003</v>
      </c>
      <c r="AG491" s="8" cm="1">
        <f t="array" aca="1" ref="AG491" ca="1">-fScore_Total("diff",aCols)</f>
        <v>0</v>
      </c>
      <c r="AH491" s="8">
        <f t="shared" ca="1" si="8"/>
        <v>33.239822338000003</v>
      </c>
      <c r="AI491" s="8"/>
    </row>
    <row r="492" spans="1:35" x14ac:dyDescent="0.25">
      <c r="A492" t="s">
        <v>271</v>
      </c>
      <c r="B492" s="1" t="s">
        <v>602</v>
      </c>
      <c r="C492" s="1">
        <v>0</v>
      </c>
      <c r="D492" s="1">
        <v>1.7391947919999999</v>
      </c>
      <c r="E492" s="1">
        <v>0</v>
      </c>
      <c r="F492" s="1">
        <v>0</v>
      </c>
      <c r="G492" s="1">
        <v>4.2988217909999999</v>
      </c>
      <c r="H492" s="1">
        <v>0</v>
      </c>
      <c r="I492" s="1">
        <v>0</v>
      </c>
      <c r="J492" s="1">
        <v>482.69005249999998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0.29575207399999998</v>
      </c>
      <c r="W492" s="1">
        <v>0</v>
      </c>
      <c r="X492" s="1">
        <v>0</v>
      </c>
      <c r="Y492" s="1">
        <v>27.109255439999998</v>
      </c>
      <c r="Z492" s="1">
        <v>0</v>
      </c>
      <c r="AA492" s="1">
        <v>483</v>
      </c>
      <c r="AB492" s="1">
        <v>0</v>
      </c>
      <c r="AC492" s="1">
        <v>0</v>
      </c>
      <c r="AD492">
        <v>0</v>
      </c>
      <c r="AF492" s="8" cm="1">
        <f t="array" aca="1" ref="AF492" ca="1">fScore_Total("ESPN",aCols)</f>
        <v>37.509937667999999</v>
      </c>
      <c r="AG492" s="8" cm="1">
        <f t="array" aca="1" ref="AG492" ca="1">-fScore_Total("diff",aCols)</f>
        <v>0</v>
      </c>
      <c r="AH492" s="8">
        <f t="shared" ca="1" si="8"/>
        <v>37.509937667999999</v>
      </c>
      <c r="AI492" s="8"/>
    </row>
    <row r="493" spans="1:35" x14ac:dyDescent="0.25">
      <c r="A493" t="s">
        <v>270</v>
      </c>
      <c r="B493" s="1" t="s">
        <v>602</v>
      </c>
      <c r="C493" s="1">
        <v>0</v>
      </c>
      <c r="D493" s="1">
        <v>1.787091201</v>
      </c>
      <c r="E493" s="1">
        <v>0</v>
      </c>
      <c r="F493" s="1">
        <v>0</v>
      </c>
      <c r="G493" s="1">
        <v>2.6553891109999999</v>
      </c>
      <c r="H493" s="1">
        <v>0</v>
      </c>
      <c r="I493" s="1">
        <v>0</v>
      </c>
      <c r="J493" s="1">
        <v>483.02644099999998</v>
      </c>
      <c r="K493" s="1">
        <v>0</v>
      </c>
      <c r="L493" s="1">
        <v>0</v>
      </c>
      <c r="M493" s="1">
        <v>0</v>
      </c>
      <c r="N493" s="1">
        <v>0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  <c r="V493" s="1">
        <v>0.18644701799999999</v>
      </c>
      <c r="W493" s="1">
        <v>0</v>
      </c>
      <c r="X493" s="1">
        <v>0</v>
      </c>
      <c r="Y493" s="1">
        <v>22.92572187</v>
      </c>
      <c r="Z493" s="1">
        <v>0</v>
      </c>
      <c r="AA493" s="1">
        <v>481</v>
      </c>
      <c r="AB493" s="1">
        <v>0</v>
      </c>
      <c r="AC493" s="1">
        <v>0</v>
      </c>
      <c r="AD493">
        <v>0</v>
      </c>
      <c r="AF493" s="8" cm="1">
        <f t="array" aca="1" ref="AF493" ca="1">fScore_Total("ESPN",aCols)</f>
        <v>29.779685977000003</v>
      </c>
      <c r="AG493" s="8" cm="1">
        <f t="array" aca="1" ref="AG493" ca="1">-fScore_Total("diff",aCols)</f>
        <v>0</v>
      </c>
      <c r="AH493" s="8">
        <f t="shared" ca="1" si="8"/>
        <v>29.779685977000003</v>
      </c>
      <c r="AI493" s="8"/>
    </row>
    <row r="494" spans="1:35" x14ac:dyDescent="0.25">
      <c r="A494" t="s">
        <v>269</v>
      </c>
      <c r="B494" s="1" t="s">
        <v>602</v>
      </c>
      <c r="C494" s="1">
        <v>0</v>
      </c>
      <c r="D494" s="1">
        <v>3.0450303120000002</v>
      </c>
      <c r="E494" s="1">
        <v>0</v>
      </c>
      <c r="F494" s="1">
        <v>0</v>
      </c>
      <c r="G494" s="1">
        <v>3.2511128560000002</v>
      </c>
      <c r="H494" s="1">
        <v>0</v>
      </c>
      <c r="I494" s="1">
        <v>0</v>
      </c>
      <c r="J494" s="1">
        <v>780.81970369999999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0.54220998799999998</v>
      </c>
      <c r="W494" s="1">
        <v>0</v>
      </c>
      <c r="X494" s="1">
        <v>0</v>
      </c>
      <c r="Y494" s="1">
        <v>40.40583238</v>
      </c>
      <c r="Z494" s="1">
        <v>0</v>
      </c>
      <c r="AA494" s="1">
        <v>480</v>
      </c>
      <c r="AB494" s="1">
        <v>0</v>
      </c>
      <c r="AC494" s="1">
        <v>0</v>
      </c>
      <c r="AD494">
        <v>0</v>
      </c>
      <c r="AF494" s="8" cm="1">
        <f t="array" aca="1" ref="AF494" ca="1">fScore_Total("ESPN",aCols)</f>
        <v>45.441022114000006</v>
      </c>
      <c r="AG494" s="8" cm="1">
        <f t="array" aca="1" ref="AG494" ca="1">-fScore_Total("diff",aCols)</f>
        <v>0</v>
      </c>
      <c r="AH494" s="8">
        <f t="shared" ca="1" si="8"/>
        <v>45.441022114000006</v>
      </c>
      <c r="AI494" s="8"/>
    </row>
    <row r="495" spans="1:35" x14ac:dyDescent="0.25">
      <c r="A495" t="s">
        <v>268</v>
      </c>
      <c r="B495" s="1" t="s">
        <v>602</v>
      </c>
      <c r="C495" s="1">
        <v>0</v>
      </c>
      <c r="D495" s="1">
        <v>3.0731034250000002</v>
      </c>
      <c r="E495" s="1">
        <v>0</v>
      </c>
      <c r="F495" s="1">
        <v>0</v>
      </c>
      <c r="G495" s="1">
        <v>3.7600371080000001</v>
      </c>
      <c r="H495" s="1">
        <v>0</v>
      </c>
      <c r="I495" s="1">
        <v>0</v>
      </c>
      <c r="J495" s="1">
        <v>707.32654309999998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>
        <v>0.31900755400000003</v>
      </c>
      <c r="W495" s="1">
        <v>0</v>
      </c>
      <c r="X495" s="1">
        <v>0</v>
      </c>
      <c r="Y495" s="1">
        <v>44.726738179999998</v>
      </c>
      <c r="Z495" s="1">
        <v>0</v>
      </c>
      <c r="AA495" s="1">
        <v>479</v>
      </c>
      <c r="AB495" s="1">
        <v>0</v>
      </c>
      <c r="AC495" s="1">
        <v>0</v>
      </c>
      <c r="AD495">
        <v>0</v>
      </c>
      <c r="AF495" s="8" cm="1">
        <f t="array" aca="1" ref="AF495" ca="1">fScore_Total("ESPN",aCols)</f>
        <v>43.573722447999998</v>
      </c>
      <c r="AG495" s="8" cm="1">
        <f t="array" aca="1" ref="AG495" ca="1">-fScore_Total("diff",aCols)</f>
        <v>0</v>
      </c>
      <c r="AH495" s="8">
        <f t="shared" ca="1" si="8"/>
        <v>43.573722447999998</v>
      </c>
      <c r="AI495" s="8"/>
    </row>
    <row r="496" spans="1:35" x14ac:dyDescent="0.25">
      <c r="A496" t="s">
        <v>267</v>
      </c>
      <c r="B496" s="1" t="s">
        <v>602</v>
      </c>
      <c r="C496" s="1">
        <v>0</v>
      </c>
      <c r="D496" s="1">
        <v>4.5052300110000001</v>
      </c>
      <c r="E496" s="1">
        <v>0</v>
      </c>
      <c r="F496" s="1">
        <v>0</v>
      </c>
      <c r="G496" s="1">
        <v>5.0132873099999999</v>
      </c>
      <c r="H496" s="1">
        <v>0</v>
      </c>
      <c r="I496" s="1">
        <v>0</v>
      </c>
      <c r="J496" s="1">
        <v>1088.6423400000001</v>
      </c>
      <c r="K496" s="1">
        <v>0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0.35314579800000001</v>
      </c>
      <c r="W496" s="1">
        <v>0</v>
      </c>
      <c r="X496" s="1">
        <v>0</v>
      </c>
      <c r="Y496" s="1">
        <v>35.965354140000002</v>
      </c>
      <c r="Z496" s="1">
        <v>0</v>
      </c>
      <c r="AA496" s="1">
        <v>478</v>
      </c>
      <c r="AB496" s="1">
        <v>0</v>
      </c>
      <c r="AC496" s="1">
        <v>0</v>
      </c>
      <c r="AD496">
        <v>0</v>
      </c>
      <c r="AF496" s="8" cm="1">
        <f t="array" aca="1" ref="AF496" ca="1">fScore_Total("ESPN",aCols)</f>
        <v>60.303793020000008</v>
      </c>
      <c r="AG496" s="8" cm="1">
        <f t="array" aca="1" ref="AG496" ca="1">-fScore_Total("diff",aCols)</f>
        <v>0</v>
      </c>
      <c r="AH496" s="8">
        <f t="shared" ca="1" si="8"/>
        <v>60.303793020000008</v>
      </c>
      <c r="AI496" s="8"/>
    </row>
    <row r="497" spans="1:35" x14ac:dyDescent="0.25">
      <c r="A497" t="s">
        <v>282</v>
      </c>
      <c r="B497" s="1" t="s">
        <v>601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  <c r="M497" s="1">
        <v>18.598835170000001</v>
      </c>
      <c r="N497" s="1">
        <v>0</v>
      </c>
      <c r="O497" s="1">
        <v>1.0056292229999999</v>
      </c>
      <c r="P497" s="1">
        <v>0</v>
      </c>
      <c r="Q497" s="1">
        <v>0</v>
      </c>
      <c r="R497" s="1">
        <v>190.00555159999999</v>
      </c>
      <c r="S497" s="1">
        <v>0</v>
      </c>
      <c r="T497" s="1">
        <v>0</v>
      </c>
      <c r="U497" s="1">
        <v>0</v>
      </c>
      <c r="V497" s="1">
        <v>0.114200565</v>
      </c>
      <c r="W497" s="1">
        <v>0</v>
      </c>
      <c r="X497" s="1">
        <v>0</v>
      </c>
      <c r="Y497" s="1">
        <v>20.85638788</v>
      </c>
      <c r="Z497" s="1">
        <v>0</v>
      </c>
      <c r="AA497" s="1">
        <v>990</v>
      </c>
      <c r="AB497" s="1">
        <v>0</v>
      </c>
      <c r="AC497" s="1">
        <v>0</v>
      </c>
      <c r="AD497">
        <v>0</v>
      </c>
      <c r="AF497" s="8" cm="1">
        <f t="array" aca="1" ref="AF497" ca="1">fScore_Total("ESPN",aCols)</f>
        <v>37.104590260999998</v>
      </c>
      <c r="AG497" s="8" cm="1">
        <f t="array" aca="1" ref="AG497" ca="1">-fScore_Total("diff",aCols)</f>
        <v>0</v>
      </c>
      <c r="AH497" s="8">
        <f t="shared" ca="1" si="8"/>
        <v>37.104590260999998</v>
      </c>
      <c r="AI497" s="8"/>
    </row>
    <row r="498" spans="1:35" x14ac:dyDescent="0.25">
      <c r="A498" t="s">
        <v>283</v>
      </c>
      <c r="B498" s="1" t="s">
        <v>601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  <c r="M498" s="1">
        <v>14.86640708</v>
      </c>
      <c r="N498" s="1">
        <v>0</v>
      </c>
      <c r="O498" s="1">
        <v>1.7096544730000001</v>
      </c>
      <c r="P498" s="1">
        <v>0</v>
      </c>
      <c r="Q498" s="1">
        <v>0</v>
      </c>
      <c r="R498" s="1">
        <v>215.88152579999999</v>
      </c>
      <c r="S498" s="1">
        <v>0</v>
      </c>
      <c r="T498" s="1">
        <v>0</v>
      </c>
      <c r="U498" s="1">
        <v>0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991</v>
      </c>
      <c r="AB498" s="1">
        <v>0</v>
      </c>
      <c r="AC498" s="1">
        <v>0</v>
      </c>
      <c r="AD498">
        <v>0</v>
      </c>
      <c r="AF498" s="8" cm="1">
        <f t="array" aca="1" ref="AF498" ca="1">fScore_Total("ESPN",aCols)</f>
        <v>39.279282957999996</v>
      </c>
      <c r="AG498" s="8" cm="1">
        <f t="array" aca="1" ref="AG498" ca="1">-fScore_Total("diff",aCols)</f>
        <v>0</v>
      </c>
      <c r="AH498" s="8">
        <f t="shared" ca="1" si="8"/>
        <v>39.279282957999996</v>
      </c>
      <c r="AI498" s="8"/>
    </row>
    <row r="499" spans="1:35" x14ac:dyDescent="0.25">
      <c r="A499" t="s">
        <v>284</v>
      </c>
      <c r="B499" s="1" t="s">
        <v>601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  <c r="M499" s="1">
        <v>14.61969232</v>
      </c>
      <c r="N499" s="1">
        <v>0</v>
      </c>
      <c r="O499" s="1">
        <v>1.044046069</v>
      </c>
      <c r="P499" s="1">
        <v>0</v>
      </c>
      <c r="Q499" s="1">
        <v>0</v>
      </c>
      <c r="R499" s="1">
        <v>157.7044511</v>
      </c>
      <c r="S499" s="1">
        <v>0</v>
      </c>
      <c r="T499" s="1">
        <v>0</v>
      </c>
      <c r="U499" s="1">
        <v>0</v>
      </c>
      <c r="V499" s="1">
        <v>0.52824771400000003</v>
      </c>
      <c r="W499" s="1">
        <v>0</v>
      </c>
      <c r="X499" s="1">
        <v>0</v>
      </c>
      <c r="Y499" s="1">
        <v>51.297475630000001</v>
      </c>
      <c r="Z499" s="1">
        <v>0</v>
      </c>
      <c r="AA499" s="1">
        <v>992</v>
      </c>
      <c r="AB499" s="1">
        <v>0</v>
      </c>
      <c r="AC499" s="1">
        <v>0</v>
      </c>
      <c r="AD499">
        <v>0</v>
      </c>
      <c r="AF499" s="8" cm="1">
        <f t="array" aca="1" ref="AF499" ca="1">fScore_Total("ESPN",aCols)</f>
        <v>37.643801531000001</v>
      </c>
      <c r="AG499" s="8" cm="1">
        <f t="array" aca="1" ref="AG499" ca="1">-fScore_Total("diff",aCols)</f>
        <v>0</v>
      </c>
      <c r="AH499" s="8">
        <f t="shared" ca="1" si="8"/>
        <v>37.643801531000001</v>
      </c>
      <c r="AI499" s="8"/>
    </row>
    <row r="500" spans="1:35" x14ac:dyDescent="0.25">
      <c r="A500" t="s">
        <v>298</v>
      </c>
      <c r="B500" s="1" t="s">
        <v>603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  <c r="M500" s="1">
        <v>17.657725190000001</v>
      </c>
      <c r="N500" s="1">
        <v>0</v>
      </c>
      <c r="O500" s="1">
        <v>0.89129672500000001</v>
      </c>
      <c r="P500" s="1">
        <v>0</v>
      </c>
      <c r="Q500" s="1">
        <v>0</v>
      </c>
      <c r="R500" s="1">
        <v>142.3987506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0</v>
      </c>
      <c r="Z500" s="1">
        <v>0</v>
      </c>
      <c r="AA500" s="1">
        <v>1003</v>
      </c>
      <c r="AB500" s="1">
        <v>0</v>
      </c>
      <c r="AC500" s="1">
        <v>0</v>
      </c>
      <c r="AD500">
        <v>0</v>
      </c>
      <c r="AF500" s="8" cm="1">
        <f t="array" aca="1" ref="AF500" ca="1">fScore_Total("ESPN",aCols)</f>
        <v>28.416518005</v>
      </c>
      <c r="AG500" s="8" cm="1">
        <f t="array" aca="1" ref="AG500" ca="1">-fScore_Total("diff",aCols)</f>
        <v>0</v>
      </c>
      <c r="AH500" s="8">
        <f t="shared" ca="1" si="8"/>
        <v>28.416518005</v>
      </c>
      <c r="AI500" s="8"/>
    </row>
    <row r="501" spans="1:35" x14ac:dyDescent="0.25">
      <c r="A501" t="s">
        <v>306</v>
      </c>
      <c r="B501" s="1" t="s">
        <v>602</v>
      </c>
      <c r="C501" s="1">
        <v>0</v>
      </c>
      <c r="D501" s="1">
        <v>1.581835197</v>
      </c>
      <c r="E501" s="1">
        <v>0</v>
      </c>
      <c r="F501" s="1">
        <v>0</v>
      </c>
      <c r="G501" s="1">
        <v>3.4297671049999998</v>
      </c>
      <c r="H501" s="1">
        <v>0</v>
      </c>
      <c r="I501" s="1">
        <v>0</v>
      </c>
      <c r="J501" s="1">
        <v>438.78696079999997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0.51882760999999999</v>
      </c>
      <c r="W501" s="1">
        <v>0</v>
      </c>
      <c r="X501" s="1">
        <v>0</v>
      </c>
      <c r="Y501" s="1">
        <v>36.365935450000002</v>
      </c>
      <c r="Z501" s="1">
        <v>0</v>
      </c>
      <c r="AA501" s="1">
        <v>1011</v>
      </c>
      <c r="AB501" s="1">
        <v>0</v>
      </c>
      <c r="AC501" s="1">
        <v>0</v>
      </c>
      <c r="AD501">
        <v>0</v>
      </c>
      <c r="AF501" s="8" cm="1">
        <f t="array" aca="1" ref="AF501" ca="1">fScore_Total("ESPN",aCols)</f>
        <v>34.856435662999999</v>
      </c>
      <c r="AG501" s="8" cm="1">
        <f t="array" aca="1" ref="AG501" ca="1">-fScore_Total("diff",aCols)</f>
        <v>0</v>
      </c>
      <c r="AH501" s="8">
        <f t="shared" ca="1" si="8"/>
        <v>34.856435662999999</v>
      </c>
      <c r="AI501" s="8"/>
    </row>
    <row r="502" spans="1:35" x14ac:dyDescent="0.25">
      <c r="A502" t="s">
        <v>304</v>
      </c>
      <c r="B502" s="1" t="s">
        <v>603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  <c r="M502" s="1">
        <v>14.087132560000001</v>
      </c>
      <c r="N502" s="1">
        <v>0</v>
      </c>
      <c r="O502" s="1">
        <v>0.96823058699999998</v>
      </c>
      <c r="P502" s="1">
        <v>0</v>
      </c>
      <c r="Q502" s="1">
        <v>0</v>
      </c>
      <c r="R502" s="1">
        <v>142.71309220000001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1010</v>
      </c>
      <c r="AB502" s="1">
        <v>0</v>
      </c>
      <c r="AC502" s="1">
        <v>0</v>
      </c>
      <c r="AD502">
        <v>0</v>
      </c>
      <c r="AF502" s="8" cm="1">
        <f t="array" aca="1" ref="AF502" ca="1">fScore_Total("ESPN",aCols)</f>
        <v>27.124259022000004</v>
      </c>
      <c r="AG502" s="8" cm="1">
        <f t="array" aca="1" ref="AG502" ca="1">-fScore_Total("diff",aCols)</f>
        <v>0</v>
      </c>
      <c r="AH502" s="8">
        <f t="shared" ca="1" si="8"/>
        <v>27.124259022000004</v>
      </c>
      <c r="AI502" s="8"/>
    </row>
    <row r="503" spans="1:35" x14ac:dyDescent="0.25">
      <c r="A503" t="s">
        <v>285</v>
      </c>
      <c r="B503" s="1" t="s">
        <v>603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  <c r="M503" s="1">
        <v>13.419654789999999</v>
      </c>
      <c r="N503" s="1">
        <v>0</v>
      </c>
      <c r="O503" s="1">
        <v>1.072331122</v>
      </c>
      <c r="P503" s="1">
        <v>0</v>
      </c>
      <c r="Q503" s="1">
        <v>0</v>
      </c>
      <c r="R503" s="1">
        <v>143.60811659999999</v>
      </c>
      <c r="S503" s="1">
        <v>0</v>
      </c>
      <c r="T503" s="1"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1009</v>
      </c>
      <c r="AB503" s="1">
        <v>0</v>
      </c>
      <c r="AC503" s="1">
        <v>0</v>
      </c>
      <c r="AD503">
        <v>0</v>
      </c>
      <c r="AF503" s="8" cm="1">
        <f t="array" aca="1" ref="AF503" ca="1">fScore_Total("ESPN",aCols)</f>
        <v>27.504625786999998</v>
      </c>
      <c r="AG503" s="8" cm="1">
        <f t="array" aca="1" ref="AG503" ca="1">-fScore_Total("diff",aCols)</f>
        <v>0</v>
      </c>
      <c r="AH503" s="8">
        <f t="shared" ca="1" si="8"/>
        <v>27.504625786999998</v>
      </c>
      <c r="AI503" s="8"/>
    </row>
    <row r="504" spans="1:35" x14ac:dyDescent="0.25">
      <c r="A504" t="s">
        <v>303</v>
      </c>
      <c r="B504" s="1" t="s">
        <v>602</v>
      </c>
      <c r="C504" s="1">
        <v>0</v>
      </c>
      <c r="D504" s="1">
        <v>1.822519419</v>
      </c>
      <c r="E504" s="1">
        <v>0</v>
      </c>
      <c r="F504" s="1">
        <v>0</v>
      </c>
      <c r="G504" s="1">
        <v>3.895508473</v>
      </c>
      <c r="H504" s="1">
        <v>0</v>
      </c>
      <c r="I504" s="1">
        <v>0</v>
      </c>
      <c r="J504" s="1">
        <v>510.54202079999999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>
        <v>0.175870374</v>
      </c>
      <c r="W504" s="1">
        <v>0</v>
      </c>
      <c r="X504" s="1">
        <v>0</v>
      </c>
      <c r="Y504" s="1">
        <v>16.126728549999999</v>
      </c>
      <c r="Z504" s="1">
        <v>0</v>
      </c>
      <c r="AA504" s="1">
        <v>1008</v>
      </c>
      <c r="AB504" s="1">
        <v>0</v>
      </c>
      <c r="AC504" s="1">
        <v>0</v>
      </c>
      <c r="AD504">
        <v>0</v>
      </c>
      <c r="AF504" s="8" cm="1">
        <f t="array" aca="1" ref="AF504" ca="1">fScore_Total("ESPN",aCols)</f>
        <v>35.026570984999999</v>
      </c>
      <c r="AG504" s="8" cm="1">
        <f t="array" aca="1" ref="AG504" ca="1">-fScore_Total("diff",aCols)</f>
        <v>0</v>
      </c>
      <c r="AH504" s="8">
        <f t="shared" ca="1" si="8"/>
        <v>35.026570984999999</v>
      </c>
      <c r="AI504" s="8"/>
    </row>
    <row r="505" spans="1:35" x14ac:dyDescent="0.25">
      <c r="A505" t="s">
        <v>302</v>
      </c>
      <c r="B505" s="1" t="s">
        <v>603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  <c r="M505" s="1">
        <v>14.6076137</v>
      </c>
      <c r="N505" s="1">
        <v>0</v>
      </c>
      <c r="O505" s="1">
        <v>0.829746553</v>
      </c>
      <c r="P505" s="1">
        <v>0</v>
      </c>
      <c r="Q505" s="1">
        <v>0</v>
      </c>
      <c r="R505" s="1">
        <v>156.30597929999999</v>
      </c>
      <c r="S505" s="1">
        <v>0</v>
      </c>
      <c r="T505" s="1"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1007</v>
      </c>
      <c r="AB505" s="1">
        <v>0</v>
      </c>
      <c r="AC505" s="1">
        <v>0</v>
      </c>
      <c r="AD505">
        <v>0</v>
      </c>
      <c r="AF505" s="8" cm="1">
        <f t="array" aca="1" ref="AF505" ca="1">fScore_Total("ESPN",aCols)</f>
        <v>27.912884097999999</v>
      </c>
      <c r="AG505" s="8" cm="1">
        <f t="array" aca="1" ref="AG505" ca="1">-fScore_Total("diff",aCols)</f>
        <v>0</v>
      </c>
      <c r="AH505" s="8">
        <f t="shared" ca="1" si="8"/>
        <v>27.912884097999999</v>
      </c>
      <c r="AI505" s="8"/>
    </row>
    <row r="506" spans="1:35" x14ac:dyDescent="0.25">
      <c r="A506" t="s">
        <v>301</v>
      </c>
      <c r="B506" s="1" t="s">
        <v>603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L506" s="1">
        <v>0</v>
      </c>
      <c r="M506" s="1">
        <v>15.55756671</v>
      </c>
      <c r="N506" s="1">
        <v>0</v>
      </c>
      <c r="O506" s="1">
        <v>0.78721438700000002</v>
      </c>
      <c r="P506" s="1">
        <v>0</v>
      </c>
      <c r="Q506" s="1">
        <v>0</v>
      </c>
      <c r="R506" s="1">
        <v>151.56489690000001</v>
      </c>
      <c r="S506" s="1">
        <v>0</v>
      </c>
      <c r="T506" s="1"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1006</v>
      </c>
      <c r="AB506" s="1">
        <v>0</v>
      </c>
      <c r="AC506" s="1">
        <v>0</v>
      </c>
      <c r="AD506">
        <v>0</v>
      </c>
      <c r="AF506" s="8" cm="1">
        <f t="array" aca="1" ref="AF506" ca="1">fScore_Total("ESPN",aCols)</f>
        <v>27.658559367000002</v>
      </c>
      <c r="AG506" s="8" cm="1">
        <f t="array" aca="1" ref="AG506" ca="1">-fScore_Total("diff",aCols)</f>
        <v>0</v>
      </c>
      <c r="AH506" s="8">
        <f t="shared" ca="1" si="8"/>
        <v>27.658559367000002</v>
      </c>
      <c r="AI506" s="8"/>
    </row>
    <row r="507" spans="1:35" x14ac:dyDescent="0.25">
      <c r="A507" t="s">
        <v>300</v>
      </c>
      <c r="B507" s="1" t="s">
        <v>601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L507" s="1">
        <v>0</v>
      </c>
      <c r="M507" s="1">
        <v>13.006678470000001</v>
      </c>
      <c r="N507" s="1">
        <v>0</v>
      </c>
      <c r="O507" s="1">
        <v>1.152852937</v>
      </c>
      <c r="P507" s="1">
        <v>0</v>
      </c>
      <c r="Q507" s="1">
        <v>0</v>
      </c>
      <c r="R507" s="1">
        <v>156.2826015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1005</v>
      </c>
      <c r="AB507" s="1">
        <v>0</v>
      </c>
      <c r="AC507" s="1">
        <v>0</v>
      </c>
      <c r="AD507">
        <v>0</v>
      </c>
      <c r="AF507" s="8" cm="1">
        <f t="array" aca="1" ref="AF507" ca="1">fScore_Total("ESPN",aCols)</f>
        <v>29.048717007</v>
      </c>
      <c r="AG507" s="8" cm="1">
        <f t="array" aca="1" ref="AG507" ca="1">-fScore_Total("diff",aCols)</f>
        <v>0</v>
      </c>
      <c r="AH507" s="8">
        <f t="shared" ca="1" si="8"/>
        <v>29.048717007</v>
      </c>
      <c r="AI507" s="8"/>
    </row>
    <row r="508" spans="1:35" x14ac:dyDescent="0.25">
      <c r="A508" t="s">
        <v>299</v>
      </c>
      <c r="B508" s="1" t="s">
        <v>603</v>
      </c>
      <c r="C508" s="1">
        <v>0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K508" s="1">
        <v>0</v>
      </c>
      <c r="L508" s="1">
        <v>0</v>
      </c>
      <c r="M508" s="1">
        <v>15.279498889999999</v>
      </c>
      <c r="N508" s="1">
        <v>0</v>
      </c>
      <c r="O508" s="1">
        <v>1.039654632</v>
      </c>
      <c r="P508" s="1">
        <v>0</v>
      </c>
      <c r="Q508" s="1">
        <v>0</v>
      </c>
      <c r="R508" s="1">
        <v>149.01796429999999</v>
      </c>
      <c r="S508" s="1">
        <v>0</v>
      </c>
      <c r="T508" s="1"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1004</v>
      </c>
      <c r="AB508" s="1">
        <v>0</v>
      </c>
      <c r="AC508" s="1">
        <v>0</v>
      </c>
      <c r="AD508">
        <v>0</v>
      </c>
      <c r="AF508" s="8" cm="1">
        <f t="array" aca="1" ref="AF508" ca="1">fScore_Total("ESPN",aCols)</f>
        <v>28.779473666999998</v>
      </c>
      <c r="AG508" s="8" cm="1">
        <f t="array" aca="1" ref="AG508" ca="1">-fScore_Total("diff",aCols)</f>
        <v>0</v>
      </c>
      <c r="AH508" s="8">
        <f t="shared" ca="1" si="8"/>
        <v>28.779473666999998</v>
      </c>
      <c r="AI508" s="8"/>
    </row>
    <row r="509" spans="1:35" x14ac:dyDescent="0.25">
      <c r="A509" t="s">
        <v>295</v>
      </c>
      <c r="B509" s="1" t="s">
        <v>601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1">
        <v>0</v>
      </c>
      <c r="K509" s="1">
        <v>0</v>
      </c>
      <c r="L509" s="1">
        <v>0</v>
      </c>
      <c r="M509" s="1">
        <v>13.4424554</v>
      </c>
      <c r="N509" s="1">
        <v>0</v>
      </c>
      <c r="O509" s="1">
        <v>0.98220003</v>
      </c>
      <c r="P509" s="1">
        <v>0</v>
      </c>
      <c r="Q509" s="1">
        <v>0</v>
      </c>
      <c r="R509" s="1">
        <v>187.73827449999999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1002</v>
      </c>
      <c r="AB509" s="1">
        <v>0</v>
      </c>
      <c r="AC509" s="1">
        <v>0</v>
      </c>
      <c r="AD509">
        <v>0</v>
      </c>
      <c r="AF509" s="8" cm="1">
        <f t="array" aca="1" ref="AF509" ca="1">fScore_Total("ESPN",aCols)</f>
        <v>31.38825533</v>
      </c>
      <c r="AG509" s="8" cm="1">
        <f t="array" aca="1" ref="AG509" ca="1">-fScore_Total("diff",aCols)</f>
        <v>0</v>
      </c>
      <c r="AH509" s="8">
        <f t="shared" ca="1" si="8"/>
        <v>31.38825533</v>
      </c>
      <c r="AI509" s="8"/>
    </row>
    <row r="510" spans="1:35" x14ac:dyDescent="0.25">
      <c r="A510" t="s">
        <v>294</v>
      </c>
      <c r="B510" s="1" t="s">
        <v>601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1">
        <v>0</v>
      </c>
      <c r="K510" s="1">
        <v>0</v>
      </c>
      <c r="L510" s="1">
        <v>0</v>
      </c>
      <c r="M510" s="1">
        <v>14.48077056</v>
      </c>
      <c r="N510" s="1">
        <v>0</v>
      </c>
      <c r="O510" s="1">
        <v>1.10811927</v>
      </c>
      <c r="P510" s="1">
        <v>0</v>
      </c>
      <c r="Q510" s="1">
        <v>0</v>
      </c>
      <c r="R510" s="1">
        <v>175.0390558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1001</v>
      </c>
      <c r="AB510" s="1">
        <v>0</v>
      </c>
      <c r="AC510" s="1">
        <v>0</v>
      </c>
      <c r="AD510">
        <v>0</v>
      </c>
      <c r="AF510" s="8" cm="1">
        <f t="array" aca="1" ref="AF510" ca="1">fScore_Total("ESPN",aCols)</f>
        <v>31.39300648</v>
      </c>
      <c r="AG510" s="8" cm="1">
        <f t="array" aca="1" ref="AG510" ca="1">-fScore_Total("diff",aCols)</f>
        <v>0</v>
      </c>
      <c r="AH510" s="8">
        <f t="shared" ca="1" si="8"/>
        <v>31.39300648</v>
      </c>
      <c r="AI510" s="8"/>
    </row>
    <row r="511" spans="1:35" x14ac:dyDescent="0.25">
      <c r="A511" t="s">
        <v>293</v>
      </c>
      <c r="B511" s="1" t="s">
        <v>603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1">
        <v>0</v>
      </c>
      <c r="K511" s="1">
        <v>0</v>
      </c>
      <c r="L511" s="1">
        <v>0</v>
      </c>
      <c r="M511" s="1">
        <v>16.002392520000001</v>
      </c>
      <c r="N511" s="1">
        <v>0</v>
      </c>
      <c r="O511" s="1">
        <v>1.2559278979999999</v>
      </c>
      <c r="P511" s="1">
        <v>0</v>
      </c>
      <c r="Q511" s="1">
        <v>0</v>
      </c>
      <c r="R511" s="1">
        <v>155.1724471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1000</v>
      </c>
      <c r="AB511" s="1">
        <v>0</v>
      </c>
      <c r="AC511" s="1">
        <v>0</v>
      </c>
      <c r="AD511">
        <v>0</v>
      </c>
      <c r="AF511" s="8" cm="1">
        <f t="array" aca="1" ref="AF511" ca="1">fScore_Total("ESPN",aCols)</f>
        <v>31.054008358000001</v>
      </c>
      <c r="AG511" s="8" cm="1">
        <f t="array" aca="1" ref="AG511" ca="1">-fScore_Total("diff",aCols)</f>
        <v>0</v>
      </c>
      <c r="AH511" s="8">
        <f t="shared" ca="1" si="8"/>
        <v>31.054008358000001</v>
      </c>
      <c r="AI511" s="8"/>
    </row>
    <row r="512" spans="1:35" x14ac:dyDescent="0.25">
      <c r="A512" t="s">
        <v>291</v>
      </c>
      <c r="B512" s="1" t="s">
        <v>603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1">
        <v>0</v>
      </c>
      <c r="K512" s="1">
        <v>0</v>
      </c>
      <c r="L512" s="1">
        <v>0</v>
      </c>
      <c r="M512" s="1">
        <v>16.057234619999999</v>
      </c>
      <c r="N512" s="1">
        <v>0</v>
      </c>
      <c r="O512" s="1">
        <v>1.1322752089999999</v>
      </c>
      <c r="P512" s="1">
        <v>0</v>
      </c>
      <c r="Q512" s="1">
        <v>0</v>
      </c>
      <c r="R512" s="1">
        <v>165.50089220000001</v>
      </c>
      <c r="S512" s="1">
        <v>0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999</v>
      </c>
      <c r="AB512" s="1">
        <v>0</v>
      </c>
      <c r="AC512" s="1">
        <v>0</v>
      </c>
      <c r="AD512">
        <v>0</v>
      </c>
      <c r="AF512" s="8" cm="1">
        <f t="array" aca="1" ref="AF512" ca="1">fScore_Total("ESPN",aCols)</f>
        <v>31.372357783999998</v>
      </c>
      <c r="AG512" s="8" cm="1">
        <f t="array" aca="1" ref="AG512" ca="1">-fScore_Total("diff",aCols)</f>
        <v>0</v>
      </c>
      <c r="AH512" s="8">
        <f t="shared" ca="1" si="8"/>
        <v>31.372357783999998</v>
      </c>
      <c r="AI512" s="8"/>
    </row>
    <row r="513" spans="1:35" x14ac:dyDescent="0.25">
      <c r="A513" t="s">
        <v>311</v>
      </c>
      <c r="B513" s="1" t="s">
        <v>601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L513" s="1">
        <v>0</v>
      </c>
      <c r="M513" s="1">
        <v>18.587116680000001</v>
      </c>
      <c r="N513" s="1">
        <v>0</v>
      </c>
      <c r="O513" s="1">
        <v>0.58774127899999995</v>
      </c>
      <c r="P513" s="1">
        <v>0</v>
      </c>
      <c r="Q513" s="1">
        <v>0</v>
      </c>
      <c r="R513" s="1">
        <v>175.63918670000001</v>
      </c>
      <c r="S513" s="1">
        <v>0</v>
      </c>
      <c r="T513" s="1"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998</v>
      </c>
      <c r="AB513" s="1">
        <v>0</v>
      </c>
      <c r="AC513" s="1">
        <v>0</v>
      </c>
      <c r="AD513">
        <v>0</v>
      </c>
      <c r="AF513" s="8" cm="1">
        <f t="array" aca="1" ref="AF513" ca="1">fScore_Total("ESPN",aCols)</f>
        <v>30.383924684000004</v>
      </c>
      <c r="AG513" s="8" cm="1">
        <f t="array" aca="1" ref="AG513" ca="1">-fScore_Total("diff",aCols)</f>
        <v>0</v>
      </c>
      <c r="AH513" s="8">
        <f t="shared" ca="1" si="8"/>
        <v>30.383924684000004</v>
      </c>
      <c r="AI513" s="8"/>
    </row>
    <row r="514" spans="1:35" x14ac:dyDescent="0.25">
      <c r="A514" t="s">
        <v>290</v>
      </c>
      <c r="B514" s="1" t="s">
        <v>601</v>
      </c>
      <c r="C514" s="1">
        <v>0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  <c r="L514" s="1">
        <v>0</v>
      </c>
      <c r="M514" s="1">
        <v>15.758107750000001</v>
      </c>
      <c r="N514" s="1">
        <v>0</v>
      </c>
      <c r="O514" s="1">
        <v>1.1972862390000001</v>
      </c>
      <c r="P514" s="1">
        <v>0</v>
      </c>
      <c r="Q514" s="1">
        <v>0</v>
      </c>
      <c r="R514" s="1">
        <v>176.8325456</v>
      </c>
      <c r="S514" s="1">
        <v>0</v>
      </c>
      <c r="T514" s="1"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997</v>
      </c>
      <c r="AB514" s="1">
        <v>0</v>
      </c>
      <c r="AC514" s="1">
        <v>0</v>
      </c>
      <c r="AD514">
        <v>0</v>
      </c>
      <c r="AF514" s="8" cm="1">
        <f t="array" aca="1" ref="AF514" ca="1">fScore_Total("ESPN",aCols)</f>
        <v>32.746025869</v>
      </c>
      <c r="AG514" s="8" cm="1">
        <f t="array" aca="1" ref="AG514" ca="1">-fScore_Total("diff",aCols)</f>
        <v>0</v>
      </c>
      <c r="AH514" s="8">
        <f t="shared" ca="1" si="8"/>
        <v>32.746025869</v>
      </c>
      <c r="AI514" s="8"/>
    </row>
    <row r="515" spans="1:35" x14ac:dyDescent="0.25">
      <c r="A515" t="s">
        <v>289</v>
      </c>
      <c r="B515" s="1" t="s">
        <v>603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1">
        <v>0</v>
      </c>
      <c r="K515" s="1">
        <v>0</v>
      </c>
      <c r="L515" s="1">
        <v>0</v>
      </c>
      <c r="M515" s="1">
        <v>15.932322340000001</v>
      </c>
      <c r="N515" s="1">
        <v>0</v>
      </c>
      <c r="O515" s="1">
        <v>1.2739976749999999</v>
      </c>
      <c r="P515" s="1">
        <v>0</v>
      </c>
      <c r="Q515" s="1">
        <v>0</v>
      </c>
      <c r="R515" s="1">
        <v>181.7979498</v>
      </c>
      <c r="S515" s="1">
        <v>0</v>
      </c>
      <c r="T515" s="1"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996</v>
      </c>
      <c r="AB515" s="1">
        <v>0</v>
      </c>
      <c r="AC515" s="1">
        <v>0</v>
      </c>
      <c r="AD515">
        <v>0</v>
      </c>
      <c r="AF515" s="8" cm="1">
        <f t="array" aca="1" ref="AF515" ca="1">fScore_Total("ESPN",aCols)</f>
        <v>33.789942199999999</v>
      </c>
      <c r="AG515" s="8" cm="1">
        <f t="array" aca="1" ref="AG515" ca="1">-fScore_Total("diff",aCols)</f>
        <v>0</v>
      </c>
      <c r="AH515" s="8">
        <f t="shared" ca="1" si="8"/>
        <v>33.789942199999999</v>
      </c>
      <c r="AI515" s="8"/>
    </row>
    <row r="516" spans="1:35" x14ac:dyDescent="0.25">
      <c r="A516" t="s">
        <v>287</v>
      </c>
      <c r="B516" s="1" t="s">
        <v>601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1">
        <v>0</v>
      </c>
      <c r="K516" s="1">
        <v>0</v>
      </c>
      <c r="L516" s="1">
        <v>0</v>
      </c>
      <c r="M516" s="1">
        <v>15.474186039999999</v>
      </c>
      <c r="N516" s="1">
        <v>0</v>
      </c>
      <c r="O516" s="1">
        <v>0.89722244900000003</v>
      </c>
      <c r="P516" s="1">
        <v>0</v>
      </c>
      <c r="Q516" s="1">
        <v>0</v>
      </c>
      <c r="R516" s="1">
        <v>198.7783704</v>
      </c>
      <c r="S516" s="1">
        <v>0</v>
      </c>
      <c r="T516" s="1">
        <v>0</v>
      </c>
      <c r="U516" s="1">
        <v>0</v>
      </c>
      <c r="V516" s="1">
        <v>8.3013389000000007E-2</v>
      </c>
      <c r="W516" s="1">
        <v>0</v>
      </c>
      <c r="X516" s="1">
        <v>0</v>
      </c>
      <c r="Y516" s="1">
        <v>13.217890779999999</v>
      </c>
      <c r="Z516" s="1">
        <v>0</v>
      </c>
      <c r="AA516" s="1">
        <v>994</v>
      </c>
      <c r="AB516" s="1">
        <v>0</v>
      </c>
      <c r="AC516" s="1">
        <v>0</v>
      </c>
      <c r="AD516">
        <v>0</v>
      </c>
      <c r="AF516" s="8" cm="1">
        <f t="array" aca="1" ref="AF516" ca="1">fScore_Total("ESPN",aCols)</f>
        <v>34.818134166000007</v>
      </c>
      <c r="AG516" s="8" cm="1">
        <f t="array" aca="1" ref="AG516" ca="1">-fScore_Total("diff",aCols)</f>
        <v>0</v>
      </c>
      <c r="AH516" s="8">
        <f t="shared" ca="1" si="8"/>
        <v>34.818134166000007</v>
      </c>
      <c r="AI516" s="8"/>
    </row>
    <row r="517" spans="1:35" x14ac:dyDescent="0.25">
      <c r="A517" t="s">
        <v>266</v>
      </c>
      <c r="B517" s="1" t="s">
        <v>602</v>
      </c>
      <c r="C517" s="1">
        <v>0</v>
      </c>
      <c r="D517" s="1">
        <v>1.874180038</v>
      </c>
      <c r="E517" s="1">
        <v>0</v>
      </c>
      <c r="F517" s="1">
        <v>0</v>
      </c>
      <c r="G517" s="1">
        <v>2.4007292329999999</v>
      </c>
      <c r="H517" s="1">
        <v>0</v>
      </c>
      <c r="I517" s="1">
        <v>0</v>
      </c>
      <c r="J517" s="1">
        <v>480.81277340000003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>
        <v>0.202327059</v>
      </c>
      <c r="W517" s="1">
        <v>0</v>
      </c>
      <c r="X517" s="1">
        <v>0</v>
      </c>
      <c r="Y517" s="1">
        <v>24.800398980000001</v>
      </c>
      <c r="Z517" s="1">
        <v>0</v>
      </c>
      <c r="AA517" s="1">
        <v>477</v>
      </c>
      <c r="AB517" s="1">
        <v>0</v>
      </c>
      <c r="AC517" s="1">
        <v>0</v>
      </c>
      <c r="AD517">
        <v>0</v>
      </c>
      <c r="AF517" s="8" cm="1">
        <f t="array" aca="1" ref="AF517" ca="1">fScore_Total("ESPN",aCols)</f>
        <v>28.781070044</v>
      </c>
      <c r="AG517" s="8" cm="1">
        <f t="array" aca="1" ref="AG517" ca="1">-fScore_Total("diff",aCols)</f>
        <v>0</v>
      </c>
      <c r="AH517" s="8">
        <f t="shared" ca="1" si="8"/>
        <v>28.781070044</v>
      </c>
      <c r="AI517" s="8"/>
    </row>
    <row r="518" spans="1:35" x14ac:dyDescent="0.25">
      <c r="A518" t="s">
        <v>265</v>
      </c>
      <c r="B518" s="1" t="s">
        <v>603</v>
      </c>
      <c r="C518" s="1">
        <v>0</v>
      </c>
      <c r="D518" s="1">
        <v>0</v>
      </c>
      <c r="E518" s="1">
        <v>0</v>
      </c>
      <c r="F518" s="1">
        <v>0</v>
      </c>
      <c r="G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18.403386980000001</v>
      </c>
      <c r="N518" s="1">
        <v>0</v>
      </c>
      <c r="O518" s="1">
        <v>1.3582793989999999</v>
      </c>
      <c r="P518" s="1">
        <v>0</v>
      </c>
      <c r="Q518" s="1">
        <v>0</v>
      </c>
      <c r="R518" s="1">
        <v>185.14926629999999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474</v>
      </c>
      <c r="AB518" s="1">
        <v>0</v>
      </c>
      <c r="AC518" s="1">
        <v>0</v>
      </c>
      <c r="AD518">
        <v>0</v>
      </c>
      <c r="AF518" s="8" cm="1">
        <f t="array" aca="1" ref="AF518" ca="1">fScore_Total("ESPN",aCols)</f>
        <v>35.866296513999998</v>
      </c>
      <c r="AG518" s="8" cm="1">
        <f t="array" aca="1" ref="AG518" ca="1">-fScore_Total("diff",aCols)</f>
        <v>0</v>
      </c>
      <c r="AH518" s="8">
        <f t="shared" ca="1" si="8"/>
        <v>35.866296513999998</v>
      </c>
      <c r="AI518" s="8"/>
    </row>
    <row r="519" spans="1:35" x14ac:dyDescent="0.25">
      <c r="A519" t="s">
        <v>264</v>
      </c>
      <c r="B519" s="1" t="s">
        <v>603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  <c r="M519" s="1">
        <v>18.691333</v>
      </c>
      <c r="N519" s="1">
        <v>0</v>
      </c>
      <c r="O519" s="1">
        <v>1.4454595619999999</v>
      </c>
      <c r="P519" s="1">
        <v>0</v>
      </c>
      <c r="Q519" s="1">
        <v>0</v>
      </c>
      <c r="R519" s="1">
        <v>188.1945274</v>
      </c>
      <c r="S519" s="1">
        <v>0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473</v>
      </c>
      <c r="AB519" s="1">
        <v>0</v>
      </c>
      <c r="AC519" s="1">
        <v>0</v>
      </c>
      <c r="AD519">
        <v>0</v>
      </c>
      <c r="AF519" s="8" cm="1">
        <f t="array" aca="1" ref="AF519" ca="1">fScore_Total("ESPN",aCols)</f>
        <v>36.837876612000002</v>
      </c>
      <c r="AG519" s="8" cm="1">
        <f t="array" aca="1" ref="AG519" ca="1">-fScore_Total("diff",aCols)</f>
        <v>0</v>
      </c>
      <c r="AH519" s="8">
        <f t="shared" ca="1" si="8"/>
        <v>36.837876612000002</v>
      </c>
      <c r="AI519" s="8"/>
    </row>
    <row r="520" spans="1:35" x14ac:dyDescent="0.25">
      <c r="A520" t="s">
        <v>233</v>
      </c>
      <c r="B520" s="1" t="s">
        <v>602</v>
      </c>
      <c r="C520" s="1">
        <v>0</v>
      </c>
      <c r="D520" s="1">
        <v>6.4780857770000004</v>
      </c>
      <c r="E520" s="1">
        <v>0</v>
      </c>
      <c r="F520" s="1">
        <v>0</v>
      </c>
      <c r="G520" s="1">
        <v>8.7214135079999995</v>
      </c>
      <c r="H520" s="1">
        <v>0</v>
      </c>
      <c r="I520" s="1">
        <v>0</v>
      </c>
      <c r="J520" s="1">
        <v>1927.8557089999999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>
        <v>1.3227692660000001</v>
      </c>
      <c r="W520" s="1">
        <v>0</v>
      </c>
      <c r="X520" s="1">
        <v>0</v>
      </c>
      <c r="Y520" s="1">
        <v>74.361977909999993</v>
      </c>
      <c r="Z520" s="1">
        <v>0</v>
      </c>
      <c r="AA520" s="1">
        <v>430</v>
      </c>
      <c r="AB520" s="1">
        <v>0</v>
      </c>
      <c r="AC520" s="1">
        <v>0</v>
      </c>
      <c r="AD520">
        <v>0</v>
      </c>
      <c r="AF520" s="8" cm="1">
        <f t="array" aca="1" ref="AF520" ca="1">fScore_Total("ESPN",aCols)</f>
        <v>114.41652422499999</v>
      </c>
      <c r="AG520" s="8" cm="1">
        <f t="array" aca="1" ref="AG520" ca="1">-fScore_Total("diff",aCols)</f>
        <v>0</v>
      </c>
      <c r="AH520" s="8">
        <f t="shared" ca="1" si="8"/>
        <v>114.41652422499999</v>
      </c>
      <c r="AI520" s="8"/>
    </row>
    <row r="521" spans="1:35" x14ac:dyDescent="0.25">
      <c r="A521" t="s">
        <v>239</v>
      </c>
      <c r="B521" s="1" t="s">
        <v>600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  <c r="M521" s="1">
        <v>11.744801539999999</v>
      </c>
      <c r="N521" s="1">
        <v>0</v>
      </c>
      <c r="O521" s="1">
        <v>0.80735116500000004</v>
      </c>
      <c r="P521" s="1">
        <v>0</v>
      </c>
      <c r="Q521" s="1">
        <v>0</v>
      </c>
      <c r="R521" s="1">
        <v>88.312206209999999</v>
      </c>
      <c r="S521" s="1">
        <v>0</v>
      </c>
      <c r="T521" s="1">
        <v>0</v>
      </c>
      <c r="U521" s="1">
        <v>0</v>
      </c>
      <c r="V521" s="1">
        <v>0.22033928799999999</v>
      </c>
      <c r="W521" s="1">
        <v>0</v>
      </c>
      <c r="X521" s="1">
        <v>0</v>
      </c>
      <c r="Y521" s="1">
        <v>19.80116718</v>
      </c>
      <c r="Z521" s="1">
        <v>0</v>
      </c>
      <c r="AA521" s="1">
        <v>436</v>
      </c>
      <c r="AB521" s="1">
        <v>0</v>
      </c>
      <c r="AC521" s="1">
        <v>0</v>
      </c>
      <c r="AD521">
        <v>0</v>
      </c>
      <c r="AF521" s="8" cm="1">
        <f t="array" aca="1" ref="AF521" ca="1">fScore_Total("ESPN",aCols)</f>
        <v>22.849880827</v>
      </c>
      <c r="AG521" s="8" cm="1">
        <f t="array" aca="1" ref="AG521" ca="1">-fScore_Total("diff",aCols)</f>
        <v>0</v>
      </c>
      <c r="AH521" s="8">
        <f t="shared" ca="1" si="8"/>
        <v>22.849880827</v>
      </c>
      <c r="AI521" s="8"/>
    </row>
    <row r="522" spans="1:35" x14ac:dyDescent="0.25">
      <c r="A522" t="s">
        <v>238</v>
      </c>
      <c r="B522" s="1" t="s">
        <v>600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  <c r="M522" s="1">
        <v>7.7872847370000002</v>
      </c>
      <c r="N522" s="1">
        <v>0</v>
      </c>
      <c r="O522" s="1">
        <v>0.23517653399999999</v>
      </c>
      <c r="P522" s="1">
        <v>0</v>
      </c>
      <c r="Q522" s="1">
        <v>0</v>
      </c>
      <c r="R522" s="1">
        <v>52.163508389999997</v>
      </c>
      <c r="S522" s="1">
        <v>0</v>
      </c>
      <c r="T522" s="1">
        <v>0</v>
      </c>
      <c r="U522" s="1">
        <v>0</v>
      </c>
      <c r="V522" s="1">
        <v>0.53405015899999997</v>
      </c>
      <c r="W522" s="1">
        <v>0</v>
      </c>
      <c r="X522" s="1">
        <v>0</v>
      </c>
      <c r="Y522" s="1">
        <v>93.202206200000006</v>
      </c>
      <c r="Z522" s="1">
        <v>0</v>
      </c>
      <c r="AA522" s="1">
        <v>435</v>
      </c>
      <c r="AB522" s="1">
        <v>0</v>
      </c>
      <c r="AC522" s="1">
        <v>0</v>
      </c>
      <c r="AD522">
        <v>0</v>
      </c>
      <c r="AF522" s="8" cm="1">
        <f t="array" aca="1" ref="AF522" ca="1">fScore_Total("ESPN",aCols)</f>
        <v>23.045573985500003</v>
      </c>
      <c r="AG522" s="8" cm="1">
        <f t="array" aca="1" ref="AG522" ca="1">-fScore_Total("diff",aCols)</f>
        <v>0</v>
      </c>
      <c r="AH522" s="8">
        <f t="shared" ca="1" si="8"/>
        <v>23.045573985500003</v>
      </c>
      <c r="AI522" s="8"/>
    </row>
    <row r="523" spans="1:35" x14ac:dyDescent="0.25">
      <c r="A523" t="s">
        <v>237</v>
      </c>
      <c r="B523" s="1" t="s">
        <v>600</v>
      </c>
      <c r="C523" s="1">
        <v>0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  <c r="M523" s="1">
        <v>3.7024417879999998</v>
      </c>
      <c r="N523" s="1">
        <v>0</v>
      </c>
      <c r="O523" s="1">
        <v>0.12947475</v>
      </c>
      <c r="P523" s="1">
        <v>0</v>
      </c>
      <c r="Q523" s="1">
        <v>0</v>
      </c>
      <c r="R523" s="1">
        <v>26.776956680000001</v>
      </c>
      <c r="S523" s="1">
        <v>0</v>
      </c>
      <c r="T523" s="1">
        <v>0</v>
      </c>
      <c r="U523" s="1">
        <v>0</v>
      </c>
      <c r="V523" s="1">
        <v>1.379944981</v>
      </c>
      <c r="W523" s="1">
        <v>0</v>
      </c>
      <c r="X523" s="1">
        <v>0</v>
      </c>
      <c r="Y523" s="1">
        <v>163.8612224</v>
      </c>
      <c r="Z523" s="1">
        <v>0</v>
      </c>
      <c r="AA523" s="1">
        <v>433</v>
      </c>
      <c r="AB523" s="1">
        <v>0</v>
      </c>
      <c r="AC523" s="1">
        <v>0</v>
      </c>
      <c r="AD523">
        <v>0</v>
      </c>
      <c r="AF523" s="8" cm="1">
        <f t="array" aca="1" ref="AF523" ca="1">fScore_Total("ESPN",aCols)</f>
        <v>29.971557188000002</v>
      </c>
      <c r="AG523" s="8" cm="1">
        <f t="array" aca="1" ref="AG523" ca="1">-fScore_Total("diff",aCols)</f>
        <v>0</v>
      </c>
      <c r="AH523" s="8">
        <f t="shared" ca="1" si="8"/>
        <v>29.971557188000002</v>
      </c>
      <c r="AI523" s="8"/>
    </row>
    <row r="524" spans="1:35" x14ac:dyDescent="0.25">
      <c r="A524" t="s">
        <v>236</v>
      </c>
      <c r="B524" s="1" t="s">
        <v>600</v>
      </c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  <c r="M524" s="1">
        <v>6.0976648659999997</v>
      </c>
      <c r="N524" s="1">
        <v>0</v>
      </c>
      <c r="O524" s="1">
        <v>0.20328133300000001</v>
      </c>
      <c r="P524" s="1">
        <v>0</v>
      </c>
      <c r="Q524" s="1">
        <v>0</v>
      </c>
      <c r="R524" s="1">
        <v>47.17633515</v>
      </c>
      <c r="S524" s="1">
        <v>0</v>
      </c>
      <c r="T524" s="1">
        <v>0</v>
      </c>
      <c r="U524" s="1">
        <v>0</v>
      </c>
      <c r="V524" s="1">
        <v>1.084643085</v>
      </c>
      <c r="W524" s="1">
        <v>0</v>
      </c>
      <c r="X524" s="1">
        <v>0</v>
      </c>
      <c r="Y524" s="1">
        <v>124.8636042</v>
      </c>
      <c r="Z524" s="1">
        <v>0</v>
      </c>
      <c r="AA524" s="1">
        <v>432</v>
      </c>
      <c r="AB524" s="1">
        <v>0</v>
      </c>
      <c r="AC524" s="1">
        <v>0</v>
      </c>
      <c r="AD524">
        <v>0</v>
      </c>
      <c r="AF524" s="8" cm="1">
        <f t="array" aca="1" ref="AF524" ca="1">fScore_Total("ESPN",aCols)</f>
        <v>27.980372876000001</v>
      </c>
      <c r="AG524" s="8" cm="1">
        <f t="array" aca="1" ref="AG524" ca="1">-fScore_Total("diff",aCols)</f>
        <v>0</v>
      </c>
      <c r="AH524" s="8">
        <f t="shared" ca="1" si="8"/>
        <v>27.980372876000001</v>
      </c>
      <c r="AI524" s="8"/>
    </row>
    <row r="525" spans="1:35" x14ac:dyDescent="0.25">
      <c r="A525" t="s">
        <v>234</v>
      </c>
      <c r="B525" s="1" t="s">
        <v>602</v>
      </c>
      <c r="C525" s="1">
        <v>0</v>
      </c>
      <c r="D525" s="1">
        <v>3.1672209250000001</v>
      </c>
      <c r="E525" s="1">
        <v>0</v>
      </c>
      <c r="F525" s="1">
        <v>0</v>
      </c>
      <c r="G525" s="1">
        <v>3.846905858</v>
      </c>
      <c r="H525" s="1">
        <v>0</v>
      </c>
      <c r="I525" s="1">
        <v>0</v>
      </c>
      <c r="J525" s="1">
        <v>907.44219769999995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0</v>
      </c>
      <c r="V525" s="1">
        <v>0.59540595799999996</v>
      </c>
      <c r="W525" s="1">
        <v>0</v>
      </c>
      <c r="X525" s="1">
        <v>0</v>
      </c>
      <c r="Y525" s="1">
        <v>58.038230429999999</v>
      </c>
      <c r="Z525" s="1">
        <v>0</v>
      </c>
      <c r="AA525" s="1">
        <v>431</v>
      </c>
      <c r="AB525" s="1">
        <v>0</v>
      </c>
      <c r="AC525" s="1">
        <v>0</v>
      </c>
      <c r="AD525">
        <v>0</v>
      </c>
      <c r="AF525" s="8" cm="1">
        <f t="array" aca="1" ref="AF525" ca="1">fScore_Total("ESPN",aCols)</f>
        <v>54.727128280999999</v>
      </c>
      <c r="AG525" s="8" cm="1">
        <f t="array" aca="1" ref="AG525" ca="1">-fScore_Total("diff",aCols)</f>
        <v>0</v>
      </c>
      <c r="AH525" s="8">
        <f t="shared" ca="1" si="8"/>
        <v>54.727128280999999</v>
      </c>
      <c r="AI525" s="8"/>
    </row>
    <row r="526" spans="1:35" x14ac:dyDescent="0.25">
      <c r="A526" t="s">
        <v>260</v>
      </c>
      <c r="B526" s="1" t="s">
        <v>603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  <c r="M526" s="1">
        <v>34.411622569999999</v>
      </c>
      <c r="N526" s="1">
        <v>0</v>
      </c>
      <c r="O526" s="1">
        <v>2.0561780779999999</v>
      </c>
      <c r="P526" s="1">
        <v>0</v>
      </c>
      <c r="Q526" s="1">
        <v>0</v>
      </c>
      <c r="R526" s="1">
        <v>359.66615760000002</v>
      </c>
      <c r="S526" s="1">
        <v>0</v>
      </c>
      <c r="T526" s="1">
        <v>0</v>
      </c>
      <c r="U526" s="1">
        <v>0</v>
      </c>
      <c r="V526" s="1">
        <v>0</v>
      </c>
      <c r="W526" s="1">
        <v>0</v>
      </c>
      <c r="X526" s="1">
        <v>0</v>
      </c>
      <c r="Y526" s="1">
        <v>0</v>
      </c>
      <c r="Z526" s="1">
        <v>0</v>
      </c>
      <c r="AA526" s="1">
        <v>442</v>
      </c>
      <c r="AB526" s="1">
        <v>0</v>
      </c>
      <c r="AC526" s="1">
        <v>0</v>
      </c>
      <c r="AD526">
        <v>0</v>
      </c>
      <c r="AF526" s="8" cm="1">
        <f t="array" aca="1" ref="AF526" ca="1">fScore_Total("ESPN",aCols)</f>
        <v>65.509495513000005</v>
      </c>
      <c r="AG526" s="8" cm="1">
        <f t="array" aca="1" ref="AG526" ca="1">-fScore_Total("diff",aCols)</f>
        <v>0</v>
      </c>
      <c r="AH526" s="8">
        <f t="shared" ca="1" si="8"/>
        <v>65.509495513000005</v>
      </c>
      <c r="AI526" s="8"/>
    </row>
    <row r="527" spans="1:35" x14ac:dyDescent="0.25">
      <c r="A527" t="s">
        <v>281</v>
      </c>
      <c r="B527" s="1" t="s">
        <v>601</v>
      </c>
      <c r="C527" s="1">
        <v>0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  <c r="M527" s="1">
        <v>26.138230660000001</v>
      </c>
      <c r="N527" s="1">
        <v>0</v>
      </c>
      <c r="O527" s="1">
        <v>1.098848321</v>
      </c>
      <c r="P527" s="1">
        <v>0</v>
      </c>
      <c r="Q527" s="1">
        <v>0</v>
      </c>
      <c r="R527" s="1">
        <v>291.23151000000001</v>
      </c>
      <c r="S527" s="1">
        <v>0</v>
      </c>
      <c r="T527" s="1">
        <v>0</v>
      </c>
      <c r="U527" s="1">
        <v>0</v>
      </c>
      <c r="V527" s="1">
        <v>0.165181562</v>
      </c>
      <c r="W527" s="1">
        <v>0</v>
      </c>
      <c r="X527" s="1">
        <v>0</v>
      </c>
      <c r="Y527" s="1">
        <v>25.680534139999999</v>
      </c>
      <c r="Z527" s="1">
        <v>0</v>
      </c>
      <c r="AA527" s="1">
        <v>420</v>
      </c>
      <c r="AB527" s="1">
        <v>0</v>
      </c>
      <c r="AC527" s="1">
        <v>0</v>
      </c>
      <c r="AD527">
        <v>0</v>
      </c>
      <c r="AF527" s="8" cm="1">
        <f t="array" aca="1" ref="AF527" ca="1">fScore_Total("ESPN",aCols)</f>
        <v>52.344499041999995</v>
      </c>
      <c r="AG527" s="8" cm="1">
        <f t="array" aca="1" ref="AG527" ca="1">-fScore_Total("diff",aCols)</f>
        <v>0</v>
      </c>
      <c r="AH527" s="8">
        <f t="shared" ca="1" si="8"/>
        <v>52.344499041999995</v>
      </c>
      <c r="AI527" s="8"/>
    </row>
    <row r="528" spans="1:35" x14ac:dyDescent="0.25">
      <c r="A528" t="s">
        <v>230</v>
      </c>
      <c r="B528" s="1" t="s">
        <v>603</v>
      </c>
      <c r="C528" s="1">
        <v>0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  <c r="M528" s="1">
        <v>29.126622210000001</v>
      </c>
      <c r="N528" s="1">
        <v>0</v>
      </c>
      <c r="O528" s="1">
        <v>1.4218260199999999</v>
      </c>
      <c r="P528" s="1">
        <v>0</v>
      </c>
      <c r="Q528" s="1">
        <v>0</v>
      </c>
      <c r="R528" s="1">
        <v>328.9229512</v>
      </c>
      <c r="S528" s="1">
        <v>0</v>
      </c>
      <c r="T528" s="1"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</v>
      </c>
      <c r="AA528" s="1">
        <v>419</v>
      </c>
      <c r="AB528" s="1">
        <v>0</v>
      </c>
      <c r="AC528" s="1">
        <v>0</v>
      </c>
      <c r="AD528">
        <v>0</v>
      </c>
      <c r="AF528" s="8" cm="1">
        <f t="array" aca="1" ref="AF528" ca="1">fScore_Total("ESPN",aCols)</f>
        <v>55.986562344999996</v>
      </c>
      <c r="AG528" s="8" cm="1">
        <f t="array" aca="1" ref="AG528" ca="1">-fScore_Total("diff",aCols)</f>
        <v>0</v>
      </c>
      <c r="AH528" s="8">
        <f t="shared" ca="1" si="8"/>
        <v>55.986562344999996</v>
      </c>
      <c r="AI528" s="8"/>
    </row>
    <row r="529" spans="1:35" x14ac:dyDescent="0.25">
      <c r="A529" t="s">
        <v>229</v>
      </c>
      <c r="B529" s="1" t="s">
        <v>603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  <c r="M529" s="1">
        <v>32.242350450000004</v>
      </c>
      <c r="N529" s="1">
        <v>0</v>
      </c>
      <c r="O529" s="1">
        <v>2.6086163789999999</v>
      </c>
      <c r="P529" s="1">
        <v>0</v>
      </c>
      <c r="Q529" s="1">
        <v>0</v>
      </c>
      <c r="R529" s="1">
        <v>318.99395550000003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418</v>
      </c>
      <c r="AB529" s="1">
        <v>0</v>
      </c>
      <c r="AC529" s="1">
        <v>0</v>
      </c>
      <c r="AD529">
        <v>0</v>
      </c>
      <c r="AF529" s="8" cm="1">
        <f t="array" aca="1" ref="AF529" ca="1">fScore_Total("ESPN",aCols)</f>
        <v>63.672269049000008</v>
      </c>
      <c r="AG529" s="8" cm="1">
        <f t="array" aca="1" ref="AG529" ca="1">-fScore_Total("diff",aCols)</f>
        <v>0</v>
      </c>
      <c r="AH529" s="8">
        <f t="shared" ca="1" si="8"/>
        <v>63.672269049000008</v>
      </c>
      <c r="AI529" s="8"/>
    </row>
    <row r="530" spans="1:35" x14ac:dyDescent="0.25">
      <c r="A530" t="s">
        <v>228</v>
      </c>
      <c r="B530" s="1" t="s">
        <v>603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  <c r="M530" s="1">
        <v>31.3082244</v>
      </c>
      <c r="N530" s="1">
        <v>0</v>
      </c>
      <c r="O530" s="1">
        <v>2.2967522630000001</v>
      </c>
      <c r="P530" s="1">
        <v>0</v>
      </c>
      <c r="Q530" s="1">
        <v>0</v>
      </c>
      <c r="R530" s="1">
        <v>292.60131519999999</v>
      </c>
      <c r="S530" s="1">
        <v>0</v>
      </c>
      <c r="T530" s="1">
        <v>0</v>
      </c>
      <c r="U530" s="1">
        <v>0</v>
      </c>
      <c r="V530" s="1">
        <v>2.2037595E-2</v>
      </c>
      <c r="W530" s="1">
        <v>0</v>
      </c>
      <c r="X530" s="1">
        <v>0</v>
      </c>
      <c r="Y530" s="1">
        <v>1.829299419</v>
      </c>
      <c r="Z530" s="1">
        <v>0</v>
      </c>
      <c r="AA530" s="1">
        <v>417</v>
      </c>
      <c r="AB530" s="1">
        <v>0</v>
      </c>
      <c r="AC530" s="1">
        <v>0</v>
      </c>
      <c r="AD530">
        <v>0</v>
      </c>
      <c r="AF530" s="8" cm="1">
        <f t="array" aca="1" ref="AF530" ca="1">fScore_Total("ESPN",aCols)</f>
        <v>59.009912809900001</v>
      </c>
      <c r="AG530" s="8" cm="1">
        <f t="array" aca="1" ref="AG530" ca="1">-fScore_Total("diff",aCols)</f>
        <v>0</v>
      </c>
      <c r="AH530" s="8">
        <f t="shared" ca="1" si="8"/>
        <v>59.009912809900001</v>
      </c>
      <c r="AI530" s="8"/>
    </row>
    <row r="531" spans="1:35" x14ac:dyDescent="0.25">
      <c r="A531" t="s">
        <v>364</v>
      </c>
      <c r="B531" s="1" t="s">
        <v>601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26.648904380000001</v>
      </c>
      <c r="N531" s="1">
        <v>0</v>
      </c>
      <c r="O531" s="1">
        <v>1.4108897520000001</v>
      </c>
      <c r="P531" s="1">
        <v>0</v>
      </c>
      <c r="Q531" s="1">
        <v>0</v>
      </c>
      <c r="R531" s="1">
        <v>320.54201999999998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407</v>
      </c>
      <c r="AB531" s="1">
        <v>0</v>
      </c>
      <c r="AC531" s="1">
        <v>0</v>
      </c>
      <c r="AD531">
        <v>0</v>
      </c>
      <c r="AF531" s="8" cm="1">
        <f t="array" aca="1" ref="AF531" ca="1">fScore_Total("ESPN",aCols)</f>
        <v>53.843992701999994</v>
      </c>
      <c r="AG531" s="8" cm="1">
        <f t="array" aca="1" ref="AG531" ca="1">-fScore_Total("diff",aCols)</f>
        <v>0</v>
      </c>
      <c r="AH531" s="8">
        <f t="shared" ca="1" si="8"/>
        <v>53.843992701999994</v>
      </c>
      <c r="AI531" s="8"/>
    </row>
    <row r="532" spans="1:35" x14ac:dyDescent="0.25">
      <c r="A532" t="s">
        <v>235</v>
      </c>
      <c r="B532" s="1" t="s">
        <v>600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  <c r="M532" s="1">
        <v>8.2351717610000001</v>
      </c>
      <c r="N532" s="1">
        <v>0</v>
      </c>
      <c r="O532" s="1">
        <v>0.322665708</v>
      </c>
      <c r="P532" s="1">
        <v>0</v>
      </c>
      <c r="Q532" s="1">
        <v>0</v>
      </c>
      <c r="R532" s="1">
        <v>57.839850439999999</v>
      </c>
      <c r="S532" s="1">
        <v>0</v>
      </c>
      <c r="T532" s="1">
        <v>0</v>
      </c>
      <c r="U532" s="1">
        <v>0</v>
      </c>
      <c r="V532" s="1">
        <v>0.83010450300000005</v>
      </c>
      <c r="W532" s="1">
        <v>0</v>
      </c>
      <c r="X532" s="1">
        <v>0</v>
      </c>
      <c r="Y532" s="1">
        <v>114.8133046</v>
      </c>
      <c r="Z532" s="1">
        <v>0</v>
      </c>
      <c r="AA532" s="1">
        <v>406</v>
      </c>
      <c r="AB532" s="1">
        <v>0</v>
      </c>
      <c r="AC532" s="1">
        <v>0</v>
      </c>
      <c r="AD532">
        <v>0</v>
      </c>
      <c r="AF532" s="8" cm="1">
        <f t="array" aca="1" ref="AF532" ca="1">fScore_Total("ESPN",aCols)</f>
        <v>28.299522650500002</v>
      </c>
      <c r="AG532" s="8" cm="1">
        <f t="array" aca="1" ref="AG532" ca="1">-fScore_Total("diff",aCols)</f>
        <v>0</v>
      </c>
      <c r="AH532" s="8">
        <f t="shared" ca="1" si="8"/>
        <v>28.299522650500002</v>
      </c>
      <c r="AI532" s="8"/>
    </row>
    <row r="533" spans="1:35" x14ac:dyDescent="0.25">
      <c r="A533" t="s">
        <v>244</v>
      </c>
      <c r="B533" s="1" t="s">
        <v>603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  <c r="M533" s="1">
        <v>31.55931245</v>
      </c>
      <c r="N533" s="1">
        <v>0</v>
      </c>
      <c r="O533" s="1">
        <v>2.1546253229999999</v>
      </c>
      <c r="P533" s="1">
        <v>0</v>
      </c>
      <c r="Q533" s="1">
        <v>0</v>
      </c>
      <c r="R533" s="1">
        <v>298.34893319999998</v>
      </c>
      <c r="S533" s="1">
        <v>0</v>
      </c>
      <c r="T533" s="1"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443</v>
      </c>
      <c r="AB533" s="1">
        <v>0</v>
      </c>
      <c r="AC533" s="1">
        <v>0</v>
      </c>
      <c r="AD533">
        <v>0</v>
      </c>
      <c r="AF533" s="8" cm="1">
        <f t="array" aca="1" ref="AF533" ca="1">fScore_Total("ESPN",aCols)</f>
        <v>58.542301483000003</v>
      </c>
      <c r="AG533" s="8" cm="1">
        <f t="array" aca="1" ref="AG533" ca="1">-fScore_Total("diff",aCols)</f>
        <v>0</v>
      </c>
      <c r="AH533" s="8">
        <f t="shared" ca="1" si="8"/>
        <v>58.542301483000003</v>
      </c>
      <c r="AI533" s="8"/>
    </row>
    <row r="534" spans="1:35" x14ac:dyDescent="0.25">
      <c r="A534" t="s">
        <v>254</v>
      </c>
      <c r="B534" s="1" t="s">
        <v>603</v>
      </c>
      <c r="C534" s="1">
        <v>0</v>
      </c>
      <c r="D534" s="1">
        <v>0</v>
      </c>
      <c r="E534" s="1">
        <v>0</v>
      </c>
      <c r="F534" s="1">
        <v>0</v>
      </c>
      <c r="G534" s="1">
        <v>0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  <c r="M534" s="1">
        <v>20.49749422</v>
      </c>
      <c r="N534" s="1">
        <v>0</v>
      </c>
      <c r="O534" s="1">
        <v>1.1173122</v>
      </c>
      <c r="P534" s="1">
        <v>0</v>
      </c>
      <c r="Q534" s="1">
        <v>0</v>
      </c>
      <c r="R534" s="1">
        <v>191.40600509999999</v>
      </c>
      <c r="S534" s="1">
        <v>0</v>
      </c>
      <c r="T534" s="1"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460</v>
      </c>
      <c r="AB534" s="1">
        <v>0</v>
      </c>
      <c r="AC534" s="1">
        <v>0</v>
      </c>
      <c r="AD534">
        <v>0</v>
      </c>
      <c r="AF534" s="8" cm="1">
        <f t="array" aca="1" ref="AF534" ca="1">fScore_Total("ESPN",aCols)</f>
        <v>36.093220819999999</v>
      </c>
      <c r="AG534" s="8" cm="1">
        <f t="array" aca="1" ref="AG534" ca="1">-fScore_Total("diff",aCols)</f>
        <v>0</v>
      </c>
      <c r="AH534" s="8">
        <f t="shared" ref="AH534:AH548" ca="1" si="9">+AF534+AG534</f>
        <v>36.093220819999999</v>
      </c>
      <c r="AI534" s="8"/>
    </row>
    <row r="535" spans="1:35" x14ac:dyDescent="0.25">
      <c r="A535" t="s">
        <v>262</v>
      </c>
      <c r="B535" s="1" t="s">
        <v>603</v>
      </c>
      <c r="C535" s="1">
        <v>0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  <c r="M535" s="1">
        <v>21.326092450000001</v>
      </c>
      <c r="N535" s="1">
        <v>0</v>
      </c>
      <c r="O535" s="1">
        <v>1.4420330669999999</v>
      </c>
      <c r="P535" s="1">
        <v>0</v>
      </c>
      <c r="Q535" s="1">
        <v>0</v>
      </c>
      <c r="R535" s="1">
        <v>206.0496417</v>
      </c>
      <c r="S535" s="1">
        <v>0</v>
      </c>
      <c r="T535" s="1"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471</v>
      </c>
      <c r="AB535" s="1">
        <v>0</v>
      </c>
      <c r="AC535" s="1">
        <v>0</v>
      </c>
      <c r="AD535">
        <v>0</v>
      </c>
      <c r="AF535" s="8" cm="1">
        <f t="array" aca="1" ref="AF535" ca="1">fScore_Total("ESPN",aCols)</f>
        <v>39.920208797000001</v>
      </c>
      <c r="AG535" s="8" cm="1">
        <f t="array" aca="1" ref="AG535" ca="1">-fScore_Total("diff",aCols)</f>
        <v>0</v>
      </c>
      <c r="AH535" s="8">
        <f t="shared" ca="1" si="9"/>
        <v>39.920208797000001</v>
      </c>
      <c r="AI535" s="8"/>
    </row>
    <row r="536" spans="1:35" x14ac:dyDescent="0.25">
      <c r="A536" t="s">
        <v>261</v>
      </c>
      <c r="B536" s="1" t="s">
        <v>603</v>
      </c>
      <c r="C536" s="1">
        <v>0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  <c r="M536" s="1">
        <v>26.456478409999999</v>
      </c>
      <c r="N536" s="1">
        <v>0</v>
      </c>
      <c r="O536" s="1">
        <v>1.079510883</v>
      </c>
      <c r="P536" s="1">
        <v>0</v>
      </c>
      <c r="Q536" s="1">
        <v>0</v>
      </c>
      <c r="R536" s="1">
        <v>246.6370225</v>
      </c>
      <c r="S536" s="1">
        <v>0</v>
      </c>
      <c r="T536" s="1">
        <v>0</v>
      </c>
      <c r="U536" s="1">
        <v>0</v>
      </c>
      <c r="V536" s="1">
        <v>0</v>
      </c>
      <c r="W536" s="1">
        <v>0</v>
      </c>
      <c r="X536" s="1">
        <v>0</v>
      </c>
      <c r="Y536" s="1">
        <v>0</v>
      </c>
      <c r="Z536" s="1">
        <v>0</v>
      </c>
      <c r="AA536" s="1">
        <v>470</v>
      </c>
      <c r="AB536" s="1">
        <v>0</v>
      </c>
      <c r="AC536" s="1">
        <v>0</v>
      </c>
      <c r="AD536">
        <v>0</v>
      </c>
      <c r="AF536" s="8" cm="1">
        <f t="array" aca="1" ref="AF536" ca="1">fScore_Total("ESPN",aCols)</f>
        <v>44.369006753000001</v>
      </c>
      <c r="AG536" s="8" cm="1">
        <f t="array" aca="1" ref="AG536" ca="1">-fScore_Total("diff",aCols)</f>
        <v>0</v>
      </c>
      <c r="AH536" s="8">
        <f t="shared" ca="1" si="9"/>
        <v>44.369006753000001</v>
      </c>
      <c r="AI536" s="8"/>
    </row>
    <row r="537" spans="1:35" x14ac:dyDescent="0.25">
      <c r="A537" t="s">
        <v>243</v>
      </c>
      <c r="B537" s="1" t="s">
        <v>603</v>
      </c>
      <c r="C537" s="1">
        <v>0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0</v>
      </c>
      <c r="M537" s="1">
        <v>21.859354490000001</v>
      </c>
      <c r="N537" s="1">
        <v>0</v>
      </c>
      <c r="O537" s="1">
        <v>0.86494534999999995</v>
      </c>
      <c r="P537" s="1">
        <v>0</v>
      </c>
      <c r="Q537" s="1">
        <v>0</v>
      </c>
      <c r="R537" s="1">
        <v>179.55132649999999</v>
      </c>
      <c r="S537" s="1">
        <v>0</v>
      </c>
      <c r="T537" s="1"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469</v>
      </c>
      <c r="AB537" s="1">
        <v>0</v>
      </c>
      <c r="AC537" s="1">
        <v>0</v>
      </c>
      <c r="AD537">
        <v>0</v>
      </c>
      <c r="AF537" s="8" cm="1">
        <f t="array" aca="1" ref="AF537" ca="1">fScore_Total("ESPN",aCols)</f>
        <v>34.074481994999999</v>
      </c>
      <c r="AG537" s="8" cm="1">
        <f t="array" aca="1" ref="AG537" ca="1">-fScore_Total("diff",aCols)</f>
        <v>0</v>
      </c>
      <c r="AH537" s="8">
        <f t="shared" ca="1" si="9"/>
        <v>34.074481994999999</v>
      </c>
      <c r="AI537" s="8"/>
    </row>
    <row r="538" spans="1:35" x14ac:dyDescent="0.25">
      <c r="A538" t="s">
        <v>259</v>
      </c>
      <c r="B538" s="1" t="s">
        <v>603</v>
      </c>
      <c r="C538" s="1">
        <v>0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  <c r="M538" s="1">
        <v>25.826509009999999</v>
      </c>
      <c r="N538" s="1">
        <v>0</v>
      </c>
      <c r="O538" s="1">
        <v>2.3443824969999998</v>
      </c>
      <c r="P538" s="1">
        <v>0</v>
      </c>
      <c r="Q538" s="1">
        <v>0</v>
      </c>
      <c r="R538" s="1">
        <v>265.04529480000002</v>
      </c>
      <c r="S538" s="1">
        <v>0</v>
      </c>
      <c r="T538" s="1"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468</v>
      </c>
      <c r="AB538" s="1">
        <v>0</v>
      </c>
      <c r="AC538" s="1">
        <v>0</v>
      </c>
      <c r="AD538">
        <v>0</v>
      </c>
      <c r="AF538" s="8" cm="1">
        <f t="array" aca="1" ref="AF538" ca="1">fScore_Total("ESPN",aCols)</f>
        <v>53.484078967000002</v>
      </c>
      <c r="AG538" s="8" cm="1">
        <f t="array" aca="1" ref="AG538" ca="1">-fScore_Total("diff",aCols)</f>
        <v>0</v>
      </c>
      <c r="AH538" s="8">
        <f t="shared" ca="1" si="9"/>
        <v>53.484078967000002</v>
      </c>
      <c r="AI538" s="8"/>
    </row>
    <row r="539" spans="1:35" x14ac:dyDescent="0.25">
      <c r="A539" t="s">
        <v>258</v>
      </c>
      <c r="B539" s="1" t="s">
        <v>603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  <c r="M539" s="1">
        <v>24.175926230000002</v>
      </c>
      <c r="N539" s="1">
        <v>0</v>
      </c>
      <c r="O539" s="1">
        <v>1.7799266549999999</v>
      </c>
      <c r="P539" s="1">
        <v>0</v>
      </c>
      <c r="Q539" s="1">
        <v>0</v>
      </c>
      <c r="R539" s="1">
        <v>230.06112289999999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467</v>
      </c>
      <c r="AB539" s="1">
        <v>0</v>
      </c>
      <c r="AC539" s="1">
        <v>0</v>
      </c>
      <c r="AD539">
        <v>0</v>
      </c>
      <c r="AF539" s="8" cm="1">
        <f t="array" aca="1" ref="AF539" ca="1">fScore_Total("ESPN",aCols)</f>
        <v>45.773635335000002</v>
      </c>
      <c r="AG539" s="8" cm="1">
        <f t="array" aca="1" ref="AG539" ca="1">-fScore_Total("diff",aCols)</f>
        <v>0</v>
      </c>
      <c r="AH539" s="8">
        <f t="shared" ca="1" si="9"/>
        <v>45.773635335000002</v>
      </c>
      <c r="AI539" s="8"/>
    </row>
    <row r="540" spans="1:35" x14ac:dyDescent="0.25">
      <c r="A540" t="s">
        <v>257</v>
      </c>
      <c r="B540" s="1" t="s">
        <v>603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  <c r="M540" s="1">
        <v>30.19275815</v>
      </c>
      <c r="N540" s="1">
        <v>0</v>
      </c>
      <c r="O540" s="1">
        <v>1.4202484550000001</v>
      </c>
      <c r="P540" s="1">
        <v>0</v>
      </c>
      <c r="Q540" s="1">
        <v>0</v>
      </c>
      <c r="R540" s="1">
        <v>266.09908619999999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466</v>
      </c>
      <c r="AB540" s="1">
        <v>0</v>
      </c>
      <c r="AC540" s="1">
        <v>0</v>
      </c>
      <c r="AD540">
        <v>0</v>
      </c>
      <c r="AF540" s="8" cm="1">
        <f t="array" aca="1" ref="AF540" ca="1">fScore_Total("ESPN",aCols)</f>
        <v>50.227778424999997</v>
      </c>
      <c r="AG540" s="8" cm="1">
        <f t="array" aca="1" ref="AG540" ca="1">-fScore_Total("diff",aCols)</f>
        <v>0</v>
      </c>
      <c r="AH540" s="8">
        <f t="shared" ca="1" si="9"/>
        <v>50.227778424999997</v>
      </c>
      <c r="AI540" s="8"/>
    </row>
    <row r="541" spans="1:35" x14ac:dyDescent="0.25">
      <c r="A541" t="s">
        <v>256</v>
      </c>
      <c r="B541" s="1" t="s">
        <v>603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  <c r="M541" s="1">
        <v>28.50512384</v>
      </c>
      <c r="N541" s="1">
        <v>0</v>
      </c>
      <c r="O541" s="1">
        <v>2.2703738759999998</v>
      </c>
      <c r="P541" s="1">
        <v>0</v>
      </c>
      <c r="Q541" s="1">
        <v>0</v>
      </c>
      <c r="R541" s="1">
        <v>289.13552909999999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464</v>
      </c>
      <c r="AB541" s="1">
        <v>0</v>
      </c>
      <c r="AC541" s="1">
        <v>0</v>
      </c>
      <c r="AD541">
        <v>0</v>
      </c>
      <c r="AF541" s="8" cm="1">
        <f t="array" aca="1" ref="AF541" ca="1">fScore_Total("ESPN",aCols)</f>
        <v>56.788358086000002</v>
      </c>
      <c r="AG541" s="8" cm="1">
        <f t="array" aca="1" ref="AG541" ca="1">-fScore_Total("diff",aCols)</f>
        <v>0</v>
      </c>
      <c r="AH541" s="8">
        <f t="shared" ca="1" si="9"/>
        <v>56.788358086000002</v>
      </c>
      <c r="AI541" s="8"/>
    </row>
    <row r="542" spans="1:35" x14ac:dyDescent="0.25">
      <c r="A542" t="s">
        <v>245</v>
      </c>
      <c r="B542" s="1" t="s">
        <v>603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  <c r="M542" s="1">
        <v>32.029951779999998</v>
      </c>
      <c r="N542" s="1">
        <v>0</v>
      </c>
      <c r="O542" s="1">
        <v>3.0950399289999999</v>
      </c>
      <c r="P542" s="1">
        <v>0</v>
      </c>
      <c r="Q542" s="1">
        <v>0</v>
      </c>
      <c r="R542" s="1">
        <v>328.93829360000001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0</v>
      </c>
      <c r="Y542" s="1">
        <v>0</v>
      </c>
      <c r="Z542" s="1">
        <v>0</v>
      </c>
      <c r="AA542" s="1">
        <v>444</v>
      </c>
      <c r="AB542" s="1">
        <v>0</v>
      </c>
      <c r="AC542" s="1">
        <v>0</v>
      </c>
      <c r="AD542">
        <v>0</v>
      </c>
      <c r="AF542" s="8" cm="1">
        <f t="array" aca="1" ref="AF542" ca="1">fScore_Total("ESPN",aCols)</f>
        <v>67.479044823999999</v>
      </c>
      <c r="AG542" s="8" cm="1">
        <f t="array" aca="1" ref="AG542" ca="1">-fScore_Total("diff",aCols)</f>
        <v>0</v>
      </c>
      <c r="AH542" s="8">
        <f t="shared" ca="1" si="9"/>
        <v>67.479044823999999</v>
      </c>
      <c r="AI542" s="8"/>
    </row>
    <row r="543" spans="1:35" x14ac:dyDescent="0.25">
      <c r="A543" t="s">
        <v>252</v>
      </c>
      <c r="B543" s="1" t="s">
        <v>600</v>
      </c>
      <c r="C543" s="1">
        <v>0</v>
      </c>
      <c r="D543" s="1">
        <v>0</v>
      </c>
      <c r="E543" s="1">
        <v>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  <c r="M543" s="1">
        <v>9.2245237620000005</v>
      </c>
      <c r="N543" s="1">
        <v>0</v>
      </c>
      <c r="O543" s="1">
        <v>0.37912404700000002</v>
      </c>
      <c r="P543" s="1">
        <v>0</v>
      </c>
      <c r="Q543" s="1">
        <v>0</v>
      </c>
      <c r="R543" s="1">
        <v>65.083353200000005</v>
      </c>
      <c r="S543" s="1">
        <v>0</v>
      </c>
      <c r="T543" s="1">
        <v>0</v>
      </c>
      <c r="U543" s="1">
        <v>0</v>
      </c>
      <c r="V543" s="1">
        <v>0.36500772999999997</v>
      </c>
      <c r="W543" s="1">
        <v>0</v>
      </c>
      <c r="X543" s="1">
        <v>0</v>
      </c>
      <c r="Y543" s="1">
        <v>52.660578049999998</v>
      </c>
      <c r="Z543" s="1">
        <v>0</v>
      </c>
      <c r="AA543" s="1">
        <v>458</v>
      </c>
      <c r="AB543" s="1">
        <v>0</v>
      </c>
      <c r="AC543" s="1">
        <v>0</v>
      </c>
      <c r="AD543">
        <v>0</v>
      </c>
      <c r="AF543" s="8" cm="1">
        <f t="array" aca="1" ref="AF543" ca="1">fScore_Total("ESPN",aCols)</f>
        <v>20.851445668</v>
      </c>
      <c r="AG543" s="8" cm="1">
        <f t="array" aca="1" ref="AG543" ca="1">-fScore_Total("diff",aCols)</f>
        <v>0</v>
      </c>
      <c r="AH543" s="8">
        <f t="shared" ca="1" si="9"/>
        <v>20.851445668</v>
      </c>
      <c r="AI543" s="8"/>
    </row>
    <row r="544" spans="1:35" x14ac:dyDescent="0.25">
      <c r="A544" t="s">
        <v>251</v>
      </c>
      <c r="B544" s="1" t="s">
        <v>600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4.3091441799999997</v>
      </c>
      <c r="N544" s="1">
        <v>0</v>
      </c>
      <c r="O544" s="1">
        <v>0.126769669</v>
      </c>
      <c r="P544" s="1">
        <v>0</v>
      </c>
      <c r="Q544" s="1">
        <v>0</v>
      </c>
      <c r="R544" s="1">
        <v>30.11853623</v>
      </c>
      <c r="S544" s="1">
        <v>0</v>
      </c>
      <c r="T544" s="1">
        <v>0</v>
      </c>
      <c r="U544" s="1">
        <v>0</v>
      </c>
      <c r="V544" s="1">
        <v>0.86336647099999997</v>
      </c>
      <c r="W544" s="1">
        <v>0</v>
      </c>
      <c r="X544" s="1">
        <v>0</v>
      </c>
      <c r="Y544" s="1">
        <v>115.18785</v>
      </c>
      <c r="Z544" s="1">
        <v>0</v>
      </c>
      <c r="AA544" s="1">
        <v>457</v>
      </c>
      <c r="AB544" s="1">
        <v>0</v>
      </c>
      <c r="AC544" s="1">
        <v>0</v>
      </c>
      <c r="AD544">
        <v>0</v>
      </c>
      <c r="AF544" s="8" cm="1">
        <f t="array" aca="1" ref="AF544" ca="1">fScore_Total("ESPN",aCols)</f>
        <v>22.626027553</v>
      </c>
      <c r="AG544" s="8" cm="1">
        <f t="array" aca="1" ref="AG544" ca="1">-fScore_Total("diff",aCols)</f>
        <v>0</v>
      </c>
      <c r="AH544" s="8">
        <f t="shared" ca="1" si="9"/>
        <v>22.626027553</v>
      </c>
      <c r="AI544" s="8"/>
    </row>
    <row r="545" spans="1:35" x14ac:dyDescent="0.25">
      <c r="A545" t="s">
        <v>250</v>
      </c>
      <c r="B545" s="1" t="s">
        <v>602</v>
      </c>
      <c r="C545" s="1">
        <v>0</v>
      </c>
      <c r="D545" s="1">
        <v>1.8735650079999999</v>
      </c>
      <c r="E545" s="1">
        <v>0</v>
      </c>
      <c r="F545" s="1">
        <v>0</v>
      </c>
      <c r="G545" s="1">
        <v>3.622313621</v>
      </c>
      <c r="H545" s="1">
        <v>0</v>
      </c>
      <c r="I545" s="1">
        <v>0</v>
      </c>
      <c r="J545" s="1">
        <v>498.43907569999999</v>
      </c>
      <c r="K545" s="1">
        <v>0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0</v>
      </c>
      <c r="T545" s="1">
        <v>0</v>
      </c>
      <c r="U545" s="1">
        <v>0</v>
      </c>
      <c r="V545" s="1">
        <v>0.60790627399999997</v>
      </c>
      <c r="W545" s="1">
        <v>0</v>
      </c>
      <c r="X545" s="1">
        <v>0</v>
      </c>
      <c r="Y545" s="1">
        <v>35.039918980000003</v>
      </c>
      <c r="Z545" s="1">
        <v>0</v>
      </c>
      <c r="AA545" s="1">
        <v>456</v>
      </c>
      <c r="AB545" s="1">
        <v>0</v>
      </c>
      <c r="AC545" s="1">
        <v>0</v>
      </c>
      <c r="AD545">
        <v>0</v>
      </c>
      <c r="AF545" s="8" cm="1">
        <f t="array" aca="1" ref="AF545" ca="1">fScore_Total("ESPN",aCols)</f>
        <v>37.831117038000002</v>
      </c>
      <c r="AG545" s="8" cm="1">
        <f t="array" aca="1" ref="AG545" ca="1">-fScore_Total("diff",aCols)</f>
        <v>0</v>
      </c>
      <c r="AH545" s="8">
        <f t="shared" ca="1" si="9"/>
        <v>37.831117038000002</v>
      </c>
      <c r="AI545" s="8"/>
    </row>
    <row r="546" spans="1:35" x14ac:dyDescent="0.25">
      <c r="A546" t="s">
        <v>249</v>
      </c>
      <c r="B546" s="1" t="s">
        <v>602</v>
      </c>
      <c r="C546" s="1">
        <v>0</v>
      </c>
      <c r="D546" s="1">
        <v>1.5807611770000001</v>
      </c>
      <c r="E546" s="1">
        <v>0</v>
      </c>
      <c r="F546" s="1">
        <v>0</v>
      </c>
      <c r="G546" s="1">
        <v>2.2374438090000002</v>
      </c>
      <c r="H546" s="1">
        <v>0</v>
      </c>
      <c r="I546" s="1">
        <v>0</v>
      </c>
      <c r="J546" s="1">
        <v>432.32501300000001</v>
      </c>
      <c r="K546" s="1">
        <v>0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>
        <v>0.19134161999999999</v>
      </c>
      <c r="W546" s="1">
        <v>0</v>
      </c>
      <c r="X546" s="1">
        <v>0</v>
      </c>
      <c r="Y546" s="1">
        <v>18.279336539999999</v>
      </c>
      <c r="Z546" s="1">
        <v>0</v>
      </c>
      <c r="AA546" s="1">
        <v>455</v>
      </c>
      <c r="AB546" s="1">
        <v>0</v>
      </c>
      <c r="AC546" s="1">
        <v>0</v>
      </c>
      <c r="AD546">
        <v>0</v>
      </c>
      <c r="AF546" s="8" cm="1">
        <f t="array" aca="1" ref="AF546" ca="1">fScore_Total("ESPN",aCols)</f>
        <v>26.057236776</v>
      </c>
      <c r="AG546" s="8" cm="1">
        <f t="array" aca="1" ref="AG546" ca="1">-fScore_Total("diff",aCols)</f>
        <v>0</v>
      </c>
      <c r="AH546" s="8">
        <f t="shared" ca="1" si="9"/>
        <v>26.057236776</v>
      </c>
      <c r="AI546" s="8"/>
    </row>
    <row r="547" spans="1:35" x14ac:dyDescent="0.25">
      <c r="A547" t="s">
        <v>248</v>
      </c>
      <c r="B547" s="1" t="s">
        <v>602</v>
      </c>
      <c r="C547" s="1">
        <v>0</v>
      </c>
      <c r="D547" s="1">
        <v>1.7804727709999999</v>
      </c>
      <c r="E547" s="1">
        <v>0</v>
      </c>
      <c r="F547" s="1">
        <v>0</v>
      </c>
      <c r="G547" s="1">
        <v>3.4163379549999999</v>
      </c>
      <c r="H547" s="1">
        <v>0</v>
      </c>
      <c r="I547" s="1">
        <v>0</v>
      </c>
      <c r="J547" s="1">
        <v>445.49458120000003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>
        <v>0.18219149000000001</v>
      </c>
      <c r="W547" s="1">
        <v>0</v>
      </c>
      <c r="X547" s="1">
        <v>0</v>
      </c>
      <c r="Y547" s="1">
        <v>39.045601619999999</v>
      </c>
      <c r="Z547" s="1">
        <v>0</v>
      </c>
      <c r="AA547" s="1">
        <v>453</v>
      </c>
      <c r="AB547" s="1">
        <v>0</v>
      </c>
      <c r="AC547" s="1">
        <v>0</v>
      </c>
      <c r="AD547">
        <v>0</v>
      </c>
      <c r="AF547" s="8" cm="1">
        <f t="array" aca="1" ref="AF547" ca="1">fScore_Total("ESPN",aCols)</f>
        <v>32.921898628000001</v>
      </c>
      <c r="AG547" s="8" cm="1">
        <f t="array" aca="1" ref="AG547" ca="1">-fScore_Total("diff",aCols)</f>
        <v>0</v>
      </c>
      <c r="AH547" s="8">
        <f t="shared" ca="1" si="9"/>
        <v>32.921898628000001</v>
      </c>
      <c r="AI547" s="8"/>
    </row>
    <row r="548" spans="1:35" x14ac:dyDescent="0.25">
      <c r="A548" t="s">
        <v>468</v>
      </c>
      <c r="B548" s="1" t="s">
        <v>601</v>
      </c>
      <c r="C548" s="1">
        <v>0</v>
      </c>
      <c r="D548" s="1">
        <v>0</v>
      </c>
      <c r="E548" s="1">
        <v>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>
        <v>0</v>
      </c>
      <c r="W548" s="1">
        <v>0</v>
      </c>
      <c r="X548" s="1">
        <v>0</v>
      </c>
      <c r="Y548" s="1">
        <v>0</v>
      </c>
      <c r="Z548" s="1">
        <v>0</v>
      </c>
      <c r="AA548" s="1">
        <v>1712</v>
      </c>
      <c r="AB548" s="1">
        <v>0</v>
      </c>
      <c r="AC548" s="1">
        <v>0</v>
      </c>
      <c r="AD548">
        <v>0</v>
      </c>
      <c r="AF548" s="8" cm="1">
        <f t="array" aca="1" ref="AF548" ca="1">fScore_Total("ESPN",aCols)</f>
        <v>0</v>
      </c>
      <c r="AG548" s="8" cm="1">
        <f t="array" aca="1" ref="AG548" ca="1">-fScore_Total("diff",aCols)</f>
        <v>0</v>
      </c>
      <c r="AH548" s="8">
        <f t="shared" ca="1" si="9"/>
        <v>0</v>
      </c>
      <c r="AI54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B6AA9-5648-4B0B-9222-11A5B6F5E618}">
  <sheetPr codeName="Sheet3"/>
  <dimension ref="A1:K250"/>
  <sheetViews>
    <sheetView workbookViewId="0">
      <pane ySplit="1" topLeftCell="A75" activePane="bottomLeft" state="frozen"/>
      <selection pane="bottomLeft"/>
    </sheetView>
  </sheetViews>
  <sheetFormatPr defaultRowHeight="15" x14ac:dyDescent="0.25"/>
  <cols>
    <col min="1" max="1" width="19" bestFit="1" customWidth="1"/>
    <col min="2" max="11" width="13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526</v>
      </c>
      <c r="E1" t="s">
        <v>3</v>
      </c>
      <c r="F1" t="s">
        <v>4</v>
      </c>
      <c r="G1" t="s">
        <v>5</v>
      </c>
      <c r="H1" t="s">
        <v>527</v>
      </c>
      <c r="I1" t="s">
        <v>6</v>
      </c>
      <c r="J1" t="s">
        <v>7</v>
      </c>
      <c r="K1" t="s">
        <v>8</v>
      </c>
    </row>
    <row r="2" spans="1:11" x14ac:dyDescent="0.25">
      <c r="A2" t="s">
        <v>9</v>
      </c>
      <c r="B2">
        <v>3500.5</v>
      </c>
      <c r="C2">
        <v>19.5</v>
      </c>
    </row>
    <row r="3" spans="1:11" x14ac:dyDescent="0.25">
      <c r="A3" t="s">
        <v>10</v>
      </c>
      <c r="B3">
        <v>2925.5</v>
      </c>
      <c r="C3">
        <v>18.5</v>
      </c>
      <c r="D3">
        <v>20000</v>
      </c>
    </row>
    <row r="4" spans="1:11" x14ac:dyDescent="0.25">
      <c r="A4" t="s">
        <v>11</v>
      </c>
      <c r="B4">
        <v>3900.5</v>
      </c>
      <c r="C4">
        <v>22.5</v>
      </c>
      <c r="D4">
        <v>20000</v>
      </c>
      <c r="E4">
        <v>10.5</v>
      </c>
    </row>
    <row r="5" spans="1:11" x14ac:dyDescent="0.25">
      <c r="A5" t="s">
        <v>12</v>
      </c>
      <c r="B5">
        <v>3200.5</v>
      </c>
      <c r="C5">
        <v>18.5</v>
      </c>
      <c r="D5">
        <v>5000</v>
      </c>
      <c r="E5">
        <v>9.5</v>
      </c>
      <c r="F5">
        <v>550.5</v>
      </c>
      <c r="G5">
        <v>7.5</v>
      </c>
    </row>
    <row r="6" spans="1:11" x14ac:dyDescent="0.25">
      <c r="A6" t="s">
        <v>13</v>
      </c>
      <c r="B6">
        <v>3400.5</v>
      </c>
      <c r="C6">
        <v>21.5</v>
      </c>
      <c r="D6">
        <v>10000</v>
      </c>
      <c r="E6">
        <v>9.5</v>
      </c>
      <c r="F6">
        <v>475.5</v>
      </c>
    </row>
    <row r="7" spans="1:11" x14ac:dyDescent="0.25">
      <c r="A7" t="s">
        <v>14</v>
      </c>
      <c r="B7">
        <v>3100.5</v>
      </c>
      <c r="C7">
        <v>18.5</v>
      </c>
      <c r="D7">
        <v>20000</v>
      </c>
      <c r="H7">
        <v>1000</v>
      </c>
    </row>
    <row r="8" spans="1:11" x14ac:dyDescent="0.25">
      <c r="A8" t="s">
        <v>15</v>
      </c>
      <c r="B8">
        <v>2800.5</v>
      </c>
      <c r="C8">
        <v>16.5</v>
      </c>
      <c r="D8">
        <v>20000</v>
      </c>
      <c r="E8">
        <v>8.5</v>
      </c>
    </row>
    <row r="9" spans="1:11" x14ac:dyDescent="0.25">
      <c r="A9" t="s">
        <v>16</v>
      </c>
      <c r="B9">
        <v>4050.5</v>
      </c>
      <c r="C9">
        <v>25.5</v>
      </c>
      <c r="D9">
        <v>15000</v>
      </c>
      <c r="E9">
        <v>10.5</v>
      </c>
    </row>
    <row r="10" spans="1:11" x14ac:dyDescent="0.25">
      <c r="A10" t="s">
        <v>17</v>
      </c>
      <c r="B10">
        <v>3150.5</v>
      </c>
      <c r="C10">
        <v>18.5</v>
      </c>
      <c r="D10">
        <v>12000</v>
      </c>
      <c r="E10">
        <v>12.5</v>
      </c>
      <c r="F10">
        <v>550.5</v>
      </c>
      <c r="G10">
        <v>5.5</v>
      </c>
      <c r="H10">
        <v>500</v>
      </c>
    </row>
    <row r="11" spans="1:11" x14ac:dyDescent="0.25">
      <c r="A11" t="s">
        <v>18</v>
      </c>
      <c r="B11">
        <v>3750.5</v>
      </c>
      <c r="C11">
        <v>27.5</v>
      </c>
      <c r="D11">
        <v>6500</v>
      </c>
      <c r="E11">
        <v>12.5</v>
      </c>
      <c r="F11">
        <v>480.5</v>
      </c>
      <c r="G11">
        <v>9.5</v>
      </c>
    </row>
    <row r="12" spans="1:11" x14ac:dyDescent="0.25">
      <c r="A12" t="s">
        <v>19</v>
      </c>
      <c r="B12">
        <v>3250.5</v>
      </c>
      <c r="C12">
        <v>22.5</v>
      </c>
      <c r="D12">
        <v>7000</v>
      </c>
      <c r="E12">
        <v>7.5</v>
      </c>
      <c r="F12">
        <v>675.5</v>
      </c>
      <c r="G12">
        <v>4.5</v>
      </c>
    </row>
    <row r="13" spans="1:11" x14ac:dyDescent="0.25">
      <c r="A13" t="s">
        <v>20</v>
      </c>
      <c r="B13">
        <v>3350.5</v>
      </c>
      <c r="C13">
        <v>21.5</v>
      </c>
      <c r="D13">
        <v>20000</v>
      </c>
      <c r="E13">
        <v>11.5</v>
      </c>
    </row>
    <row r="14" spans="1:11" x14ac:dyDescent="0.25">
      <c r="A14" t="s">
        <v>21</v>
      </c>
      <c r="B14">
        <v>3650.5</v>
      </c>
      <c r="C14">
        <v>26.5</v>
      </c>
      <c r="D14">
        <v>10000</v>
      </c>
      <c r="E14">
        <v>7.5</v>
      </c>
    </row>
    <row r="15" spans="1:11" x14ac:dyDescent="0.25">
      <c r="A15" t="s">
        <v>22</v>
      </c>
      <c r="B15">
        <v>3600.5</v>
      </c>
      <c r="C15">
        <v>22.5</v>
      </c>
      <c r="D15">
        <v>6000</v>
      </c>
      <c r="E15">
        <v>10.5</v>
      </c>
      <c r="F15">
        <v>550.5</v>
      </c>
      <c r="G15">
        <v>9.5</v>
      </c>
    </row>
    <row r="16" spans="1:11" x14ac:dyDescent="0.25">
      <c r="A16" t="s">
        <v>23</v>
      </c>
      <c r="B16">
        <v>3400.5</v>
      </c>
      <c r="C16">
        <v>20.5</v>
      </c>
      <c r="D16">
        <v>20000</v>
      </c>
      <c r="E16">
        <v>12.5</v>
      </c>
    </row>
    <row r="17" spans="1:11" x14ac:dyDescent="0.25">
      <c r="A17" t="s">
        <v>24</v>
      </c>
      <c r="B17">
        <v>3300.5</v>
      </c>
      <c r="C17">
        <v>19.5</v>
      </c>
      <c r="D17">
        <v>15000</v>
      </c>
      <c r="E17">
        <v>9.5</v>
      </c>
    </row>
    <row r="18" spans="1:11" x14ac:dyDescent="0.25">
      <c r="A18" t="s">
        <v>25</v>
      </c>
      <c r="B18">
        <v>3900.5</v>
      </c>
      <c r="C18">
        <v>27.5</v>
      </c>
      <c r="D18">
        <v>7500</v>
      </c>
      <c r="E18">
        <v>10.5</v>
      </c>
    </row>
    <row r="19" spans="1:11" x14ac:dyDescent="0.25">
      <c r="A19" t="s">
        <v>26</v>
      </c>
      <c r="B19">
        <v>3800.5</v>
      </c>
      <c r="C19">
        <v>22.5</v>
      </c>
      <c r="D19">
        <v>15000</v>
      </c>
      <c r="E19">
        <v>12.5</v>
      </c>
    </row>
    <row r="20" spans="1:11" x14ac:dyDescent="0.25">
      <c r="A20" t="s">
        <v>27</v>
      </c>
      <c r="B20">
        <v>3800.5</v>
      </c>
      <c r="C20">
        <v>27.5</v>
      </c>
      <c r="D20">
        <v>10000</v>
      </c>
      <c r="E20">
        <v>8.5</v>
      </c>
    </row>
    <row r="21" spans="1:11" x14ac:dyDescent="0.25">
      <c r="A21" t="s">
        <v>28</v>
      </c>
      <c r="B21">
        <v>3900.5</v>
      </c>
      <c r="C21">
        <v>28.5</v>
      </c>
      <c r="D21">
        <v>10000</v>
      </c>
      <c r="E21">
        <v>9.5</v>
      </c>
    </row>
    <row r="22" spans="1:11" x14ac:dyDescent="0.25">
      <c r="A22" t="s">
        <v>29</v>
      </c>
      <c r="B22">
        <v>4100.5</v>
      </c>
      <c r="C22">
        <v>30.5</v>
      </c>
      <c r="D22">
        <v>10000</v>
      </c>
      <c r="E22">
        <v>9.5</v>
      </c>
    </row>
    <row r="23" spans="1:11" x14ac:dyDescent="0.25">
      <c r="A23" t="s">
        <v>30</v>
      </c>
      <c r="B23">
        <v>4100.5</v>
      </c>
      <c r="C23">
        <v>25.5</v>
      </c>
      <c r="D23">
        <v>15000</v>
      </c>
      <c r="E23">
        <v>10.5</v>
      </c>
    </row>
    <row r="24" spans="1:11" x14ac:dyDescent="0.25">
      <c r="A24" t="s">
        <v>31</v>
      </c>
      <c r="B24">
        <v>3500.5</v>
      </c>
      <c r="C24">
        <v>23.5</v>
      </c>
      <c r="D24">
        <v>7500</v>
      </c>
      <c r="E24">
        <v>11.5</v>
      </c>
      <c r="H24">
        <v>135</v>
      </c>
    </row>
    <row r="25" spans="1:11" x14ac:dyDescent="0.25">
      <c r="A25" t="s">
        <v>32</v>
      </c>
      <c r="B25">
        <v>4000.5</v>
      </c>
      <c r="C25">
        <v>28.5</v>
      </c>
      <c r="D25">
        <v>7500</v>
      </c>
      <c r="E25">
        <v>9.5</v>
      </c>
    </row>
    <row r="26" spans="1:11" x14ac:dyDescent="0.25">
      <c r="A26" t="s">
        <v>33</v>
      </c>
      <c r="B26">
        <v>3200.5</v>
      </c>
      <c r="C26">
        <v>18.5</v>
      </c>
      <c r="D26">
        <v>20000</v>
      </c>
      <c r="E26">
        <v>10.5</v>
      </c>
    </row>
    <row r="27" spans="1:11" x14ac:dyDescent="0.25">
      <c r="A27" t="s">
        <v>490</v>
      </c>
      <c r="B27">
        <v>4150.5</v>
      </c>
      <c r="C27">
        <v>28.5</v>
      </c>
      <c r="D27">
        <v>6500</v>
      </c>
      <c r="E27">
        <v>9.5</v>
      </c>
    </row>
    <row r="28" spans="1:11" x14ac:dyDescent="0.25">
      <c r="A28" t="s">
        <v>34</v>
      </c>
      <c r="B28">
        <v>3550.5</v>
      </c>
      <c r="C28">
        <v>23.5</v>
      </c>
      <c r="D28">
        <v>25000</v>
      </c>
      <c r="E28">
        <v>11.5</v>
      </c>
    </row>
    <row r="29" spans="1:11" x14ac:dyDescent="0.25">
      <c r="A29" t="s">
        <v>35</v>
      </c>
      <c r="B29">
        <v>4350.5</v>
      </c>
      <c r="C29">
        <v>34.5</v>
      </c>
      <c r="D29">
        <v>5500</v>
      </c>
      <c r="E29">
        <v>9.5</v>
      </c>
    </row>
    <row r="30" spans="1:11" x14ac:dyDescent="0.25">
      <c r="A30" t="s">
        <v>36</v>
      </c>
      <c r="D30">
        <v>20000</v>
      </c>
      <c r="I30">
        <v>725.5</v>
      </c>
      <c r="J30">
        <v>5.5</v>
      </c>
      <c r="K30">
        <v>65.5</v>
      </c>
    </row>
    <row r="31" spans="1:11" x14ac:dyDescent="0.25">
      <c r="A31" t="s">
        <v>37</v>
      </c>
      <c r="D31">
        <v>12000</v>
      </c>
      <c r="I31">
        <v>775.5</v>
      </c>
      <c r="J31">
        <v>4.5</v>
      </c>
    </row>
    <row r="32" spans="1:11" x14ac:dyDescent="0.25">
      <c r="A32" t="s">
        <v>38</v>
      </c>
      <c r="D32">
        <v>12000</v>
      </c>
      <c r="I32">
        <v>925.5</v>
      </c>
      <c r="J32">
        <v>4.5</v>
      </c>
    </row>
    <row r="33" spans="1:11" x14ac:dyDescent="0.25">
      <c r="A33" t="s">
        <v>39</v>
      </c>
      <c r="D33">
        <v>15000</v>
      </c>
      <c r="I33">
        <v>775.5</v>
      </c>
      <c r="J33">
        <v>4.5</v>
      </c>
    </row>
    <row r="34" spans="1:11" x14ac:dyDescent="0.25">
      <c r="A34" t="s">
        <v>40</v>
      </c>
      <c r="D34">
        <v>15000</v>
      </c>
      <c r="I34">
        <v>850.5</v>
      </c>
      <c r="J34">
        <v>4.5</v>
      </c>
    </row>
    <row r="35" spans="1:11" x14ac:dyDescent="0.25">
      <c r="A35" t="s">
        <v>41</v>
      </c>
      <c r="D35">
        <v>25000</v>
      </c>
      <c r="I35">
        <v>675.5</v>
      </c>
      <c r="J35">
        <v>5.5</v>
      </c>
    </row>
    <row r="36" spans="1:11" x14ac:dyDescent="0.25">
      <c r="A36" t="s">
        <v>42</v>
      </c>
      <c r="I36">
        <v>475.5</v>
      </c>
      <c r="J36">
        <v>3.5</v>
      </c>
    </row>
    <row r="37" spans="1:11" x14ac:dyDescent="0.25">
      <c r="A37" t="s">
        <v>43</v>
      </c>
      <c r="D37">
        <v>15000</v>
      </c>
      <c r="I37">
        <v>825.5</v>
      </c>
      <c r="J37">
        <v>4.5</v>
      </c>
    </row>
    <row r="38" spans="1:11" x14ac:dyDescent="0.25">
      <c r="A38" t="s">
        <v>44</v>
      </c>
      <c r="D38">
        <v>15000</v>
      </c>
      <c r="I38">
        <v>775.5</v>
      </c>
      <c r="J38">
        <v>4.5</v>
      </c>
      <c r="K38">
        <v>64.5</v>
      </c>
    </row>
    <row r="39" spans="1:11" x14ac:dyDescent="0.25">
      <c r="A39" t="s">
        <v>45</v>
      </c>
      <c r="D39">
        <v>25000</v>
      </c>
      <c r="I39">
        <v>750.5</v>
      </c>
      <c r="J39">
        <v>4.5</v>
      </c>
    </row>
    <row r="40" spans="1:11" x14ac:dyDescent="0.25">
      <c r="A40" t="s">
        <v>46</v>
      </c>
      <c r="D40">
        <v>25000</v>
      </c>
      <c r="I40">
        <v>750.5</v>
      </c>
      <c r="J40">
        <v>5.5</v>
      </c>
      <c r="K40">
        <v>80.5</v>
      </c>
    </row>
    <row r="41" spans="1:11" x14ac:dyDescent="0.25">
      <c r="A41" t="s">
        <v>47</v>
      </c>
      <c r="D41">
        <v>15000</v>
      </c>
      <c r="I41">
        <v>750.5</v>
      </c>
      <c r="J41">
        <v>5.5</v>
      </c>
    </row>
    <row r="42" spans="1:11" x14ac:dyDescent="0.25">
      <c r="A42" t="s">
        <v>48</v>
      </c>
      <c r="D42">
        <v>25000</v>
      </c>
      <c r="I42">
        <v>900.5</v>
      </c>
      <c r="J42">
        <v>4.5</v>
      </c>
    </row>
    <row r="43" spans="1:11" x14ac:dyDescent="0.25">
      <c r="A43" t="s">
        <v>49</v>
      </c>
      <c r="D43">
        <v>15000</v>
      </c>
      <c r="I43">
        <v>725.5</v>
      </c>
      <c r="J43">
        <v>4.5</v>
      </c>
    </row>
    <row r="44" spans="1:11" x14ac:dyDescent="0.25">
      <c r="A44" t="s">
        <v>50</v>
      </c>
      <c r="D44">
        <v>10000</v>
      </c>
      <c r="I44">
        <v>875.5</v>
      </c>
      <c r="J44">
        <v>5.5</v>
      </c>
      <c r="K44">
        <v>65.5</v>
      </c>
    </row>
    <row r="45" spans="1:11" x14ac:dyDescent="0.25">
      <c r="A45" t="s">
        <v>51</v>
      </c>
      <c r="D45">
        <v>25000</v>
      </c>
      <c r="I45">
        <v>550.5</v>
      </c>
      <c r="J45">
        <v>3.5</v>
      </c>
    </row>
    <row r="46" spans="1:11" x14ac:dyDescent="0.25">
      <c r="A46" t="s">
        <v>498</v>
      </c>
      <c r="D46">
        <v>25000</v>
      </c>
      <c r="I46">
        <v>400.5</v>
      </c>
      <c r="J46">
        <v>2.5</v>
      </c>
    </row>
    <row r="47" spans="1:11" x14ac:dyDescent="0.25">
      <c r="A47" t="s">
        <v>52</v>
      </c>
      <c r="D47">
        <v>10000</v>
      </c>
      <c r="I47">
        <v>825.5</v>
      </c>
      <c r="J47">
        <v>4.5</v>
      </c>
      <c r="K47">
        <v>71.5</v>
      </c>
    </row>
    <row r="48" spans="1:11" x14ac:dyDescent="0.25">
      <c r="A48" t="s">
        <v>53</v>
      </c>
      <c r="D48">
        <v>5000</v>
      </c>
      <c r="I48">
        <v>800.5</v>
      </c>
      <c r="J48">
        <v>5.5</v>
      </c>
      <c r="K48">
        <v>62.5</v>
      </c>
    </row>
    <row r="49" spans="1:11" x14ac:dyDescent="0.25">
      <c r="A49" t="s">
        <v>54</v>
      </c>
      <c r="D49">
        <v>15000</v>
      </c>
      <c r="I49">
        <v>750.5</v>
      </c>
      <c r="J49">
        <v>5.5</v>
      </c>
      <c r="K49">
        <v>59.5</v>
      </c>
    </row>
    <row r="50" spans="1:11" x14ac:dyDescent="0.25">
      <c r="A50" t="s">
        <v>55</v>
      </c>
      <c r="D50">
        <v>10000</v>
      </c>
      <c r="I50">
        <v>950.5</v>
      </c>
      <c r="J50">
        <v>5.5</v>
      </c>
      <c r="K50">
        <v>65.5</v>
      </c>
    </row>
    <row r="51" spans="1:11" x14ac:dyDescent="0.25">
      <c r="A51" t="s">
        <v>56</v>
      </c>
      <c r="D51">
        <v>25000</v>
      </c>
      <c r="I51">
        <v>550.5</v>
      </c>
      <c r="J51">
        <v>3.5</v>
      </c>
    </row>
    <row r="52" spans="1:11" x14ac:dyDescent="0.25">
      <c r="A52" t="s">
        <v>57</v>
      </c>
      <c r="D52">
        <v>15000</v>
      </c>
      <c r="I52">
        <v>800.5</v>
      </c>
      <c r="J52">
        <v>5.5</v>
      </c>
      <c r="K52">
        <v>60.5</v>
      </c>
    </row>
    <row r="53" spans="1:11" x14ac:dyDescent="0.25">
      <c r="A53" t="s">
        <v>58</v>
      </c>
      <c r="I53">
        <v>700.5</v>
      </c>
    </row>
    <row r="54" spans="1:11" x14ac:dyDescent="0.25">
      <c r="A54" t="s">
        <v>59</v>
      </c>
      <c r="D54">
        <v>12000</v>
      </c>
      <c r="I54">
        <v>1000.5</v>
      </c>
      <c r="J54">
        <v>5.5</v>
      </c>
      <c r="K54">
        <v>74.5</v>
      </c>
    </row>
    <row r="55" spans="1:11" x14ac:dyDescent="0.25">
      <c r="A55" t="s">
        <v>60</v>
      </c>
      <c r="D55">
        <v>10000</v>
      </c>
      <c r="I55">
        <v>1025.5</v>
      </c>
      <c r="J55">
        <v>5.5</v>
      </c>
      <c r="K55">
        <v>82.5</v>
      </c>
    </row>
    <row r="56" spans="1:11" x14ac:dyDescent="0.25">
      <c r="A56" t="s">
        <v>61</v>
      </c>
      <c r="D56">
        <v>6500</v>
      </c>
      <c r="I56">
        <v>1050.5</v>
      </c>
      <c r="J56">
        <v>5.5</v>
      </c>
      <c r="K56">
        <v>72.5</v>
      </c>
    </row>
    <row r="57" spans="1:11" x14ac:dyDescent="0.25">
      <c r="A57" t="s">
        <v>491</v>
      </c>
      <c r="D57">
        <v>3500</v>
      </c>
      <c r="I57">
        <v>1250.5</v>
      </c>
      <c r="J57">
        <v>8.5</v>
      </c>
      <c r="K57">
        <v>87.5</v>
      </c>
    </row>
    <row r="58" spans="1:11" x14ac:dyDescent="0.25">
      <c r="A58" t="s">
        <v>499</v>
      </c>
      <c r="D58">
        <v>12000</v>
      </c>
      <c r="H58">
        <v>650</v>
      </c>
      <c r="I58">
        <v>1000.5</v>
      </c>
      <c r="J58">
        <v>6.5</v>
      </c>
      <c r="K58">
        <v>82.5</v>
      </c>
    </row>
    <row r="59" spans="1:11" x14ac:dyDescent="0.25">
      <c r="A59" t="s">
        <v>62</v>
      </c>
      <c r="D59">
        <v>15000</v>
      </c>
      <c r="I59">
        <v>925.5</v>
      </c>
      <c r="J59">
        <v>5.5</v>
      </c>
      <c r="K59">
        <v>72.5</v>
      </c>
    </row>
    <row r="60" spans="1:11" x14ac:dyDescent="0.25">
      <c r="A60" t="s">
        <v>63</v>
      </c>
      <c r="D60">
        <v>3000</v>
      </c>
      <c r="I60">
        <v>1125.5</v>
      </c>
      <c r="J60">
        <v>7.5</v>
      </c>
      <c r="K60">
        <v>90.5</v>
      </c>
    </row>
    <row r="61" spans="1:11" x14ac:dyDescent="0.25">
      <c r="A61" t="s">
        <v>64</v>
      </c>
      <c r="D61">
        <v>700</v>
      </c>
      <c r="I61">
        <v>1375.5</v>
      </c>
      <c r="J61">
        <v>9.5</v>
      </c>
      <c r="K61">
        <v>97.5</v>
      </c>
    </row>
    <row r="62" spans="1:11" x14ac:dyDescent="0.25">
      <c r="A62" t="s">
        <v>65</v>
      </c>
      <c r="D62">
        <v>7500</v>
      </c>
      <c r="I62">
        <v>900.5</v>
      </c>
      <c r="J62">
        <v>5.5</v>
      </c>
      <c r="K62">
        <v>74.5</v>
      </c>
    </row>
    <row r="63" spans="1:11" x14ac:dyDescent="0.25">
      <c r="A63" t="s">
        <v>66</v>
      </c>
      <c r="D63">
        <v>1300</v>
      </c>
      <c r="I63">
        <v>1300.5</v>
      </c>
      <c r="J63">
        <v>7.5</v>
      </c>
      <c r="K63">
        <v>94.5</v>
      </c>
    </row>
    <row r="64" spans="1:11" x14ac:dyDescent="0.25">
      <c r="A64" t="s">
        <v>67</v>
      </c>
      <c r="D64">
        <v>20000</v>
      </c>
      <c r="H64">
        <v>7000</v>
      </c>
      <c r="I64">
        <v>675.5</v>
      </c>
      <c r="J64">
        <v>4.5</v>
      </c>
    </row>
    <row r="65" spans="1:11" x14ac:dyDescent="0.25">
      <c r="A65" t="s">
        <v>68</v>
      </c>
      <c r="D65">
        <v>15000</v>
      </c>
      <c r="I65">
        <v>850.5</v>
      </c>
      <c r="J65">
        <v>7.5</v>
      </c>
      <c r="K65">
        <v>82.5</v>
      </c>
    </row>
    <row r="66" spans="1:11" x14ac:dyDescent="0.25">
      <c r="A66" t="s">
        <v>473</v>
      </c>
      <c r="D66">
        <v>12000</v>
      </c>
      <c r="I66">
        <v>975.5</v>
      </c>
      <c r="J66">
        <v>6.5</v>
      </c>
      <c r="K66">
        <v>72.5</v>
      </c>
    </row>
    <row r="67" spans="1:11" x14ac:dyDescent="0.25">
      <c r="A67" t="s">
        <v>69</v>
      </c>
      <c r="D67">
        <v>1800</v>
      </c>
      <c r="I67">
        <v>1250.5</v>
      </c>
      <c r="J67">
        <v>8.5</v>
      </c>
      <c r="K67">
        <v>105.5</v>
      </c>
    </row>
    <row r="68" spans="1:11" x14ac:dyDescent="0.25">
      <c r="A68" t="s">
        <v>70</v>
      </c>
      <c r="D68">
        <v>20000</v>
      </c>
      <c r="H68">
        <v>5000</v>
      </c>
      <c r="I68">
        <v>650.5</v>
      </c>
      <c r="J68">
        <v>4.5</v>
      </c>
    </row>
    <row r="69" spans="1:11" x14ac:dyDescent="0.25">
      <c r="A69" t="s">
        <v>71</v>
      </c>
      <c r="D69">
        <v>5000</v>
      </c>
      <c r="I69">
        <v>1000.5</v>
      </c>
      <c r="J69">
        <v>6.5</v>
      </c>
      <c r="K69">
        <v>81.5</v>
      </c>
    </row>
    <row r="70" spans="1:11" x14ac:dyDescent="0.25">
      <c r="A70" t="s">
        <v>72</v>
      </c>
      <c r="D70">
        <v>10000</v>
      </c>
      <c r="I70">
        <v>900.5</v>
      </c>
      <c r="J70">
        <v>6.5</v>
      </c>
      <c r="K70">
        <v>80.5</v>
      </c>
    </row>
    <row r="71" spans="1:11" x14ac:dyDescent="0.25">
      <c r="A71" t="s">
        <v>73</v>
      </c>
      <c r="D71">
        <v>50000</v>
      </c>
      <c r="H71">
        <v>3500</v>
      </c>
      <c r="I71">
        <v>725.5</v>
      </c>
      <c r="J71">
        <v>4.5</v>
      </c>
    </row>
    <row r="72" spans="1:11" x14ac:dyDescent="0.25">
      <c r="A72" t="s">
        <v>74</v>
      </c>
      <c r="D72">
        <v>1200</v>
      </c>
      <c r="I72">
        <v>1250.5</v>
      </c>
      <c r="J72">
        <v>8.5</v>
      </c>
      <c r="K72">
        <v>98.5</v>
      </c>
    </row>
    <row r="73" spans="1:11" x14ac:dyDescent="0.25">
      <c r="A73" t="s">
        <v>500</v>
      </c>
      <c r="D73">
        <v>50000</v>
      </c>
      <c r="H73">
        <v>5000</v>
      </c>
      <c r="I73">
        <v>750.5</v>
      </c>
      <c r="J73">
        <v>4.5</v>
      </c>
    </row>
    <row r="74" spans="1:11" x14ac:dyDescent="0.25">
      <c r="A74" t="s">
        <v>75</v>
      </c>
      <c r="D74">
        <v>7500</v>
      </c>
      <c r="I74">
        <v>1025.5</v>
      </c>
      <c r="J74">
        <v>6.5</v>
      </c>
      <c r="K74">
        <v>84.5</v>
      </c>
    </row>
    <row r="75" spans="1:11" x14ac:dyDescent="0.25">
      <c r="A75" t="s">
        <v>76</v>
      </c>
      <c r="D75">
        <v>6000</v>
      </c>
      <c r="I75">
        <v>950.5</v>
      </c>
      <c r="J75">
        <v>6.5</v>
      </c>
      <c r="K75">
        <v>79.5</v>
      </c>
    </row>
    <row r="76" spans="1:11" x14ac:dyDescent="0.25">
      <c r="A76" t="s">
        <v>77</v>
      </c>
      <c r="H76">
        <v>2200</v>
      </c>
      <c r="I76">
        <v>750.5</v>
      </c>
      <c r="J76">
        <v>4.5</v>
      </c>
    </row>
    <row r="77" spans="1:11" x14ac:dyDescent="0.25">
      <c r="A77" t="s">
        <v>78</v>
      </c>
      <c r="D77">
        <v>1000</v>
      </c>
      <c r="I77">
        <v>1350.5</v>
      </c>
      <c r="J77">
        <v>9.5</v>
      </c>
      <c r="K77">
        <v>104.5</v>
      </c>
    </row>
    <row r="78" spans="1:11" x14ac:dyDescent="0.25">
      <c r="A78" t="s">
        <v>79</v>
      </c>
      <c r="D78">
        <v>2800</v>
      </c>
      <c r="I78">
        <v>1150.5</v>
      </c>
      <c r="J78">
        <v>6.5</v>
      </c>
      <c r="K78">
        <v>85.5</v>
      </c>
    </row>
    <row r="79" spans="1:11" x14ac:dyDescent="0.25">
      <c r="A79" t="s">
        <v>80</v>
      </c>
      <c r="D79">
        <v>20000</v>
      </c>
      <c r="H79">
        <v>3500</v>
      </c>
      <c r="I79">
        <v>675.5</v>
      </c>
      <c r="J79">
        <v>4.5</v>
      </c>
    </row>
    <row r="80" spans="1:11" x14ac:dyDescent="0.25">
      <c r="A80" t="s">
        <v>81</v>
      </c>
      <c r="D80">
        <v>10000</v>
      </c>
      <c r="I80">
        <v>950.5</v>
      </c>
      <c r="J80">
        <v>6.5</v>
      </c>
      <c r="K80">
        <v>68.5</v>
      </c>
    </row>
    <row r="81" spans="1:11" x14ac:dyDescent="0.25">
      <c r="A81" t="s">
        <v>471</v>
      </c>
      <c r="D81">
        <v>6000</v>
      </c>
      <c r="I81">
        <v>1000.5</v>
      </c>
      <c r="J81">
        <v>6.5</v>
      </c>
      <c r="K81">
        <v>67.5</v>
      </c>
    </row>
    <row r="82" spans="1:11" x14ac:dyDescent="0.25">
      <c r="A82" t="s">
        <v>82</v>
      </c>
      <c r="D82">
        <v>7500</v>
      </c>
      <c r="I82">
        <v>1050.5</v>
      </c>
      <c r="J82">
        <v>8.5</v>
      </c>
      <c r="K82">
        <v>68.5</v>
      </c>
    </row>
    <row r="83" spans="1:11" x14ac:dyDescent="0.25">
      <c r="A83" t="s">
        <v>83</v>
      </c>
      <c r="D83">
        <v>12000</v>
      </c>
      <c r="I83">
        <v>925.5</v>
      </c>
      <c r="J83">
        <v>4.5</v>
      </c>
    </row>
    <row r="84" spans="1:11" x14ac:dyDescent="0.25">
      <c r="A84" t="s">
        <v>84</v>
      </c>
      <c r="H84">
        <v>7500</v>
      </c>
      <c r="I84">
        <v>500.5</v>
      </c>
      <c r="J84">
        <v>3.5</v>
      </c>
    </row>
    <row r="85" spans="1:11" x14ac:dyDescent="0.25">
      <c r="A85" t="s">
        <v>85</v>
      </c>
      <c r="D85">
        <v>25000</v>
      </c>
      <c r="I85">
        <v>800.5</v>
      </c>
      <c r="J85">
        <v>6.5</v>
      </c>
      <c r="K85">
        <v>67.5</v>
      </c>
    </row>
    <row r="86" spans="1:11" x14ac:dyDescent="0.25">
      <c r="A86" t="s">
        <v>501</v>
      </c>
      <c r="D86">
        <v>10000</v>
      </c>
      <c r="I86">
        <v>950.5</v>
      </c>
      <c r="J86">
        <v>5.5</v>
      </c>
      <c r="K86">
        <v>85.5</v>
      </c>
    </row>
    <row r="87" spans="1:11" x14ac:dyDescent="0.25">
      <c r="A87" t="s">
        <v>86</v>
      </c>
      <c r="D87">
        <v>20000</v>
      </c>
      <c r="I87">
        <v>825.5</v>
      </c>
      <c r="J87">
        <v>4.5</v>
      </c>
      <c r="K87">
        <v>71.5</v>
      </c>
    </row>
    <row r="88" spans="1:11" x14ac:dyDescent="0.25">
      <c r="A88" t="s">
        <v>87</v>
      </c>
      <c r="D88">
        <v>15000</v>
      </c>
      <c r="I88">
        <v>875.5</v>
      </c>
      <c r="J88">
        <v>4.5</v>
      </c>
    </row>
    <row r="89" spans="1:11" x14ac:dyDescent="0.25">
      <c r="A89" t="s">
        <v>88</v>
      </c>
      <c r="D89">
        <v>850</v>
      </c>
      <c r="F89">
        <v>1150.5</v>
      </c>
      <c r="G89">
        <v>10.5</v>
      </c>
      <c r="I89">
        <v>500.5</v>
      </c>
      <c r="J89">
        <v>5.5</v>
      </c>
      <c r="K89">
        <v>62.5</v>
      </c>
    </row>
    <row r="90" spans="1:11" x14ac:dyDescent="0.25">
      <c r="A90" t="s">
        <v>89</v>
      </c>
      <c r="D90">
        <v>20000</v>
      </c>
      <c r="I90">
        <v>700.5</v>
      </c>
      <c r="J90">
        <v>3.5</v>
      </c>
    </row>
    <row r="91" spans="1:11" x14ac:dyDescent="0.25">
      <c r="A91" t="s">
        <v>90</v>
      </c>
      <c r="D91">
        <v>10000</v>
      </c>
      <c r="F91">
        <v>675.5</v>
      </c>
      <c r="G91">
        <v>7.5</v>
      </c>
    </row>
    <row r="92" spans="1:11" x14ac:dyDescent="0.25">
      <c r="A92" t="s">
        <v>91</v>
      </c>
      <c r="D92">
        <v>25000</v>
      </c>
      <c r="F92">
        <v>725.5</v>
      </c>
      <c r="G92">
        <v>4.5</v>
      </c>
    </row>
    <row r="93" spans="1:11" x14ac:dyDescent="0.25">
      <c r="A93" t="s">
        <v>92</v>
      </c>
      <c r="D93">
        <v>1500</v>
      </c>
      <c r="F93">
        <v>1050.5</v>
      </c>
      <c r="G93">
        <v>7.5</v>
      </c>
    </row>
    <row r="94" spans="1:11" x14ac:dyDescent="0.25">
      <c r="A94" t="s">
        <v>93</v>
      </c>
      <c r="D94">
        <v>10000</v>
      </c>
      <c r="F94">
        <v>900.5</v>
      </c>
      <c r="G94">
        <v>6.5</v>
      </c>
    </row>
    <row r="95" spans="1:11" x14ac:dyDescent="0.25">
      <c r="A95" t="s">
        <v>94</v>
      </c>
      <c r="D95">
        <v>7500</v>
      </c>
      <c r="F95">
        <v>925.5</v>
      </c>
      <c r="G95">
        <v>4.5</v>
      </c>
    </row>
    <row r="96" spans="1:11" x14ac:dyDescent="0.25">
      <c r="A96" t="s">
        <v>502</v>
      </c>
      <c r="D96">
        <v>7500</v>
      </c>
      <c r="F96">
        <v>925.5</v>
      </c>
      <c r="G96">
        <v>6.5</v>
      </c>
    </row>
    <row r="97" spans="1:11" x14ac:dyDescent="0.25">
      <c r="A97" t="s">
        <v>95</v>
      </c>
      <c r="D97">
        <v>10000</v>
      </c>
      <c r="F97">
        <v>825.5</v>
      </c>
      <c r="G97">
        <v>5.5</v>
      </c>
    </row>
    <row r="98" spans="1:11" x14ac:dyDescent="0.25">
      <c r="A98" t="s">
        <v>96</v>
      </c>
      <c r="D98">
        <v>1800</v>
      </c>
      <c r="F98">
        <v>1000.5</v>
      </c>
      <c r="G98">
        <v>6.5</v>
      </c>
    </row>
    <row r="99" spans="1:11" x14ac:dyDescent="0.25">
      <c r="A99" t="s">
        <v>97</v>
      </c>
      <c r="D99">
        <v>12000</v>
      </c>
      <c r="F99">
        <v>800.5</v>
      </c>
      <c r="G99">
        <v>4.5</v>
      </c>
    </row>
    <row r="100" spans="1:11" x14ac:dyDescent="0.25">
      <c r="A100" t="s">
        <v>98</v>
      </c>
      <c r="D100">
        <v>6000</v>
      </c>
      <c r="F100">
        <v>750.5</v>
      </c>
      <c r="G100">
        <v>7.5</v>
      </c>
    </row>
    <row r="101" spans="1:11" x14ac:dyDescent="0.25">
      <c r="A101" t="s">
        <v>99</v>
      </c>
      <c r="D101">
        <v>15000</v>
      </c>
      <c r="F101">
        <v>850.5</v>
      </c>
      <c r="G101">
        <v>5.5</v>
      </c>
    </row>
    <row r="102" spans="1:11" x14ac:dyDescent="0.25">
      <c r="A102" t="s">
        <v>100</v>
      </c>
      <c r="D102">
        <v>12000</v>
      </c>
      <c r="F102">
        <v>750.5</v>
      </c>
      <c r="G102">
        <v>5.5</v>
      </c>
    </row>
    <row r="103" spans="1:11" x14ac:dyDescent="0.25">
      <c r="A103" t="s">
        <v>101</v>
      </c>
      <c r="D103">
        <v>25000</v>
      </c>
      <c r="F103">
        <v>575.5</v>
      </c>
    </row>
    <row r="104" spans="1:11" x14ac:dyDescent="0.25">
      <c r="A104" t="s">
        <v>102</v>
      </c>
      <c r="D104">
        <v>10000</v>
      </c>
      <c r="F104">
        <v>625.5</v>
      </c>
      <c r="G104">
        <v>4.5</v>
      </c>
    </row>
    <row r="105" spans="1:11" x14ac:dyDescent="0.25">
      <c r="A105" t="s">
        <v>103</v>
      </c>
      <c r="D105">
        <v>2800</v>
      </c>
      <c r="F105">
        <v>1075.5</v>
      </c>
      <c r="G105">
        <v>8.5</v>
      </c>
    </row>
    <row r="106" spans="1:11" x14ac:dyDescent="0.25">
      <c r="A106" t="s">
        <v>104</v>
      </c>
      <c r="D106">
        <v>2200</v>
      </c>
      <c r="F106">
        <v>1000.5</v>
      </c>
      <c r="G106">
        <v>7.5</v>
      </c>
    </row>
    <row r="107" spans="1:11" x14ac:dyDescent="0.25">
      <c r="A107" t="s">
        <v>105</v>
      </c>
      <c r="D107">
        <v>12000</v>
      </c>
      <c r="F107">
        <v>925.5</v>
      </c>
      <c r="G107">
        <v>7.5</v>
      </c>
    </row>
    <row r="108" spans="1:11" x14ac:dyDescent="0.25">
      <c r="A108" t="s">
        <v>106</v>
      </c>
      <c r="D108">
        <v>5000</v>
      </c>
      <c r="F108">
        <v>975.5</v>
      </c>
      <c r="G108">
        <v>10.5</v>
      </c>
    </row>
    <row r="109" spans="1:11" x14ac:dyDescent="0.25">
      <c r="A109" t="s">
        <v>107</v>
      </c>
      <c r="D109">
        <v>12000</v>
      </c>
      <c r="F109">
        <v>725.5</v>
      </c>
      <c r="G109">
        <v>5.5</v>
      </c>
    </row>
    <row r="110" spans="1:11" x14ac:dyDescent="0.25">
      <c r="A110" t="s">
        <v>108</v>
      </c>
      <c r="D110">
        <v>15000</v>
      </c>
      <c r="F110">
        <v>775.5</v>
      </c>
      <c r="G110">
        <v>5.5</v>
      </c>
    </row>
    <row r="111" spans="1:11" x14ac:dyDescent="0.25">
      <c r="A111" t="s">
        <v>109</v>
      </c>
      <c r="F111">
        <v>700.5</v>
      </c>
      <c r="G111">
        <v>6.5</v>
      </c>
    </row>
    <row r="112" spans="1:11" x14ac:dyDescent="0.25">
      <c r="A112" t="s">
        <v>110</v>
      </c>
      <c r="D112">
        <v>20000</v>
      </c>
      <c r="K112">
        <v>62.5</v>
      </c>
    </row>
    <row r="113" spans="1:8" x14ac:dyDescent="0.25">
      <c r="A113" t="s">
        <v>215</v>
      </c>
      <c r="D113">
        <v>30000</v>
      </c>
      <c r="H113">
        <v>1300</v>
      </c>
    </row>
    <row r="114" spans="1:8" x14ac:dyDescent="0.25">
      <c r="A114" t="s">
        <v>474</v>
      </c>
      <c r="D114">
        <v>15000</v>
      </c>
      <c r="H114">
        <v>1400</v>
      </c>
    </row>
    <row r="115" spans="1:8" x14ac:dyDescent="0.25">
      <c r="A115" t="s">
        <v>131</v>
      </c>
      <c r="D115">
        <v>30000</v>
      </c>
      <c r="H115">
        <v>7500</v>
      </c>
    </row>
    <row r="116" spans="1:8" x14ac:dyDescent="0.25">
      <c r="A116" t="s">
        <v>151</v>
      </c>
      <c r="H116">
        <v>7500</v>
      </c>
    </row>
    <row r="117" spans="1:8" x14ac:dyDescent="0.25">
      <c r="A117" t="s">
        <v>191</v>
      </c>
      <c r="H117">
        <v>7500</v>
      </c>
    </row>
    <row r="118" spans="1:8" x14ac:dyDescent="0.25">
      <c r="A118" t="s">
        <v>115</v>
      </c>
      <c r="H118">
        <v>7500</v>
      </c>
    </row>
    <row r="119" spans="1:8" x14ac:dyDescent="0.25">
      <c r="A119" t="s">
        <v>188</v>
      </c>
      <c r="H119">
        <v>7500</v>
      </c>
    </row>
    <row r="120" spans="1:8" x14ac:dyDescent="0.25">
      <c r="A120" t="s">
        <v>113</v>
      </c>
      <c r="D120">
        <v>20000</v>
      </c>
      <c r="H120">
        <v>7500</v>
      </c>
    </row>
    <row r="121" spans="1:8" x14ac:dyDescent="0.25">
      <c r="A121" t="s">
        <v>148</v>
      </c>
      <c r="H121">
        <v>10000</v>
      </c>
    </row>
    <row r="122" spans="1:8" x14ac:dyDescent="0.25">
      <c r="A122" t="s">
        <v>518</v>
      </c>
      <c r="D122">
        <v>20000</v>
      </c>
      <c r="H122">
        <v>10000</v>
      </c>
    </row>
    <row r="123" spans="1:8" x14ac:dyDescent="0.25">
      <c r="A123" t="s">
        <v>125</v>
      </c>
      <c r="H123">
        <v>10000</v>
      </c>
    </row>
    <row r="124" spans="1:8" x14ac:dyDescent="0.25">
      <c r="A124" t="s">
        <v>477</v>
      </c>
      <c r="H124">
        <v>10000</v>
      </c>
    </row>
    <row r="125" spans="1:8" x14ac:dyDescent="0.25">
      <c r="A125" t="s">
        <v>165</v>
      </c>
      <c r="H125">
        <v>10000</v>
      </c>
    </row>
    <row r="126" spans="1:8" x14ac:dyDescent="0.25">
      <c r="A126" t="s">
        <v>135</v>
      </c>
      <c r="H126">
        <v>10000</v>
      </c>
    </row>
    <row r="127" spans="1:8" x14ac:dyDescent="0.25">
      <c r="A127" t="s">
        <v>288</v>
      </c>
      <c r="D127">
        <v>30000</v>
      </c>
      <c r="H127">
        <v>12000</v>
      </c>
    </row>
    <row r="128" spans="1:8" x14ac:dyDescent="0.25">
      <c r="A128" t="s">
        <v>222</v>
      </c>
      <c r="H128">
        <v>15000</v>
      </c>
    </row>
    <row r="129" spans="1:8" x14ac:dyDescent="0.25">
      <c r="A129" t="s">
        <v>323</v>
      </c>
      <c r="H129">
        <v>15000</v>
      </c>
    </row>
    <row r="130" spans="1:8" x14ac:dyDescent="0.25">
      <c r="A130" t="s">
        <v>276</v>
      </c>
      <c r="H130">
        <v>15000</v>
      </c>
    </row>
    <row r="131" spans="1:8" x14ac:dyDescent="0.25">
      <c r="A131" t="s">
        <v>186</v>
      </c>
      <c r="H131">
        <v>15000</v>
      </c>
    </row>
    <row r="132" spans="1:8" x14ac:dyDescent="0.25">
      <c r="A132" t="s">
        <v>241</v>
      </c>
      <c r="H132">
        <v>15000</v>
      </c>
    </row>
    <row r="133" spans="1:8" x14ac:dyDescent="0.25">
      <c r="A133" t="s">
        <v>286</v>
      </c>
      <c r="D133">
        <v>30000</v>
      </c>
      <c r="H133">
        <v>15000</v>
      </c>
    </row>
    <row r="134" spans="1:8" x14ac:dyDescent="0.25">
      <c r="A134" t="s">
        <v>226</v>
      </c>
      <c r="H134">
        <v>15000</v>
      </c>
    </row>
    <row r="135" spans="1:8" x14ac:dyDescent="0.25">
      <c r="A135" t="s">
        <v>181</v>
      </c>
      <c r="H135">
        <v>15000</v>
      </c>
    </row>
    <row r="136" spans="1:8" x14ac:dyDescent="0.25">
      <c r="A136" t="s">
        <v>588</v>
      </c>
      <c r="H136">
        <v>15000</v>
      </c>
    </row>
    <row r="137" spans="1:8" x14ac:dyDescent="0.25">
      <c r="A137" t="s">
        <v>155</v>
      </c>
      <c r="H137">
        <v>15000</v>
      </c>
    </row>
    <row r="138" spans="1:8" x14ac:dyDescent="0.25">
      <c r="A138" t="s">
        <v>362</v>
      </c>
      <c r="H138">
        <v>20000</v>
      </c>
    </row>
    <row r="139" spans="1:8" x14ac:dyDescent="0.25">
      <c r="A139" t="s">
        <v>425</v>
      </c>
      <c r="H139">
        <v>20000</v>
      </c>
    </row>
    <row r="140" spans="1:8" x14ac:dyDescent="0.25">
      <c r="A140" t="s">
        <v>528</v>
      </c>
      <c r="H140">
        <v>20000</v>
      </c>
    </row>
    <row r="141" spans="1:8" x14ac:dyDescent="0.25">
      <c r="A141" t="s">
        <v>529</v>
      </c>
      <c r="H141">
        <v>20000</v>
      </c>
    </row>
    <row r="142" spans="1:8" x14ac:dyDescent="0.25">
      <c r="A142" t="s">
        <v>227</v>
      </c>
      <c r="H142">
        <v>20000</v>
      </c>
    </row>
    <row r="143" spans="1:8" x14ac:dyDescent="0.25">
      <c r="A143" t="s">
        <v>530</v>
      </c>
      <c r="H143">
        <v>25000</v>
      </c>
    </row>
    <row r="144" spans="1:8" x14ac:dyDescent="0.25">
      <c r="A144" t="s">
        <v>360</v>
      </c>
      <c r="H144">
        <v>25000</v>
      </c>
    </row>
    <row r="145" spans="1:8" x14ac:dyDescent="0.25">
      <c r="A145" t="s">
        <v>531</v>
      </c>
      <c r="H145">
        <v>25000</v>
      </c>
    </row>
    <row r="146" spans="1:8" x14ac:dyDescent="0.25">
      <c r="A146" t="s">
        <v>146</v>
      </c>
      <c r="H146">
        <v>25000</v>
      </c>
    </row>
    <row r="147" spans="1:8" x14ac:dyDescent="0.25">
      <c r="A147" t="s">
        <v>198</v>
      </c>
      <c r="H147">
        <v>25000</v>
      </c>
    </row>
    <row r="148" spans="1:8" x14ac:dyDescent="0.25">
      <c r="A148" t="s">
        <v>253</v>
      </c>
      <c r="H148">
        <v>25000</v>
      </c>
    </row>
    <row r="149" spans="1:8" x14ac:dyDescent="0.25">
      <c r="A149" t="s">
        <v>532</v>
      </c>
      <c r="H149">
        <v>25000</v>
      </c>
    </row>
    <row r="150" spans="1:8" x14ac:dyDescent="0.25">
      <c r="A150" t="s">
        <v>533</v>
      </c>
      <c r="H150">
        <v>25000</v>
      </c>
    </row>
    <row r="151" spans="1:8" x14ac:dyDescent="0.25">
      <c r="A151" t="s">
        <v>190</v>
      </c>
      <c r="H151">
        <v>25000</v>
      </c>
    </row>
    <row r="152" spans="1:8" x14ac:dyDescent="0.25">
      <c r="A152" t="s">
        <v>395</v>
      </c>
      <c r="H152">
        <v>25000</v>
      </c>
    </row>
    <row r="153" spans="1:8" x14ac:dyDescent="0.25">
      <c r="A153" t="s">
        <v>534</v>
      </c>
      <c r="H153">
        <v>25000</v>
      </c>
    </row>
    <row r="154" spans="1:8" x14ac:dyDescent="0.25">
      <c r="A154" t="s">
        <v>154</v>
      </c>
      <c r="H154">
        <v>25000</v>
      </c>
    </row>
    <row r="155" spans="1:8" x14ac:dyDescent="0.25">
      <c r="A155" t="s">
        <v>535</v>
      </c>
      <c r="H155">
        <v>25000</v>
      </c>
    </row>
    <row r="156" spans="1:8" x14ac:dyDescent="0.25">
      <c r="A156" t="s">
        <v>347</v>
      </c>
      <c r="H156">
        <v>25000</v>
      </c>
    </row>
    <row r="157" spans="1:8" x14ac:dyDescent="0.25">
      <c r="A157" t="s">
        <v>536</v>
      </c>
      <c r="H157">
        <v>25000</v>
      </c>
    </row>
    <row r="158" spans="1:8" x14ac:dyDescent="0.25">
      <c r="A158" t="s">
        <v>394</v>
      </c>
      <c r="H158">
        <v>25000</v>
      </c>
    </row>
    <row r="159" spans="1:8" x14ac:dyDescent="0.25">
      <c r="A159" t="s">
        <v>537</v>
      </c>
      <c r="H159">
        <v>25000</v>
      </c>
    </row>
    <row r="160" spans="1:8" x14ac:dyDescent="0.25">
      <c r="A160" t="s">
        <v>339</v>
      </c>
      <c r="H160">
        <v>25000</v>
      </c>
    </row>
    <row r="161" spans="1:8" x14ac:dyDescent="0.25">
      <c r="A161" t="s">
        <v>355</v>
      </c>
      <c r="H161">
        <v>25000</v>
      </c>
    </row>
    <row r="162" spans="1:8" x14ac:dyDescent="0.25">
      <c r="A162" t="s">
        <v>538</v>
      </c>
      <c r="H162">
        <v>30000</v>
      </c>
    </row>
    <row r="163" spans="1:8" x14ac:dyDescent="0.25">
      <c r="A163" t="s">
        <v>539</v>
      </c>
      <c r="H163">
        <v>30000</v>
      </c>
    </row>
    <row r="164" spans="1:8" x14ac:dyDescent="0.25">
      <c r="A164" t="s">
        <v>263</v>
      </c>
      <c r="H164">
        <v>30000</v>
      </c>
    </row>
    <row r="165" spans="1:8" x14ac:dyDescent="0.25">
      <c r="A165" t="s">
        <v>240</v>
      </c>
      <c r="H165">
        <v>30000</v>
      </c>
    </row>
    <row r="166" spans="1:8" x14ac:dyDescent="0.25">
      <c r="A166" t="s">
        <v>344</v>
      </c>
      <c r="H166">
        <v>30000</v>
      </c>
    </row>
    <row r="167" spans="1:8" x14ac:dyDescent="0.25">
      <c r="A167" t="s">
        <v>391</v>
      </c>
      <c r="H167">
        <v>30000</v>
      </c>
    </row>
    <row r="168" spans="1:8" x14ac:dyDescent="0.25">
      <c r="A168" t="s">
        <v>426</v>
      </c>
      <c r="H168">
        <v>30000</v>
      </c>
    </row>
    <row r="169" spans="1:8" x14ac:dyDescent="0.25">
      <c r="A169" t="s">
        <v>540</v>
      </c>
      <c r="H169">
        <v>30000</v>
      </c>
    </row>
    <row r="170" spans="1:8" x14ac:dyDescent="0.25">
      <c r="A170" t="s">
        <v>541</v>
      </c>
      <c r="H170">
        <v>30000</v>
      </c>
    </row>
    <row r="171" spans="1:8" x14ac:dyDescent="0.25">
      <c r="A171" t="s">
        <v>506</v>
      </c>
      <c r="H171">
        <v>30000</v>
      </c>
    </row>
    <row r="172" spans="1:8" x14ac:dyDescent="0.25">
      <c r="A172" t="s">
        <v>324</v>
      </c>
      <c r="H172">
        <v>30000</v>
      </c>
    </row>
    <row r="173" spans="1:8" x14ac:dyDescent="0.25">
      <c r="A173" t="s">
        <v>542</v>
      </c>
      <c r="H173">
        <v>30000</v>
      </c>
    </row>
    <row r="174" spans="1:8" x14ac:dyDescent="0.25">
      <c r="A174" t="s">
        <v>517</v>
      </c>
      <c r="H174">
        <v>30000</v>
      </c>
    </row>
    <row r="175" spans="1:8" x14ac:dyDescent="0.25">
      <c r="A175" t="s">
        <v>357</v>
      </c>
      <c r="H175">
        <v>30000</v>
      </c>
    </row>
    <row r="176" spans="1:8" x14ac:dyDescent="0.25">
      <c r="A176" t="s">
        <v>543</v>
      </c>
      <c r="H176">
        <v>30000</v>
      </c>
    </row>
    <row r="177" spans="1:8" x14ac:dyDescent="0.25">
      <c r="A177" t="s">
        <v>544</v>
      </c>
      <c r="H177">
        <v>40000</v>
      </c>
    </row>
    <row r="178" spans="1:8" x14ac:dyDescent="0.25">
      <c r="A178" t="s">
        <v>545</v>
      </c>
      <c r="H178">
        <v>50000</v>
      </c>
    </row>
    <row r="179" spans="1:8" x14ac:dyDescent="0.25">
      <c r="A179" t="s">
        <v>546</v>
      </c>
      <c r="H179">
        <v>50000</v>
      </c>
    </row>
    <row r="180" spans="1:8" x14ac:dyDescent="0.25">
      <c r="A180" t="s">
        <v>547</v>
      </c>
      <c r="H180">
        <v>50000</v>
      </c>
    </row>
    <row r="181" spans="1:8" x14ac:dyDescent="0.25">
      <c r="A181" t="s">
        <v>548</v>
      </c>
      <c r="H181">
        <v>50000</v>
      </c>
    </row>
    <row r="182" spans="1:8" x14ac:dyDescent="0.25">
      <c r="A182" t="s">
        <v>549</v>
      </c>
      <c r="H182">
        <v>50000</v>
      </c>
    </row>
    <row r="183" spans="1:8" x14ac:dyDescent="0.25">
      <c r="A183" t="s">
        <v>550</v>
      </c>
      <c r="H183">
        <v>50000</v>
      </c>
    </row>
    <row r="184" spans="1:8" x14ac:dyDescent="0.25">
      <c r="A184" t="s">
        <v>551</v>
      </c>
      <c r="H184">
        <v>50000</v>
      </c>
    </row>
    <row r="185" spans="1:8" x14ac:dyDescent="0.25">
      <c r="A185" t="s">
        <v>552</v>
      </c>
      <c r="H185">
        <v>50000</v>
      </c>
    </row>
    <row r="186" spans="1:8" x14ac:dyDescent="0.25">
      <c r="A186" t="s">
        <v>553</v>
      </c>
      <c r="H186">
        <v>50000</v>
      </c>
    </row>
    <row r="187" spans="1:8" x14ac:dyDescent="0.25">
      <c r="A187" t="s">
        <v>469</v>
      </c>
      <c r="D187">
        <v>2800</v>
      </c>
    </row>
    <row r="188" spans="1:8" x14ac:dyDescent="0.25">
      <c r="A188" t="s">
        <v>470</v>
      </c>
      <c r="D188">
        <v>4000</v>
      </c>
    </row>
    <row r="189" spans="1:8" x14ac:dyDescent="0.25">
      <c r="A189" t="s">
        <v>558</v>
      </c>
      <c r="D189">
        <v>7500</v>
      </c>
    </row>
    <row r="190" spans="1:8" x14ac:dyDescent="0.25">
      <c r="A190" t="s">
        <v>152</v>
      </c>
      <c r="D190">
        <v>10000</v>
      </c>
    </row>
    <row r="191" spans="1:8" x14ac:dyDescent="0.25">
      <c r="A191" t="s">
        <v>483</v>
      </c>
      <c r="D191">
        <v>10000</v>
      </c>
    </row>
    <row r="192" spans="1:8" x14ac:dyDescent="0.25">
      <c r="A192" t="s">
        <v>489</v>
      </c>
      <c r="D192">
        <v>10000</v>
      </c>
    </row>
    <row r="193" spans="1:4" x14ac:dyDescent="0.25">
      <c r="A193" t="s">
        <v>484</v>
      </c>
      <c r="D193">
        <v>10000</v>
      </c>
    </row>
    <row r="194" spans="1:4" x14ac:dyDescent="0.25">
      <c r="A194" t="s">
        <v>503</v>
      </c>
      <c r="D194">
        <v>12000</v>
      </c>
    </row>
    <row r="195" spans="1:4" x14ac:dyDescent="0.25">
      <c r="A195" t="s">
        <v>472</v>
      </c>
      <c r="D195">
        <v>12000</v>
      </c>
    </row>
    <row r="196" spans="1:4" x14ac:dyDescent="0.25">
      <c r="A196" t="s">
        <v>478</v>
      </c>
      <c r="D196">
        <v>12000</v>
      </c>
    </row>
    <row r="197" spans="1:4" x14ac:dyDescent="0.25">
      <c r="A197" t="s">
        <v>147</v>
      </c>
      <c r="D197">
        <v>12000</v>
      </c>
    </row>
    <row r="198" spans="1:4" x14ac:dyDescent="0.25">
      <c r="A198" t="s">
        <v>119</v>
      </c>
      <c r="D198">
        <v>15000</v>
      </c>
    </row>
    <row r="199" spans="1:4" x14ac:dyDescent="0.25">
      <c r="A199" t="s">
        <v>242</v>
      </c>
      <c r="D199">
        <v>15000</v>
      </c>
    </row>
    <row r="200" spans="1:4" x14ac:dyDescent="0.25">
      <c r="A200" t="s">
        <v>178</v>
      </c>
      <c r="D200">
        <v>15000</v>
      </c>
    </row>
    <row r="201" spans="1:4" x14ac:dyDescent="0.25">
      <c r="A201" t="s">
        <v>145</v>
      </c>
      <c r="D201">
        <v>15000</v>
      </c>
    </row>
    <row r="202" spans="1:4" x14ac:dyDescent="0.25">
      <c r="A202" t="s">
        <v>493</v>
      </c>
      <c r="D202">
        <v>15000</v>
      </c>
    </row>
    <row r="203" spans="1:4" x14ac:dyDescent="0.25">
      <c r="A203" t="s">
        <v>481</v>
      </c>
      <c r="D203">
        <v>15000</v>
      </c>
    </row>
    <row r="204" spans="1:4" x14ac:dyDescent="0.25">
      <c r="A204" t="s">
        <v>475</v>
      </c>
      <c r="D204">
        <v>15000</v>
      </c>
    </row>
    <row r="205" spans="1:4" x14ac:dyDescent="0.25">
      <c r="A205" t="s">
        <v>479</v>
      </c>
      <c r="D205">
        <v>15000</v>
      </c>
    </row>
    <row r="206" spans="1:4" x14ac:dyDescent="0.25">
      <c r="A206" t="s">
        <v>116</v>
      </c>
      <c r="D206">
        <v>15000</v>
      </c>
    </row>
    <row r="207" spans="1:4" x14ac:dyDescent="0.25">
      <c r="A207" t="s">
        <v>482</v>
      </c>
      <c r="D207">
        <v>15000</v>
      </c>
    </row>
    <row r="208" spans="1:4" x14ac:dyDescent="0.25">
      <c r="A208" t="s">
        <v>492</v>
      </c>
      <c r="D208">
        <v>15000</v>
      </c>
    </row>
    <row r="209" spans="1:4" x14ac:dyDescent="0.25">
      <c r="A209" t="s">
        <v>143</v>
      </c>
      <c r="D209">
        <v>20000</v>
      </c>
    </row>
    <row r="210" spans="1:4" x14ac:dyDescent="0.25">
      <c r="A210" t="s">
        <v>138</v>
      </c>
      <c r="D210">
        <v>20000</v>
      </c>
    </row>
    <row r="211" spans="1:4" x14ac:dyDescent="0.25">
      <c r="A211" t="s">
        <v>161</v>
      </c>
      <c r="D211">
        <v>20000</v>
      </c>
    </row>
    <row r="212" spans="1:4" x14ac:dyDescent="0.25">
      <c r="A212" t="s">
        <v>118</v>
      </c>
      <c r="D212">
        <v>20000</v>
      </c>
    </row>
    <row r="213" spans="1:4" x14ac:dyDescent="0.25">
      <c r="A213" t="s">
        <v>247</v>
      </c>
      <c r="D213">
        <v>20000</v>
      </c>
    </row>
    <row r="214" spans="1:4" x14ac:dyDescent="0.25">
      <c r="A214" t="s">
        <v>179</v>
      </c>
      <c r="D214">
        <v>20000</v>
      </c>
    </row>
    <row r="215" spans="1:4" x14ac:dyDescent="0.25">
      <c r="A215" t="s">
        <v>485</v>
      </c>
      <c r="D215">
        <v>20000</v>
      </c>
    </row>
    <row r="216" spans="1:4" x14ac:dyDescent="0.25">
      <c r="A216" t="s">
        <v>486</v>
      </c>
      <c r="D216">
        <v>20000</v>
      </c>
    </row>
    <row r="217" spans="1:4" x14ac:dyDescent="0.25">
      <c r="A217" t="s">
        <v>127</v>
      </c>
      <c r="D217">
        <v>20000</v>
      </c>
    </row>
    <row r="218" spans="1:4" x14ac:dyDescent="0.25">
      <c r="A218" t="s">
        <v>128</v>
      </c>
      <c r="D218">
        <v>20000</v>
      </c>
    </row>
    <row r="219" spans="1:4" x14ac:dyDescent="0.25">
      <c r="A219" t="s">
        <v>554</v>
      </c>
      <c r="D219">
        <v>20000</v>
      </c>
    </row>
    <row r="220" spans="1:4" x14ac:dyDescent="0.25">
      <c r="A220" t="s">
        <v>476</v>
      </c>
      <c r="D220">
        <v>25000</v>
      </c>
    </row>
    <row r="221" spans="1:4" x14ac:dyDescent="0.25">
      <c r="A221" t="s">
        <v>150</v>
      </c>
      <c r="D221">
        <v>25000</v>
      </c>
    </row>
    <row r="222" spans="1:4" x14ac:dyDescent="0.25">
      <c r="A222" t="s">
        <v>487</v>
      </c>
      <c r="D222">
        <v>25000</v>
      </c>
    </row>
    <row r="223" spans="1:4" x14ac:dyDescent="0.25">
      <c r="A223" t="s">
        <v>480</v>
      </c>
      <c r="D223">
        <v>25000</v>
      </c>
    </row>
    <row r="224" spans="1:4" x14ac:dyDescent="0.25">
      <c r="A224" t="s">
        <v>317</v>
      </c>
      <c r="D224">
        <v>25000</v>
      </c>
    </row>
    <row r="225" spans="1:4" x14ac:dyDescent="0.25">
      <c r="A225" t="s">
        <v>272</v>
      </c>
      <c r="D225">
        <v>25000</v>
      </c>
    </row>
    <row r="226" spans="1:4" x14ac:dyDescent="0.25">
      <c r="A226" t="s">
        <v>117</v>
      </c>
      <c r="D226">
        <v>25000</v>
      </c>
    </row>
    <row r="227" spans="1:4" x14ac:dyDescent="0.25">
      <c r="A227" t="s">
        <v>168</v>
      </c>
      <c r="D227">
        <v>25000</v>
      </c>
    </row>
    <row r="228" spans="1:4" x14ac:dyDescent="0.25">
      <c r="A228" t="s">
        <v>121</v>
      </c>
      <c r="D228">
        <v>25000</v>
      </c>
    </row>
    <row r="229" spans="1:4" x14ac:dyDescent="0.25">
      <c r="A229" t="s">
        <v>136</v>
      </c>
      <c r="D229">
        <v>25000</v>
      </c>
    </row>
    <row r="230" spans="1:4" x14ac:dyDescent="0.25">
      <c r="A230" t="s">
        <v>158</v>
      </c>
      <c r="D230">
        <v>25000</v>
      </c>
    </row>
    <row r="231" spans="1:4" x14ac:dyDescent="0.25">
      <c r="A231" t="s">
        <v>279</v>
      </c>
      <c r="D231">
        <v>25000</v>
      </c>
    </row>
    <row r="232" spans="1:4" x14ac:dyDescent="0.25">
      <c r="A232" t="s">
        <v>114</v>
      </c>
      <c r="D232">
        <v>25000</v>
      </c>
    </row>
    <row r="233" spans="1:4" x14ac:dyDescent="0.25">
      <c r="A233" t="s">
        <v>140</v>
      </c>
      <c r="D233">
        <v>25000</v>
      </c>
    </row>
    <row r="234" spans="1:4" x14ac:dyDescent="0.25">
      <c r="A234" t="s">
        <v>137</v>
      </c>
      <c r="D234">
        <v>25000</v>
      </c>
    </row>
    <row r="235" spans="1:4" x14ac:dyDescent="0.25">
      <c r="A235" t="s">
        <v>273</v>
      </c>
      <c r="D235">
        <v>25000</v>
      </c>
    </row>
    <row r="236" spans="1:4" x14ac:dyDescent="0.25">
      <c r="A236" t="s">
        <v>555</v>
      </c>
      <c r="D236">
        <v>30000</v>
      </c>
    </row>
    <row r="237" spans="1:4" x14ac:dyDescent="0.25">
      <c r="A237" t="s">
        <v>214</v>
      </c>
      <c r="D237">
        <v>30000</v>
      </c>
    </row>
    <row r="238" spans="1:4" x14ac:dyDescent="0.25">
      <c r="A238" t="s">
        <v>488</v>
      </c>
      <c r="D238">
        <v>30000</v>
      </c>
    </row>
    <row r="239" spans="1:4" x14ac:dyDescent="0.25">
      <c r="A239" t="s">
        <v>255</v>
      </c>
      <c r="D239">
        <v>30000</v>
      </c>
    </row>
    <row r="240" spans="1:4" x14ac:dyDescent="0.25">
      <c r="A240" t="s">
        <v>196</v>
      </c>
      <c r="D240">
        <v>30000</v>
      </c>
    </row>
    <row r="241" spans="1:4" x14ac:dyDescent="0.25">
      <c r="A241" t="s">
        <v>133</v>
      </c>
      <c r="D241">
        <v>30000</v>
      </c>
    </row>
    <row r="242" spans="1:4" x14ac:dyDescent="0.25">
      <c r="A242" t="s">
        <v>189</v>
      </c>
      <c r="D242">
        <v>30000</v>
      </c>
    </row>
    <row r="243" spans="1:4" x14ac:dyDescent="0.25">
      <c r="A243" t="s">
        <v>174</v>
      </c>
      <c r="D243">
        <v>30000</v>
      </c>
    </row>
    <row r="244" spans="1:4" x14ac:dyDescent="0.25">
      <c r="A244" t="s">
        <v>159</v>
      </c>
      <c r="D244">
        <v>30000</v>
      </c>
    </row>
    <row r="245" spans="1:4" x14ac:dyDescent="0.25">
      <c r="A245" t="s">
        <v>172</v>
      </c>
      <c r="D245">
        <v>30000</v>
      </c>
    </row>
    <row r="246" spans="1:4" x14ac:dyDescent="0.25">
      <c r="A246" t="s">
        <v>192</v>
      </c>
      <c r="D246">
        <v>30000</v>
      </c>
    </row>
    <row r="247" spans="1:4" x14ac:dyDescent="0.25">
      <c r="A247" t="s">
        <v>556</v>
      </c>
      <c r="D247">
        <v>30000</v>
      </c>
    </row>
    <row r="248" spans="1:4" x14ac:dyDescent="0.25">
      <c r="A248" t="s">
        <v>130</v>
      </c>
      <c r="D248">
        <v>40000</v>
      </c>
    </row>
    <row r="249" spans="1:4" x14ac:dyDescent="0.25">
      <c r="A249" t="s">
        <v>557</v>
      </c>
      <c r="D249">
        <v>50000</v>
      </c>
    </row>
    <row r="250" spans="1:4" x14ac:dyDescent="0.25">
      <c r="A250" t="s">
        <v>246</v>
      </c>
      <c r="D250">
        <v>50000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090AD-C97F-4CF9-A031-892FCA3BAEC0}">
  <sheetPr codeName="Sheet4"/>
  <dimension ref="A1:N582"/>
  <sheetViews>
    <sheetView workbookViewId="0">
      <pane xSplit="1" ySplit="1" topLeftCell="B483" activePane="bottomRight" state="frozen"/>
      <selection pane="topRight" activeCell="B1" sqref="B1"/>
      <selection pane="bottomLeft" activeCell="A2" sqref="A2"/>
      <selection pane="bottomRight" sqref="A1:L517"/>
    </sheetView>
  </sheetViews>
  <sheetFormatPr defaultRowHeight="15" x14ac:dyDescent="0.25"/>
  <cols>
    <col min="1" max="1" width="24.28515625" bestFit="1" customWidth="1"/>
    <col min="2" max="6" width="12.140625" bestFit="1" customWidth="1"/>
    <col min="7" max="7" width="11.28515625" bestFit="1" customWidth="1"/>
    <col min="8" max="8" width="9.5703125" bestFit="1" customWidth="1"/>
    <col min="9" max="9" width="11.140625" bestFit="1" customWidth="1"/>
    <col min="10" max="10" width="8" bestFit="1" customWidth="1"/>
    <col min="11" max="11" width="7" bestFit="1" customWidth="1"/>
    <col min="12" max="12" width="9.28515625" bestFit="1" customWidth="1"/>
    <col min="15" max="15" width="11.140625" bestFit="1" customWidth="1"/>
    <col min="16" max="16" width="2" bestFit="1" customWidth="1"/>
  </cols>
  <sheetData>
    <row r="1" spans="1:14" x14ac:dyDescent="0.2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111</v>
      </c>
      <c r="H1" t="s">
        <v>112</v>
      </c>
      <c r="I1" t="s">
        <v>599</v>
      </c>
      <c r="J1" t="s">
        <v>1</v>
      </c>
      <c r="K1" t="s">
        <v>2</v>
      </c>
      <c r="L1" t="s">
        <v>3</v>
      </c>
    </row>
    <row r="2" spans="1:14" x14ac:dyDescent="0.25">
      <c r="A2" t="s">
        <v>88</v>
      </c>
      <c r="B2" s="1">
        <v>1220.6525429999999</v>
      </c>
      <c r="C2" s="1">
        <v>11.869118009999999</v>
      </c>
      <c r="D2" s="1">
        <v>526.47091790000002</v>
      </c>
      <c r="E2" s="1">
        <v>3.8566466930000001</v>
      </c>
      <c r="F2" s="1">
        <v>67.225831580000005</v>
      </c>
      <c r="G2" s="1">
        <v>57</v>
      </c>
      <c r="H2" s="1">
        <v>1</v>
      </c>
      <c r="I2" s="1" t="s">
        <v>600</v>
      </c>
      <c r="J2" s="1"/>
      <c r="K2" s="1"/>
      <c r="L2" s="1"/>
      <c r="N2" s="2"/>
    </row>
    <row r="3" spans="1:14" x14ac:dyDescent="0.25">
      <c r="A3" t="s">
        <v>96</v>
      </c>
      <c r="B3" s="1">
        <v>1031.6868710000001</v>
      </c>
      <c r="C3" s="1">
        <v>7.6910769060000002</v>
      </c>
      <c r="D3" s="1">
        <v>564.83436359999996</v>
      </c>
      <c r="E3" s="1">
        <v>4.1120716939999999</v>
      </c>
      <c r="F3" s="1">
        <v>64.239006430000003</v>
      </c>
      <c r="G3" s="1">
        <v>56</v>
      </c>
      <c r="H3" s="1">
        <v>2</v>
      </c>
      <c r="I3" s="1" t="s">
        <v>600</v>
      </c>
      <c r="J3" s="1"/>
      <c r="K3" s="1"/>
      <c r="L3" s="1"/>
    </row>
    <row r="4" spans="1:14" x14ac:dyDescent="0.25">
      <c r="A4" t="s">
        <v>92</v>
      </c>
      <c r="B4" s="1">
        <v>1050.6708490000001</v>
      </c>
      <c r="C4" s="1">
        <v>7.9912310829999997</v>
      </c>
      <c r="D4" s="1">
        <v>546.66376809999997</v>
      </c>
      <c r="E4" s="1">
        <v>2.5328557580000002</v>
      </c>
      <c r="F4" s="1">
        <v>67.809652270000001</v>
      </c>
      <c r="G4" s="1">
        <v>55</v>
      </c>
      <c r="H4" s="1">
        <v>3</v>
      </c>
      <c r="I4" s="1" t="s">
        <v>600</v>
      </c>
      <c r="J4" s="1"/>
      <c r="K4" s="1"/>
      <c r="L4" s="1"/>
    </row>
    <row r="5" spans="1:14" x14ac:dyDescent="0.25">
      <c r="A5" t="s">
        <v>78</v>
      </c>
      <c r="B5" s="1">
        <v>85.820829750000001</v>
      </c>
      <c r="C5" s="1">
        <v>0.78496296399999999</v>
      </c>
      <c r="D5" s="1">
        <v>1407.047206</v>
      </c>
      <c r="E5" s="1">
        <v>8.5563324299999994</v>
      </c>
      <c r="F5" s="1">
        <v>112.86428100000001</v>
      </c>
      <c r="G5" s="1">
        <v>55</v>
      </c>
      <c r="H5" s="1">
        <v>4</v>
      </c>
      <c r="I5" s="1" t="s">
        <v>601</v>
      </c>
      <c r="J5" s="1"/>
      <c r="K5" s="1"/>
      <c r="L5" s="1"/>
    </row>
    <row r="6" spans="1:14" x14ac:dyDescent="0.25">
      <c r="A6" t="s">
        <v>64</v>
      </c>
      <c r="B6" s="1">
        <v>25.000999400000001</v>
      </c>
      <c r="C6" s="1">
        <v>0.26532124400000001</v>
      </c>
      <c r="D6" s="1">
        <v>1422.6027919999999</v>
      </c>
      <c r="E6" s="1">
        <v>7.6333667070000004</v>
      </c>
      <c r="F6" s="1">
        <v>105.6896003</v>
      </c>
      <c r="G6" s="1">
        <v>54</v>
      </c>
      <c r="H6" s="1">
        <v>5</v>
      </c>
      <c r="I6" s="1" t="s">
        <v>601</v>
      </c>
      <c r="J6" s="1"/>
      <c r="K6" s="1"/>
      <c r="L6" s="1"/>
    </row>
    <row r="7" spans="1:14" x14ac:dyDescent="0.25">
      <c r="A7" t="s">
        <v>69</v>
      </c>
      <c r="B7" s="1">
        <v>29.208973090000001</v>
      </c>
      <c r="C7" s="1">
        <v>0.25987219299999997</v>
      </c>
      <c r="D7" s="1">
        <v>1263.736686</v>
      </c>
      <c r="E7" s="1">
        <v>7.3955028389999997</v>
      </c>
      <c r="F7" s="1">
        <v>109.61859629999999</v>
      </c>
      <c r="G7" s="1">
        <v>53</v>
      </c>
      <c r="H7" s="1">
        <v>6</v>
      </c>
      <c r="I7" s="1" t="s">
        <v>601</v>
      </c>
      <c r="J7" s="1"/>
      <c r="K7" s="1"/>
      <c r="L7" s="1"/>
    </row>
    <row r="8" spans="1:14" x14ac:dyDescent="0.25">
      <c r="A8" t="s">
        <v>74</v>
      </c>
      <c r="B8" s="1">
        <v>18.15912398</v>
      </c>
      <c r="C8" s="1">
        <v>0.15580345300000001</v>
      </c>
      <c r="D8" s="1">
        <v>1347.0218749999999</v>
      </c>
      <c r="E8" s="1">
        <v>8.3136087360000008</v>
      </c>
      <c r="F8" s="1">
        <v>105.89822599999999</v>
      </c>
      <c r="G8" s="1">
        <v>53</v>
      </c>
      <c r="H8" s="1">
        <v>7</v>
      </c>
      <c r="I8" s="1" t="s">
        <v>601</v>
      </c>
      <c r="J8" s="1"/>
      <c r="K8" s="1"/>
      <c r="L8" s="1"/>
    </row>
    <row r="9" spans="1:14" x14ac:dyDescent="0.25">
      <c r="A9" t="s">
        <v>66</v>
      </c>
      <c r="B9" s="1">
        <v>10.25313618</v>
      </c>
      <c r="C9" s="1">
        <v>9.6852292000000006E-2</v>
      </c>
      <c r="D9" s="1">
        <v>1354.472698</v>
      </c>
      <c r="E9" s="1">
        <v>6.6181234</v>
      </c>
      <c r="F9" s="1">
        <v>105.6617758</v>
      </c>
      <c r="G9" s="1">
        <v>52</v>
      </c>
      <c r="H9" s="1">
        <v>8</v>
      </c>
      <c r="I9" s="1" t="s">
        <v>601</v>
      </c>
      <c r="J9" s="1"/>
      <c r="K9" s="1"/>
      <c r="L9" s="1"/>
    </row>
    <row r="10" spans="1:14" x14ac:dyDescent="0.25">
      <c r="A10" t="s">
        <v>103</v>
      </c>
      <c r="B10" s="1">
        <v>1179.9614019999999</v>
      </c>
      <c r="C10" s="1">
        <v>9.7583420160000003</v>
      </c>
      <c r="D10" s="1">
        <v>318.48329180000002</v>
      </c>
      <c r="E10" s="1">
        <v>1.4447078019999999</v>
      </c>
      <c r="F10" s="1">
        <v>41.116514629999998</v>
      </c>
      <c r="G10" s="1">
        <v>51</v>
      </c>
      <c r="H10" s="1">
        <v>9</v>
      </c>
      <c r="I10" s="1" t="s">
        <v>600</v>
      </c>
      <c r="J10" s="1"/>
      <c r="K10" s="1"/>
      <c r="L10" s="1"/>
    </row>
    <row r="11" spans="1:14" x14ac:dyDescent="0.25">
      <c r="A11" t="s">
        <v>104</v>
      </c>
      <c r="B11" s="1">
        <v>1043.636074</v>
      </c>
      <c r="C11" s="1">
        <v>8.7709054769999995</v>
      </c>
      <c r="D11" s="1">
        <v>360.41945779999998</v>
      </c>
      <c r="E11" s="1">
        <v>2.376675831</v>
      </c>
      <c r="F11" s="1">
        <v>45.989852370000001</v>
      </c>
      <c r="G11" s="1">
        <v>50</v>
      </c>
      <c r="H11" s="1">
        <v>10</v>
      </c>
      <c r="I11" s="1" t="s">
        <v>600</v>
      </c>
      <c r="J11" s="1"/>
      <c r="K11" s="1"/>
      <c r="L11" s="1"/>
    </row>
    <row r="12" spans="1:14" x14ac:dyDescent="0.25">
      <c r="A12" t="s">
        <v>491</v>
      </c>
      <c r="B12" s="1"/>
      <c r="C12" s="1"/>
      <c r="D12" s="1">
        <v>1251.3897899999999</v>
      </c>
      <c r="E12" s="1">
        <v>7.6329215079999999</v>
      </c>
      <c r="F12" s="1">
        <v>89.655627789999997</v>
      </c>
      <c r="G12" s="1">
        <v>48</v>
      </c>
      <c r="H12" s="1">
        <v>11</v>
      </c>
      <c r="I12" s="1" t="s">
        <v>601</v>
      </c>
      <c r="J12" s="1"/>
      <c r="K12" s="1"/>
      <c r="L12" s="1"/>
    </row>
    <row r="13" spans="1:14" x14ac:dyDescent="0.25">
      <c r="A13" t="s">
        <v>79</v>
      </c>
      <c r="B13" s="1">
        <v>77.450822840000001</v>
      </c>
      <c r="C13" s="1">
        <v>0.65177903000000004</v>
      </c>
      <c r="D13" s="1">
        <v>1237.3910149999999</v>
      </c>
      <c r="E13" s="1">
        <v>5.914162127</v>
      </c>
      <c r="F13" s="1">
        <v>88.473984360000003</v>
      </c>
      <c r="G13" s="1">
        <v>46</v>
      </c>
      <c r="H13" s="1">
        <v>12</v>
      </c>
      <c r="I13" s="1" t="s">
        <v>601</v>
      </c>
      <c r="J13" s="1"/>
      <c r="K13" s="1"/>
      <c r="L13" s="1"/>
    </row>
    <row r="14" spans="1:14" x14ac:dyDescent="0.25">
      <c r="A14" t="s">
        <v>63</v>
      </c>
      <c r="B14" s="1">
        <v>23.69025066</v>
      </c>
      <c r="C14" s="1">
        <v>0.198401045</v>
      </c>
      <c r="D14" s="1">
        <v>1139.9145249999999</v>
      </c>
      <c r="E14" s="1">
        <v>9.0647368480000008</v>
      </c>
      <c r="F14" s="1">
        <v>80.499802939999995</v>
      </c>
      <c r="G14" s="1">
        <v>45</v>
      </c>
      <c r="H14" s="1">
        <v>13</v>
      </c>
      <c r="I14" s="1" t="s">
        <v>601</v>
      </c>
      <c r="J14" s="1"/>
      <c r="K14" s="1"/>
      <c r="L14" s="1"/>
    </row>
    <row r="15" spans="1:14" x14ac:dyDescent="0.25">
      <c r="A15" t="s">
        <v>469</v>
      </c>
      <c r="B15" s="1">
        <v>871.65025619999994</v>
      </c>
      <c r="C15" s="1">
        <v>8.2806183890000007</v>
      </c>
      <c r="D15" s="1">
        <v>374.6051147</v>
      </c>
      <c r="E15" s="1">
        <v>2.4830763629999999</v>
      </c>
      <c r="F15" s="1">
        <v>50.59015307</v>
      </c>
      <c r="G15" s="1">
        <v>43</v>
      </c>
      <c r="H15" s="1">
        <v>14</v>
      </c>
      <c r="I15" s="1" t="s">
        <v>600</v>
      </c>
      <c r="J15" s="1"/>
      <c r="K15" s="1"/>
      <c r="L15" s="1"/>
    </row>
    <row r="16" spans="1:14" x14ac:dyDescent="0.25">
      <c r="A16" t="s">
        <v>470</v>
      </c>
      <c r="B16" s="1">
        <v>1076.381834</v>
      </c>
      <c r="C16" s="1">
        <v>10.157340899999999</v>
      </c>
      <c r="D16" s="1">
        <v>284.59330160000002</v>
      </c>
      <c r="E16" s="1">
        <v>1.8536635690000001</v>
      </c>
      <c r="F16" s="1">
        <v>34.543637959999998</v>
      </c>
      <c r="G16" s="1">
        <v>42</v>
      </c>
      <c r="H16" s="1">
        <v>15</v>
      </c>
      <c r="I16" s="1" t="s">
        <v>600</v>
      </c>
      <c r="J16" s="1"/>
      <c r="K16" s="1"/>
      <c r="L16" s="1"/>
    </row>
    <row r="17" spans="1:12" x14ac:dyDescent="0.25">
      <c r="A17" t="s">
        <v>93</v>
      </c>
      <c r="B17" s="1">
        <v>977.88022579999995</v>
      </c>
      <c r="C17" s="1">
        <v>8.139850891</v>
      </c>
      <c r="D17" s="1">
        <v>290.25862460000002</v>
      </c>
      <c r="E17" s="1">
        <v>2.0231262490000002</v>
      </c>
      <c r="F17" s="1">
        <v>45.539737019999997</v>
      </c>
      <c r="G17" s="1">
        <v>40</v>
      </c>
      <c r="H17" s="1">
        <v>16</v>
      </c>
      <c r="I17" s="1" t="s">
        <v>600</v>
      </c>
      <c r="J17" s="1"/>
      <c r="K17" s="1"/>
      <c r="L17" s="1"/>
    </row>
    <row r="18" spans="1:12" x14ac:dyDescent="0.25">
      <c r="A18" t="s">
        <v>502</v>
      </c>
      <c r="B18" s="1">
        <v>949.76684469999998</v>
      </c>
      <c r="C18" s="1">
        <v>6.9697552719999996</v>
      </c>
      <c r="D18" s="1">
        <v>355.08533690000002</v>
      </c>
      <c r="E18" s="1">
        <v>1.1374301849999999</v>
      </c>
      <c r="F18" s="1">
        <v>46.714221819999999</v>
      </c>
      <c r="G18" s="1">
        <v>38</v>
      </c>
      <c r="H18" s="1">
        <v>17</v>
      </c>
      <c r="I18" s="1" t="s">
        <v>600</v>
      </c>
      <c r="J18" s="1"/>
      <c r="K18" s="1"/>
      <c r="L18" s="1"/>
    </row>
    <row r="19" spans="1:12" x14ac:dyDescent="0.25">
      <c r="A19" t="s">
        <v>60</v>
      </c>
      <c r="B19" s="1"/>
      <c r="C19" s="1"/>
      <c r="D19" s="1">
        <v>1262.135888</v>
      </c>
      <c r="E19" s="1">
        <v>5.5636605259999996</v>
      </c>
      <c r="F19" s="1">
        <v>86.507818</v>
      </c>
      <c r="G19" s="1">
        <v>37</v>
      </c>
      <c r="H19" s="1">
        <v>18</v>
      </c>
      <c r="I19" s="1" t="s">
        <v>601</v>
      </c>
      <c r="J19" s="1"/>
      <c r="K19" s="1"/>
      <c r="L19" s="1"/>
    </row>
    <row r="20" spans="1:12" x14ac:dyDescent="0.25">
      <c r="A20" t="s">
        <v>75</v>
      </c>
      <c r="B20" s="1"/>
      <c r="C20" s="1"/>
      <c r="D20" s="1">
        <v>1150.2021629999999</v>
      </c>
      <c r="E20" s="1">
        <v>4.9681280719999998</v>
      </c>
      <c r="F20" s="1">
        <v>89.335045370000003</v>
      </c>
      <c r="G20" s="1">
        <v>36</v>
      </c>
      <c r="H20" s="1">
        <v>19</v>
      </c>
      <c r="I20" s="1" t="s">
        <v>601</v>
      </c>
      <c r="J20" s="1"/>
      <c r="K20" s="1"/>
      <c r="L20" s="1"/>
    </row>
    <row r="21" spans="1:12" x14ac:dyDescent="0.25">
      <c r="A21" t="s">
        <v>501</v>
      </c>
      <c r="B21" s="1"/>
      <c r="C21" s="1"/>
      <c r="D21" s="1">
        <v>1085.0907319999999</v>
      </c>
      <c r="E21" s="1">
        <v>4.0155713110000004</v>
      </c>
      <c r="F21" s="1">
        <v>98.755134819999995</v>
      </c>
      <c r="G21" s="1">
        <v>35</v>
      </c>
      <c r="H21" s="1">
        <v>20</v>
      </c>
      <c r="I21" s="1" t="s">
        <v>601</v>
      </c>
      <c r="J21" s="1"/>
      <c r="K21" s="1"/>
      <c r="L21" s="1"/>
    </row>
    <row r="22" spans="1:12" x14ac:dyDescent="0.25">
      <c r="A22" t="s">
        <v>82</v>
      </c>
      <c r="B22" s="1"/>
      <c r="C22" s="1"/>
      <c r="D22" s="1">
        <v>1135.956447</v>
      </c>
      <c r="E22" s="1">
        <v>7.415413773</v>
      </c>
      <c r="F22" s="1">
        <v>76.827998179999994</v>
      </c>
      <c r="G22" s="1">
        <v>34</v>
      </c>
      <c r="H22" s="1">
        <v>21</v>
      </c>
      <c r="I22" s="1" t="s">
        <v>601</v>
      </c>
      <c r="J22" s="1"/>
      <c r="K22" s="1"/>
      <c r="L22" s="1"/>
    </row>
    <row r="23" spans="1:12" x14ac:dyDescent="0.25">
      <c r="A23" t="s">
        <v>499</v>
      </c>
      <c r="B23" s="1"/>
      <c r="C23" s="1"/>
      <c r="D23" s="1">
        <v>1117.879829</v>
      </c>
      <c r="E23" s="1">
        <v>5.7473256599999996</v>
      </c>
      <c r="F23" s="1">
        <v>82.413330770000002</v>
      </c>
      <c r="G23" s="1">
        <v>33</v>
      </c>
      <c r="H23" s="1">
        <v>22</v>
      </c>
      <c r="I23" s="1" t="s">
        <v>601</v>
      </c>
      <c r="J23" s="1"/>
      <c r="K23" s="1"/>
      <c r="L23" s="1"/>
    </row>
    <row r="24" spans="1:12" x14ac:dyDescent="0.25">
      <c r="A24" t="s">
        <v>71</v>
      </c>
      <c r="B24" s="1"/>
      <c r="C24" s="1"/>
      <c r="D24" s="1">
        <v>1022.171285</v>
      </c>
      <c r="E24" s="1">
        <v>6.7814973180000004</v>
      </c>
      <c r="F24" s="1">
        <v>83.322959639999993</v>
      </c>
      <c r="G24" s="1">
        <v>32</v>
      </c>
      <c r="H24" s="1">
        <v>23</v>
      </c>
      <c r="I24" s="1" t="s">
        <v>601</v>
      </c>
      <c r="J24" s="1"/>
      <c r="K24" s="1"/>
      <c r="L24" s="1"/>
    </row>
    <row r="25" spans="1:12" x14ac:dyDescent="0.25">
      <c r="A25" t="s">
        <v>106</v>
      </c>
      <c r="B25" s="1">
        <v>1059.4162940000001</v>
      </c>
      <c r="C25" s="1">
        <v>11.47637742</v>
      </c>
      <c r="D25" s="1">
        <v>223.12639250000001</v>
      </c>
      <c r="E25" s="1">
        <v>1.1121721499999999</v>
      </c>
      <c r="F25" s="1">
        <v>27.211011379999999</v>
      </c>
      <c r="G25" s="1">
        <v>32</v>
      </c>
      <c r="H25" s="1">
        <v>24</v>
      </c>
      <c r="I25" s="1" t="s">
        <v>600</v>
      </c>
      <c r="J25" s="1"/>
      <c r="K25" s="1"/>
      <c r="L25" s="1"/>
    </row>
    <row r="26" spans="1:12" x14ac:dyDescent="0.25">
      <c r="A26" t="s">
        <v>95</v>
      </c>
      <c r="B26" s="1">
        <v>867.89192390000005</v>
      </c>
      <c r="C26" s="1">
        <v>6.326910507</v>
      </c>
      <c r="D26" s="1">
        <v>394.4979596</v>
      </c>
      <c r="E26" s="1">
        <v>1.7193246149999999</v>
      </c>
      <c r="F26" s="1">
        <v>53.416610759999998</v>
      </c>
      <c r="G26" s="1">
        <v>31</v>
      </c>
      <c r="H26" s="1">
        <v>25</v>
      </c>
      <c r="I26" s="1" t="s">
        <v>600</v>
      </c>
      <c r="J26" s="1"/>
      <c r="K26" s="1"/>
      <c r="L26" s="1"/>
    </row>
    <row r="27" spans="1:12" x14ac:dyDescent="0.25">
      <c r="A27" t="s">
        <v>474</v>
      </c>
      <c r="B27" s="1"/>
      <c r="C27" s="1"/>
      <c r="D27" s="1">
        <v>1081.76729</v>
      </c>
      <c r="E27" s="1">
        <v>5.455459179</v>
      </c>
      <c r="F27" s="1">
        <v>82.118358749999999</v>
      </c>
      <c r="G27" s="1">
        <v>30</v>
      </c>
      <c r="H27" s="1">
        <v>27</v>
      </c>
      <c r="I27" s="1" t="s">
        <v>601</v>
      </c>
      <c r="J27" s="1"/>
      <c r="K27" s="1"/>
      <c r="L27" s="1"/>
    </row>
    <row r="28" spans="1:12" x14ac:dyDescent="0.25">
      <c r="A28" t="s">
        <v>61</v>
      </c>
      <c r="B28" s="1"/>
      <c r="C28" s="1"/>
      <c r="D28" s="1">
        <v>1058.9053739999999</v>
      </c>
      <c r="E28" s="1">
        <v>7.479964431</v>
      </c>
      <c r="F28" s="1">
        <v>77.612166189999996</v>
      </c>
      <c r="G28" s="1">
        <v>30</v>
      </c>
      <c r="H28" s="1">
        <v>26</v>
      </c>
      <c r="I28" s="1" t="s">
        <v>601</v>
      </c>
      <c r="J28" s="1"/>
      <c r="K28" s="1"/>
      <c r="L28" s="1"/>
    </row>
    <row r="29" spans="1:12" x14ac:dyDescent="0.25">
      <c r="A29" t="s">
        <v>102</v>
      </c>
      <c r="B29" s="1">
        <v>749.61311590000003</v>
      </c>
      <c r="C29" s="1">
        <v>4.6248622360000002</v>
      </c>
      <c r="D29" s="1">
        <v>487.77775300000002</v>
      </c>
      <c r="E29" s="1">
        <v>1.8198991959999999</v>
      </c>
      <c r="F29" s="1">
        <v>66.744717949999995</v>
      </c>
      <c r="G29" s="1">
        <v>29</v>
      </c>
      <c r="H29" s="1">
        <v>28</v>
      </c>
      <c r="I29" s="1" t="s">
        <v>600</v>
      </c>
      <c r="J29" s="1"/>
      <c r="K29" s="1"/>
      <c r="L29" s="1"/>
    </row>
    <row r="30" spans="1:12" x14ac:dyDescent="0.25">
      <c r="A30" t="s">
        <v>94</v>
      </c>
      <c r="B30" s="1">
        <v>936.45471150000003</v>
      </c>
      <c r="C30" s="1">
        <v>4.3533574799999997</v>
      </c>
      <c r="D30" s="1">
        <v>406.6632836</v>
      </c>
      <c r="E30" s="1">
        <v>2.3650434319999998</v>
      </c>
      <c r="F30" s="1">
        <v>49.184254080000002</v>
      </c>
      <c r="G30" s="1">
        <v>28</v>
      </c>
      <c r="H30" s="1">
        <v>29</v>
      </c>
      <c r="I30" s="1" t="s">
        <v>600</v>
      </c>
      <c r="J30" s="1"/>
      <c r="K30" s="1"/>
      <c r="L30" s="1"/>
    </row>
    <row r="31" spans="1:12" x14ac:dyDescent="0.25">
      <c r="A31" t="s">
        <v>99</v>
      </c>
      <c r="B31" s="1">
        <v>883.74116670000001</v>
      </c>
      <c r="C31" s="1">
        <v>6.6785939599999997</v>
      </c>
      <c r="D31" s="1">
        <v>297.29852940000001</v>
      </c>
      <c r="E31" s="1">
        <v>2.890640619</v>
      </c>
      <c r="F31" s="1">
        <v>42.383458959999999</v>
      </c>
      <c r="G31" s="1">
        <v>27</v>
      </c>
      <c r="H31" s="1">
        <v>30</v>
      </c>
      <c r="I31" s="1" t="s">
        <v>600</v>
      </c>
      <c r="J31" s="1"/>
      <c r="K31" s="1"/>
      <c r="L31" s="1"/>
    </row>
    <row r="32" spans="1:12" x14ac:dyDescent="0.25">
      <c r="A32" t="s">
        <v>471</v>
      </c>
      <c r="B32" s="1"/>
      <c r="C32" s="1"/>
      <c r="D32" s="1">
        <v>1077.7793180000001</v>
      </c>
      <c r="E32" s="1">
        <v>8.2072090240000009</v>
      </c>
      <c r="F32" s="1">
        <v>70.053424579999998</v>
      </c>
      <c r="G32" s="1">
        <v>26</v>
      </c>
      <c r="H32" s="1">
        <v>31</v>
      </c>
      <c r="I32" s="1" t="s">
        <v>601</v>
      </c>
      <c r="J32" s="1"/>
      <c r="K32" s="1"/>
      <c r="L32" s="1"/>
    </row>
    <row r="33" spans="1:12" x14ac:dyDescent="0.25">
      <c r="A33" t="s">
        <v>53</v>
      </c>
      <c r="B33" s="1">
        <v>164.6336392</v>
      </c>
      <c r="C33" s="1">
        <v>2.8024818269999998</v>
      </c>
      <c r="D33" s="1">
        <v>922.9270798</v>
      </c>
      <c r="E33" s="1">
        <v>5.6212690380000003</v>
      </c>
      <c r="F33" s="1">
        <v>62.206034729999999</v>
      </c>
      <c r="G33" s="1">
        <v>25</v>
      </c>
      <c r="H33" s="1">
        <v>32</v>
      </c>
      <c r="I33" s="1" t="s">
        <v>601</v>
      </c>
      <c r="J33" s="1"/>
      <c r="K33" s="1"/>
      <c r="L33" s="1"/>
    </row>
    <row r="34" spans="1:12" x14ac:dyDescent="0.25">
      <c r="A34" t="s">
        <v>81</v>
      </c>
      <c r="B34" s="1">
        <v>12.6475642</v>
      </c>
      <c r="C34" s="1">
        <v>9.5252555000000003E-2</v>
      </c>
      <c r="D34" s="1">
        <v>1048.1103599999999</v>
      </c>
      <c r="E34" s="1">
        <v>6.6989467029999998</v>
      </c>
      <c r="F34" s="1">
        <v>77.389605230000001</v>
      </c>
      <c r="G34" s="1">
        <v>24</v>
      </c>
      <c r="H34" s="1">
        <v>33</v>
      </c>
      <c r="I34" s="1" t="s">
        <v>601</v>
      </c>
      <c r="J34" s="1"/>
      <c r="K34" s="1"/>
      <c r="L34" s="1"/>
    </row>
    <row r="35" spans="1:12" x14ac:dyDescent="0.25">
      <c r="A35" t="s">
        <v>472</v>
      </c>
      <c r="B35" s="1"/>
      <c r="C35" s="1"/>
      <c r="D35" s="1">
        <v>1067.025388</v>
      </c>
      <c r="E35" s="1">
        <v>6.8434635019999996</v>
      </c>
      <c r="F35" s="1">
        <v>75.121091120000003</v>
      </c>
      <c r="G35" s="1">
        <v>23</v>
      </c>
      <c r="H35" s="1">
        <v>34</v>
      </c>
      <c r="I35" s="1" t="s">
        <v>601</v>
      </c>
      <c r="J35" s="1"/>
      <c r="K35" s="1"/>
      <c r="L35" s="1"/>
    </row>
    <row r="36" spans="1:12" x14ac:dyDescent="0.25">
      <c r="A36" t="s">
        <v>72</v>
      </c>
      <c r="B36" s="1">
        <v>0.68267583600000004</v>
      </c>
      <c r="C36" s="1">
        <v>3.9424452999999998E-2</v>
      </c>
      <c r="D36" s="1">
        <v>837.76938029999997</v>
      </c>
      <c r="E36" s="1">
        <v>6.9997653399999997</v>
      </c>
      <c r="F36" s="1">
        <v>82.999220249999993</v>
      </c>
      <c r="G36" s="1">
        <v>22</v>
      </c>
      <c r="H36" s="1">
        <v>38</v>
      </c>
      <c r="I36" s="1" t="s">
        <v>603</v>
      </c>
      <c r="J36" s="1"/>
      <c r="K36" s="1"/>
      <c r="L36" s="1"/>
    </row>
    <row r="37" spans="1:12" x14ac:dyDescent="0.25">
      <c r="A37" t="s">
        <v>18</v>
      </c>
      <c r="B37" s="1">
        <v>496.12603460000003</v>
      </c>
      <c r="C37" s="1">
        <v>8.5729280019999994</v>
      </c>
      <c r="D37" s="1"/>
      <c r="E37" s="1"/>
      <c r="F37" s="1"/>
      <c r="G37" s="1">
        <v>22</v>
      </c>
      <c r="H37" s="1">
        <v>35</v>
      </c>
      <c r="I37" s="1" t="s">
        <v>602</v>
      </c>
      <c r="J37" s="1">
        <v>3747.244702</v>
      </c>
      <c r="K37" s="1">
        <v>23.054531539999999</v>
      </c>
      <c r="L37" s="1">
        <v>12.45991341</v>
      </c>
    </row>
    <row r="38" spans="1:12" x14ac:dyDescent="0.25">
      <c r="A38" t="s">
        <v>68</v>
      </c>
      <c r="B38" s="1"/>
      <c r="C38" s="1"/>
      <c r="D38" s="1">
        <v>859.86470959999997</v>
      </c>
      <c r="E38" s="1">
        <v>6.600248251</v>
      </c>
      <c r="F38" s="1">
        <v>84.156096210000001</v>
      </c>
      <c r="G38" s="1">
        <v>22</v>
      </c>
      <c r="H38" s="1">
        <v>37</v>
      </c>
      <c r="I38" s="1" t="s">
        <v>603</v>
      </c>
      <c r="J38" s="1"/>
      <c r="K38" s="1"/>
      <c r="L38" s="1"/>
    </row>
    <row r="39" spans="1:12" x14ac:dyDescent="0.25">
      <c r="A39" t="s">
        <v>22</v>
      </c>
      <c r="B39" s="1">
        <v>535.67675810000003</v>
      </c>
      <c r="C39" s="1">
        <v>9.9353529690000002</v>
      </c>
      <c r="D39" s="1"/>
      <c r="E39" s="1"/>
      <c r="F39" s="1"/>
      <c r="G39" s="1">
        <v>21</v>
      </c>
      <c r="H39" s="1">
        <v>39</v>
      </c>
      <c r="I39" s="1" t="s">
        <v>602</v>
      </c>
      <c r="J39" s="1">
        <v>3619.1769800000002</v>
      </c>
      <c r="K39" s="1">
        <v>20.92282239</v>
      </c>
      <c r="L39" s="1">
        <v>11.260558440000001</v>
      </c>
    </row>
    <row r="40" spans="1:12" x14ac:dyDescent="0.25">
      <c r="A40" t="s">
        <v>105</v>
      </c>
      <c r="B40" s="1">
        <v>945.47959600000002</v>
      </c>
      <c r="C40" s="1">
        <v>6.6262525170000002</v>
      </c>
      <c r="D40" s="1">
        <v>287.2851781</v>
      </c>
      <c r="E40" s="1">
        <v>1.353942628</v>
      </c>
      <c r="F40" s="1">
        <v>37.347418439999998</v>
      </c>
      <c r="G40" s="1">
        <v>21</v>
      </c>
      <c r="H40" s="1">
        <v>41</v>
      </c>
      <c r="I40" s="1" t="s">
        <v>600</v>
      </c>
      <c r="J40" s="1"/>
      <c r="K40" s="1"/>
      <c r="L40" s="1"/>
    </row>
    <row r="41" spans="1:12" x14ac:dyDescent="0.25">
      <c r="A41" t="s">
        <v>558</v>
      </c>
      <c r="B41" s="1">
        <v>1015.807971</v>
      </c>
      <c r="C41" s="1">
        <v>8.4755652650000002</v>
      </c>
      <c r="D41" s="1">
        <v>230.677313</v>
      </c>
      <c r="E41" s="1">
        <v>0.81369283999999997</v>
      </c>
      <c r="F41" s="1">
        <v>30.818543859999998</v>
      </c>
      <c r="G41" s="1">
        <v>20</v>
      </c>
      <c r="H41" s="1">
        <v>42</v>
      </c>
      <c r="I41" s="1" t="s">
        <v>600</v>
      </c>
      <c r="J41" s="1"/>
      <c r="K41" s="1"/>
      <c r="L41" s="1"/>
    </row>
    <row r="42" spans="1:12" x14ac:dyDescent="0.25">
      <c r="A42" t="s">
        <v>98</v>
      </c>
      <c r="B42" s="1">
        <v>750.38581859999999</v>
      </c>
      <c r="C42" s="1">
        <v>5.9582706099999996</v>
      </c>
      <c r="D42" s="1">
        <v>388.95538099999999</v>
      </c>
      <c r="E42" s="1">
        <v>2.5070768050000001</v>
      </c>
      <c r="F42" s="1">
        <v>46.52860012</v>
      </c>
      <c r="G42" s="1">
        <v>19</v>
      </c>
      <c r="H42" s="1">
        <v>43</v>
      </c>
      <c r="I42" s="1" t="s">
        <v>600</v>
      </c>
      <c r="J42" s="1"/>
      <c r="K42" s="1"/>
      <c r="L42" s="1"/>
    </row>
    <row r="43" spans="1:12" x14ac:dyDescent="0.25">
      <c r="A43" t="s">
        <v>473</v>
      </c>
      <c r="B43" s="1"/>
      <c r="C43" s="1"/>
      <c r="D43" s="1">
        <v>1039.884755</v>
      </c>
      <c r="E43" s="1">
        <v>6.3259831809999998</v>
      </c>
      <c r="F43" s="1">
        <v>83.842758119999999</v>
      </c>
      <c r="G43" s="1">
        <v>19</v>
      </c>
      <c r="H43" s="1">
        <v>44</v>
      </c>
      <c r="I43" s="1" t="s">
        <v>601</v>
      </c>
      <c r="J43" s="1"/>
      <c r="K43" s="1"/>
      <c r="L43" s="1"/>
    </row>
    <row r="44" spans="1:12" x14ac:dyDescent="0.25">
      <c r="A44" t="s">
        <v>65</v>
      </c>
      <c r="B44" s="1">
        <v>11.798531090000001</v>
      </c>
      <c r="C44" s="1">
        <v>7.8172376000000002E-2</v>
      </c>
      <c r="D44" s="1">
        <v>1040.3394539999999</v>
      </c>
      <c r="E44" s="1">
        <v>5.7070064670000002</v>
      </c>
      <c r="F44" s="1">
        <v>86.437541949999996</v>
      </c>
      <c r="G44" s="1">
        <v>18</v>
      </c>
      <c r="H44" s="1">
        <v>45</v>
      </c>
      <c r="I44" s="1" t="s">
        <v>601</v>
      </c>
      <c r="J44" s="1"/>
      <c r="K44" s="1"/>
      <c r="L44" s="1"/>
    </row>
    <row r="45" spans="1:12" x14ac:dyDescent="0.25">
      <c r="A45" t="s">
        <v>59</v>
      </c>
      <c r="B45" s="1">
        <v>24.954042619999999</v>
      </c>
      <c r="C45" s="1">
        <v>0.23920513900000001</v>
      </c>
      <c r="D45" s="1">
        <v>1057.4176829999999</v>
      </c>
      <c r="E45" s="1">
        <v>4.6979895789999997</v>
      </c>
      <c r="F45" s="1">
        <v>80.63119485</v>
      </c>
      <c r="G45" s="1">
        <v>17</v>
      </c>
      <c r="H45" s="1">
        <v>46</v>
      </c>
      <c r="I45" s="1" t="s">
        <v>601</v>
      </c>
      <c r="J45" s="1"/>
      <c r="K45" s="1"/>
      <c r="L45" s="1"/>
    </row>
    <row r="46" spans="1:12" x14ac:dyDescent="0.25">
      <c r="A46" t="s">
        <v>76</v>
      </c>
      <c r="B46" s="1">
        <v>11.99405075</v>
      </c>
      <c r="C46" s="1">
        <v>0.103482397</v>
      </c>
      <c r="D46" s="1">
        <v>996.27619960000004</v>
      </c>
      <c r="E46" s="1">
        <v>6.5121156740000004</v>
      </c>
      <c r="F46" s="1">
        <v>78.059392090000003</v>
      </c>
      <c r="G46" s="1">
        <v>17</v>
      </c>
      <c r="H46" s="1">
        <v>47</v>
      </c>
      <c r="I46" s="1" t="s">
        <v>601</v>
      </c>
      <c r="J46" s="1"/>
      <c r="K46" s="1"/>
      <c r="L46" s="1"/>
    </row>
    <row r="47" spans="1:12" x14ac:dyDescent="0.25">
      <c r="A47" t="s">
        <v>87</v>
      </c>
      <c r="B47" s="1">
        <v>18.797577010000001</v>
      </c>
      <c r="C47" s="1">
        <v>0.144241223</v>
      </c>
      <c r="D47" s="1">
        <v>999.68954650000001</v>
      </c>
      <c r="E47" s="1">
        <v>7.3390059470000004</v>
      </c>
      <c r="F47" s="1">
        <v>72.992614239999995</v>
      </c>
      <c r="G47" s="1">
        <v>15</v>
      </c>
      <c r="H47" s="1">
        <v>48</v>
      </c>
      <c r="I47" s="1" t="s">
        <v>601</v>
      </c>
      <c r="J47" s="1"/>
      <c r="K47" s="1"/>
      <c r="L47" s="1"/>
    </row>
    <row r="48" spans="1:12" x14ac:dyDescent="0.25">
      <c r="A48" t="s">
        <v>62</v>
      </c>
      <c r="B48" s="1">
        <v>55.396322230000003</v>
      </c>
      <c r="C48" s="1">
        <v>0.50671851700000003</v>
      </c>
      <c r="D48" s="1">
        <v>970.89924029999997</v>
      </c>
      <c r="E48" s="1">
        <v>5.5390881690000002</v>
      </c>
      <c r="F48" s="1">
        <v>78.422828060000001</v>
      </c>
      <c r="G48" s="1">
        <v>15</v>
      </c>
      <c r="H48" s="1">
        <v>49</v>
      </c>
      <c r="I48" s="1" t="s">
        <v>601</v>
      </c>
      <c r="J48" s="1"/>
      <c r="K48" s="1"/>
      <c r="L48" s="1"/>
    </row>
    <row r="49" spans="1:12" x14ac:dyDescent="0.25">
      <c r="A49" t="s">
        <v>50</v>
      </c>
      <c r="B49" s="1"/>
      <c r="C49" s="1"/>
      <c r="D49" s="1">
        <v>1034.0981569999999</v>
      </c>
      <c r="E49" s="1">
        <v>7.2050037900000001</v>
      </c>
      <c r="F49" s="1">
        <v>70.047208319999996</v>
      </c>
      <c r="G49" s="1">
        <v>14</v>
      </c>
      <c r="H49" s="1">
        <v>50</v>
      </c>
      <c r="I49" s="1" t="s">
        <v>601</v>
      </c>
      <c r="J49" s="1"/>
      <c r="K49" s="1"/>
      <c r="L49" s="1"/>
    </row>
    <row r="50" spans="1:12" x14ac:dyDescent="0.25">
      <c r="A50" t="s">
        <v>19</v>
      </c>
      <c r="B50" s="1">
        <v>737.03249040000003</v>
      </c>
      <c r="C50" s="1">
        <v>5.6741160710000003</v>
      </c>
      <c r="D50" s="1"/>
      <c r="E50" s="1"/>
      <c r="F50" s="1"/>
      <c r="G50" s="1">
        <v>13</v>
      </c>
      <c r="H50" s="1">
        <v>51</v>
      </c>
      <c r="I50" s="1" t="s">
        <v>602</v>
      </c>
      <c r="J50" s="1">
        <v>3394.5702200000001</v>
      </c>
      <c r="K50" s="1">
        <v>21.979898540000001</v>
      </c>
      <c r="L50" s="1">
        <v>11.14339341</v>
      </c>
    </row>
    <row r="51" spans="1:12" x14ac:dyDescent="0.25">
      <c r="A51" t="s">
        <v>35</v>
      </c>
      <c r="B51" s="1">
        <v>336.97565370000001</v>
      </c>
      <c r="C51" s="1">
        <v>0.97287195000000004</v>
      </c>
      <c r="D51" s="1"/>
      <c r="E51" s="1"/>
      <c r="F51" s="1"/>
      <c r="G51" s="1">
        <v>13</v>
      </c>
      <c r="H51" s="1">
        <v>53</v>
      </c>
      <c r="I51" s="1" t="s">
        <v>602</v>
      </c>
      <c r="J51" s="1">
        <v>4032.3495050000001</v>
      </c>
      <c r="K51" s="1">
        <v>33.194442860000002</v>
      </c>
      <c r="L51" s="1">
        <v>10.928672130000001</v>
      </c>
    </row>
    <row r="52" spans="1:12" x14ac:dyDescent="0.25">
      <c r="A52" t="s">
        <v>85</v>
      </c>
      <c r="B52" s="1"/>
      <c r="C52" s="1"/>
      <c r="D52" s="1">
        <v>819.16459310000005</v>
      </c>
      <c r="E52" s="1">
        <v>6.9746615109999999</v>
      </c>
      <c r="F52" s="1">
        <v>73.695127510000006</v>
      </c>
      <c r="G52" s="1">
        <v>12</v>
      </c>
      <c r="H52" s="1">
        <v>55</v>
      </c>
      <c r="I52" s="1" t="s">
        <v>603</v>
      </c>
      <c r="J52" s="1"/>
      <c r="K52" s="1"/>
      <c r="L52" s="1"/>
    </row>
    <row r="53" spans="1:12" x14ac:dyDescent="0.25">
      <c r="A53" t="s">
        <v>40</v>
      </c>
      <c r="B53" s="1">
        <v>24.471901840000001</v>
      </c>
      <c r="C53" s="1">
        <v>0.26533890100000002</v>
      </c>
      <c r="D53" s="1">
        <v>970.78677860000005</v>
      </c>
      <c r="E53" s="1">
        <v>5.3350817079999997</v>
      </c>
      <c r="F53" s="1">
        <v>81.093073000000004</v>
      </c>
      <c r="G53" s="1">
        <v>11</v>
      </c>
      <c r="H53" s="1">
        <v>57</v>
      </c>
      <c r="I53" s="1" t="s">
        <v>601</v>
      </c>
      <c r="J53" s="1"/>
      <c r="K53" s="1"/>
      <c r="L53" s="1"/>
    </row>
    <row r="54" spans="1:12" x14ac:dyDescent="0.25">
      <c r="A54" t="s">
        <v>83</v>
      </c>
      <c r="B54" s="1">
        <v>28.515374730000001</v>
      </c>
      <c r="C54" s="1">
        <v>0.21170565699999999</v>
      </c>
      <c r="D54" s="1">
        <v>1091.2669450000001</v>
      </c>
      <c r="E54" s="1">
        <v>4.6027815240000001</v>
      </c>
      <c r="F54" s="1">
        <v>70.998447749999997</v>
      </c>
      <c r="G54" s="1">
        <v>11</v>
      </c>
      <c r="H54" s="1">
        <v>56</v>
      </c>
      <c r="I54" s="1" t="s">
        <v>601</v>
      </c>
      <c r="J54" s="1"/>
      <c r="K54" s="1"/>
      <c r="L54" s="1"/>
    </row>
    <row r="55" spans="1:12" x14ac:dyDescent="0.25">
      <c r="A55" t="s">
        <v>55</v>
      </c>
      <c r="B55" s="1"/>
      <c r="C55" s="1"/>
      <c r="D55" s="1">
        <v>1042.626976</v>
      </c>
      <c r="E55" s="1">
        <v>5.4252659980000004</v>
      </c>
      <c r="F55" s="1">
        <v>73.278995230000007</v>
      </c>
      <c r="G55" s="1">
        <v>10</v>
      </c>
      <c r="H55" s="1">
        <v>59</v>
      </c>
      <c r="I55" s="1" t="s">
        <v>601</v>
      </c>
      <c r="J55" s="1"/>
      <c r="K55" s="1"/>
      <c r="L55" s="1"/>
    </row>
    <row r="56" spans="1:12" x14ac:dyDescent="0.25">
      <c r="A56" t="s">
        <v>476</v>
      </c>
      <c r="B56" s="1"/>
      <c r="C56" s="1"/>
      <c r="D56" s="1">
        <v>793.88909160000003</v>
      </c>
      <c r="E56" s="1">
        <v>3.5573724200000001</v>
      </c>
      <c r="F56" s="1">
        <v>82.666801680000006</v>
      </c>
      <c r="G56" s="1">
        <v>10</v>
      </c>
      <c r="H56" s="1">
        <v>60</v>
      </c>
      <c r="I56" s="1" t="s">
        <v>603</v>
      </c>
      <c r="J56" s="1"/>
      <c r="K56" s="1"/>
      <c r="L56" s="1"/>
    </row>
    <row r="57" spans="1:12" x14ac:dyDescent="0.25">
      <c r="A57" t="s">
        <v>480</v>
      </c>
      <c r="B57" s="1"/>
      <c r="C57" s="1"/>
      <c r="D57" s="1">
        <v>787.67204509999999</v>
      </c>
      <c r="E57" s="1">
        <v>3.0787038710000001</v>
      </c>
      <c r="F57" s="1">
        <v>87.022485459999999</v>
      </c>
      <c r="G57" s="1">
        <v>10</v>
      </c>
      <c r="H57" s="1">
        <v>61</v>
      </c>
      <c r="I57" s="1" t="s">
        <v>603</v>
      </c>
      <c r="J57" s="1"/>
      <c r="K57" s="1"/>
      <c r="L57" s="1"/>
    </row>
    <row r="58" spans="1:12" x14ac:dyDescent="0.25">
      <c r="A58" t="s">
        <v>43</v>
      </c>
      <c r="B58" s="1">
        <v>92.871733649999996</v>
      </c>
      <c r="C58" s="1">
        <v>0.58121464199999995</v>
      </c>
      <c r="D58" s="1">
        <v>934.40560140000002</v>
      </c>
      <c r="E58" s="1">
        <v>5.7749164620000002</v>
      </c>
      <c r="F58" s="1">
        <v>69.998140430000007</v>
      </c>
      <c r="G58" s="1">
        <v>10</v>
      </c>
      <c r="H58" s="1">
        <v>58</v>
      </c>
      <c r="I58" s="1" t="s">
        <v>601</v>
      </c>
      <c r="J58" s="1"/>
      <c r="K58" s="1"/>
      <c r="L58" s="1"/>
    </row>
    <row r="59" spans="1:12" x14ac:dyDescent="0.25">
      <c r="A59" t="s">
        <v>12</v>
      </c>
      <c r="B59" s="1">
        <v>545.58439290000001</v>
      </c>
      <c r="C59" s="1">
        <v>9.0343390489999997</v>
      </c>
      <c r="D59" s="1"/>
      <c r="E59" s="1"/>
      <c r="F59" s="1"/>
      <c r="G59" s="1">
        <v>9</v>
      </c>
      <c r="H59" s="1">
        <v>62</v>
      </c>
      <c r="I59" s="1" t="s">
        <v>602</v>
      </c>
      <c r="J59" s="1">
        <v>3375.1021260000002</v>
      </c>
      <c r="K59" s="1">
        <v>15.935090600000001</v>
      </c>
      <c r="L59" s="1">
        <v>11.757093019999999</v>
      </c>
    </row>
    <row r="60" spans="1:12" x14ac:dyDescent="0.25">
      <c r="A60" t="s">
        <v>490</v>
      </c>
      <c r="B60" s="1">
        <v>181.7172583</v>
      </c>
      <c r="C60" s="1">
        <v>2.5206543780000001</v>
      </c>
      <c r="D60" s="1"/>
      <c r="E60" s="1"/>
      <c r="F60" s="1"/>
      <c r="G60" s="1">
        <v>9</v>
      </c>
      <c r="H60" s="1">
        <v>64</v>
      </c>
      <c r="I60" s="1" t="s">
        <v>602</v>
      </c>
      <c r="J60" s="1">
        <v>4058.5111510000002</v>
      </c>
      <c r="K60" s="1">
        <v>26.803849339999999</v>
      </c>
      <c r="L60" s="1">
        <v>10.770464309999999</v>
      </c>
    </row>
    <row r="61" spans="1:12" x14ac:dyDescent="0.25">
      <c r="A61" t="s">
        <v>32</v>
      </c>
      <c r="B61" s="1">
        <v>174.03755169999999</v>
      </c>
      <c r="C61" s="1">
        <v>2.5750457440000001</v>
      </c>
      <c r="D61" s="1"/>
      <c r="E61" s="1"/>
      <c r="F61" s="1"/>
      <c r="G61" s="1">
        <v>9</v>
      </c>
      <c r="H61" s="1">
        <v>66</v>
      </c>
      <c r="I61" s="1" t="s">
        <v>602</v>
      </c>
      <c r="J61" s="1">
        <v>4130.3192289999997</v>
      </c>
      <c r="K61" s="1">
        <v>26.767267329999999</v>
      </c>
      <c r="L61" s="1">
        <v>11.369328940000001</v>
      </c>
    </row>
    <row r="62" spans="1:12" x14ac:dyDescent="0.25">
      <c r="A62" t="s">
        <v>107</v>
      </c>
      <c r="B62" s="1">
        <v>832.16463940000006</v>
      </c>
      <c r="C62" s="1">
        <v>5.1341183260000003</v>
      </c>
      <c r="D62" s="1">
        <v>249.2433667</v>
      </c>
      <c r="E62" s="1">
        <v>1.3879416330000001</v>
      </c>
      <c r="F62" s="1">
        <v>34.83517166</v>
      </c>
      <c r="G62" s="1">
        <v>8</v>
      </c>
      <c r="H62" s="1">
        <v>72</v>
      </c>
      <c r="I62" s="1" t="s">
        <v>600</v>
      </c>
      <c r="J62" s="1"/>
      <c r="K62" s="1"/>
      <c r="L62" s="1"/>
    </row>
    <row r="63" spans="1:12" x14ac:dyDescent="0.25">
      <c r="A63" t="s">
        <v>29</v>
      </c>
      <c r="B63" s="1">
        <v>226.93954830000001</v>
      </c>
      <c r="C63" s="1">
        <v>2.0527631629999998</v>
      </c>
      <c r="D63" s="1"/>
      <c r="E63" s="1"/>
      <c r="F63" s="1"/>
      <c r="G63" s="1">
        <v>8</v>
      </c>
      <c r="H63" s="1">
        <v>69</v>
      </c>
      <c r="I63" s="1" t="s">
        <v>602</v>
      </c>
      <c r="J63" s="1">
        <v>4073.8812739999998</v>
      </c>
      <c r="K63" s="1">
        <v>26.580700950000001</v>
      </c>
      <c r="L63" s="1">
        <v>12.26798636</v>
      </c>
    </row>
    <row r="64" spans="1:12" x14ac:dyDescent="0.25">
      <c r="A64" t="s">
        <v>475</v>
      </c>
      <c r="B64" s="1">
        <v>790.77570860000003</v>
      </c>
      <c r="C64" s="1">
        <v>4.7388093490000003</v>
      </c>
      <c r="D64" s="1">
        <v>335.5083138</v>
      </c>
      <c r="E64" s="1">
        <v>0.99739192300000001</v>
      </c>
      <c r="F64" s="1">
        <v>46.046782059999998</v>
      </c>
      <c r="G64" s="1">
        <v>8</v>
      </c>
      <c r="H64" s="1">
        <v>71</v>
      </c>
      <c r="I64" s="1" t="s">
        <v>600</v>
      </c>
      <c r="J64" s="1"/>
      <c r="K64" s="1"/>
      <c r="L64" s="1"/>
    </row>
    <row r="65" spans="1:12" x14ac:dyDescent="0.25">
      <c r="A65" t="s">
        <v>479</v>
      </c>
      <c r="B65" s="1">
        <v>814.92605330000004</v>
      </c>
      <c r="C65" s="1">
        <v>5.7573020850000001</v>
      </c>
      <c r="D65" s="1">
        <v>223.74719339999999</v>
      </c>
      <c r="E65" s="1">
        <v>1.1074864360000001</v>
      </c>
      <c r="F65" s="1">
        <v>33.183931610000002</v>
      </c>
      <c r="G65" s="1">
        <v>7</v>
      </c>
      <c r="H65" s="1">
        <v>73</v>
      </c>
      <c r="I65" s="1" t="s">
        <v>600</v>
      </c>
      <c r="J65" s="1"/>
      <c r="K65" s="1"/>
      <c r="L65" s="1"/>
    </row>
    <row r="66" spans="1:12" x14ac:dyDescent="0.25">
      <c r="A66" t="s">
        <v>100</v>
      </c>
      <c r="B66" s="1">
        <v>740.86488940000004</v>
      </c>
      <c r="C66" s="1">
        <v>4.4110879130000002</v>
      </c>
      <c r="D66" s="1">
        <v>342.40449100000001</v>
      </c>
      <c r="E66" s="1">
        <v>1.8506261129999999</v>
      </c>
      <c r="F66" s="1">
        <v>43.074783099999998</v>
      </c>
      <c r="G66" s="1">
        <v>7</v>
      </c>
      <c r="H66" s="1">
        <v>75</v>
      </c>
      <c r="I66" s="1" t="s">
        <v>600</v>
      </c>
      <c r="J66" s="1"/>
      <c r="K66" s="1"/>
      <c r="L66" s="1"/>
    </row>
    <row r="67" spans="1:12" x14ac:dyDescent="0.25">
      <c r="A67" t="s">
        <v>97</v>
      </c>
      <c r="B67" s="1">
        <v>865.02907019999998</v>
      </c>
      <c r="C67" s="1">
        <v>5.1548044009999998</v>
      </c>
      <c r="D67" s="1">
        <v>246.4936912</v>
      </c>
      <c r="E67" s="1">
        <v>0.77062700299999998</v>
      </c>
      <c r="F67" s="1">
        <v>35.432386080000001</v>
      </c>
      <c r="G67" s="1">
        <v>7</v>
      </c>
      <c r="H67" s="1">
        <v>76</v>
      </c>
      <c r="I67" s="1" t="s">
        <v>600</v>
      </c>
      <c r="J67" s="1"/>
      <c r="K67" s="1"/>
      <c r="L67" s="1"/>
    </row>
    <row r="68" spans="1:12" x14ac:dyDescent="0.25">
      <c r="A68" t="s">
        <v>86</v>
      </c>
      <c r="B68" s="1">
        <v>13.010279560000001</v>
      </c>
      <c r="C68" s="1">
        <v>8.6554058000000003E-2</v>
      </c>
      <c r="D68" s="1">
        <v>986.14103709999995</v>
      </c>
      <c r="E68" s="1">
        <v>6.2104239000000003</v>
      </c>
      <c r="F68" s="1">
        <v>71.484034199999996</v>
      </c>
      <c r="G68" s="1">
        <v>7</v>
      </c>
      <c r="H68" s="1">
        <v>77</v>
      </c>
      <c r="I68" s="1" t="s">
        <v>601</v>
      </c>
      <c r="J68" s="1"/>
      <c r="K68" s="1"/>
      <c r="L68" s="1"/>
    </row>
    <row r="69" spans="1:12" x14ac:dyDescent="0.25">
      <c r="A69" t="s">
        <v>44</v>
      </c>
      <c r="B69" s="1"/>
      <c r="C69" s="1"/>
      <c r="D69" s="1">
        <v>889.89120979999996</v>
      </c>
      <c r="E69" s="1">
        <v>4.7369666649999997</v>
      </c>
      <c r="F69" s="1">
        <v>75.880725190000007</v>
      </c>
      <c r="G69" s="1">
        <v>6</v>
      </c>
      <c r="H69" s="1">
        <v>82</v>
      </c>
      <c r="I69" s="1" t="s">
        <v>601</v>
      </c>
      <c r="J69" s="1"/>
      <c r="K69" s="1"/>
      <c r="L69" s="1"/>
    </row>
    <row r="70" spans="1:12" x14ac:dyDescent="0.25">
      <c r="A70" t="s">
        <v>54</v>
      </c>
      <c r="B70" s="1"/>
      <c r="C70" s="1"/>
      <c r="D70" s="1">
        <v>845.04497819999995</v>
      </c>
      <c r="E70" s="1">
        <v>4.6801686150000004</v>
      </c>
      <c r="F70" s="1">
        <v>62.798027699999999</v>
      </c>
      <c r="G70" s="1">
        <v>6</v>
      </c>
      <c r="H70" s="1">
        <v>83</v>
      </c>
      <c r="I70" s="1" t="s">
        <v>603</v>
      </c>
      <c r="J70" s="1"/>
      <c r="K70" s="1"/>
      <c r="L70" s="1"/>
    </row>
    <row r="71" spans="1:12" x14ac:dyDescent="0.25">
      <c r="A71" t="s">
        <v>38</v>
      </c>
      <c r="B71" s="1"/>
      <c r="C71" s="1"/>
      <c r="D71" s="1">
        <v>1011.543823</v>
      </c>
      <c r="E71" s="1">
        <v>3.2468120100000002</v>
      </c>
      <c r="F71" s="1">
        <v>74.489447839999997</v>
      </c>
      <c r="G71" s="1">
        <v>6</v>
      </c>
      <c r="H71" s="1">
        <v>81</v>
      </c>
      <c r="I71" s="1" t="s">
        <v>601</v>
      </c>
      <c r="J71" s="1"/>
      <c r="K71" s="1"/>
      <c r="L71" s="1"/>
    </row>
    <row r="72" spans="1:12" x14ac:dyDescent="0.25">
      <c r="A72" t="s">
        <v>483</v>
      </c>
      <c r="B72" s="1">
        <v>11.210774929999999</v>
      </c>
      <c r="C72" s="1">
        <v>9.2173711000000005E-2</v>
      </c>
      <c r="D72" s="1">
        <v>877.26141770000004</v>
      </c>
      <c r="E72" s="1">
        <v>7.5250525259999996</v>
      </c>
      <c r="F72" s="1">
        <v>75.269564990000006</v>
      </c>
      <c r="G72" s="1">
        <v>6</v>
      </c>
      <c r="H72" s="1">
        <v>79</v>
      </c>
      <c r="I72" s="1" t="s">
        <v>601</v>
      </c>
      <c r="J72" s="1"/>
      <c r="K72" s="1"/>
      <c r="L72" s="1"/>
    </row>
    <row r="73" spans="1:12" x14ac:dyDescent="0.25">
      <c r="A73" t="s">
        <v>52</v>
      </c>
      <c r="B73" s="1">
        <v>12.44891704</v>
      </c>
      <c r="C73" s="1">
        <v>9.3817965000000003E-2</v>
      </c>
      <c r="D73" s="1">
        <v>883.03754160000005</v>
      </c>
      <c r="E73" s="1">
        <v>4.7981864979999997</v>
      </c>
      <c r="F73" s="1">
        <v>84.531086070000001</v>
      </c>
      <c r="G73" s="1">
        <v>6</v>
      </c>
      <c r="H73" s="1">
        <v>78</v>
      </c>
      <c r="I73" s="1" t="s">
        <v>601</v>
      </c>
      <c r="J73" s="1"/>
      <c r="K73" s="1"/>
      <c r="L73" s="1"/>
    </row>
    <row r="74" spans="1:12" x14ac:dyDescent="0.25">
      <c r="A74" t="s">
        <v>48</v>
      </c>
      <c r="B74" s="1">
        <v>11.88468042</v>
      </c>
      <c r="C74" s="1">
        <v>7.8538625000000001E-2</v>
      </c>
      <c r="D74" s="1">
        <v>951.53746960000001</v>
      </c>
      <c r="E74" s="1">
        <v>4.3990983320000003</v>
      </c>
      <c r="F74" s="1">
        <v>83.523048790000004</v>
      </c>
      <c r="G74" s="1">
        <v>6</v>
      </c>
      <c r="H74" s="1">
        <v>80</v>
      </c>
      <c r="I74" s="1" t="s">
        <v>601</v>
      </c>
      <c r="J74" s="1"/>
      <c r="K74" s="1"/>
      <c r="L74" s="1"/>
    </row>
    <row r="75" spans="1:12" x14ac:dyDescent="0.25">
      <c r="A75" t="s">
        <v>46</v>
      </c>
      <c r="B75" s="1"/>
      <c r="C75" s="1"/>
      <c r="D75" s="1">
        <v>735.89584000000002</v>
      </c>
      <c r="E75" s="1">
        <v>3.9829925369999999</v>
      </c>
      <c r="F75" s="1">
        <v>75.299602160000006</v>
      </c>
      <c r="G75" s="1">
        <v>5</v>
      </c>
      <c r="H75" s="1">
        <v>84</v>
      </c>
      <c r="I75" s="1" t="s">
        <v>603</v>
      </c>
      <c r="J75" s="1"/>
      <c r="K75" s="1"/>
      <c r="L75" s="1"/>
    </row>
    <row r="76" spans="1:12" x14ac:dyDescent="0.25">
      <c r="A76" t="s">
        <v>45</v>
      </c>
      <c r="B76" s="1"/>
      <c r="C76" s="1"/>
      <c r="D76" s="1">
        <v>822.40531559999999</v>
      </c>
      <c r="E76" s="1">
        <v>4.1564297400000001</v>
      </c>
      <c r="F76" s="1">
        <v>59.869593950000002</v>
      </c>
      <c r="G76" s="1">
        <v>5</v>
      </c>
      <c r="H76" s="1">
        <v>87</v>
      </c>
      <c r="I76" s="1" t="s">
        <v>603</v>
      </c>
      <c r="J76" s="1"/>
      <c r="K76" s="1"/>
      <c r="L76" s="1"/>
    </row>
    <row r="77" spans="1:12" x14ac:dyDescent="0.25">
      <c r="A77" t="s">
        <v>503</v>
      </c>
      <c r="B77" s="1">
        <v>840.62384489999999</v>
      </c>
      <c r="C77" s="1">
        <v>4.5746966630000001</v>
      </c>
      <c r="D77" s="1">
        <v>273.30843920000001</v>
      </c>
      <c r="E77" s="1">
        <v>1.0957635130000001</v>
      </c>
      <c r="F77" s="1">
        <v>34.845577069999997</v>
      </c>
      <c r="G77" s="1">
        <v>5</v>
      </c>
      <c r="H77" s="1">
        <v>88</v>
      </c>
      <c r="I77" s="1" t="s">
        <v>600</v>
      </c>
      <c r="J77" s="1"/>
      <c r="K77" s="1"/>
      <c r="L77" s="1"/>
    </row>
    <row r="78" spans="1:12" x14ac:dyDescent="0.25">
      <c r="A78" t="s">
        <v>482</v>
      </c>
      <c r="B78" s="1">
        <v>889.93362730000001</v>
      </c>
      <c r="C78" s="1">
        <v>5.8463713090000002</v>
      </c>
      <c r="D78" s="1">
        <v>168.7176719</v>
      </c>
      <c r="E78" s="1">
        <v>1.2518566280000001</v>
      </c>
      <c r="F78" s="1">
        <v>28.014737709999999</v>
      </c>
      <c r="G78" s="1">
        <v>5</v>
      </c>
      <c r="H78" s="1">
        <v>89</v>
      </c>
      <c r="I78" s="1" t="s">
        <v>600</v>
      </c>
      <c r="J78" s="1"/>
      <c r="K78" s="1"/>
      <c r="L78" s="1"/>
    </row>
    <row r="79" spans="1:12" x14ac:dyDescent="0.25">
      <c r="A79" t="s">
        <v>67</v>
      </c>
      <c r="B79" s="1">
        <v>12.85370477</v>
      </c>
      <c r="C79" s="1">
        <v>9.6404206000000006E-2</v>
      </c>
      <c r="D79" s="1">
        <v>804.61142110000003</v>
      </c>
      <c r="E79" s="1">
        <v>5.552084443</v>
      </c>
      <c r="F79" s="1">
        <v>59.751374570000003</v>
      </c>
      <c r="G79" s="1">
        <v>4</v>
      </c>
      <c r="H79" s="1">
        <v>99</v>
      </c>
      <c r="I79" s="1" t="s">
        <v>601</v>
      </c>
      <c r="J79" s="1"/>
      <c r="K79" s="1"/>
      <c r="L79" s="1"/>
    </row>
    <row r="80" spans="1:12" x14ac:dyDescent="0.25">
      <c r="A80" t="s">
        <v>37</v>
      </c>
      <c r="B80" s="1">
        <v>85.878354520000002</v>
      </c>
      <c r="C80" s="1">
        <v>0.57494494299999999</v>
      </c>
      <c r="D80" s="1">
        <v>769.35787270000003</v>
      </c>
      <c r="E80" s="1">
        <v>5.0930408969999998</v>
      </c>
      <c r="F80" s="1">
        <v>62.999240489999998</v>
      </c>
      <c r="G80" s="1">
        <v>4</v>
      </c>
      <c r="H80" s="1">
        <v>95</v>
      </c>
      <c r="I80" s="1" t="s">
        <v>601</v>
      </c>
      <c r="J80" s="1"/>
      <c r="K80" s="1"/>
      <c r="L80" s="1"/>
    </row>
    <row r="81" spans="1:12" x14ac:dyDescent="0.25">
      <c r="A81" t="s">
        <v>77</v>
      </c>
      <c r="B81" s="1">
        <v>35.16885619</v>
      </c>
      <c r="C81" s="1">
        <v>0.27539996100000003</v>
      </c>
      <c r="D81" s="1">
        <v>762.18874949999997</v>
      </c>
      <c r="E81" s="1">
        <v>6.2582285049999999</v>
      </c>
      <c r="F81" s="1">
        <v>56.486196270000001</v>
      </c>
      <c r="G81" s="1">
        <v>4</v>
      </c>
      <c r="H81" s="1">
        <v>98</v>
      </c>
      <c r="I81" s="1" t="s">
        <v>601</v>
      </c>
      <c r="J81" s="1"/>
      <c r="K81" s="1"/>
      <c r="L81" s="1"/>
    </row>
    <row r="82" spans="1:12" x14ac:dyDescent="0.25">
      <c r="A82" t="s">
        <v>488</v>
      </c>
      <c r="B82" s="1"/>
      <c r="C82" s="1"/>
      <c r="D82" s="1">
        <v>874.50455420000003</v>
      </c>
      <c r="E82" s="1">
        <v>5.1888612439999999</v>
      </c>
      <c r="F82" s="1">
        <v>70.052090190000001</v>
      </c>
      <c r="G82" s="1">
        <v>4</v>
      </c>
      <c r="H82" s="1">
        <v>96</v>
      </c>
      <c r="I82" s="1" t="s">
        <v>601</v>
      </c>
      <c r="J82" s="1"/>
      <c r="K82" s="1"/>
      <c r="L82" s="1"/>
    </row>
    <row r="83" spans="1:12" x14ac:dyDescent="0.25">
      <c r="A83" t="s">
        <v>57</v>
      </c>
      <c r="B83" s="1"/>
      <c r="C83" s="1"/>
      <c r="D83" s="1">
        <v>897.13565949999997</v>
      </c>
      <c r="E83" s="1">
        <v>4.9215873630000004</v>
      </c>
      <c r="F83" s="1">
        <v>70.935799020000005</v>
      </c>
      <c r="G83" s="1">
        <v>4</v>
      </c>
      <c r="H83" s="1">
        <v>93</v>
      </c>
      <c r="I83" s="1" t="s">
        <v>601</v>
      </c>
      <c r="J83" s="1"/>
      <c r="K83" s="1"/>
      <c r="L83" s="1"/>
    </row>
    <row r="84" spans="1:12" x14ac:dyDescent="0.25">
      <c r="A84" t="s">
        <v>47</v>
      </c>
      <c r="B84" s="1">
        <v>38.080010850000001</v>
      </c>
      <c r="C84" s="1">
        <v>0.30349522600000001</v>
      </c>
      <c r="D84" s="1">
        <v>843.62873149999996</v>
      </c>
      <c r="E84" s="1">
        <v>7.6207586120000004</v>
      </c>
      <c r="F84" s="1">
        <v>55.11509272</v>
      </c>
      <c r="G84" s="1">
        <v>4</v>
      </c>
      <c r="H84" s="1">
        <v>94</v>
      </c>
      <c r="I84" s="1" t="s">
        <v>601</v>
      </c>
      <c r="J84" s="1"/>
      <c r="K84" s="1"/>
      <c r="L84" s="1"/>
    </row>
    <row r="85" spans="1:12" x14ac:dyDescent="0.25">
      <c r="A85" t="s">
        <v>485</v>
      </c>
      <c r="B85" s="1">
        <v>669.1395589</v>
      </c>
      <c r="C85" s="1">
        <v>4.0420905720000002</v>
      </c>
      <c r="D85" s="1">
        <v>298.52078119999999</v>
      </c>
      <c r="E85" s="1">
        <v>1.292070754</v>
      </c>
      <c r="F85" s="1">
        <v>48.677178169999998</v>
      </c>
      <c r="G85" s="1">
        <v>4</v>
      </c>
      <c r="H85" s="1">
        <v>92</v>
      </c>
      <c r="I85" s="1" t="s">
        <v>600</v>
      </c>
      <c r="J85" s="1"/>
      <c r="K85" s="1"/>
      <c r="L85" s="1"/>
    </row>
    <row r="86" spans="1:12" x14ac:dyDescent="0.25">
      <c r="A86" t="s">
        <v>481</v>
      </c>
      <c r="B86" s="1">
        <v>597.98308059999999</v>
      </c>
      <c r="C86" s="1">
        <v>3.104907925</v>
      </c>
      <c r="D86" s="1">
        <v>370.2380339</v>
      </c>
      <c r="E86" s="1">
        <v>1.386594833</v>
      </c>
      <c r="F86" s="1">
        <v>54.232109600000001</v>
      </c>
      <c r="G86" s="1">
        <v>4</v>
      </c>
      <c r="H86" s="1">
        <v>91</v>
      </c>
      <c r="I86" s="1" t="s">
        <v>600</v>
      </c>
      <c r="J86" s="1"/>
      <c r="K86" s="1"/>
      <c r="L86" s="1"/>
    </row>
    <row r="87" spans="1:12" x14ac:dyDescent="0.25">
      <c r="A87" t="s">
        <v>478</v>
      </c>
      <c r="B87" s="1">
        <v>795.25606189999996</v>
      </c>
      <c r="C87" s="1">
        <v>9.3595671659999997</v>
      </c>
      <c r="D87" s="1">
        <v>162.36775249999999</v>
      </c>
      <c r="E87" s="1">
        <v>0.70801524900000001</v>
      </c>
      <c r="F87" s="1">
        <v>21.728096579999999</v>
      </c>
      <c r="G87" s="1">
        <v>4</v>
      </c>
      <c r="H87" s="1">
        <v>90</v>
      </c>
      <c r="I87" s="1" t="s">
        <v>600</v>
      </c>
      <c r="J87" s="1"/>
      <c r="K87" s="1"/>
      <c r="L87" s="1"/>
    </row>
    <row r="88" spans="1:12" x14ac:dyDescent="0.25">
      <c r="A88" t="s">
        <v>25</v>
      </c>
      <c r="B88" s="1">
        <v>209.35444409999999</v>
      </c>
      <c r="C88" s="1">
        <v>2.5439695539999998</v>
      </c>
      <c r="D88" s="1"/>
      <c r="E88" s="1"/>
      <c r="F88" s="1"/>
      <c r="G88" s="1">
        <v>3</v>
      </c>
      <c r="H88" s="1">
        <v>107</v>
      </c>
      <c r="I88" s="1" t="s">
        <v>602</v>
      </c>
      <c r="J88" s="1">
        <v>3725.477386</v>
      </c>
      <c r="K88" s="1">
        <v>26.43086885</v>
      </c>
      <c r="L88" s="1">
        <v>12.66991018</v>
      </c>
    </row>
    <row r="89" spans="1:12" x14ac:dyDescent="0.25">
      <c r="A89" t="s">
        <v>80</v>
      </c>
      <c r="B89" s="1"/>
      <c r="C89" s="1"/>
      <c r="D89" s="1">
        <v>815.82524639999997</v>
      </c>
      <c r="E89" s="1">
        <v>4.957569662</v>
      </c>
      <c r="F89" s="1">
        <v>58.869292440000002</v>
      </c>
      <c r="G89" s="1">
        <v>3</v>
      </c>
      <c r="H89" s="1">
        <v>113</v>
      </c>
      <c r="I89" s="1" t="s">
        <v>601</v>
      </c>
      <c r="J89" s="1"/>
      <c r="K89" s="1"/>
      <c r="L89" s="1"/>
    </row>
    <row r="90" spans="1:12" x14ac:dyDescent="0.25">
      <c r="A90" t="s">
        <v>73</v>
      </c>
      <c r="B90" s="1">
        <v>13.679991960000001</v>
      </c>
      <c r="C90" s="1">
        <v>7.4635529000000006E-2</v>
      </c>
      <c r="D90" s="1">
        <v>799.01726929999995</v>
      </c>
      <c r="E90" s="1">
        <v>4.8151380250000004</v>
      </c>
      <c r="F90" s="1">
        <v>63.535094649999998</v>
      </c>
      <c r="G90" s="1">
        <v>3</v>
      </c>
      <c r="H90" s="1">
        <v>111</v>
      </c>
      <c r="I90" s="1" t="s">
        <v>601</v>
      </c>
      <c r="J90" s="1"/>
      <c r="K90" s="1"/>
      <c r="L90" s="1"/>
    </row>
    <row r="91" spans="1:12" x14ac:dyDescent="0.25">
      <c r="A91" t="s">
        <v>28</v>
      </c>
      <c r="B91" s="1">
        <v>173.46362629999999</v>
      </c>
      <c r="C91" s="1">
        <v>2.302152628</v>
      </c>
      <c r="D91" s="1"/>
      <c r="E91" s="1"/>
      <c r="F91" s="1"/>
      <c r="G91" s="1">
        <v>3</v>
      </c>
      <c r="H91" s="1">
        <v>109</v>
      </c>
      <c r="I91" s="1" t="s">
        <v>602</v>
      </c>
      <c r="J91" s="1">
        <v>3908.1661979999999</v>
      </c>
      <c r="K91" s="1">
        <v>24.265741970000001</v>
      </c>
      <c r="L91" s="1">
        <v>10.77857273</v>
      </c>
    </row>
    <row r="92" spans="1:12" x14ac:dyDescent="0.25">
      <c r="A92" t="s">
        <v>91</v>
      </c>
      <c r="B92" s="1">
        <v>786.84471199999996</v>
      </c>
      <c r="C92" s="1">
        <v>4.5431478900000002</v>
      </c>
      <c r="D92" s="1">
        <v>225.85031190000001</v>
      </c>
      <c r="E92" s="1">
        <v>0.59429253900000001</v>
      </c>
      <c r="F92" s="1">
        <v>35.40437859</v>
      </c>
      <c r="G92" s="1">
        <v>3</v>
      </c>
      <c r="H92" s="1">
        <v>103</v>
      </c>
      <c r="I92" s="1" t="s">
        <v>600</v>
      </c>
      <c r="J92" s="1"/>
      <c r="K92" s="1"/>
      <c r="L92" s="1"/>
    </row>
    <row r="93" spans="1:12" x14ac:dyDescent="0.25">
      <c r="A93" t="s">
        <v>13</v>
      </c>
      <c r="B93" s="1">
        <v>488.08208480000002</v>
      </c>
      <c r="C93" s="1">
        <v>5.2891343700000002</v>
      </c>
      <c r="D93" s="1"/>
      <c r="E93" s="1"/>
      <c r="F93" s="1"/>
      <c r="G93" s="1">
        <v>3</v>
      </c>
      <c r="H93" s="1">
        <v>105</v>
      </c>
      <c r="I93" s="1" t="s">
        <v>602</v>
      </c>
      <c r="J93" s="1">
        <v>3556.3353900000002</v>
      </c>
      <c r="K93" s="1">
        <v>17.504058350000001</v>
      </c>
      <c r="L93" s="1">
        <v>11.569807539999999</v>
      </c>
    </row>
    <row r="94" spans="1:12" x14ac:dyDescent="0.25">
      <c r="A94" t="s">
        <v>489</v>
      </c>
      <c r="B94" s="1">
        <v>464.46977500000003</v>
      </c>
      <c r="C94" s="1">
        <v>3.5353327769999998</v>
      </c>
      <c r="D94" s="1">
        <v>434.22301720000002</v>
      </c>
      <c r="E94" s="1">
        <v>2.0072283930000001</v>
      </c>
      <c r="F94" s="1">
        <v>49.256669690000003</v>
      </c>
      <c r="G94" s="1">
        <v>3</v>
      </c>
      <c r="H94" s="1">
        <v>102</v>
      </c>
      <c r="I94" s="1" t="s">
        <v>600</v>
      </c>
      <c r="J94" s="1"/>
      <c r="K94" s="1"/>
      <c r="L94" s="1"/>
    </row>
    <row r="95" spans="1:12" x14ac:dyDescent="0.25">
      <c r="A95" t="s">
        <v>108</v>
      </c>
      <c r="B95" s="1">
        <v>726.84873560000005</v>
      </c>
      <c r="C95" s="1">
        <v>4.99276389</v>
      </c>
      <c r="D95" s="1">
        <v>245.30708720000001</v>
      </c>
      <c r="E95" s="1">
        <v>1.012277154</v>
      </c>
      <c r="F95" s="1">
        <v>38.096092839999997</v>
      </c>
      <c r="G95" s="1">
        <v>3</v>
      </c>
      <c r="H95" s="1">
        <v>101</v>
      </c>
      <c r="I95" s="1" t="s">
        <v>600</v>
      </c>
      <c r="J95" s="1"/>
      <c r="K95" s="1"/>
      <c r="L95" s="1"/>
    </row>
    <row r="96" spans="1:12" x14ac:dyDescent="0.25">
      <c r="A96" t="s">
        <v>484</v>
      </c>
      <c r="B96" s="1">
        <v>528.19945900000005</v>
      </c>
      <c r="C96" s="1">
        <v>3.1944186530000001</v>
      </c>
      <c r="D96" s="1">
        <v>402.30414469999999</v>
      </c>
      <c r="E96" s="1">
        <v>1.7944876839999999</v>
      </c>
      <c r="F96" s="1">
        <v>49.831928230000003</v>
      </c>
      <c r="G96" s="1">
        <v>3</v>
      </c>
      <c r="H96" s="1">
        <v>100</v>
      </c>
      <c r="I96" s="1" t="s">
        <v>600</v>
      </c>
      <c r="J96" s="1"/>
      <c r="K96" s="1"/>
      <c r="L96" s="1"/>
    </row>
    <row r="97" spans="1:12" x14ac:dyDescent="0.25">
      <c r="A97" t="s">
        <v>70</v>
      </c>
      <c r="B97" s="1"/>
      <c r="C97" s="1"/>
      <c r="D97" s="1">
        <v>650.38975530000005</v>
      </c>
      <c r="E97" s="1">
        <v>3.7282065700000002</v>
      </c>
      <c r="F97" s="1">
        <v>56.678389289999998</v>
      </c>
      <c r="G97" s="1">
        <v>2</v>
      </c>
      <c r="H97" s="1">
        <v>135</v>
      </c>
      <c r="I97" s="1" t="s">
        <v>603</v>
      </c>
      <c r="J97" s="1"/>
      <c r="K97" s="1"/>
      <c r="L97" s="1"/>
    </row>
    <row r="98" spans="1:12" x14ac:dyDescent="0.25">
      <c r="A98" t="s">
        <v>143</v>
      </c>
      <c r="B98" s="1">
        <v>558.52935579999996</v>
      </c>
      <c r="C98" s="1">
        <v>4.4781431610000002</v>
      </c>
      <c r="D98" s="1">
        <v>197.56371419999999</v>
      </c>
      <c r="E98" s="1">
        <v>0.65262988799999999</v>
      </c>
      <c r="F98" s="1">
        <v>29.852891379999999</v>
      </c>
      <c r="G98" s="1">
        <v>2</v>
      </c>
      <c r="H98" s="1">
        <v>141</v>
      </c>
      <c r="I98" s="1" t="s">
        <v>600</v>
      </c>
      <c r="J98" s="1"/>
      <c r="K98" s="1"/>
      <c r="L98" s="1"/>
    </row>
    <row r="99" spans="1:12" x14ac:dyDescent="0.25">
      <c r="A99" t="s">
        <v>493</v>
      </c>
      <c r="B99" s="1"/>
      <c r="C99" s="1"/>
      <c r="D99" s="1">
        <v>614.38504350000005</v>
      </c>
      <c r="E99" s="1">
        <v>2.7823808909999999</v>
      </c>
      <c r="F99" s="1">
        <v>63.434056230000003</v>
      </c>
      <c r="G99" s="1">
        <v>2</v>
      </c>
      <c r="H99" s="1">
        <v>136</v>
      </c>
      <c r="I99" s="1" t="s">
        <v>603</v>
      </c>
      <c r="J99" s="1"/>
      <c r="K99" s="1"/>
      <c r="L99" s="1"/>
    </row>
    <row r="100" spans="1:12" x14ac:dyDescent="0.25">
      <c r="A100" t="s">
        <v>492</v>
      </c>
      <c r="B100" s="1">
        <v>743.49799480000001</v>
      </c>
      <c r="C100" s="1">
        <v>3.9253083599999998</v>
      </c>
      <c r="D100" s="1">
        <v>212.11784410000001</v>
      </c>
      <c r="E100" s="1">
        <v>1.105182801</v>
      </c>
      <c r="F100" s="1">
        <v>30.455487269999999</v>
      </c>
      <c r="G100" s="1">
        <v>2</v>
      </c>
      <c r="H100" s="1">
        <v>137</v>
      </c>
      <c r="I100" s="1" t="s">
        <v>600</v>
      </c>
      <c r="J100" s="1"/>
      <c r="K100" s="1"/>
      <c r="L100" s="1"/>
    </row>
    <row r="101" spans="1:12" x14ac:dyDescent="0.25">
      <c r="A101" t="s">
        <v>119</v>
      </c>
      <c r="B101" s="1">
        <v>759.35884499999997</v>
      </c>
      <c r="C101" s="1">
        <v>5.8199597089999999</v>
      </c>
      <c r="D101" s="1">
        <v>134.2388636</v>
      </c>
      <c r="E101" s="1">
        <v>0.50685588000000004</v>
      </c>
      <c r="F101" s="1">
        <v>16.988704550000001</v>
      </c>
      <c r="G101" s="1">
        <v>2</v>
      </c>
      <c r="H101" s="1">
        <v>138</v>
      </c>
      <c r="I101" s="1" t="s">
        <v>600</v>
      </c>
      <c r="J101" s="1"/>
      <c r="K101" s="1"/>
      <c r="L101" s="1"/>
    </row>
    <row r="102" spans="1:12" x14ac:dyDescent="0.25">
      <c r="A102" t="s">
        <v>477</v>
      </c>
      <c r="B102" s="1">
        <v>656.06755720000001</v>
      </c>
      <c r="C102" s="1">
        <v>4.7724550030000001</v>
      </c>
      <c r="D102" s="1">
        <v>173.92243999999999</v>
      </c>
      <c r="E102" s="1">
        <v>0.82956054000000001</v>
      </c>
      <c r="F102" s="1">
        <v>23.593653289999999</v>
      </c>
      <c r="G102" s="1">
        <v>2</v>
      </c>
      <c r="H102" s="1">
        <v>128</v>
      </c>
      <c r="I102" s="1" t="s">
        <v>600</v>
      </c>
      <c r="J102" s="1"/>
      <c r="K102" s="1"/>
      <c r="L102" s="1"/>
    </row>
    <row r="103" spans="1:12" x14ac:dyDescent="0.25">
      <c r="A103" t="s">
        <v>116</v>
      </c>
      <c r="B103" s="1">
        <v>726.55082660000005</v>
      </c>
      <c r="C103" s="1">
        <v>4.7998252499999996</v>
      </c>
      <c r="D103" s="1">
        <v>136.59370849999999</v>
      </c>
      <c r="E103" s="1">
        <v>0.48730833800000001</v>
      </c>
      <c r="F103" s="1">
        <v>16.542235059999999</v>
      </c>
      <c r="G103" s="1">
        <v>2</v>
      </c>
      <c r="H103" s="1">
        <v>142</v>
      </c>
      <c r="I103" s="1" t="s">
        <v>600</v>
      </c>
      <c r="J103" s="1"/>
      <c r="K103" s="1"/>
      <c r="L103" s="1"/>
    </row>
    <row r="104" spans="1:12" x14ac:dyDescent="0.25">
      <c r="A104" t="s">
        <v>118</v>
      </c>
      <c r="B104" s="1">
        <v>590.18609360000005</v>
      </c>
      <c r="C104" s="1">
        <v>3.5690915580000002</v>
      </c>
      <c r="D104" s="1">
        <v>201.52802819999999</v>
      </c>
      <c r="E104" s="1">
        <v>0.94411662299999999</v>
      </c>
      <c r="F104" s="1">
        <v>28.33505165</v>
      </c>
      <c r="G104" s="1">
        <v>2</v>
      </c>
      <c r="H104" s="1">
        <v>143</v>
      </c>
      <c r="I104" s="1" t="s">
        <v>600</v>
      </c>
      <c r="J104" s="1"/>
      <c r="K104" s="1"/>
      <c r="L104" s="1"/>
    </row>
    <row r="105" spans="1:12" x14ac:dyDescent="0.25">
      <c r="A105" t="s">
        <v>21</v>
      </c>
      <c r="B105" s="1">
        <v>109.6104425</v>
      </c>
      <c r="C105" s="1">
        <v>2.0749149349999998</v>
      </c>
      <c r="D105" s="1"/>
      <c r="E105" s="1"/>
      <c r="F105" s="1"/>
      <c r="G105" s="1">
        <v>2</v>
      </c>
      <c r="H105" s="1">
        <v>144</v>
      </c>
      <c r="I105" s="1" t="s">
        <v>602</v>
      </c>
      <c r="J105" s="1">
        <v>3851.726388</v>
      </c>
      <c r="K105" s="1">
        <v>27.244305610000001</v>
      </c>
      <c r="L105" s="1">
        <v>9.0516506349999997</v>
      </c>
    </row>
    <row r="106" spans="1:12" x14ac:dyDescent="0.25">
      <c r="A106" t="s">
        <v>152</v>
      </c>
      <c r="B106" s="1">
        <v>256.37491879999999</v>
      </c>
      <c r="C106" s="1">
        <v>2.4345627269999999</v>
      </c>
      <c r="D106" s="1"/>
      <c r="E106" s="1"/>
      <c r="F106" s="1"/>
      <c r="G106" s="1">
        <v>2</v>
      </c>
      <c r="H106" s="1">
        <v>146</v>
      </c>
      <c r="I106" s="1" t="s">
        <v>602</v>
      </c>
      <c r="J106" s="1">
        <v>3561.6847429999998</v>
      </c>
      <c r="K106" s="1">
        <v>22.931701820000001</v>
      </c>
      <c r="L106" s="1">
        <v>9.6901484500000006</v>
      </c>
    </row>
    <row r="107" spans="1:12" x14ac:dyDescent="0.25">
      <c r="A107" t="s">
        <v>27</v>
      </c>
      <c r="B107" s="1">
        <v>117.95995189999999</v>
      </c>
      <c r="C107" s="1">
        <v>1.5867126279999999</v>
      </c>
      <c r="D107" s="1"/>
      <c r="E107" s="1"/>
      <c r="F107" s="1"/>
      <c r="G107" s="1">
        <v>2</v>
      </c>
      <c r="H107" s="1">
        <v>149</v>
      </c>
      <c r="I107" s="1" t="s">
        <v>602</v>
      </c>
      <c r="J107" s="1">
        <v>3957.7152999999998</v>
      </c>
      <c r="K107" s="1">
        <v>24.85774893</v>
      </c>
      <c r="L107" s="1">
        <v>11.020053389999999</v>
      </c>
    </row>
    <row r="108" spans="1:12" x14ac:dyDescent="0.25">
      <c r="A108" t="s">
        <v>486</v>
      </c>
      <c r="B108" s="1"/>
      <c r="C108" s="1"/>
      <c r="D108" s="1">
        <v>860.3359524</v>
      </c>
      <c r="E108" s="1">
        <v>4.5067893430000003</v>
      </c>
      <c r="F108" s="1">
        <v>65.93409192</v>
      </c>
      <c r="G108" s="1">
        <v>2</v>
      </c>
      <c r="H108" s="1">
        <v>131</v>
      </c>
      <c r="I108" s="1" t="s">
        <v>601</v>
      </c>
      <c r="J108" s="1"/>
      <c r="K108" s="1"/>
      <c r="L108" s="1"/>
    </row>
    <row r="109" spans="1:12" x14ac:dyDescent="0.25">
      <c r="A109" t="s">
        <v>133</v>
      </c>
      <c r="B109" s="1"/>
      <c r="C109" s="1"/>
      <c r="D109" s="1">
        <v>685.62830050000002</v>
      </c>
      <c r="E109" s="1">
        <v>2.9604628810000002</v>
      </c>
      <c r="F109" s="1">
        <v>66.059467769999998</v>
      </c>
      <c r="G109" s="1">
        <v>2</v>
      </c>
      <c r="H109" s="1">
        <v>134</v>
      </c>
      <c r="I109" s="1" t="s">
        <v>603</v>
      </c>
      <c r="J109" s="1"/>
      <c r="K109" s="1"/>
      <c r="L109" s="1"/>
    </row>
    <row r="110" spans="1:12" x14ac:dyDescent="0.25">
      <c r="A110" t="s">
        <v>36</v>
      </c>
      <c r="B110" s="1"/>
      <c r="C110" s="1"/>
      <c r="D110" s="1">
        <v>752.00707869999997</v>
      </c>
      <c r="E110" s="1">
        <v>5.303603668</v>
      </c>
      <c r="F110" s="1">
        <v>63.88748983</v>
      </c>
      <c r="G110" s="1">
        <v>2</v>
      </c>
      <c r="H110" s="1">
        <v>120</v>
      </c>
      <c r="I110" s="1" t="s">
        <v>603</v>
      </c>
      <c r="J110" s="1"/>
      <c r="K110" s="1"/>
      <c r="L110" s="1"/>
    </row>
    <row r="111" spans="1:12" x14ac:dyDescent="0.25">
      <c r="A111" t="s">
        <v>39</v>
      </c>
      <c r="B111" s="1"/>
      <c r="C111" s="1"/>
      <c r="D111" s="1">
        <v>767.56895139999995</v>
      </c>
      <c r="E111" s="1">
        <v>4.1917175970000002</v>
      </c>
      <c r="F111" s="1">
        <v>69.349069630000002</v>
      </c>
      <c r="G111" s="1">
        <v>2</v>
      </c>
      <c r="H111" s="1">
        <v>130</v>
      </c>
      <c r="I111" s="1" t="s">
        <v>601</v>
      </c>
      <c r="J111" s="1"/>
      <c r="K111" s="1"/>
      <c r="L111" s="1"/>
    </row>
    <row r="112" spans="1:12" x14ac:dyDescent="0.25">
      <c r="A112" t="s">
        <v>41</v>
      </c>
      <c r="B112" s="1"/>
      <c r="C112" s="1"/>
      <c r="D112" s="1">
        <v>675.17861400000004</v>
      </c>
      <c r="E112" s="1">
        <v>5.446368433</v>
      </c>
      <c r="F112" s="1">
        <v>65.433150499999996</v>
      </c>
      <c r="G112" s="1">
        <v>2</v>
      </c>
      <c r="H112" s="1">
        <v>121</v>
      </c>
      <c r="I112" s="1" t="s">
        <v>603</v>
      </c>
      <c r="J112" s="1"/>
      <c r="K112" s="1"/>
      <c r="L112" s="1"/>
    </row>
    <row r="113" spans="1:12" x14ac:dyDescent="0.25">
      <c r="A113" t="s">
        <v>500</v>
      </c>
      <c r="B113" s="1"/>
      <c r="C113" s="1"/>
      <c r="D113" s="1">
        <v>814.80646100000001</v>
      </c>
      <c r="E113" s="1">
        <v>4.8105839489999997</v>
      </c>
      <c r="F113" s="1">
        <v>61.399165549999999</v>
      </c>
      <c r="G113" s="1">
        <v>2</v>
      </c>
      <c r="H113" s="1">
        <v>114</v>
      </c>
      <c r="I113" s="1" t="s">
        <v>601</v>
      </c>
      <c r="J113" s="1"/>
      <c r="K113" s="1"/>
      <c r="L113" s="1"/>
    </row>
    <row r="114" spans="1:12" x14ac:dyDescent="0.25">
      <c r="A114" t="s">
        <v>487</v>
      </c>
      <c r="B114" s="1">
        <v>10.10067405</v>
      </c>
      <c r="C114" s="1">
        <v>6.5273761999999999E-2</v>
      </c>
      <c r="D114" s="1">
        <v>640.16611009999997</v>
      </c>
      <c r="E114" s="1">
        <v>5.1725391610000004</v>
      </c>
      <c r="F114" s="1">
        <v>43.82536949</v>
      </c>
      <c r="G114" s="1">
        <v>2</v>
      </c>
      <c r="H114" s="1">
        <v>129</v>
      </c>
      <c r="I114" s="1" t="s">
        <v>601</v>
      </c>
      <c r="J114" s="1"/>
      <c r="K114" s="1"/>
      <c r="L114" s="1"/>
    </row>
    <row r="115" spans="1:12" x14ac:dyDescent="0.25">
      <c r="A115" t="s">
        <v>49</v>
      </c>
      <c r="B115" s="1"/>
      <c r="C115" s="1"/>
      <c r="D115" s="1">
        <v>770.03043909999997</v>
      </c>
      <c r="E115" s="1">
        <v>5.7389248909999999</v>
      </c>
      <c r="F115" s="1">
        <v>56.661382070000002</v>
      </c>
      <c r="G115" s="1">
        <v>2</v>
      </c>
      <c r="H115" s="1">
        <v>116</v>
      </c>
      <c r="I115" s="1" t="s">
        <v>601</v>
      </c>
      <c r="J115" s="1"/>
      <c r="K115" s="1"/>
      <c r="L115" s="1"/>
    </row>
    <row r="116" spans="1:12" x14ac:dyDescent="0.25">
      <c r="A116" t="s">
        <v>17</v>
      </c>
      <c r="B116" s="1">
        <v>586.83268940000005</v>
      </c>
      <c r="C116" s="1">
        <v>5.05104679</v>
      </c>
      <c r="D116" s="1"/>
      <c r="E116" s="1"/>
      <c r="F116" s="1"/>
      <c r="G116" s="1">
        <v>2</v>
      </c>
      <c r="H116" s="1">
        <v>117</v>
      </c>
      <c r="I116" s="1" t="s">
        <v>602</v>
      </c>
      <c r="J116" s="1">
        <v>3451.718104</v>
      </c>
      <c r="K116" s="1">
        <v>15.192087190000001</v>
      </c>
      <c r="L116" s="1">
        <v>13.537195150000001</v>
      </c>
    </row>
    <row r="117" spans="1:12" x14ac:dyDescent="0.25">
      <c r="A117" t="s">
        <v>127</v>
      </c>
      <c r="B117" s="1">
        <v>25.293481010000001</v>
      </c>
      <c r="C117" s="1">
        <v>0.286324036</v>
      </c>
      <c r="D117" s="1">
        <v>778.50605970000004</v>
      </c>
      <c r="E117" s="1">
        <v>3.264543588</v>
      </c>
      <c r="F117" s="1">
        <v>73.004365859999993</v>
      </c>
      <c r="G117" s="1">
        <v>2</v>
      </c>
      <c r="H117" s="1">
        <v>115</v>
      </c>
      <c r="I117" s="1" t="s">
        <v>601</v>
      </c>
      <c r="J117" s="1">
        <v>18.608851009999999</v>
      </c>
      <c r="K117" s="1">
        <v>8.3542504000000004E-2</v>
      </c>
      <c r="L117" s="1">
        <v>0.10006699600000001</v>
      </c>
    </row>
    <row r="118" spans="1:12" x14ac:dyDescent="0.25">
      <c r="A118" t="s">
        <v>90</v>
      </c>
      <c r="B118" s="1">
        <v>721.54932970000004</v>
      </c>
      <c r="C118" s="1">
        <v>7.9519307560000003</v>
      </c>
      <c r="D118" s="1">
        <v>187.13879940000001</v>
      </c>
      <c r="E118" s="1">
        <v>1.157663337</v>
      </c>
      <c r="F118" s="1">
        <v>26.133256459999998</v>
      </c>
      <c r="G118" s="1">
        <v>2</v>
      </c>
      <c r="H118" s="1">
        <v>122</v>
      </c>
      <c r="I118" s="1" t="s">
        <v>600</v>
      </c>
      <c r="J118" s="1"/>
      <c r="K118" s="1"/>
      <c r="L118" s="1"/>
    </row>
    <row r="119" spans="1:12" x14ac:dyDescent="0.25">
      <c r="A119" t="s">
        <v>101</v>
      </c>
      <c r="B119" s="1">
        <v>751.39517520000004</v>
      </c>
      <c r="C119" s="1">
        <v>6.3405723570000001</v>
      </c>
      <c r="D119" s="1">
        <v>216.69744789999999</v>
      </c>
      <c r="E119" s="1">
        <v>1.0913945570000001</v>
      </c>
      <c r="F119" s="1">
        <v>32.112571469999999</v>
      </c>
      <c r="G119" s="1">
        <v>2</v>
      </c>
      <c r="H119" s="1">
        <v>123</v>
      </c>
      <c r="I119" s="1" t="s">
        <v>600</v>
      </c>
      <c r="J119" s="1"/>
      <c r="K119" s="1"/>
      <c r="L119" s="1"/>
    </row>
    <row r="120" spans="1:12" x14ac:dyDescent="0.25">
      <c r="A120" t="s">
        <v>120</v>
      </c>
      <c r="B120" s="1">
        <v>577.08796649999999</v>
      </c>
      <c r="C120" s="1">
        <v>4.6565343419999996</v>
      </c>
      <c r="D120" s="1">
        <v>307.70459949999997</v>
      </c>
      <c r="E120" s="1">
        <v>1.515213135</v>
      </c>
      <c r="F120" s="1">
        <v>41.427232369999999</v>
      </c>
      <c r="G120" s="1">
        <v>2</v>
      </c>
      <c r="H120" s="1">
        <v>124</v>
      </c>
      <c r="I120" s="1" t="s">
        <v>600</v>
      </c>
      <c r="J120" s="1"/>
      <c r="K120" s="1"/>
      <c r="L120" s="1"/>
    </row>
    <row r="121" spans="1:12" x14ac:dyDescent="0.25">
      <c r="A121" t="s">
        <v>109</v>
      </c>
      <c r="B121" s="1">
        <v>646.81570150000005</v>
      </c>
      <c r="C121" s="1">
        <v>5.5886702059999998</v>
      </c>
      <c r="D121" s="1">
        <v>206.464438</v>
      </c>
      <c r="E121" s="1">
        <v>1.050770626</v>
      </c>
      <c r="F121" s="1">
        <v>30.33810716</v>
      </c>
      <c r="G121" s="1">
        <v>2</v>
      </c>
      <c r="H121" s="1">
        <v>126</v>
      </c>
      <c r="I121" s="1" t="s">
        <v>600</v>
      </c>
      <c r="J121" s="1"/>
      <c r="K121" s="1"/>
      <c r="L121" s="1"/>
    </row>
    <row r="122" spans="1:12" x14ac:dyDescent="0.25">
      <c r="A122" t="s">
        <v>136</v>
      </c>
      <c r="B122" s="1"/>
      <c r="C122" s="1"/>
      <c r="D122" s="1">
        <v>596.49889680000001</v>
      </c>
      <c r="E122" s="1">
        <v>4.739611987</v>
      </c>
      <c r="F122" s="1">
        <v>49.241843529999997</v>
      </c>
      <c r="G122" s="1">
        <v>1</v>
      </c>
      <c r="H122" s="1">
        <v>195</v>
      </c>
      <c r="I122" s="1" t="s">
        <v>601</v>
      </c>
      <c r="J122" s="1"/>
      <c r="K122" s="1"/>
      <c r="L122" s="1"/>
    </row>
    <row r="123" spans="1:12" x14ac:dyDescent="0.25">
      <c r="A123" t="s">
        <v>113</v>
      </c>
      <c r="B123" s="1">
        <v>511.669916</v>
      </c>
      <c r="C123" s="1">
        <v>3.8202144050000002</v>
      </c>
      <c r="D123" s="1">
        <v>129.63544909999999</v>
      </c>
      <c r="E123" s="1">
        <v>0.67241152299999996</v>
      </c>
      <c r="F123" s="1">
        <v>17.680973259999998</v>
      </c>
      <c r="G123" s="1">
        <v>1</v>
      </c>
      <c r="H123" s="1">
        <v>182</v>
      </c>
      <c r="I123" s="1" t="s">
        <v>600</v>
      </c>
      <c r="J123" s="1"/>
      <c r="K123" s="1"/>
      <c r="L123" s="1"/>
    </row>
    <row r="124" spans="1:12" x14ac:dyDescent="0.25">
      <c r="A124" t="s">
        <v>122</v>
      </c>
      <c r="B124" s="1">
        <v>306.35010490000002</v>
      </c>
      <c r="C124" s="1">
        <v>1.607114363</v>
      </c>
      <c r="D124" s="1">
        <v>242.78506429999999</v>
      </c>
      <c r="E124" s="1">
        <v>1.3673120160000001</v>
      </c>
      <c r="F124" s="1">
        <v>30.751335130000001</v>
      </c>
      <c r="G124" s="1">
        <v>1</v>
      </c>
      <c r="H124" s="1">
        <v>183</v>
      </c>
      <c r="I124" s="1" t="s">
        <v>600</v>
      </c>
      <c r="J124" s="1"/>
      <c r="K124" s="1"/>
      <c r="L124" s="1"/>
    </row>
    <row r="125" spans="1:12" x14ac:dyDescent="0.25">
      <c r="A125" t="s">
        <v>125</v>
      </c>
      <c r="B125" s="1">
        <v>317.70704690000002</v>
      </c>
      <c r="C125" s="1">
        <v>1.8621700670000001</v>
      </c>
      <c r="D125" s="1">
        <v>151.63885540000001</v>
      </c>
      <c r="E125" s="1">
        <v>0.93045169999999999</v>
      </c>
      <c r="F125" s="1">
        <v>21.416160959999999</v>
      </c>
      <c r="G125" s="1">
        <v>1</v>
      </c>
      <c r="H125" s="1">
        <v>187</v>
      </c>
      <c r="I125" s="1" t="s">
        <v>600</v>
      </c>
      <c r="J125" s="1"/>
      <c r="K125" s="1"/>
      <c r="L125" s="1"/>
    </row>
    <row r="126" spans="1:12" x14ac:dyDescent="0.25">
      <c r="A126" t="s">
        <v>132</v>
      </c>
      <c r="B126" s="1">
        <v>435.22181030000002</v>
      </c>
      <c r="C126" s="1">
        <v>2.3965793579999999</v>
      </c>
      <c r="D126" s="1">
        <v>241.62604719999999</v>
      </c>
      <c r="E126" s="1">
        <v>1.061851442</v>
      </c>
      <c r="F126" s="1">
        <v>35.344247930000002</v>
      </c>
      <c r="G126" s="1">
        <v>1</v>
      </c>
      <c r="H126" s="1">
        <v>188</v>
      </c>
      <c r="I126" s="1" t="s">
        <v>600</v>
      </c>
      <c r="J126" s="1"/>
      <c r="K126" s="1"/>
      <c r="L126" s="1"/>
    </row>
    <row r="127" spans="1:12" x14ac:dyDescent="0.25">
      <c r="A127" t="s">
        <v>84</v>
      </c>
      <c r="B127" s="1">
        <v>38.939848939999997</v>
      </c>
      <c r="C127" s="1">
        <v>0.31666118700000001</v>
      </c>
      <c r="D127" s="1">
        <v>624.94080220000001</v>
      </c>
      <c r="E127" s="1">
        <v>3.1380961470000002</v>
      </c>
      <c r="F127" s="1">
        <v>47.695272760000002</v>
      </c>
      <c r="G127" s="1">
        <v>1</v>
      </c>
      <c r="H127" s="1">
        <v>189</v>
      </c>
      <c r="I127" s="1" t="s">
        <v>601</v>
      </c>
      <c r="J127" s="1"/>
      <c r="K127" s="1"/>
      <c r="L127" s="1"/>
    </row>
    <row r="128" spans="1:12" x14ac:dyDescent="0.25">
      <c r="A128" t="s">
        <v>58</v>
      </c>
      <c r="B128" s="1"/>
      <c r="C128" s="1"/>
      <c r="D128" s="1">
        <v>723.94340820000002</v>
      </c>
      <c r="E128" s="1">
        <v>4.3648691939999997</v>
      </c>
      <c r="F128" s="1">
        <v>60.273728140000003</v>
      </c>
      <c r="G128" s="1">
        <v>1</v>
      </c>
      <c r="H128" s="1">
        <v>190</v>
      </c>
      <c r="I128" s="1" t="s">
        <v>601</v>
      </c>
      <c r="J128" s="1"/>
      <c r="K128" s="1"/>
      <c r="L128" s="1"/>
    </row>
    <row r="129" spans="1:12" x14ac:dyDescent="0.25">
      <c r="A129" t="s">
        <v>157</v>
      </c>
      <c r="B129" s="1"/>
      <c r="C129" s="1"/>
      <c r="D129" s="1">
        <v>664.76536850000002</v>
      </c>
      <c r="E129" s="1">
        <v>3.3767074030000002</v>
      </c>
      <c r="F129" s="1">
        <v>56.375312379999997</v>
      </c>
      <c r="G129" s="1">
        <v>1</v>
      </c>
      <c r="H129" s="1">
        <v>191</v>
      </c>
      <c r="I129" s="1" t="s">
        <v>601</v>
      </c>
      <c r="J129" s="1"/>
      <c r="K129" s="1"/>
      <c r="L129" s="1"/>
    </row>
    <row r="130" spans="1:12" x14ac:dyDescent="0.25">
      <c r="A130" t="s">
        <v>137</v>
      </c>
      <c r="B130" s="1">
        <v>26.354676699999999</v>
      </c>
      <c r="C130" s="1">
        <v>0.18024891200000001</v>
      </c>
      <c r="D130" s="1">
        <v>668.10642010000004</v>
      </c>
      <c r="E130" s="1">
        <v>4.6935977329999998</v>
      </c>
      <c r="F130" s="1">
        <v>57.29765974</v>
      </c>
      <c r="G130" s="1">
        <v>1</v>
      </c>
      <c r="H130" s="1">
        <v>194</v>
      </c>
      <c r="I130" s="1" t="s">
        <v>601</v>
      </c>
      <c r="J130" s="1"/>
      <c r="K130" s="1"/>
      <c r="L130" s="1"/>
    </row>
    <row r="131" spans="1:12" x14ac:dyDescent="0.25">
      <c r="A131" t="s">
        <v>131</v>
      </c>
      <c r="B131" s="1"/>
      <c r="C131" s="1"/>
      <c r="D131" s="1">
        <v>643.93015339999999</v>
      </c>
      <c r="E131" s="1">
        <v>3.3865076809999999</v>
      </c>
      <c r="F131" s="1">
        <v>46.32229616</v>
      </c>
      <c r="G131" s="1">
        <v>1</v>
      </c>
      <c r="H131" s="1">
        <v>180</v>
      </c>
      <c r="I131" s="1" t="s">
        <v>601</v>
      </c>
      <c r="J131" s="1"/>
      <c r="K131" s="1"/>
      <c r="L131" s="1"/>
    </row>
    <row r="132" spans="1:12" x14ac:dyDescent="0.25">
      <c r="A132" t="s">
        <v>140</v>
      </c>
      <c r="B132" s="1"/>
      <c r="C132" s="1"/>
      <c r="D132" s="1">
        <v>574.45550379999997</v>
      </c>
      <c r="E132" s="1">
        <v>3.8471995250000002</v>
      </c>
      <c r="F132" s="1">
        <v>47.407484109999999</v>
      </c>
      <c r="G132" s="1">
        <v>1</v>
      </c>
      <c r="H132" s="1">
        <v>196</v>
      </c>
      <c r="I132" s="1" t="s">
        <v>601</v>
      </c>
      <c r="J132" s="1"/>
      <c r="K132" s="1"/>
      <c r="L132" s="1"/>
    </row>
    <row r="133" spans="1:12" x14ac:dyDescent="0.25">
      <c r="A133" t="s">
        <v>158</v>
      </c>
      <c r="B133" s="1">
        <v>396.9334925</v>
      </c>
      <c r="C133" s="1">
        <v>2.5720041010000001</v>
      </c>
      <c r="D133" s="1">
        <v>119.3512958</v>
      </c>
      <c r="E133" s="1">
        <v>0.25431794600000002</v>
      </c>
      <c r="F133" s="1">
        <v>16.097731150000001</v>
      </c>
      <c r="G133" s="1">
        <v>1</v>
      </c>
      <c r="H133" s="1">
        <v>197</v>
      </c>
      <c r="I133" s="1" t="s">
        <v>600</v>
      </c>
      <c r="J133" s="1"/>
      <c r="K133" s="1"/>
      <c r="L133" s="1"/>
    </row>
    <row r="134" spans="1:12" x14ac:dyDescent="0.25">
      <c r="A134" t="s">
        <v>159</v>
      </c>
      <c r="B134" s="1">
        <v>569.40700979999997</v>
      </c>
      <c r="C134" s="1">
        <v>2.7799170260000001</v>
      </c>
      <c r="D134" s="1">
        <v>115.5275881</v>
      </c>
      <c r="E134" s="1">
        <v>0.66464616499999996</v>
      </c>
      <c r="F134" s="1">
        <v>16.175766190000001</v>
      </c>
      <c r="G134" s="1">
        <v>1</v>
      </c>
      <c r="H134" s="1">
        <v>198</v>
      </c>
      <c r="I134" s="1" t="s">
        <v>600</v>
      </c>
      <c r="J134" s="1"/>
      <c r="K134" s="1"/>
      <c r="L134" s="1"/>
    </row>
    <row r="135" spans="1:12" x14ac:dyDescent="0.25">
      <c r="A135" t="s">
        <v>146</v>
      </c>
      <c r="B135" s="1">
        <v>351.50153089999998</v>
      </c>
      <c r="C135" s="1">
        <v>2.4755924600000001</v>
      </c>
      <c r="D135" s="1">
        <v>94.19809549</v>
      </c>
      <c r="E135" s="1">
        <v>0.54315858299999997</v>
      </c>
      <c r="F135" s="1">
        <v>12.947681169999999</v>
      </c>
      <c r="G135" s="1">
        <v>1</v>
      </c>
      <c r="H135" s="1">
        <v>201</v>
      </c>
      <c r="I135" s="1" t="s">
        <v>600</v>
      </c>
      <c r="J135" s="1"/>
      <c r="K135" s="1"/>
      <c r="L135" s="1"/>
    </row>
    <row r="136" spans="1:12" x14ac:dyDescent="0.25">
      <c r="A136" t="s">
        <v>135</v>
      </c>
      <c r="B136" s="1">
        <v>226.36484530000001</v>
      </c>
      <c r="C136" s="1">
        <v>1.5002594570000001</v>
      </c>
      <c r="D136" s="1">
        <v>89.722587959999998</v>
      </c>
      <c r="E136" s="1">
        <v>0.49331283799999998</v>
      </c>
      <c r="F136" s="1">
        <v>12.49920221</v>
      </c>
      <c r="G136" s="1">
        <v>1</v>
      </c>
      <c r="H136" s="1">
        <v>202</v>
      </c>
      <c r="I136" s="1" t="s">
        <v>600</v>
      </c>
      <c r="J136" s="1"/>
      <c r="K136" s="1"/>
      <c r="L136" s="1"/>
    </row>
    <row r="137" spans="1:12" x14ac:dyDescent="0.25">
      <c r="A137" t="s">
        <v>149</v>
      </c>
      <c r="B137" s="1">
        <v>495.11828780000002</v>
      </c>
      <c r="C137" s="1">
        <v>3.122097568</v>
      </c>
      <c r="D137" s="1">
        <v>86.261763630000004</v>
      </c>
      <c r="E137" s="1">
        <v>0.50196858899999997</v>
      </c>
      <c r="F137" s="1">
        <v>12.78856828</v>
      </c>
      <c r="G137" s="1">
        <v>1</v>
      </c>
      <c r="H137" s="1">
        <v>203</v>
      </c>
      <c r="I137" s="1" t="s">
        <v>600</v>
      </c>
      <c r="J137" s="1"/>
      <c r="K137" s="1"/>
      <c r="L137" s="1"/>
    </row>
    <row r="138" spans="1:12" x14ac:dyDescent="0.25">
      <c r="A138" t="s">
        <v>139</v>
      </c>
      <c r="B138" s="1">
        <v>346.17616390000001</v>
      </c>
      <c r="C138" s="1">
        <v>3.2678393209999999</v>
      </c>
      <c r="D138" s="1">
        <v>79.413418250000007</v>
      </c>
      <c r="E138" s="1">
        <v>0.46377792600000001</v>
      </c>
      <c r="F138" s="1">
        <v>11.69749863</v>
      </c>
      <c r="G138" s="1">
        <v>1</v>
      </c>
      <c r="H138" s="1">
        <v>204</v>
      </c>
      <c r="I138" s="1" t="s">
        <v>600</v>
      </c>
      <c r="J138" s="1"/>
      <c r="K138" s="1"/>
      <c r="L138" s="1"/>
    </row>
    <row r="139" spans="1:12" x14ac:dyDescent="0.25">
      <c r="A139" t="s">
        <v>160</v>
      </c>
      <c r="B139" s="1">
        <v>374.93274200000002</v>
      </c>
      <c r="C139" s="1">
        <v>2.4809266910000001</v>
      </c>
      <c r="D139" s="1">
        <v>206.47475119999999</v>
      </c>
      <c r="E139" s="1">
        <v>2.0140644079999999</v>
      </c>
      <c r="F139" s="1">
        <v>23.957510150000001</v>
      </c>
      <c r="G139" s="1">
        <v>1</v>
      </c>
      <c r="H139" s="1">
        <v>205</v>
      </c>
      <c r="I139" s="1" t="s">
        <v>600</v>
      </c>
      <c r="J139" s="1"/>
      <c r="K139" s="1"/>
      <c r="L139" s="1"/>
    </row>
    <row r="140" spans="1:12" x14ac:dyDescent="0.25">
      <c r="A140" t="s">
        <v>145</v>
      </c>
      <c r="B140" s="1"/>
      <c r="C140" s="1"/>
      <c r="D140" s="1">
        <v>556.61094349999996</v>
      </c>
      <c r="E140" s="1">
        <v>2.4089117290000002</v>
      </c>
      <c r="F140" s="1">
        <v>49.543418539999998</v>
      </c>
      <c r="G140" s="1">
        <v>1</v>
      </c>
      <c r="H140" s="1">
        <v>209</v>
      </c>
      <c r="I140" s="1" t="s">
        <v>601</v>
      </c>
      <c r="J140" s="1"/>
      <c r="K140" s="1"/>
      <c r="L140" s="1"/>
    </row>
    <row r="141" spans="1:12" x14ac:dyDescent="0.25">
      <c r="A141" t="s">
        <v>130</v>
      </c>
      <c r="B141" s="1">
        <v>522.49969769999996</v>
      </c>
      <c r="C141" s="1">
        <v>2.6509097559999999</v>
      </c>
      <c r="D141" s="1">
        <v>282.97394020000002</v>
      </c>
      <c r="E141" s="1">
        <v>1.1298370149999999</v>
      </c>
      <c r="F141" s="1">
        <v>39.419627970000001</v>
      </c>
      <c r="G141" s="1">
        <v>1</v>
      </c>
      <c r="H141" s="1">
        <v>181</v>
      </c>
      <c r="I141" s="1" t="s">
        <v>600</v>
      </c>
      <c r="J141" s="1"/>
      <c r="K141" s="1"/>
      <c r="L141" s="1"/>
    </row>
    <row r="142" spans="1:12" x14ac:dyDescent="0.25">
      <c r="A142" t="s">
        <v>115</v>
      </c>
      <c r="B142" s="1">
        <v>539.52610619999996</v>
      </c>
      <c r="C142" s="1">
        <v>3.1717662120000001</v>
      </c>
      <c r="D142" s="1">
        <v>152.63759669999999</v>
      </c>
      <c r="E142" s="1">
        <v>0.71232777000000003</v>
      </c>
      <c r="F142" s="1">
        <v>21.571035819999999</v>
      </c>
      <c r="G142" s="1">
        <v>1</v>
      </c>
      <c r="H142" s="1">
        <v>154</v>
      </c>
      <c r="I142" s="1" t="s">
        <v>600</v>
      </c>
      <c r="J142" s="1"/>
      <c r="K142" s="1"/>
      <c r="L142" s="1"/>
    </row>
    <row r="143" spans="1:12" x14ac:dyDescent="0.25">
      <c r="A143" t="s">
        <v>148</v>
      </c>
      <c r="B143" s="1"/>
      <c r="C143" s="1"/>
      <c r="D143" s="1">
        <v>694.92047560000003</v>
      </c>
      <c r="E143" s="1">
        <v>2.9028539699999998</v>
      </c>
      <c r="F143" s="1">
        <v>55.945437650000002</v>
      </c>
      <c r="G143" s="1">
        <v>1</v>
      </c>
      <c r="H143" s="1">
        <v>179</v>
      </c>
      <c r="I143" s="1" t="s">
        <v>601</v>
      </c>
      <c r="J143" s="1"/>
      <c r="K143" s="1"/>
      <c r="L143" s="1"/>
    </row>
    <row r="144" spans="1:12" x14ac:dyDescent="0.25">
      <c r="A144" t="s">
        <v>114</v>
      </c>
      <c r="B144" s="1">
        <v>33.68886835</v>
      </c>
      <c r="C144" s="1">
        <v>0.36327479499999998</v>
      </c>
      <c r="D144" s="1">
        <v>777.48286440000004</v>
      </c>
      <c r="E144" s="1">
        <v>4.221388159</v>
      </c>
      <c r="F144" s="1">
        <v>53.999628360000003</v>
      </c>
      <c r="G144" s="1">
        <v>1</v>
      </c>
      <c r="H144" s="1">
        <v>162</v>
      </c>
      <c r="I144" s="1" t="s">
        <v>601</v>
      </c>
      <c r="J144" s="1"/>
      <c r="K144" s="1"/>
      <c r="L144" s="1"/>
    </row>
    <row r="145" spans="1:12" x14ac:dyDescent="0.25">
      <c r="A145" t="s">
        <v>117</v>
      </c>
      <c r="B145" s="1">
        <v>507.48399460000002</v>
      </c>
      <c r="C145" s="1">
        <v>3.333823502</v>
      </c>
      <c r="D145" s="1">
        <v>246.8087793</v>
      </c>
      <c r="E145" s="1">
        <v>0.97943896900000005</v>
      </c>
      <c r="F145" s="1">
        <v>35.74925322</v>
      </c>
      <c r="G145" s="1">
        <v>1</v>
      </c>
      <c r="H145" s="1">
        <v>151</v>
      </c>
      <c r="I145" s="1" t="s">
        <v>600</v>
      </c>
      <c r="J145" s="1"/>
      <c r="K145" s="1"/>
      <c r="L145" s="1"/>
    </row>
    <row r="146" spans="1:12" x14ac:dyDescent="0.25">
      <c r="A146" t="s">
        <v>110</v>
      </c>
      <c r="B146" s="1"/>
      <c r="C146" s="1"/>
      <c r="D146" s="1">
        <v>721.44764239999995</v>
      </c>
      <c r="E146" s="1">
        <v>3.6180741749999998</v>
      </c>
      <c r="F146" s="1">
        <v>60.287813890000002</v>
      </c>
      <c r="G146" s="1">
        <v>1</v>
      </c>
      <c r="H146" s="1">
        <v>176</v>
      </c>
      <c r="I146" s="1" t="s">
        <v>601</v>
      </c>
      <c r="J146" s="1"/>
      <c r="K146" s="1"/>
      <c r="L146" s="1"/>
    </row>
    <row r="147" spans="1:12" x14ac:dyDescent="0.25">
      <c r="A147" t="s">
        <v>124</v>
      </c>
      <c r="B147" s="1">
        <v>567.65657309999995</v>
      </c>
      <c r="C147" s="1">
        <v>4.8997517339999996</v>
      </c>
      <c r="D147" s="1">
        <v>212.1614549</v>
      </c>
      <c r="E147" s="1">
        <v>0.99081340900000003</v>
      </c>
      <c r="F147" s="1">
        <v>27.982946630000001</v>
      </c>
      <c r="G147" s="1">
        <v>1</v>
      </c>
      <c r="H147" s="1">
        <v>152</v>
      </c>
      <c r="I147" s="1" t="s">
        <v>600</v>
      </c>
      <c r="J147" s="1"/>
      <c r="K147" s="1"/>
      <c r="L147" s="1"/>
    </row>
    <row r="148" spans="1:12" x14ac:dyDescent="0.25">
      <c r="A148" t="s">
        <v>128</v>
      </c>
      <c r="B148" s="1">
        <v>671.29705220000005</v>
      </c>
      <c r="C148" s="1">
        <v>4.1013275179999997</v>
      </c>
      <c r="D148" s="1">
        <v>156.5732897</v>
      </c>
      <c r="E148" s="1">
        <v>0.65330360399999998</v>
      </c>
      <c r="F148" s="1">
        <v>22.16007626</v>
      </c>
      <c r="G148" s="1">
        <v>1</v>
      </c>
      <c r="H148" s="1">
        <v>153</v>
      </c>
      <c r="I148" s="1" t="s">
        <v>600</v>
      </c>
      <c r="J148" s="1"/>
      <c r="K148" s="1"/>
      <c r="L148" s="1"/>
    </row>
    <row r="149" spans="1:12" x14ac:dyDescent="0.25">
      <c r="A149" t="s">
        <v>126</v>
      </c>
      <c r="B149" s="1">
        <v>25.241048559999999</v>
      </c>
      <c r="C149" s="1">
        <v>0.27788054699999998</v>
      </c>
      <c r="D149" s="1">
        <v>810.15628070000002</v>
      </c>
      <c r="E149" s="1">
        <v>5.5704072880000002</v>
      </c>
      <c r="F149" s="1">
        <v>55.695756500000002</v>
      </c>
      <c r="G149" s="1">
        <v>1</v>
      </c>
      <c r="H149" s="1">
        <v>155</v>
      </c>
      <c r="I149" s="1" t="s">
        <v>601</v>
      </c>
      <c r="J149" s="1"/>
      <c r="K149" s="1"/>
      <c r="L149" s="1"/>
    </row>
    <row r="150" spans="1:12" x14ac:dyDescent="0.25">
      <c r="A150" t="s">
        <v>138</v>
      </c>
      <c r="B150" s="1"/>
      <c r="C150" s="1"/>
      <c r="D150" s="1">
        <v>798.31574320000004</v>
      </c>
      <c r="E150" s="1">
        <v>6.4423857890000003</v>
      </c>
      <c r="F150" s="1">
        <v>52.642175709999997</v>
      </c>
      <c r="G150" s="1">
        <v>1</v>
      </c>
      <c r="H150" s="1">
        <v>158</v>
      </c>
      <c r="I150" s="1" t="s">
        <v>601</v>
      </c>
      <c r="J150" s="1"/>
      <c r="K150" s="1"/>
      <c r="L150" s="1"/>
    </row>
    <row r="151" spans="1:12" x14ac:dyDescent="0.25">
      <c r="A151" t="s">
        <v>51</v>
      </c>
      <c r="B151" s="1"/>
      <c r="C151" s="1"/>
      <c r="D151" s="1">
        <v>706.26333499999998</v>
      </c>
      <c r="E151" s="1">
        <v>4.5947180689999998</v>
      </c>
      <c r="F151" s="1">
        <v>73.883090999999993</v>
      </c>
      <c r="G151" s="1">
        <v>1</v>
      </c>
      <c r="H151" s="1">
        <v>159</v>
      </c>
      <c r="I151" s="1" t="s">
        <v>601</v>
      </c>
      <c r="J151" s="1"/>
      <c r="K151" s="1"/>
      <c r="L151" s="1"/>
    </row>
    <row r="152" spans="1:12" x14ac:dyDescent="0.25">
      <c r="A152" t="s">
        <v>123</v>
      </c>
      <c r="B152" s="1">
        <v>64.390463359999998</v>
      </c>
      <c r="C152" s="1">
        <v>0.905798455</v>
      </c>
      <c r="D152" s="1">
        <v>647.62269570000001</v>
      </c>
      <c r="E152" s="1">
        <v>4.5168374650000001</v>
      </c>
      <c r="F152" s="1">
        <v>63.261233519999998</v>
      </c>
      <c r="G152" s="1">
        <v>1</v>
      </c>
      <c r="H152" s="1">
        <v>160</v>
      </c>
      <c r="I152" s="1" t="s">
        <v>601</v>
      </c>
      <c r="J152" s="1"/>
      <c r="K152" s="1"/>
      <c r="L152" s="1"/>
    </row>
    <row r="153" spans="1:12" x14ac:dyDescent="0.25">
      <c r="A153" t="s">
        <v>89</v>
      </c>
      <c r="B153" s="1"/>
      <c r="C153" s="1"/>
      <c r="D153" s="1">
        <v>919.87823170000001</v>
      </c>
      <c r="E153" s="1">
        <v>4.001520663</v>
      </c>
      <c r="F153" s="1">
        <v>61.306621530000001</v>
      </c>
      <c r="G153" s="1">
        <v>1</v>
      </c>
      <c r="H153" s="1">
        <v>157</v>
      </c>
      <c r="I153" s="1" t="s">
        <v>601</v>
      </c>
      <c r="J153" s="1"/>
      <c r="K153" s="1"/>
      <c r="L153" s="1"/>
    </row>
    <row r="154" spans="1:12" x14ac:dyDescent="0.25">
      <c r="A154" t="s">
        <v>121</v>
      </c>
      <c r="B154" s="1">
        <v>27.083344629999999</v>
      </c>
      <c r="C154" s="1">
        <v>0.149924211</v>
      </c>
      <c r="D154" s="1">
        <v>749.07487389999994</v>
      </c>
      <c r="E154" s="1">
        <v>3.8551488819999999</v>
      </c>
      <c r="F154" s="1">
        <v>54.86881253</v>
      </c>
      <c r="G154" s="1">
        <v>1</v>
      </c>
      <c r="H154" s="1">
        <v>163</v>
      </c>
      <c r="I154" s="1" t="s">
        <v>601</v>
      </c>
      <c r="J154" s="1"/>
      <c r="K154" s="1"/>
      <c r="L154" s="1"/>
    </row>
    <row r="155" spans="1:12" x14ac:dyDescent="0.25">
      <c r="A155" t="s">
        <v>24</v>
      </c>
      <c r="B155" s="1">
        <v>361.71458510000002</v>
      </c>
      <c r="C155" s="1">
        <v>2.5316861049999999</v>
      </c>
      <c r="D155" s="1"/>
      <c r="E155" s="1"/>
      <c r="F155" s="1"/>
      <c r="G155" s="1">
        <v>1</v>
      </c>
      <c r="H155" s="1">
        <v>166</v>
      </c>
      <c r="I155" s="1" t="s">
        <v>602</v>
      </c>
      <c r="J155" s="1">
        <v>3784.4361429999999</v>
      </c>
      <c r="K155" s="1">
        <v>20.653771410000001</v>
      </c>
      <c r="L155" s="1">
        <v>10.60587653</v>
      </c>
    </row>
    <row r="156" spans="1:12" x14ac:dyDescent="0.25">
      <c r="A156" t="s">
        <v>129</v>
      </c>
      <c r="B156" s="1">
        <v>69.655215299999995</v>
      </c>
      <c r="C156" s="1">
        <v>0.32719733899999998</v>
      </c>
      <c r="D156" s="1">
        <v>779.05091419999997</v>
      </c>
      <c r="E156" s="1">
        <v>3.1965579100000001</v>
      </c>
      <c r="F156" s="1">
        <v>59.700536960000001</v>
      </c>
      <c r="G156" s="1">
        <v>1</v>
      </c>
      <c r="H156" s="1">
        <v>175</v>
      </c>
      <c r="I156" s="1" t="s">
        <v>601</v>
      </c>
      <c r="J156" s="1"/>
      <c r="K156" s="1"/>
      <c r="L156" s="1"/>
    </row>
    <row r="157" spans="1:12" x14ac:dyDescent="0.25">
      <c r="A157" t="s">
        <v>26</v>
      </c>
      <c r="B157" s="1">
        <v>281.29285499999997</v>
      </c>
      <c r="C157" s="1">
        <v>3.157387221</v>
      </c>
      <c r="D157" s="1"/>
      <c r="E157" s="1"/>
      <c r="F157" s="1"/>
      <c r="G157" s="1">
        <v>1</v>
      </c>
      <c r="H157" s="1">
        <v>168</v>
      </c>
      <c r="I157" s="1" t="s">
        <v>602</v>
      </c>
      <c r="J157" s="1">
        <v>3769.61222</v>
      </c>
      <c r="K157" s="1">
        <v>20.43247684</v>
      </c>
      <c r="L157" s="1">
        <v>12.45066362</v>
      </c>
    </row>
    <row r="158" spans="1:12" x14ac:dyDescent="0.25">
      <c r="A158" t="s">
        <v>42</v>
      </c>
      <c r="B158" s="1"/>
      <c r="C158" s="1"/>
      <c r="D158" s="1">
        <v>589.48764449999999</v>
      </c>
      <c r="E158" s="1">
        <v>3.895257344</v>
      </c>
      <c r="F158" s="1">
        <v>56.849223979999998</v>
      </c>
      <c r="G158" s="1">
        <v>1</v>
      </c>
      <c r="H158" s="1">
        <v>172</v>
      </c>
      <c r="I158" s="1" t="s">
        <v>603</v>
      </c>
      <c r="J158" s="1"/>
      <c r="K158" s="1"/>
      <c r="L158" s="1"/>
    </row>
    <row r="159" spans="1:12" x14ac:dyDescent="0.25">
      <c r="A159" t="s">
        <v>56</v>
      </c>
      <c r="B159" s="1"/>
      <c r="C159" s="1"/>
      <c r="D159" s="1">
        <v>539.13307689999999</v>
      </c>
      <c r="E159" s="1">
        <v>4.2209905860000001</v>
      </c>
      <c r="F159" s="1">
        <v>53.286481340000002</v>
      </c>
      <c r="G159" s="1">
        <v>1</v>
      </c>
      <c r="H159" s="1">
        <v>173</v>
      </c>
      <c r="I159" s="1" t="s">
        <v>603</v>
      </c>
      <c r="J159" s="1"/>
      <c r="K159" s="1"/>
      <c r="L159" s="1"/>
    </row>
    <row r="160" spans="1:12" x14ac:dyDescent="0.25">
      <c r="A160" t="s">
        <v>31</v>
      </c>
      <c r="B160" s="1">
        <v>310.91460790000002</v>
      </c>
      <c r="C160" s="1">
        <v>3.1688380230000002</v>
      </c>
      <c r="D160" s="1"/>
      <c r="E160" s="1"/>
      <c r="F160" s="1"/>
      <c r="G160" s="1">
        <v>1</v>
      </c>
      <c r="H160" s="1">
        <v>164</v>
      </c>
      <c r="I160" s="1" t="s">
        <v>602</v>
      </c>
      <c r="J160" s="1">
        <v>3537.0434500000001</v>
      </c>
      <c r="K160" s="1">
        <v>22.93127629</v>
      </c>
      <c r="L160" s="1">
        <v>13.19149275</v>
      </c>
    </row>
    <row r="161" spans="1:12" x14ac:dyDescent="0.25">
      <c r="A161" t="s">
        <v>156</v>
      </c>
      <c r="B161" s="1"/>
      <c r="C161" s="1"/>
      <c r="D161" s="1">
        <v>529.15332679999995</v>
      </c>
      <c r="E161" s="1">
        <v>3.8231010649999999</v>
      </c>
      <c r="F161" s="1">
        <v>52.86248509</v>
      </c>
      <c r="G161" s="1">
        <v>1</v>
      </c>
      <c r="H161" s="1">
        <v>174</v>
      </c>
      <c r="I161" s="1" t="s">
        <v>603</v>
      </c>
      <c r="J161" s="1"/>
      <c r="K161" s="1"/>
      <c r="L161" s="1"/>
    </row>
    <row r="162" spans="1:12" x14ac:dyDescent="0.25">
      <c r="A162" t="s">
        <v>363</v>
      </c>
      <c r="B162" s="1">
        <v>70.987168909999994</v>
      </c>
      <c r="C162" s="1">
        <v>0.360062993</v>
      </c>
      <c r="D162" s="1">
        <v>27.563159280000001</v>
      </c>
      <c r="E162" s="1">
        <v>0.143996336</v>
      </c>
      <c r="F162" s="1">
        <v>3.988369901</v>
      </c>
      <c r="G162" s="1">
        <v>0</v>
      </c>
      <c r="H162" s="1">
        <v>1074</v>
      </c>
      <c r="I162" s="1" t="s">
        <v>600</v>
      </c>
      <c r="J162" s="1"/>
      <c r="K162" s="1"/>
      <c r="L162" s="1"/>
    </row>
    <row r="163" spans="1:12" x14ac:dyDescent="0.25">
      <c r="A163" t="s">
        <v>359</v>
      </c>
      <c r="B163" s="1"/>
      <c r="C163" s="1"/>
      <c r="D163" s="1">
        <v>71.313203000000001</v>
      </c>
      <c r="E163" s="1">
        <v>0.41901916700000003</v>
      </c>
      <c r="F163" s="1">
        <v>7.4737032619999999</v>
      </c>
      <c r="G163" s="1">
        <v>0</v>
      </c>
      <c r="H163" s="1">
        <v>1072</v>
      </c>
      <c r="I163" s="1" t="s">
        <v>603</v>
      </c>
      <c r="J163" s="1"/>
      <c r="K163" s="1"/>
      <c r="L163" s="1"/>
    </row>
    <row r="164" spans="1:12" x14ac:dyDescent="0.25">
      <c r="A164" t="s">
        <v>362</v>
      </c>
      <c r="B164" s="1">
        <v>70.133843799999994</v>
      </c>
      <c r="C164" s="1">
        <v>0.48190157</v>
      </c>
      <c r="D164" s="1">
        <v>25.887013209999999</v>
      </c>
      <c r="E164" s="1">
        <v>0.167572048</v>
      </c>
      <c r="F164" s="1">
        <v>3.6046930179999999</v>
      </c>
      <c r="G164" s="1">
        <v>0</v>
      </c>
      <c r="H164" s="1">
        <v>1073</v>
      </c>
      <c r="I164" s="1" t="s">
        <v>600</v>
      </c>
      <c r="J164" s="1"/>
      <c r="K164" s="1"/>
      <c r="L164" s="1"/>
    </row>
    <row r="165" spans="1:12" x14ac:dyDescent="0.25">
      <c r="A165" t="s">
        <v>367</v>
      </c>
      <c r="B165" s="1"/>
      <c r="C165" s="1"/>
      <c r="D165" s="1">
        <v>71.287809539999998</v>
      </c>
      <c r="E165" s="1">
        <v>0.30801390200000001</v>
      </c>
      <c r="F165" s="1">
        <v>6.7634447409999998</v>
      </c>
      <c r="G165" s="1">
        <v>0</v>
      </c>
      <c r="H165" s="1">
        <v>1077</v>
      </c>
      <c r="I165" s="1" t="s">
        <v>601</v>
      </c>
      <c r="J165" s="1"/>
      <c r="K165" s="1"/>
      <c r="L165" s="1"/>
    </row>
    <row r="166" spans="1:12" x14ac:dyDescent="0.25">
      <c r="A166" t="s">
        <v>366</v>
      </c>
      <c r="B166" s="1">
        <v>25.717504940000001</v>
      </c>
      <c r="C166" s="1">
        <v>0.16370348900000001</v>
      </c>
      <c r="D166" s="1">
        <v>54.865391049999999</v>
      </c>
      <c r="E166" s="1">
        <v>0.39873552699999998</v>
      </c>
      <c r="F166" s="1">
        <v>4.6605296029999996</v>
      </c>
      <c r="G166" s="1">
        <v>0</v>
      </c>
      <c r="H166" s="1">
        <v>1075</v>
      </c>
      <c r="I166" s="1" t="s">
        <v>601</v>
      </c>
      <c r="J166" s="1"/>
      <c r="K166" s="1"/>
      <c r="L166" s="1"/>
    </row>
    <row r="167" spans="1:12" x14ac:dyDescent="0.25">
      <c r="A167" t="s">
        <v>365</v>
      </c>
      <c r="B167" s="1"/>
      <c r="C167" s="1"/>
      <c r="D167" s="1">
        <v>53.139328409999997</v>
      </c>
      <c r="E167" s="1">
        <v>0.34456582000000002</v>
      </c>
      <c r="F167" s="1">
        <v>5.6529402260000001</v>
      </c>
      <c r="G167" s="1">
        <v>0</v>
      </c>
      <c r="H167" s="1">
        <v>1076</v>
      </c>
      <c r="I167" s="1" t="s">
        <v>601</v>
      </c>
      <c r="J167" s="1"/>
      <c r="K167" s="1"/>
      <c r="L167" s="1"/>
    </row>
    <row r="168" spans="1:12" x14ac:dyDescent="0.25">
      <c r="A168" t="s">
        <v>428</v>
      </c>
      <c r="B168" s="1"/>
      <c r="C168" s="1"/>
      <c r="D168" s="1">
        <v>74.642856890000004</v>
      </c>
      <c r="E168" s="1">
        <v>0.26588133400000002</v>
      </c>
      <c r="F168" s="1">
        <v>6.5672132469999998</v>
      </c>
      <c r="G168" s="1">
        <v>0</v>
      </c>
      <c r="H168" s="1">
        <v>1078</v>
      </c>
      <c r="I168" s="1" t="s">
        <v>601</v>
      </c>
      <c r="J168" s="1"/>
      <c r="K168" s="1"/>
      <c r="L168" s="1"/>
    </row>
    <row r="169" spans="1:12" x14ac:dyDescent="0.25">
      <c r="A169" t="s">
        <v>358</v>
      </c>
      <c r="B169" s="1"/>
      <c r="C169" s="1"/>
      <c r="D169" s="1">
        <v>69.953447339999997</v>
      </c>
      <c r="E169" s="1">
        <v>0.54578968900000002</v>
      </c>
      <c r="F169" s="1">
        <v>7.1718549869999997</v>
      </c>
      <c r="G169" s="1">
        <v>0</v>
      </c>
      <c r="H169" s="1">
        <v>1070</v>
      </c>
      <c r="I169" s="1" t="s">
        <v>603</v>
      </c>
      <c r="J169" s="1"/>
      <c r="K169" s="1"/>
      <c r="L169" s="1"/>
    </row>
    <row r="170" spans="1:12" x14ac:dyDescent="0.25">
      <c r="A170" t="s">
        <v>361</v>
      </c>
      <c r="B170" s="1">
        <v>98.370138389999994</v>
      </c>
      <c r="C170" s="1">
        <v>0.53558856899999996</v>
      </c>
      <c r="D170" s="1">
        <v>14.113979069999999</v>
      </c>
      <c r="E170" s="1">
        <v>0.106026316</v>
      </c>
      <c r="F170" s="1">
        <v>2.1321838519999998</v>
      </c>
      <c r="G170" s="1">
        <v>0</v>
      </c>
      <c r="H170" s="1">
        <v>1071</v>
      </c>
      <c r="I170" s="1" t="s">
        <v>600</v>
      </c>
      <c r="J170" s="1"/>
      <c r="K170" s="1"/>
      <c r="L170" s="1"/>
    </row>
    <row r="171" spans="1:12" x14ac:dyDescent="0.25">
      <c r="A171" t="s">
        <v>351</v>
      </c>
      <c r="B171" s="1"/>
      <c r="C171" s="1"/>
      <c r="D171" s="1">
        <v>77.102676380000005</v>
      </c>
      <c r="E171" s="1">
        <v>0.52127168800000001</v>
      </c>
      <c r="F171" s="1">
        <v>8.1199169980000008</v>
      </c>
      <c r="G171" s="1">
        <v>0</v>
      </c>
      <c r="H171" s="1">
        <v>1062</v>
      </c>
      <c r="I171" s="1" t="s">
        <v>603</v>
      </c>
      <c r="J171" s="1"/>
      <c r="K171" s="1"/>
      <c r="L171" s="1"/>
    </row>
    <row r="172" spans="1:12" x14ac:dyDescent="0.25">
      <c r="A172" t="s">
        <v>357</v>
      </c>
      <c r="B172" s="1"/>
      <c r="C172" s="1"/>
      <c r="D172" s="1">
        <v>74.45232584</v>
      </c>
      <c r="E172" s="1">
        <v>0.41306582800000002</v>
      </c>
      <c r="F172" s="1">
        <v>7.5886239839999998</v>
      </c>
      <c r="G172" s="1">
        <v>0</v>
      </c>
      <c r="H172" s="1">
        <v>1069</v>
      </c>
      <c r="I172" s="1" t="s">
        <v>603</v>
      </c>
      <c r="J172" s="1"/>
      <c r="K172" s="1"/>
      <c r="L172" s="1"/>
    </row>
    <row r="173" spans="1:12" x14ac:dyDescent="0.25">
      <c r="A173" t="s">
        <v>356</v>
      </c>
      <c r="B173" s="1"/>
      <c r="C173" s="1"/>
      <c r="D173" s="1">
        <v>69.997582339999994</v>
      </c>
      <c r="E173" s="1">
        <v>0.349446704</v>
      </c>
      <c r="F173" s="1">
        <v>6.2135195269999999</v>
      </c>
      <c r="G173" s="1">
        <v>0</v>
      </c>
      <c r="H173" s="1">
        <v>1068</v>
      </c>
      <c r="I173" s="1" t="s">
        <v>601</v>
      </c>
      <c r="J173" s="1"/>
      <c r="K173" s="1"/>
      <c r="L173" s="1"/>
    </row>
    <row r="174" spans="1:12" x14ac:dyDescent="0.25">
      <c r="A174" t="s">
        <v>355</v>
      </c>
      <c r="B174" s="1"/>
      <c r="C174" s="1"/>
      <c r="D174" s="1">
        <v>75.673707980000003</v>
      </c>
      <c r="E174" s="1">
        <v>0.48807324000000002</v>
      </c>
      <c r="F174" s="1">
        <v>6.8366505430000002</v>
      </c>
      <c r="G174" s="1">
        <v>0</v>
      </c>
      <c r="H174" s="1">
        <v>1067</v>
      </c>
      <c r="I174" s="1" t="s">
        <v>601</v>
      </c>
      <c r="J174" s="1"/>
      <c r="K174" s="1"/>
      <c r="L174" s="1"/>
    </row>
    <row r="175" spans="1:12" x14ac:dyDescent="0.25">
      <c r="A175" t="s">
        <v>354</v>
      </c>
      <c r="B175" s="1"/>
      <c r="C175" s="1"/>
      <c r="D175" s="1">
        <v>77.737341950000001</v>
      </c>
      <c r="E175" s="1">
        <v>0.49472629499999998</v>
      </c>
      <c r="F175" s="1">
        <v>7.3454140829999996</v>
      </c>
      <c r="G175" s="1">
        <v>0</v>
      </c>
      <c r="H175" s="1">
        <v>1066</v>
      </c>
      <c r="I175" s="1" t="s">
        <v>603</v>
      </c>
      <c r="J175" s="1"/>
      <c r="K175" s="1"/>
      <c r="L175" s="1"/>
    </row>
    <row r="176" spans="1:12" x14ac:dyDescent="0.25">
      <c r="A176" t="s">
        <v>371</v>
      </c>
      <c r="B176" s="1">
        <v>71.269680730000005</v>
      </c>
      <c r="C176" s="1">
        <v>0.50986312300000003</v>
      </c>
      <c r="D176" s="1">
        <v>29.454925370000002</v>
      </c>
      <c r="E176" s="1">
        <v>0.164065194</v>
      </c>
      <c r="F176" s="1">
        <v>4.2283261730000001</v>
      </c>
      <c r="G176" s="1">
        <v>0</v>
      </c>
      <c r="H176" s="1">
        <v>1065</v>
      </c>
      <c r="I176" s="1" t="s">
        <v>600</v>
      </c>
      <c r="J176" s="1"/>
      <c r="K176" s="1"/>
      <c r="L176" s="1"/>
    </row>
    <row r="177" spans="1:12" x14ac:dyDescent="0.25">
      <c r="A177" t="s">
        <v>353</v>
      </c>
      <c r="B177" s="1"/>
      <c r="C177" s="1"/>
      <c r="D177" s="1">
        <v>95.153074930000002</v>
      </c>
      <c r="E177" s="1">
        <v>0.55637530300000004</v>
      </c>
      <c r="F177" s="1">
        <v>5.8300250130000002</v>
      </c>
      <c r="G177" s="1">
        <v>0</v>
      </c>
      <c r="H177" s="1">
        <v>1064</v>
      </c>
      <c r="I177" s="1" t="s">
        <v>601</v>
      </c>
      <c r="J177" s="1"/>
      <c r="K177" s="1"/>
      <c r="L177" s="1"/>
    </row>
    <row r="178" spans="1:12" x14ac:dyDescent="0.25">
      <c r="A178" t="s">
        <v>352</v>
      </c>
      <c r="B178" s="1"/>
      <c r="C178" s="1"/>
      <c r="D178" s="1">
        <v>75.813245809999998</v>
      </c>
      <c r="E178" s="1">
        <v>0.61484185300000005</v>
      </c>
      <c r="F178" s="1">
        <v>7.4423083239999999</v>
      </c>
      <c r="G178" s="1">
        <v>0</v>
      </c>
      <c r="H178" s="1">
        <v>1063</v>
      </c>
      <c r="I178" s="1" t="s">
        <v>603</v>
      </c>
      <c r="J178" s="1"/>
      <c r="K178" s="1"/>
      <c r="L178" s="1"/>
    </row>
    <row r="179" spans="1:12" x14ac:dyDescent="0.25">
      <c r="A179" t="s">
        <v>369</v>
      </c>
      <c r="B179" s="1">
        <v>50.362776240000002</v>
      </c>
      <c r="C179" s="1">
        <v>0.37309558799999998</v>
      </c>
      <c r="D179" s="1">
        <v>28.988611710000001</v>
      </c>
      <c r="E179" s="1">
        <v>0.161132315</v>
      </c>
      <c r="F179" s="1">
        <v>4.084059645</v>
      </c>
      <c r="G179" s="1">
        <v>0</v>
      </c>
      <c r="H179" s="1">
        <v>1080</v>
      </c>
      <c r="I179" s="1" t="s">
        <v>600</v>
      </c>
      <c r="J179" s="1"/>
      <c r="K179" s="1"/>
      <c r="L179" s="1"/>
    </row>
    <row r="180" spans="1:12" x14ac:dyDescent="0.25">
      <c r="A180" t="s">
        <v>350</v>
      </c>
      <c r="B180" s="1"/>
      <c r="C180" s="1"/>
      <c r="D180" s="1">
        <v>82.167091889999995</v>
      </c>
      <c r="E180" s="1">
        <v>0.62889556499999999</v>
      </c>
      <c r="F180" s="1">
        <v>7.1684263240000003</v>
      </c>
      <c r="G180" s="1">
        <v>0</v>
      </c>
      <c r="H180" s="1">
        <v>1061</v>
      </c>
      <c r="I180" s="1" t="s">
        <v>601</v>
      </c>
      <c r="J180" s="1"/>
      <c r="K180" s="1"/>
      <c r="L180" s="1"/>
    </row>
    <row r="181" spans="1:12" x14ac:dyDescent="0.25">
      <c r="A181" t="s">
        <v>368</v>
      </c>
      <c r="B181" s="1"/>
      <c r="C181" s="1"/>
      <c r="D181" s="1">
        <v>75.472801559999994</v>
      </c>
      <c r="E181" s="1">
        <v>0.31711342799999997</v>
      </c>
      <c r="F181" s="1">
        <v>6.1272778920000004</v>
      </c>
      <c r="G181" s="1">
        <v>0</v>
      </c>
      <c r="H181" s="1">
        <v>1079</v>
      </c>
      <c r="I181" s="1" t="s">
        <v>601</v>
      </c>
      <c r="J181" s="1"/>
      <c r="K181" s="1"/>
      <c r="L181" s="1"/>
    </row>
    <row r="182" spans="1:12" x14ac:dyDescent="0.25">
      <c r="A182" t="s">
        <v>377</v>
      </c>
      <c r="B182" s="1">
        <v>34.975072419999996</v>
      </c>
      <c r="C182" s="1">
        <v>0.246648177</v>
      </c>
      <c r="D182" s="1">
        <v>25.232873739999999</v>
      </c>
      <c r="E182" s="1">
        <v>7.3719965999999998E-2</v>
      </c>
      <c r="F182" s="1">
        <v>4.1826823329999998</v>
      </c>
      <c r="G182" s="1">
        <v>0</v>
      </c>
      <c r="H182" s="1">
        <v>1089</v>
      </c>
      <c r="I182" s="1" t="s">
        <v>600</v>
      </c>
      <c r="J182" s="1"/>
      <c r="K182" s="1"/>
      <c r="L182" s="1"/>
    </row>
    <row r="183" spans="1:12" x14ac:dyDescent="0.25">
      <c r="A183" t="s">
        <v>507</v>
      </c>
      <c r="B183" s="1"/>
      <c r="C183" s="1"/>
      <c r="D183" s="1">
        <v>71.432336179999993</v>
      </c>
      <c r="E183" s="1">
        <v>0.40942607399999997</v>
      </c>
      <c r="F183" s="1">
        <v>5.4649179400000003</v>
      </c>
      <c r="G183" s="1">
        <v>0</v>
      </c>
      <c r="H183" s="1">
        <v>1081</v>
      </c>
      <c r="I183" s="1" t="s">
        <v>601</v>
      </c>
      <c r="J183" s="1"/>
      <c r="K183" s="1"/>
      <c r="L183" s="1"/>
    </row>
    <row r="184" spans="1:12" x14ac:dyDescent="0.25">
      <c r="A184" t="s">
        <v>380</v>
      </c>
      <c r="B184" s="1">
        <v>32.50445448</v>
      </c>
      <c r="C184" s="1">
        <v>0.25892331000000002</v>
      </c>
      <c r="D184" s="1">
        <v>29.33851349</v>
      </c>
      <c r="E184" s="1">
        <v>0.146034418</v>
      </c>
      <c r="F184" s="1">
        <v>3.9919888349999999</v>
      </c>
      <c r="G184" s="1">
        <v>0</v>
      </c>
      <c r="H184" s="1">
        <v>1092</v>
      </c>
      <c r="I184" s="1" t="s">
        <v>600</v>
      </c>
      <c r="J184" s="1"/>
      <c r="K184" s="1"/>
      <c r="L184" s="1"/>
    </row>
    <row r="185" spans="1:12" x14ac:dyDescent="0.25">
      <c r="A185" t="s">
        <v>292</v>
      </c>
      <c r="B185" s="1"/>
      <c r="C185" s="1"/>
      <c r="D185" s="1">
        <v>47.71092488</v>
      </c>
      <c r="E185" s="1">
        <v>0.26129261100000001</v>
      </c>
      <c r="F185" s="1">
        <v>4.9489398849999997</v>
      </c>
      <c r="G185" s="1">
        <v>0</v>
      </c>
      <c r="H185" s="1">
        <v>1100</v>
      </c>
      <c r="I185" s="1" t="s">
        <v>601</v>
      </c>
      <c r="J185" s="1"/>
      <c r="K185" s="1"/>
      <c r="L185" s="1"/>
    </row>
    <row r="186" spans="1:12" x14ac:dyDescent="0.25">
      <c r="A186" t="s">
        <v>387</v>
      </c>
      <c r="B186" s="1">
        <v>30.73287681</v>
      </c>
      <c r="C186" s="1">
        <v>0.16722882999999999</v>
      </c>
      <c r="D186" s="1">
        <v>28.941762709999999</v>
      </c>
      <c r="E186" s="1">
        <v>0.10892015200000001</v>
      </c>
      <c r="F186" s="1">
        <v>4.040805786</v>
      </c>
      <c r="G186" s="1">
        <v>0</v>
      </c>
      <c r="H186" s="1">
        <v>1099</v>
      </c>
      <c r="I186" s="1" t="s">
        <v>600</v>
      </c>
      <c r="J186" s="1"/>
      <c r="K186" s="1"/>
      <c r="L186" s="1"/>
    </row>
    <row r="187" spans="1:12" x14ac:dyDescent="0.25">
      <c r="A187" t="s">
        <v>386</v>
      </c>
      <c r="B187" s="1"/>
      <c r="C187" s="1"/>
      <c r="D187" s="1">
        <v>41.313674169999999</v>
      </c>
      <c r="E187" s="1">
        <v>0.27000216300000002</v>
      </c>
      <c r="F187" s="1">
        <v>3.7592247030000001</v>
      </c>
      <c r="G187" s="1">
        <v>0</v>
      </c>
      <c r="H187" s="1">
        <v>1098</v>
      </c>
      <c r="I187" s="1" t="s">
        <v>601</v>
      </c>
      <c r="J187" s="1"/>
      <c r="K187" s="1"/>
      <c r="L187" s="1"/>
    </row>
    <row r="188" spans="1:12" x14ac:dyDescent="0.25">
      <c r="A188" t="s">
        <v>385</v>
      </c>
      <c r="B188" s="1">
        <v>17.966386459999999</v>
      </c>
      <c r="C188" s="1">
        <v>0.13624710900000001</v>
      </c>
      <c r="D188" s="1">
        <v>33.331009119999997</v>
      </c>
      <c r="E188" s="1">
        <v>0.19860382700000001</v>
      </c>
      <c r="F188" s="1">
        <v>4.6734885100000003</v>
      </c>
      <c r="G188" s="1">
        <v>0</v>
      </c>
      <c r="H188" s="1">
        <v>1097</v>
      </c>
      <c r="I188" s="1" t="s">
        <v>600</v>
      </c>
      <c r="J188" s="1"/>
      <c r="K188" s="1"/>
      <c r="L188" s="1"/>
    </row>
    <row r="189" spans="1:12" x14ac:dyDescent="0.25">
      <c r="A189" t="s">
        <v>384</v>
      </c>
      <c r="B189" s="1">
        <v>52.926335819999998</v>
      </c>
      <c r="C189" s="1">
        <v>0.423148576</v>
      </c>
      <c r="D189" s="1">
        <v>14.45581428</v>
      </c>
      <c r="E189" s="1">
        <v>8.7533709000000001E-2</v>
      </c>
      <c r="F189" s="1">
        <v>2.0226792819999999</v>
      </c>
      <c r="G189" s="1">
        <v>0</v>
      </c>
      <c r="H189" s="1">
        <v>1096</v>
      </c>
      <c r="I189" s="1" t="s">
        <v>600</v>
      </c>
      <c r="J189" s="1"/>
      <c r="K189" s="1"/>
      <c r="L189" s="1"/>
    </row>
    <row r="190" spans="1:12" x14ac:dyDescent="0.25">
      <c r="A190" t="s">
        <v>383</v>
      </c>
      <c r="B190" s="1">
        <v>29.27452714</v>
      </c>
      <c r="C190" s="1">
        <v>0.218736603</v>
      </c>
      <c r="D190" s="1">
        <v>28.05082788</v>
      </c>
      <c r="E190" s="1">
        <v>0.148030351</v>
      </c>
      <c r="F190" s="1">
        <v>4.166722268</v>
      </c>
      <c r="G190" s="1">
        <v>0</v>
      </c>
      <c r="H190" s="1">
        <v>1095</v>
      </c>
      <c r="I190" s="1" t="s">
        <v>600</v>
      </c>
      <c r="J190" s="1"/>
      <c r="K190" s="1"/>
      <c r="L190" s="1"/>
    </row>
    <row r="191" spans="1:12" x14ac:dyDescent="0.25">
      <c r="A191" t="s">
        <v>382</v>
      </c>
      <c r="B191" s="1"/>
      <c r="C191" s="1"/>
      <c r="D191" s="1">
        <v>57.184484439999999</v>
      </c>
      <c r="E191" s="1">
        <v>0.23837773400000001</v>
      </c>
      <c r="F191" s="1">
        <v>5.070430784</v>
      </c>
      <c r="G191" s="1">
        <v>0</v>
      </c>
      <c r="H191" s="1">
        <v>1094</v>
      </c>
      <c r="I191" s="1" t="s">
        <v>601</v>
      </c>
      <c r="J191" s="1"/>
      <c r="K191" s="1"/>
      <c r="L191" s="1"/>
    </row>
    <row r="192" spans="1:12" x14ac:dyDescent="0.25">
      <c r="A192" t="s">
        <v>381</v>
      </c>
      <c r="B192" s="1">
        <v>32.067737100000002</v>
      </c>
      <c r="C192" s="1">
        <v>0.213868736</v>
      </c>
      <c r="D192" s="1">
        <v>28.8421804</v>
      </c>
      <c r="E192" s="1">
        <v>0.14317927</v>
      </c>
      <c r="F192" s="1">
        <v>4.2733542959999999</v>
      </c>
      <c r="G192" s="1">
        <v>0</v>
      </c>
      <c r="H192" s="1">
        <v>1093</v>
      </c>
      <c r="I192" s="1" t="s">
        <v>600</v>
      </c>
      <c r="J192" s="1"/>
      <c r="K192" s="1"/>
      <c r="L192" s="1"/>
    </row>
    <row r="193" spans="1:12" x14ac:dyDescent="0.25">
      <c r="A193" t="s">
        <v>379</v>
      </c>
      <c r="B193" s="1">
        <v>17.71976725</v>
      </c>
      <c r="C193" s="1">
        <v>0.15780649899999999</v>
      </c>
      <c r="D193" s="1">
        <v>29.420585880000001</v>
      </c>
      <c r="E193" s="1">
        <v>0.185424387</v>
      </c>
      <c r="F193" s="1">
        <v>4.3835937229999997</v>
      </c>
      <c r="G193" s="1">
        <v>0</v>
      </c>
      <c r="H193" s="1">
        <v>1091</v>
      </c>
      <c r="I193" s="1" t="s">
        <v>600</v>
      </c>
      <c r="J193" s="1"/>
      <c r="K193" s="1"/>
      <c r="L193" s="1"/>
    </row>
    <row r="194" spans="1:12" x14ac:dyDescent="0.25">
      <c r="A194" t="s">
        <v>370</v>
      </c>
      <c r="B194" s="1"/>
      <c r="C194" s="1"/>
      <c r="D194" s="1">
        <v>64.536272780000004</v>
      </c>
      <c r="E194" s="1">
        <v>0.48750061</v>
      </c>
      <c r="F194" s="1">
        <v>5.6300703140000001</v>
      </c>
      <c r="G194" s="1">
        <v>0</v>
      </c>
      <c r="H194" s="1">
        <v>1082</v>
      </c>
      <c r="I194" s="1" t="s">
        <v>601</v>
      </c>
      <c r="J194" s="1"/>
      <c r="K194" s="1"/>
      <c r="L194" s="1"/>
    </row>
    <row r="195" spans="1:12" x14ac:dyDescent="0.25">
      <c r="A195" t="s">
        <v>378</v>
      </c>
      <c r="B195" s="1"/>
      <c r="C195" s="1"/>
      <c r="D195" s="1">
        <v>49.743478400000001</v>
      </c>
      <c r="E195" s="1">
        <v>0.46006319899999998</v>
      </c>
      <c r="F195" s="1">
        <v>5.1907414689999998</v>
      </c>
      <c r="G195" s="1">
        <v>0</v>
      </c>
      <c r="H195" s="1">
        <v>1090</v>
      </c>
      <c r="I195" s="1" t="s">
        <v>601</v>
      </c>
      <c r="J195" s="1"/>
      <c r="K195" s="1"/>
      <c r="L195" s="1"/>
    </row>
    <row r="196" spans="1:12" x14ac:dyDescent="0.25">
      <c r="A196" t="s">
        <v>349</v>
      </c>
      <c r="B196" s="1"/>
      <c r="C196" s="1"/>
      <c r="D196" s="1">
        <v>78.060001409999998</v>
      </c>
      <c r="E196" s="1">
        <v>0.65963959999999999</v>
      </c>
      <c r="F196" s="1">
        <v>8.0229704930000008</v>
      </c>
      <c r="G196" s="1">
        <v>0</v>
      </c>
      <c r="H196" s="1">
        <v>1059</v>
      </c>
      <c r="I196" s="1" t="s">
        <v>603</v>
      </c>
      <c r="J196" s="1"/>
      <c r="K196" s="1"/>
      <c r="L196" s="1"/>
    </row>
    <row r="197" spans="1:12" x14ac:dyDescent="0.25">
      <c r="A197" t="s">
        <v>559</v>
      </c>
      <c r="B197" s="1"/>
      <c r="C197" s="1"/>
      <c r="D197" s="1">
        <v>61.02815081</v>
      </c>
      <c r="E197" s="1">
        <v>0.43522542400000003</v>
      </c>
      <c r="F197" s="1">
        <v>4.8841587049999999</v>
      </c>
      <c r="G197" s="1">
        <v>0</v>
      </c>
      <c r="H197" s="1">
        <v>1088</v>
      </c>
      <c r="I197" s="1" t="s">
        <v>601</v>
      </c>
      <c r="J197" s="1"/>
      <c r="K197" s="1"/>
      <c r="L197" s="1"/>
    </row>
    <row r="198" spans="1:12" x14ac:dyDescent="0.25">
      <c r="A198" t="s">
        <v>376</v>
      </c>
      <c r="B198" s="1">
        <v>28.153358839999999</v>
      </c>
      <c r="C198" s="1">
        <v>0.251250796</v>
      </c>
      <c r="D198" s="1">
        <v>37.537514590000001</v>
      </c>
      <c r="E198" s="1">
        <v>0.162901933</v>
      </c>
      <c r="F198" s="1">
        <v>3.2417358809999999</v>
      </c>
      <c r="G198" s="1">
        <v>0</v>
      </c>
      <c r="H198" s="1">
        <v>1087</v>
      </c>
      <c r="I198" s="1" t="s">
        <v>601</v>
      </c>
      <c r="J198" s="1"/>
      <c r="K198" s="1"/>
      <c r="L198" s="1"/>
    </row>
    <row r="199" spans="1:12" x14ac:dyDescent="0.25">
      <c r="A199" t="s">
        <v>375</v>
      </c>
      <c r="B199" s="1">
        <v>44.902948629999997</v>
      </c>
      <c r="C199" s="1">
        <v>0.28331799000000002</v>
      </c>
      <c r="D199" s="1">
        <v>14.4142852</v>
      </c>
      <c r="E199" s="1">
        <v>7.6336983999999997E-2</v>
      </c>
      <c r="F199" s="1">
        <v>2.0729518950000001</v>
      </c>
      <c r="G199" s="1">
        <v>0</v>
      </c>
      <c r="H199" s="1">
        <v>1086</v>
      </c>
      <c r="I199" s="1" t="s">
        <v>600</v>
      </c>
      <c r="J199" s="1"/>
      <c r="K199" s="1"/>
      <c r="L199" s="1"/>
    </row>
    <row r="200" spans="1:12" x14ac:dyDescent="0.25">
      <c r="A200" t="s">
        <v>374</v>
      </c>
      <c r="B200" s="1">
        <v>52.687452569999998</v>
      </c>
      <c r="C200" s="1">
        <v>0.32720938399999999</v>
      </c>
      <c r="D200" s="1">
        <v>26.471191520000001</v>
      </c>
      <c r="E200" s="1">
        <v>0.10517561</v>
      </c>
      <c r="F200" s="1">
        <v>3.6538191250000001</v>
      </c>
      <c r="G200" s="1">
        <v>0</v>
      </c>
      <c r="H200" s="1">
        <v>1085</v>
      </c>
      <c r="I200" s="1" t="s">
        <v>600</v>
      </c>
      <c r="J200" s="1"/>
      <c r="K200" s="1"/>
      <c r="L200" s="1"/>
    </row>
    <row r="201" spans="1:12" x14ac:dyDescent="0.25">
      <c r="A201" t="s">
        <v>373</v>
      </c>
      <c r="B201" s="1">
        <v>51.923069609999999</v>
      </c>
      <c r="C201" s="1">
        <v>0.44170000100000001</v>
      </c>
      <c r="D201" s="1">
        <v>18.030493830000001</v>
      </c>
      <c r="E201" s="1">
        <v>6.6236191999999999E-2</v>
      </c>
      <c r="F201" s="1">
        <v>2.5574122020000001</v>
      </c>
      <c r="G201" s="1">
        <v>0</v>
      </c>
      <c r="H201" s="1">
        <v>1084</v>
      </c>
      <c r="I201" s="1" t="s">
        <v>600</v>
      </c>
      <c r="J201" s="1"/>
      <c r="K201" s="1"/>
      <c r="L201" s="1"/>
    </row>
    <row r="202" spans="1:12" x14ac:dyDescent="0.25">
      <c r="A202" t="s">
        <v>372</v>
      </c>
      <c r="B202" s="1">
        <v>74.894407749999999</v>
      </c>
      <c r="C202" s="1">
        <v>0.47949181600000002</v>
      </c>
      <c r="D202" s="1">
        <v>15.78535207</v>
      </c>
      <c r="E202" s="1">
        <v>0.10988400800000001</v>
      </c>
      <c r="F202" s="1">
        <v>2.1875884330000002</v>
      </c>
      <c r="G202" s="1">
        <v>0</v>
      </c>
      <c r="H202" s="1">
        <v>1083</v>
      </c>
      <c r="I202" s="1" t="s">
        <v>600</v>
      </c>
      <c r="J202" s="1"/>
      <c r="K202" s="1"/>
      <c r="L202" s="1"/>
    </row>
    <row r="203" spans="1:12" x14ac:dyDescent="0.25">
      <c r="A203" t="s">
        <v>494</v>
      </c>
      <c r="B203" s="1"/>
      <c r="C203" s="1"/>
      <c r="D203" s="1">
        <v>85.748119160000002</v>
      </c>
      <c r="E203" s="1">
        <v>0.42119620099999999</v>
      </c>
      <c r="F203" s="1">
        <v>8.2707741890000008</v>
      </c>
      <c r="G203" s="1">
        <v>0</v>
      </c>
      <c r="H203" s="1">
        <v>1060</v>
      </c>
      <c r="I203" s="1" t="s">
        <v>601</v>
      </c>
      <c r="J203" s="1"/>
      <c r="K203" s="1"/>
      <c r="L203" s="1"/>
    </row>
    <row r="204" spans="1:12" x14ac:dyDescent="0.25">
      <c r="A204" t="s">
        <v>344</v>
      </c>
      <c r="B204" s="1"/>
      <c r="C204" s="1"/>
      <c r="D204" s="1">
        <v>97.415635080000001</v>
      </c>
      <c r="E204" s="1">
        <v>0.67875591300000004</v>
      </c>
      <c r="F204" s="1">
        <v>9.7913476100000008</v>
      </c>
      <c r="G204" s="1">
        <v>0</v>
      </c>
      <c r="H204" s="1">
        <v>1050</v>
      </c>
      <c r="I204" s="1" t="s">
        <v>603</v>
      </c>
      <c r="J204" s="1"/>
      <c r="K204" s="1"/>
      <c r="L204" s="1"/>
    </row>
    <row r="205" spans="1:12" x14ac:dyDescent="0.25">
      <c r="A205" t="s">
        <v>508</v>
      </c>
      <c r="B205" s="1"/>
      <c r="C205" s="1"/>
      <c r="D205" s="1">
        <v>72.279855839999996</v>
      </c>
      <c r="E205" s="1">
        <v>0.89117032900000004</v>
      </c>
      <c r="F205" s="1">
        <v>8.0083967269999992</v>
      </c>
      <c r="G205" s="1">
        <v>0</v>
      </c>
      <c r="H205" s="1">
        <v>1058</v>
      </c>
      <c r="I205" s="1" t="s">
        <v>603</v>
      </c>
      <c r="J205" s="1"/>
      <c r="K205" s="1"/>
      <c r="L205" s="1"/>
    </row>
    <row r="206" spans="1:12" x14ac:dyDescent="0.25">
      <c r="A206" t="s">
        <v>506</v>
      </c>
      <c r="B206" s="1"/>
      <c r="C206" s="1"/>
      <c r="D206" s="1">
        <v>83.905193859999997</v>
      </c>
      <c r="E206" s="1">
        <v>0.60039185900000003</v>
      </c>
      <c r="F206" s="1">
        <v>8.5864900520000003</v>
      </c>
      <c r="G206" s="1">
        <v>0</v>
      </c>
      <c r="H206" s="1">
        <v>1057</v>
      </c>
      <c r="I206" s="1" t="s">
        <v>603</v>
      </c>
      <c r="J206" s="1"/>
      <c r="K206" s="1"/>
      <c r="L206" s="1"/>
    </row>
    <row r="207" spans="1:12" x14ac:dyDescent="0.25">
      <c r="A207" t="s">
        <v>328</v>
      </c>
      <c r="B207" s="1">
        <v>19.7842068</v>
      </c>
      <c r="C207" s="1">
        <v>0.16919563600000001</v>
      </c>
      <c r="D207" s="1"/>
      <c r="E207" s="1"/>
      <c r="F207" s="1"/>
      <c r="G207" s="1">
        <v>0</v>
      </c>
      <c r="H207" s="1">
        <v>1033</v>
      </c>
      <c r="I207" s="1" t="s">
        <v>602</v>
      </c>
      <c r="J207" s="1">
        <v>481.7822195</v>
      </c>
      <c r="K207" s="1">
        <v>2.588018017</v>
      </c>
      <c r="L207" s="1">
        <v>1.773001805</v>
      </c>
    </row>
    <row r="208" spans="1:12" x14ac:dyDescent="0.25">
      <c r="A208" t="s">
        <v>327</v>
      </c>
      <c r="B208" s="1"/>
      <c r="C208" s="1"/>
      <c r="D208" s="1">
        <v>118.209154</v>
      </c>
      <c r="E208" s="1">
        <v>0.87990261999999997</v>
      </c>
      <c r="F208" s="1">
        <v>11.803664489999999</v>
      </c>
      <c r="G208" s="1">
        <v>0</v>
      </c>
      <c r="H208" s="1">
        <v>1032</v>
      </c>
      <c r="I208" s="1" t="s">
        <v>603</v>
      </c>
      <c r="J208" s="1"/>
      <c r="K208" s="1"/>
      <c r="L208" s="1"/>
    </row>
    <row r="209" spans="1:12" x14ac:dyDescent="0.25">
      <c r="A209" t="s">
        <v>326</v>
      </c>
      <c r="B209" s="1">
        <v>20.285988759999999</v>
      </c>
      <c r="C209" s="1">
        <v>0.16592866000000001</v>
      </c>
      <c r="D209" s="1">
        <v>100.35530850000001</v>
      </c>
      <c r="E209" s="1">
        <v>0.46337906000000001</v>
      </c>
      <c r="F209" s="1">
        <v>12.41133426</v>
      </c>
      <c r="G209" s="1">
        <v>0</v>
      </c>
      <c r="H209" s="1">
        <v>1031</v>
      </c>
      <c r="I209" s="1" t="s">
        <v>601</v>
      </c>
      <c r="J209" s="1"/>
      <c r="K209" s="1"/>
      <c r="L209" s="1"/>
    </row>
    <row r="210" spans="1:12" x14ac:dyDescent="0.25">
      <c r="A210" t="s">
        <v>324</v>
      </c>
      <c r="B210" s="1">
        <v>12.616467070000001</v>
      </c>
      <c r="C210" s="1">
        <v>0.10427953199999999</v>
      </c>
      <c r="D210" s="1">
        <v>123.04145010000001</v>
      </c>
      <c r="E210" s="1">
        <v>0.74446436900000001</v>
      </c>
      <c r="F210" s="1">
        <v>10.331944050000001</v>
      </c>
      <c r="G210" s="1">
        <v>0</v>
      </c>
      <c r="H210" s="1">
        <v>1030</v>
      </c>
      <c r="I210" s="1" t="s">
        <v>601</v>
      </c>
      <c r="J210" s="1"/>
      <c r="K210" s="1"/>
      <c r="L210" s="1"/>
    </row>
    <row r="211" spans="1:12" x14ac:dyDescent="0.25">
      <c r="A211" t="s">
        <v>325</v>
      </c>
      <c r="B211" s="1"/>
      <c r="C211" s="1"/>
      <c r="D211" s="1">
        <v>116.45002460000001</v>
      </c>
      <c r="E211" s="1">
        <v>0.73543014299999998</v>
      </c>
      <c r="F211" s="1">
        <v>13.70052218</v>
      </c>
      <c r="G211" s="1">
        <v>0</v>
      </c>
      <c r="H211" s="1">
        <v>1029</v>
      </c>
      <c r="I211" s="1" t="s">
        <v>603</v>
      </c>
      <c r="J211" s="1"/>
      <c r="K211" s="1"/>
      <c r="L211" s="1"/>
    </row>
    <row r="212" spans="1:12" x14ac:dyDescent="0.25">
      <c r="A212" t="s">
        <v>323</v>
      </c>
      <c r="B212" s="1">
        <v>24.350723070000001</v>
      </c>
      <c r="C212" s="1">
        <v>0.18581747300000001</v>
      </c>
      <c r="D212" s="1"/>
      <c r="E212" s="1"/>
      <c r="F212" s="1"/>
      <c r="G212" s="1">
        <v>0</v>
      </c>
      <c r="H212" s="1">
        <v>1028</v>
      </c>
      <c r="I212" s="1" t="s">
        <v>602</v>
      </c>
      <c r="J212" s="1">
        <v>473.76157189999998</v>
      </c>
      <c r="K212" s="1">
        <v>2.7651214930000001</v>
      </c>
      <c r="L212" s="1">
        <v>1.5475153079999999</v>
      </c>
    </row>
    <row r="213" spans="1:12" x14ac:dyDescent="0.25">
      <c r="A213" t="s">
        <v>322</v>
      </c>
      <c r="B213" s="1"/>
      <c r="C213" s="1"/>
      <c r="D213" s="1">
        <v>128.91916950000001</v>
      </c>
      <c r="E213" s="1">
        <v>0.97760638099999997</v>
      </c>
      <c r="F213" s="1">
        <v>11.195339300000001</v>
      </c>
      <c r="G213" s="1">
        <v>0</v>
      </c>
      <c r="H213" s="1">
        <v>1027</v>
      </c>
      <c r="I213" s="1" t="s">
        <v>601</v>
      </c>
      <c r="J213" s="1"/>
      <c r="K213" s="1"/>
      <c r="L213" s="1"/>
    </row>
    <row r="214" spans="1:12" x14ac:dyDescent="0.25">
      <c r="A214" t="s">
        <v>321</v>
      </c>
      <c r="B214" s="1"/>
      <c r="C214" s="1"/>
      <c r="D214" s="1">
        <v>129.13010159999999</v>
      </c>
      <c r="E214" s="1">
        <v>0.897093645</v>
      </c>
      <c r="F214" s="1">
        <v>11.73304781</v>
      </c>
      <c r="G214" s="1">
        <v>0</v>
      </c>
      <c r="H214" s="1">
        <v>1026</v>
      </c>
      <c r="I214" s="1" t="s">
        <v>603</v>
      </c>
      <c r="J214" s="1"/>
      <c r="K214" s="1"/>
      <c r="L214" s="1"/>
    </row>
    <row r="215" spans="1:12" x14ac:dyDescent="0.25">
      <c r="A215" t="s">
        <v>320</v>
      </c>
      <c r="B215" s="1">
        <v>25.480752079999998</v>
      </c>
      <c r="C215" s="1">
        <v>0.32900979200000002</v>
      </c>
      <c r="D215" s="1"/>
      <c r="E215" s="1"/>
      <c r="F215" s="1"/>
      <c r="G215" s="1">
        <v>0</v>
      </c>
      <c r="H215" s="1">
        <v>1025</v>
      </c>
      <c r="I215" s="1" t="s">
        <v>602</v>
      </c>
      <c r="J215" s="1">
        <v>459.24446269999999</v>
      </c>
      <c r="K215" s="1">
        <v>2.8402394809999998</v>
      </c>
      <c r="L215" s="1">
        <v>1.707328368</v>
      </c>
    </row>
    <row r="216" spans="1:12" x14ac:dyDescent="0.25">
      <c r="A216" t="s">
        <v>319</v>
      </c>
      <c r="B216" s="1">
        <v>38.16610463</v>
      </c>
      <c r="C216" s="1">
        <v>0.231160639</v>
      </c>
      <c r="D216" s="1"/>
      <c r="E216" s="1"/>
      <c r="F216" s="1"/>
      <c r="G216" s="1">
        <v>0</v>
      </c>
      <c r="H216" s="1">
        <v>1024</v>
      </c>
      <c r="I216" s="1" t="s">
        <v>602</v>
      </c>
      <c r="J216" s="1">
        <v>428.71200199999998</v>
      </c>
      <c r="K216" s="1">
        <v>3.090928291</v>
      </c>
      <c r="L216" s="1">
        <v>1.5999853310000001</v>
      </c>
    </row>
    <row r="217" spans="1:12" x14ac:dyDescent="0.25">
      <c r="A217" t="s">
        <v>318</v>
      </c>
      <c r="B217" s="1">
        <v>28.56521167</v>
      </c>
      <c r="C217" s="1">
        <v>0.53052661999999995</v>
      </c>
      <c r="D217" s="1"/>
      <c r="E217" s="1"/>
      <c r="F217" s="1"/>
      <c r="G217" s="1">
        <v>0</v>
      </c>
      <c r="H217" s="1">
        <v>1023</v>
      </c>
      <c r="I217" s="1" t="s">
        <v>602</v>
      </c>
      <c r="J217" s="1">
        <v>495.72770059999999</v>
      </c>
      <c r="K217" s="1">
        <v>2.2715016270000001</v>
      </c>
      <c r="L217" s="1">
        <v>1.580251836</v>
      </c>
    </row>
    <row r="218" spans="1:12" x14ac:dyDescent="0.25">
      <c r="A218" t="s">
        <v>317</v>
      </c>
      <c r="B218" s="1">
        <v>21.604760649999999</v>
      </c>
      <c r="C218" s="1">
        <v>0.119590398</v>
      </c>
      <c r="D218" s="1"/>
      <c r="E218" s="1"/>
      <c r="F218" s="1"/>
      <c r="G218" s="1">
        <v>0</v>
      </c>
      <c r="H218" s="1">
        <v>1022</v>
      </c>
      <c r="I218" s="1" t="s">
        <v>602</v>
      </c>
      <c r="J218" s="1">
        <v>509.27551010000002</v>
      </c>
      <c r="K218" s="1">
        <v>2.9161594279999998</v>
      </c>
      <c r="L218" s="1">
        <v>1.781351602</v>
      </c>
    </row>
    <row r="219" spans="1:12" x14ac:dyDescent="0.25">
      <c r="A219" t="s">
        <v>316</v>
      </c>
      <c r="B219" s="1"/>
      <c r="C219" s="1"/>
      <c r="D219" s="1">
        <v>132.54689110000001</v>
      </c>
      <c r="E219" s="1">
        <v>0.82232525700000003</v>
      </c>
      <c r="F219" s="1">
        <v>13.16576517</v>
      </c>
      <c r="G219" s="1">
        <v>0</v>
      </c>
      <c r="H219" s="1">
        <v>1021</v>
      </c>
      <c r="I219" s="1" t="s">
        <v>603</v>
      </c>
      <c r="J219" s="1"/>
      <c r="K219" s="1"/>
      <c r="L219" s="1"/>
    </row>
    <row r="220" spans="1:12" x14ac:dyDescent="0.25">
      <c r="A220" t="s">
        <v>315</v>
      </c>
      <c r="B220" s="1"/>
      <c r="C220" s="1"/>
      <c r="D220" s="1">
        <v>125.58293380000001</v>
      </c>
      <c r="E220" s="1">
        <v>1.1402392180000001</v>
      </c>
      <c r="F220" s="1">
        <v>12.172186910000001</v>
      </c>
      <c r="G220" s="1">
        <v>0</v>
      </c>
      <c r="H220" s="1">
        <v>1020</v>
      </c>
      <c r="I220" s="1" t="s">
        <v>603</v>
      </c>
      <c r="J220" s="1"/>
      <c r="K220" s="1"/>
      <c r="L220" s="1"/>
    </row>
    <row r="221" spans="1:12" x14ac:dyDescent="0.25">
      <c r="A221" t="s">
        <v>314</v>
      </c>
      <c r="B221" s="1">
        <v>27.585265369999998</v>
      </c>
      <c r="C221" s="1">
        <v>0.23527754200000001</v>
      </c>
      <c r="D221" s="1"/>
      <c r="E221" s="1"/>
      <c r="F221" s="1"/>
      <c r="G221" s="1">
        <v>0</v>
      </c>
      <c r="H221" s="1">
        <v>1019</v>
      </c>
      <c r="I221" s="1" t="s">
        <v>602</v>
      </c>
      <c r="J221" s="1">
        <v>473.84050189999999</v>
      </c>
      <c r="K221" s="1">
        <v>3.1868040209999999</v>
      </c>
      <c r="L221" s="1">
        <v>1.79680274</v>
      </c>
    </row>
    <row r="222" spans="1:12" x14ac:dyDescent="0.25">
      <c r="A222" t="s">
        <v>313</v>
      </c>
      <c r="B222" s="1">
        <v>18.965016219999999</v>
      </c>
      <c r="C222" s="1">
        <v>0.187378604</v>
      </c>
      <c r="D222" s="1"/>
      <c r="E222" s="1"/>
      <c r="F222" s="1"/>
      <c r="G222" s="1">
        <v>0</v>
      </c>
      <c r="H222" s="1">
        <v>1018</v>
      </c>
      <c r="I222" s="1" t="s">
        <v>602</v>
      </c>
      <c r="J222" s="1">
        <v>473.3003602</v>
      </c>
      <c r="K222" s="1">
        <v>3.5503399560000002</v>
      </c>
      <c r="L222" s="1">
        <v>1.84388039</v>
      </c>
    </row>
    <row r="223" spans="1:12" x14ac:dyDescent="0.25">
      <c r="A223" t="s">
        <v>312</v>
      </c>
      <c r="B223" s="1">
        <v>85.732524280000007</v>
      </c>
      <c r="C223" s="1">
        <v>0.33877000299999999</v>
      </c>
      <c r="D223" s="1">
        <v>72.964479139999995</v>
      </c>
      <c r="E223" s="1">
        <v>0.51387886599999999</v>
      </c>
      <c r="F223" s="1">
        <v>7.1637508859999999</v>
      </c>
      <c r="G223" s="1">
        <v>0</v>
      </c>
      <c r="H223" s="1">
        <v>1017</v>
      </c>
      <c r="I223" s="1" t="s">
        <v>601</v>
      </c>
      <c r="J223" s="1"/>
      <c r="K223" s="1"/>
      <c r="L223" s="1"/>
    </row>
    <row r="224" spans="1:12" x14ac:dyDescent="0.25">
      <c r="A224" t="s">
        <v>310</v>
      </c>
      <c r="B224" s="1">
        <v>48.033130219999997</v>
      </c>
      <c r="C224" s="1">
        <v>0.53001495499999995</v>
      </c>
      <c r="D224" s="1"/>
      <c r="E224" s="1"/>
      <c r="F224" s="1"/>
      <c r="G224" s="1">
        <v>0</v>
      </c>
      <c r="H224" s="1">
        <v>1016</v>
      </c>
      <c r="I224" s="1" t="s">
        <v>602</v>
      </c>
      <c r="J224" s="1">
        <v>440.55502109999998</v>
      </c>
      <c r="K224" s="1">
        <v>2.7038335080000002</v>
      </c>
      <c r="L224" s="1">
        <v>1.731386391</v>
      </c>
    </row>
    <row r="225" spans="1:12" x14ac:dyDescent="0.25">
      <c r="A225" t="s">
        <v>389</v>
      </c>
      <c r="B225" s="1">
        <v>18.339923859999999</v>
      </c>
      <c r="C225" s="1">
        <v>0.102360433</v>
      </c>
      <c r="D225" s="1">
        <v>31.846175859999999</v>
      </c>
      <c r="E225" s="1">
        <v>0.14398200999999999</v>
      </c>
      <c r="F225" s="1">
        <v>4.4593735150000002</v>
      </c>
      <c r="G225" s="1">
        <v>0</v>
      </c>
      <c r="H225" s="1">
        <v>1102</v>
      </c>
      <c r="I225" s="1" t="s">
        <v>600</v>
      </c>
      <c r="J225" s="1"/>
      <c r="K225" s="1"/>
      <c r="L225" s="1"/>
    </row>
    <row r="226" spans="1:12" x14ac:dyDescent="0.25">
      <c r="A226" t="s">
        <v>329</v>
      </c>
      <c r="B226" s="1"/>
      <c r="C226" s="1"/>
      <c r="D226" s="1">
        <v>117.9382712</v>
      </c>
      <c r="E226" s="1">
        <v>0.60496403700000001</v>
      </c>
      <c r="F226" s="1">
        <v>13.257045529999999</v>
      </c>
      <c r="G226" s="1">
        <v>0</v>
      </c>
      <c r="H226" s="1">
        <v>1034</v>
      </c>
      <c r="I226" s="1" t="s">
        <v>603</v>
      </c>
      <c r="J226" s="1"/>
      <c r="K226" s="1"/>
      <c r="L226" s="1"/>
    </row>
    <row r="227" spans="1:12" x14ac:dyDescent="0.25">
      <c r="A227" t="s">
        <v>296</v>
      </c>
      <c r="B227" s="1"/>
      <c r="C227" s="1"/>
      <c r="D227" s="1">
        <v>122.389894</v>
      </c>
      <c r="E227" s="1">
        <v>0.97915195899999996</v>
      </c>
      <c r="F227" s="1">
        <v>10.268034419999999</v>
      </c>
      <c r="G227" s="1">
        <v>0</v>
      </c>
      <c r="H227" s="1">
        <v>1035</v>
      </c>
      <c r="I227" s="1" t="s">
        <v>603</v>
      </c>
      <c r="J227" s="1"/>
      <c r="K227" s="1"/>
      <c r="L227" s="1"/>
    </row>
    <row r="228" spans="1:12" x14ac:dyDescent="0.25">
      <c r="A228" t="s">
        <v>330</v>
      </c>
      <c r="B228" s="1"/>
      <c r="C228" s="1"/>
      <c r="D228" s="1">
        <v>131.14875960000001</v>
      </c>
      <c r="E228" s="1">
        <v>0.76494466999999999</v>
      </c>
      <c r="F228" s="1">
        <v>10.651487210000001</v>
      </c>
      <c r="G228" s="1">
        <v>0</v>
      </c>
      <c r="H228" s="1">
        <v>1036</v>
      </c>
      <c r="I228" s="1" t="s">
        <v>601</v>
      </c>
      <c r="J228" s="1"/>
      <c r="K228" s="1"/>
      <c r="L228" s="1"/>
    </row>
    <row r="229" spans="1:12" x14ac:dyDescent="0.25">
      <c r="A229" t="s">
        <v>341</v>
      </c>
      <c r="B229" s="1"/>
      <c r="C229" s="1"/>
      <c r="D229" s="1">
        <v>114.0935915</v>
      </c>
      <c r="E229" s="1">
        <v>0.52100983199999995</v>
      </c>
      <c r="F229" s="1">
        <v>9.9885183990000002</v>
      </c>
      <c r="G229" s="1">
        <v>0</v>
      </c>
      <c r="H229" s="1">
        <v>1047</v>
      </c>
      <c r="I229" s="1" t="s">
        <v>601</v>
      </c>
      <c r="J229" s="1"/>
      <c r="K229" s="1"/>
      <c r="L229" s="1"/>
    </row>
    <row r="230" spans="1:12" x14ac:dyDescent="0.25">
      <c r="A230" t="s">
        <v>339</v>
      </c>
      <c r="B230" s="1"/>
      <c r="C230" s="1"/>
      <c r="D230" s="1">
        <v>94.348465840000003</v>
      </c>
      <c r="E230" s="1">
        <v>0.59092266999999998</v>
      </c>
      <c r="F230" s="1">
        <v>8.0909775639999992</v>
      </c>
      <c r="G230" s="1">
        <v>0</v>
      </c>
      <c r="H230" s="1">
        <v>1056</v>
      </c>
      <c r="I230" s="1" t="s">
        <v>601</v>
      </c>
      <c r="J230" s="1"/>
      <c r="K230" s="1"/>
      <c r="L230" s="1"/>
    </row>
    <row r="231" spans="1:12" x14ac:dyDescent="0.25">
      <c r="A231" t="s">
        <v>348</v>
      </c>
      <c r="B231" s="1"/>
      <c r="C231" s="1"/>
      <c r="D231" s="1">
        <v>84.674003459999994</v>
      </c>
      <c r="E231" s="1">
        <v>0.77153640599999995</v>
      </c>
      <c r="F231" s="1">
        <v>8.2636796080000003</v>
      </c>
      <c r="G231" s="1">
        <v>0</v>
      </c>
      <c r="H231" s="1">
        <v>1055</v>
      </c>
      <c r="I231" s="1" t="s">
        <v>603</v>
      </c>
      <c r="J231" s="1"/>
      <c r="K231" s="1"/>
      <c r="L231" s="1"/>
    </row>
    <row r="232" spans="1:12" x14ac:dyDescent="0.25">
      <c r="A232" t="s">
        <v>346</v>
      </c>
      <c r="B232" s="1"/>
      <c r="C232" s="1"/>
      <c r="D232" s="1">
        <v>104.9866818</v>
      </c>
      <c r="E232" s="1">
        <v>0.54257279599999997</v>
      </c>
      <c r="F232" s="1">
        <v>8.2658241920000002</v>
      </c>
      <c r="G232" s="1">
        <v>0</v>
      </c>
      <c r="H232" s="1">
        <v>1054</v>
      </c>
      <c r="I232" s="1" t="s">
        <v>601</v>
      </c>
      <c r="J232" s="1"/>
      <c r="K232" s="1"/>
      <c r="L232" s="1"/>
    </row>
    <row r="233" spans="1:12" x14ac:dyDescent="0.25">
      <c r="A233" t="s">
        <v>345</v>
      </c>
      <c r="B233" s="1"/>
      <c r="C233" s="1"/>
      <c r="D233" s="1">
        <v>101.8272233</v>
      </c>
      <c r="E233" s="1">
        <v>0.64853063300000002</v>
      </c>
      <c r="F233" s="1">
        <v>8.2777721769999992</v>
      </c>
      <c r="G233" s="1">
        <v>0</v>
      </c>
      <c r="H233" s="1">
        <v>1053</v>
      </c>
      <c r="I233" s="1" t="s">
        <v>601</v>
      </c>
      <c r="J233" s="1"/>
      <c r="K233" s="1"/>
      <c r="L233" s="1"/>
    </row>
    <row r="234" spans="1:12" x14ac:dyDescent="0.25">
      <c r="A234" t="s">
        <v>505</v>
      </c>
      <c r="B234" s="1">
        <v>22.44404965</v>
      </c>
      <c r="C234" s="1">
        <v>0.16404908100000001</v>
      </c>
      <c r="D234" s="1">
        <v>77.122502920000002</v>
      </c>
      <c r="E234" s="1">
        <v>0.39377426700000001</v>
      </c>
      <c r="F234" s="1">
        <v>7.7221846300000001</v>
      </c>
      <c r="G234" s="1">
        <v>0</v>
      </c>
      <c r="H234" s="1">
        <v>1052</v>
      </c>
      <c r="I234" s="1" t="s">
        <v>601</v>
      </c>
      <c r="J234" s="1"/>
      <c r="K234" s="1"/>
      <c r="L234" s="1"/>
    </row>
    <row r="235" spans="1:12" x14ac:dyDescent="0.25">
      <c r="A235" t="s">
        <v>347</v>
      </c>
      <c r="B235" s="1">
        <v>90.30162018</v>
      </c>
      <c r="C235" s="1">
        <v>0.695061924</v>
      </c>
      <c r="D235" s="1">
        <v>30.705354629999999</v>
      </c>
      <c r="E235" s="1">
        <v>0.20362185799999999</v>
      </c>
      <c r="F235" s="1">
        <v>4.3241390170000003</v>
      </c>
      <c r="G235" s="1">
        <v>0</v>
      </c>
      <c r="H235" s="1">
        <v>1051</v>
      </c>
      <c r="I235" s="1" t="s">
        <v>600</v>
      </c>
      <c r="J235" s="1"/>
      <c r="K235" s="1"/>
      <c r="L235" s="1"/>
    </row>
    <row r="236" spans="1:12" x14ac:dyDescent="0.25">
      <c r="A236" t="s">
        <v>343</v>
      </c>
      <c r="B236" s="1">
        <v>107.34377189999999</v>
      </c>
      <c r="C236" s="1">
        <v>0.82110793999999998</v>
      </c>
      <c r="D236" s="1">
        <v>29.146751170000002</v>
      </c>
      <c r="E236" s="1">
        <v>0.16772678799999999</v>
      </c>
      <c r="F236" s="1">
        <v>4.1006965219999998</v>
      </c>
      <c r="G236" s="1">
        <v>0</v>
      </c>
      <c r="H236" s="1">
        <v>1049</v>
      </c>
      <c r="I236" s="1" t="s">
        <v>600</v>
      </c>
      <c r="J236" s="1"/>
      <c r="K236" s="1"/>
      <c r="L236" s="1"/>
    </row>
    <row r="237" spans="1:12" x14ac:dyDescent="0.25">
      <c r="A237" t="s">
        <v>342</v>
      </c>
      <c r="B237" s="1"/>
      <c r="C237" s="1"/>
      <c r="D237" s="1">
        <v>100.9583695</v>
      </c>
      <c r="E237" s="1">
        <v>0.72344997300000002</v>
      </c>
      <c r="F237" s="1">
        <v>9.9736768910000002</v>
      </c>
      <c r="G237" s="1">
        <v>0</v>
      </c>
      <c r="H237" s="1">
        <v>1048</v>
      </c>
      <c r="I237" s="1" t="s">
        <v>603</v>
      </c>
      <c r="J237" s="1"/>
      <c r="K237" s="1"/>
      <c r="L237" s="1"/>
    </row>
    <row r="238" spans="1:12" x14ac:dyDescent="0.25">
      <c r="A238" t="s">
        <v>340</v>
      </c>
      <c r="B238" s="1"/>
      <c r="C238" s="1"/>
      <c r="D238" s="1">
        <v>94.541963050000007</v>
      </c>
      <c r="E238" s="1">
        <v>0.44965467199999998</v>
      </c>
      <c r="F238" s="1">
        <v>12.970324400000001</v>
      </c>
      <c r="G238" s="1">
        <v>0</v>
      </c>
      <c r="H238" s="1">
        <v>1046</v>
      </c>
      <c r="I238" s="1" t="s">
        <v>600</v>
      </c>
      <c r="J238" s="1"/>
      <c r="K238" s="1"/>
      <c r="L238" s="1"/>
    </row>
    <row r="239" spans="1:12" x14ac:dyDescent="0.25">
      <c r="A239" t="s">
        <v>331</v>
      </c>
      <c r="B239" s="1"/>
      <c r="C239" s="1"/>
      <c r="D239" s="1">
        <v>122.8944496</v>
      </c>
      <c r="E239" s="1">
        <v>0.99645657600000004</v>
      </c>
      <c r="F239" s="1">
        <v>9.7399369920000005</v>
      </c>
      <c r="G239" s="1">
        <v>0</v>
      </c>
      <c r="H239" s="1">
        <v>1037</v>
      </c>
      <c r="I239" s="1" t="s">
        <v>601</v>
      </c>
      <c r="J239" s="1"/>
      <c r="K239" s="1"/>
      <c r="L239" s="1"/>
    </row>
    <row r="240" spans="1:12" x14ac:dyDescent="0.25">
      <c r="A240" t="s">
        <v>646</v>
      </c>
      <c r="B240" s="1">
        <v>17.512006679999999</v>
      </c>
      <c r="C240" s="1">
        <v>0.15806245799999999</v>
      </c>
      <c r="D240" s="1"/>
      <c r="E240" s="1"/>
      <c r="F240" s="1"/>
      <c r="G240" s="1">
        <v>0</v>
      </c>
      <c r="H240" s="1">
        <v>1045</v>
      </c>
      <c r="I240" s="1" t="s">
        <v>602</v>
      </c>
      <c r="J240" s="1">
        <v>440.36417799999998</v>
      </c>
      <c r="K240" s="1">
        <v>2.4526078240000002</v>
      </c>
      <c r="L240" s="1">
        <v>2.1453033029999999</v>
      </c>
    </row>
    <row r="241" spans="1:12" x14ac:dyDescent="0.25">
      <c r="A241" t="s">
        <v>338</v>
      </c>
      <c r="B241" s="1"/>
      <c r="C241" s="1"/>
      <c r="D241" s="1">
        <v>122.12307730000001</v>
      </c>
      <c r="E241" s="1">
        <v>0.61471180700000005</v>
      </c>
      <c r="F241" s="1">
        <v>10.47493351</v>
      </c>
      <c r="G241" s="1">
        <v>0</v>
      </c>
      <c r="H241" s="1">
        <v>1044</v>
      </c>
      <c r="I241" s="1" t="s">
        <v>601</v>
      </c>
      <c r="J241" s="1"/>
      <c r="K241" s="1"/>
      <c r="L241" s="1"/>
    </row>
    <row r="242" spans="1:12" x14ac:dyDescent="0.25">
      <c r="A242" t="s">
        <v>337</v>
      </c>
      <c r="B242" s="1"/>
      <c r="C242" s="1"/>
      <c r="D242" s="1">
        <v>129.77027699999999</v>
      </c>
      <c r="E242" s="1">
        <v>0.546096523</v>
      </c>
      <c r="F242" s="1">
        <v>10.48522438</v>
      </c>
      <c r="G242" s="1">
        <v>0</v>
      </c>
      <c r="H242" s="1">
        <v>1043</v>
      </c>
      <c r="I242" s="1" t="s">
        <v>601</v>
      </c>
      <c r="J242" s="1"/>
      <c r="K242" s="1"/>
      <c r="L242" s="1"/>
    </row>
    <row r="243" spans="1:12" x14ac:dyDescent="0.25">
      <c r="A243" t="s">
        <v>334</v>
      </c>
      <c r="B243" s="1">
        <v>32.843836019999998</v>
      </c>
      <c r="C243" s="1">
        <v>0.33582251800000001</v>
      </c>
      <c r="D243" s="1">
        <v>86.756535290000002</v>
      </c>
      <c r="E243" s="1">
        <v>0.71469353000000002</v>
      </c>
      <c r="F243" s="1">
        <v>8.7470448540000003</v>
      </c>
      <c r="G243" s="1">
        <v>0</v>
      </c>
      <c r="H243" s="1">
        <v>1042</v>
      </c>
      <c r="I243" s="1" t="s">
        <v>601</v>
      </c>
      <c r="J243" s="1"/>
      <c r="K243" s="1"/>
      <c r="L243" s="1"/>
    </row>
    <row r="244" spans="1:12" x14ac:dyDescent="0.25">
      <c r="A244" t="s">
        <v>336</v>
      </c>
      <c r="B244" s="1"/>
      <c r="C244" s="1"/>
      <c r="D244" s="1">
        <v>113.22526499999999</v>
      </c>
      <c r="E244" s="1">
        <v>0.85021058000000005</v>
      </c>
      <c r="F244" s="1">
        <v>10.96299469</v>
      </c>
      <c r="G244" s="1">
        <v>0</v>
      </c>
      <c r="H244" s="1">
        <v>1041</v>
      </c>
      <c r="I244" s="1" t="s">
        <v>603</v>
      </c>
      <c r="J244" s="1"/>
      <c r="K244" s="1"/>
      <c r="L244" s="1"/>
    </row>
    <row r="245" spans="1:12" x14ac:dyDescent="0.25">
      <c r="A245" t="s">
        <v>335</v>
      </c>
      <c r="B245" s="1"/>
      <c r="C245" s="1"/>
      <c r="D245" s="1">
        <v>122.4955705</v>
      </c>
      <c r="E245" s="1">
        <v>0.89807037899999997</v>
      </c>
      <c r="F245" s="1">
        <v>9.9463260069999997</v>
      </c>
      <c r="G245" s="1">
        <v>0</v>
      </c>
      <c r="H245" s="1">
        <v>1040</v>
      </c>
      <c r="I245" s="1" t="s">
        <v>601</v>
      </c>
      <c r="J245" s="1"/>
      <c r="K245" s="1"/>
      <c r="L245" s="1"/>
    </row>
    <row r="246" spans="1:12" x14ac:dyDescent="0.25">
      <c r="A246" t="s">
        <v>333</v>
      </c>
      <c r="B246" s="1"/>
      <c r="C246" s="1"/>
      <c r="D246" s="1">
        <v>123.1938889</v>
      </c>
      <c r="E246" s="1">
        <v>0.56553948600000004</v>
      </c>
      <c r="F246" s="1">
        <v>12.253362989999999</v>
      </c>
      <c r="G246" s="1">
        <v>0</v>
      </c>
      <c r="H246" s="1">
        <v>1039</v>
      </c>
      <c r="I246" s="1" t="s">
        <v>603</v>
      </c>
      <c r="J246" s="1"/>
      <c r="K246" s="1"/>
      <c r="L246" s="1"/>
    </row>
    <row r="247" spans="1:12" x14ac:dyDescent="0.25">
      <c r="A247" t="s">
        <v>332</v>
      </c>
      <c r="B247" s="1">
        <v>12.6517219</v>
      </c>
      <c r="C247" s="1">
        <v>7.8629625999999994E-2</v>
      </c>
      <c r="D247" s="1">
        <v>115.45280080000001</v>
      </c>
      <c r="E247" s="1">
        <v>0.798632589</v>
      </c>
      <c r="F247" s="1">
        <v>9.9272096199999993</v>
      </c>
      <c r="G247" s="1">
        <v>0</v>
      </c>
      <c r="H247" s="1">
        <v>1038</v>
      </c>
      <c r="I247" s="1" t="s">
        <v>601</v>
      </c>
      <c r="J247" s="1"/>
      <c r="K247" s="1"/>
      <c r="L247" s="1"/>
    </row>
    <row r="248" spans="1:12" x14ac:dyDescent="0.25">
      <c r="A248" t="s">
        <v>388</v>
      </c>
      <c r="B248" s="1">
        <v>16.645453809999999</v>
      </c>
      <c r="C248" s="1">
        <v>0.121662743</v>
      </c>
      <c r="D248" s="1">
        <v>30.2026097</v>
      </c>
      <c r="E248" s="1">
        <v>0.224058706</v>
      </c>
      <c r="F248" s="1">
        <v>4.4278449640000002</v>
      </c>
      <c r="G248" s="1">
        <v>0</v>
      </c>
      <c r="H248" s="1">
        <v>1101</v>
      </c>
      <c r="I248" s="1" t="s">
        <v>600</v>
      </c>
      <c r="J248" s="1"/>
      <c r="K248" s="1"/>
      <c r="L248" s="1"/>
    </row>
    <row r="249" spans="1:12" x14ac:dyDescent="0.25">
      <c r="A249" t="s">
        <v>415</v>
      </c>
      <c r="B249" s="1"/>
      <c r="C249" s="1"/>
      <c r="D249" s="1"/>
      <c r="E249" s="1"/>
      <c r="F249" s="1"/>
      <c r="G249" s="1">
        <v>0</v>
      </c>
      <c r="H249" s="1">
        <v>1183</v>
      </c>
      <c r="I249" s="1" t="s">
        <v>601</v>
      </c>
      <c r="J249" s="1"/>
      <c r="K249" s="1"/>
      <c r="L249" s="1"/>
    </row>
    <row r="250" spans="1:12" x14ac:dyDescent="0.25">
      <c r="A250" t="s">
        <v>390</v>
      </c>
      <c r="B250" s="1">
        <v>45.15081009</v>
      </c>
      <c r="C250" s="1">
        <v>0.347530962</v>
      </c>
      <c r="D250" s="1">
        <v>15.30536337</v>
      </c>
      <c r="E250" s="1">
        <v>0.10181092899999999</v>
      </c>
      <c r="F250" s="1">
        <v>2.1594480190000001</v>
      </c>
      <c r="G250" s="1">
        <v>0</v>
      </c>
      <c r="H250" s="1">
        <v>1103</v>
      </c>
      <c r="I250" s="1" t="s">
        <v>600</v>
      </c>
      <c r="J250" s="1"/>
      <c r="K250" s="1"/>
      <c r="L250" s="1"/>
    </row>
    <row r="251" spans="1:12" x14ac:dyDescent="0.25">
      <c r="A251" t="s">
        <v>430</v>
      </c>
      <c r="B251" s="1"/>
      <c r="C251" s="1"/>
      <c r="D251" s="1">
        <v>37.887195030000001</v>
      </c>
      <c r="E251" s="1">
        <v>0.177092836</v>
      </c>
      <c r="F251" s="1">
        <v>3.2859689419999998</v>
      </c>
      <c r="G251" s="1">
        <v>0</v>
      </c>
      <c r="H251" s="1">
        <v>1148</v>
      </c>
      <c r="I251" s="1" t="s">
        <v>601</v>
      </c>
      <c r="J251" s="1"/>
      <c r="K251" s="1"/>
      <c r="L251" s="1"/>
    </row>
    <row r="252" spans="1:12" x14ac:dyDescent="0.25">
      <c r="A252" t="s">
        <v>448</v>
      </c>
      <c r="B252" s="1"/>
      <c r="C252" s="1"/>
      <c r="D252" s="1">
        <v>17.052592189999999</v>
      </c>
      <c r="E252" s="1">
        <v>0.114044228</v>
      </c>
      <c r="F252" s="1">
        <v>1.778894314</v>
      </c>
      <c r="G252" s="1">
        <v>0</v>
      </c>
      <c r="H252" s="1">
        <v>1168</v>
      </c>
      <c r="I252" s="1" t="s">
        <v>603</v>
      </c>
      <c r="J252" s="1"/>
      <c r="K252" s="1"/>
      <c r="L252" s="1"/>
    </row>
    <row r="253" spans="1:12" x14ac:dyDescent="0.25">
      <c r="A253" t="s">
        <v>449</v>
      </c>
      <c r="B253" s="1"/>
      <c r="C253" s="1"/>
      <c r="D253" s="1">
        <v>18.984308250000002</v>
      </c>
      <c r="E253" s="1">
        <v>0.13421275099999999</v>
      </c>
      <c r="F253" s="1">
        <v>1.530494389</v>
      </c>
      <c r="G253" s="1">
        <v>0</v>
      </c>
      <c r="H253" s="1">
        <v>1167</v>
      </c>
      <c r="I253" s="1" t="s">
        <v>601</v>
      </c>
      <c r="J253" s="1"/>
      <c r="K253" s="1"/>
      <c r="L253" s="1"/>
    </row>
    <row r="254" spans="1:12" x14ac:dyDescent="0.25">
      <c r="A254" t="s">
        <v>447</v>
      </c>
      <c r="B254" s="1"/>
      <c r="C254" s="1"/>
      <c r="D254" s="1">
        <v>17.48841616</v>
      </c>
      <c r="E254" s="1">
        <v>0.14135887899999999</v>
      </c>
      <c r="F254" s="1">
        <v>1.67678332</v>
      </c>
      <c r="G254" s="1">
        <v>0</v>
      </c>
      <c r="H254" s="1">
        <v>1166</v>
      </c>
      <c r="I254" s="1" t="s">
        <v>603</v>
      </c>
      <c r="J254" s="1"/>
      <c r="K254" s="1"/>
      <c r="L254" s="1"/>
    </row>
    <row r="255" spans="1:12" x14ac:dyDescent="0.25">
      <c r="A255" t="s">
        <v>444</v>
      </c>
      <c r="B255" s="1"/>
      <c r="C255" s="1"/>
      <c r="D255" s="1">
        <v>19.675313450000001</v>
      </c>
      <c r="E255" s="1">
        <v>0.12784960000000001</v>
      </c>
      <c r="F255" s="1">
        <v>1.653878424</v>
      </c>
      <c r="G255" s="1">
        <v>0</v>
      </c>
      <c r="H255" s="1">
        <v>1165</v>
      </c>
      <c r="I255" s="1" t="s">
        <v>601</v>
      </c>
      <c r="J255" s="1"/>
      <c r="K255" s="1"/>
      <c r="L255" s="1"/>
    </row>
    <row r="256" spans="1:12" x14ac:dyDescent="0.25">
      <c r="A256" t="s">
        <v>446</v>
      </c>
      <c r="B256" s="1"/>
      <c r="C256" s="1"/>
      <c r="D256" s="1">
        <v>19.675277170000001</v>
      </c>
      <c r="E256" s="1">
        <v>7.8515695999999996E-2</v>
      </c>
      <c r="F256" s="1">
        <v>1.7219174370000001</v>
      </c>
      <c r="G256" s="1">
        <v>0</v>
      </c>
      <c r="H256" s="1">
        <v>1164</v>
      </c>
      <c r="I256" s="1" t="s">
        <v>601</v>
      </c>
      <c r="J256" s="1"/>
      <c r="K256" s="1"/>
      <c r="L256" s="1"/>
    </row>
    <row r="257" spans="1:12" x14ac:dyDescent="0.25">
      <c r="A257" t="s">
        <v>445</v>
      </c>
      <c r="B257" s="1"/>
      <c r="C257" s="1"/>
      <c r="D257" s="1">
        <v>20.1088883</v>
      </c>
      <c r="E257" s="1">
        <v>0.128363692</v>
      </c>
      <c r="F257" s="1">
        <v>1.680728609</v>
      </c>
      <c r="G257" s="1">
        <v>0</v>
      </c>
      <c r="H257" s="1">
        <v>1163</v>
      </c>
      <c r="I257" s="1" t="s">
        <v>601</v>
      </c>
      <c r="J257" s="1"/>
      <c r="K257" s="1"/>
      <c r="L257" s="1"/>
    </row>
    <row r="258" spans="1:12" x14ac:dyDescent="0.25">
      <c r="A258" t="s">
        <v>442</v>
      </c>
      <c r="B258" s="1"/>
      <c r="C258" s="1"/>
      <c r="D258" s="1">
        <v>19.389371799999999</v>
      </c>
      <c r="E258" s="1">
        <v>0.14514206399999999</v>
      </c>
      <c r="F258" s="1">
        <v>1.6579317579999999</v>
      </c>
      <c r="G258" s="1">
        <v>0</v>
      </c>
      <c r="H258" s="1">
        <v>1162</v>
      </c>
      <c r="I258" s="1" t="s">
        <v>601</v>
      </c>
      <c r="J258" s="1"/>
      <c r="K258" s="1"/>
      <c r="L258" s="1"/>
    </row>
    <row r="259" spans="1:12" x14ac:dyDescent="0.25">
      <c r="A259" t="s">
        <v>443</v>
      </c>
      <c r="B259" s="1"/>
      <c r="C259" s="1"/>
      <c r="D259" s="1">
        <v>18.44720534</v>
      </c>
      <c r="E259" s="1">
        <v>0.12850572399999999</v>
      </c>
      <c r="F259" s="1">
        <v>1.8675904000000001</v>
      </c>
      <c r="G259" s="1">
        <v>0</v>
      </c>
      <c r="H259" s="1">
        <v>1161</v>
      </c>
      <c r="I259" s="1" t="s">
        <v>603</v>
      </c>
      <c r="J259" s="1"/>
      <c r="K259" s="1"/>
      <c r="L259" s="1"/>
    </row>
    <row r="260" spans="1:12" x14ac:dyDescent="0.25">
      <c r="A260" t="s">
        <v>441</v>
      </c>
      <c r="B260" s="1"/>
      <c r="C260" s="1"/>
      <c r="D260" s="1">
        <v>18.019622250000001</v>
      </c>
      <c r="E260" s="1">
        <v>0.144787147</v>
      </c>
      <c r="F260" s="1">
        <v>1.8223842029999999</v>
      </c>
      <c r="G260" s="1">
        <v>0</v>
      </c>
      <c r="H260" s="1">
        <v>1160</v>
      </c>
      <c r="I260" s="1" t="s">
        <v>603</v>
      </c>
      <c r="J260" s="1"/>
      <c r="K260" s="1"/>
      <c r="L260" s="1"/>
    </row>
    <row r="261" spans="1:12" x14ac:dyDescent="0.25">
      <c r="A261" t="s">
        <v>440</v>
      </c>
      <c r="B261" s="1"/>
      <c r="C261" s="1"/>
      <c r="D261" s="1">
        <v>17.820263990000001</v>
      </c>
      <c r="E261" s="1">
        <v>0.15406903899999999</v>
      </c>
      <c r="F261" s="1">
        <v>1.841536957</v>
      </c>
      <c r="G261" s="1">
        <v>0</v>
      </c>
      <c r="H261" s="1">
        <v>1159</v>
      </c>
      <c r="I261" s="1" t="s">
        <v>603</v>
      </c>
      <c r="J261" s="1"/>
      <c r="K261" s="1"/>
      <c r="L261" s="1"/>
    </row>
    <row r="262" spans="1:12" x14ac:dyDescent="0.25">
      <c r="A262" t="s">
        <v>647</v>
      </c>
      <c r="B262" s="1">
        <v>32.277435279999999</v>
      </c>
      <c r="C262" s="1">
        <v>0.23130646499999999</v>
      </c>
      <c r="D262" s="1"/>
      <c r="E262" s="1"/>
      <c r="F262" s="1"/>
      <c r="G262" s="1">
        <v>0</v>
      </c>
      <c r="H262" s="1">
        <v>1158</v>
      </c>
      <c r="I262" s="1" t="s">
        <v>600</v>
      </c>
      <c r="J262" s="1"/>
      <c r="K262" s="1"/>
      <c r="L262" s="1"/>
    </row>
    <row r="263" spans="1:12" x14ac:dyDescent="0.25">
      <c r="A263" t="s">
        <v>439</v>
      </c>
      <c r="B263" s="1"/>
      <c r="C263" s="1"/>
      <c r="D263" s="1">
        <v>18.994274560000001</v>
      </c>
      <c r="E263" s="1">
        <v>0.13663825199999999</v>
      </c>
      <c r="F263" s="1">
        <v>1.8937012550000001</v>
      </c>
      <c r="G263" s="1">
        <v>0</v>
      </c>
      <c r="H263" s="1">
        <v>1157</v>
      </c>
      <c r="I263" s="1" t="s">
        <v>603</v>
      </c>
      <c r="J263" s="1"/>
      <c r="K263" s="1"/>
      <c r="L263" s="1"/>
    </row>
    <row r="264" spans="1:12" x14ac:dyDescent="0.25">
      <c r="A264" t="s">
        <v>438</v>
      </c>
      <c r="B264" s="1">
        <v>43.54802677</v>
      </c>
      <c r="C264" s="1">
        <v>0.29845083900000002</v>
      </c>
      <c r="D264" s="1"/>
      <c r="E264" s="1"/>
      <c r="F264" s="1"/>
      <c r="G264" s="1">
        <v>0</v>
      </c>
      <c r="H264" s="1">
        <v>1156</v>
      </c>
      <c r="I264" s="1" t="s">
        <v>600</v>
      </c>
      <c r="J264" s="1"/>
      <c r="K264" s="1"/>
      <c r="L264" s="1"/>
    </row>
    <row r="265" spans="1:12" x14ac:dyDescent="0.25">
      <c r="A265" t="s">
        <v>437</v>
      </c>
      <c r="B265" s="1">
        <v>17.319644199999999</v>
      </c>
      <c r="C265" s="1">
        <v>0.112674843</v>
      </c>
      <c r="D265" s="1">
        <v>14.52889092</v>
      </c>
      <c r="E265" s="1">
        <v>6.3126663E-2</v>
      </c>
      <c r="F265" s="1">
        <v>2.0347338430000002</v>
      </c>
      <c r="G265" s="1">
        <v>0</v>
      </c>
      <c r="H265" s="1">
        <v>1155</v>
      </c>
      <c r="I265" s="1" t="s">
        <v>600</v>
      </c>
      <c r="J265" s="1"/>
      <c r="K265" s="1"/>
      <c r="L265" s="1"/>
    </row>
    <row r="266" spans="1:12" x14ac:dyDescent="0.25">
      <c r="A266" t="s">
        <v>436</v>
      </c>
      <c r="B266" s="1">
        <v>12.74130521</v>
      </c>
      <c r="C266" s="1">
        <v>9.1810396000000002E-2</v>
      </c>
      <c r="D266" s="1">
        <v>19.565102549999999</v>
      </c>
      <c r="E266" s="1">
        <v>0.14874320299999999</v>
      </c>
      <c r="F266" s="1">
        <v>1.6679385840000001</v>
      </c>
      <c r="G266" s="1">
        <v>0</v>
      </c>
      <c r="H266" s="1">
        <v>1154</v>
      </c>
      <c r="I266" s="1" t="s">
        <v>601</v>
      </c>
      <c r="J266" s="1"/>
      <c r="K266" s="1"/>
      <c r="L266" s="1"/>
    </row>
    <row r="267" spans="1:12" x14ac:dyDescent="0.25">
      <c r="A267" t="s">
        <v>510</v>
      </c>
      <c r="B267" s="1">
        <v>13.75970921</v>
      </c>
      <c r="C267" s="1">
        <v>8.5073287999999997E-2</v>
      </c>
      <c r="D267" s="1">
        <v>18.71329124</v>
      </c>
      <c r="E267" s="1">
        <v>0.110274205</v>
      </c>
      <c r="F267" s="1">
        <v>1.5189063380000001</v>
      </c>
      <c r="G267" s="1">
        <v>0</v>
      </c>
      <c r="H267" s="1">
        <v>1153</v>
      </c>
      <c r="I267" s="1" t="s">
        <v>601</v>
      </c>
      <c r="J267" s="1"/>
      <c r="K267" s="1"/>
      <c r="L267" s="1"/>
    </row>
    <row r="268" spans="1:12" x14ac:dyDescent="0.25">
      <c r="A268" t="s">
        <v>435</v>
      </c>
      <c r="B268" s="1"/>
      <c r="C268" s="1"/>
      <c r="D268" s="1">
        <v>26.29172397</v>
      </c>
      <c r="E268" s="1">
        <v>0.20158947299999999</v>
      </c>
      <c r="F268" s="1">
        <v>3.7468928400000001</v>
      </c>
      <c r="G268" s="1">
        <v>0</v>
      </c>
      <c r="H268" s="1">
        <v>1152</v>
      </c>
      <c r="I268" s="1" t="s">
        <v>600</v>
      </c>
      <c r="J268" s="1"/>
      <c r="K268" s="1"/>
      <c r="L268" s="1"/>
    </row>
    <row r="269" spans="1:12" x14ac:dyDescent="0.25">
      <c r="A269" t="s">
        <v>434</v>
      </c>
      <c r="B269" s="1"/>
      <c r="C269" s="1"/>
      <c r="D269" s="1">
        <v>34.759921919999996</v>
      </c>
      <c r="E269" s="1">
        <v>0.204755891</v>
      </c>
      <c r="F269" s="1">
        <v>3.0879740469999999</v>
      </c>
      <c r="G269" s="1">
        <v>0</v>
      </c>
      <c r="H269" s="1">
        <v>1151</v>
      </c>
      <c r="I269" s="1" t="s">
        <v>601</v>
      </c>
      <c r="J269" s="1"/>
      <c r="K269" s="1"/>
      <c r="L269" s="1"/>
    </row>
    <row r="270" spans="1:12" x14ac:dyDescent="0.25">
      <c r="A270" t="s">
        <v>432</v>
      </c>
      <c r="B270" s="1"/>
      <c r="C270" s="1"/>
      <c r="D270" s="1">
        <v>36.817153019999999</v>
      </c>
      <c r="E270" s="1">
        <v>0.19287833200000001</v>
      </c>
      <c r="F270" s="1">
        <v>3.0387836369999999</v>
      </c>
      <c r="G270" s="1">
        <v>0</v>
      </c>
      <c r="H270" s="1">
        <v>1150</v>
      </c>
      <c r="I270" s="1" t="s">
        <v>601</v>
      </c>
      <c r="J270" s="1"/>
      <c r="K270" s="1"/>
      <c r="L270" s="1"/>
    </row>
    <row r="271" spans="1:12" x14ac:dyDescent="0.25">
      <c r="A271" t="s">
        <v>450</v>
      </c>
      <c r="B271" s="1"/>
      <c r="C271" s="1"/>
      <c r="D271" s="1">
        <v>20.96232552</v>
      </c>
      <c r="E271" s="1">
        <v>9.6289472000000001E-2</v>
      </c>
      <c r="F271" s="1">
        <v>1.5033212469999999</v>
      </c>
      <c r="G271" s="1">
        <v>0</v>
      </c>
      <c r="H271" s="1">
        <v>1169</v>
      </c>
      <c r="I271" s="1" t="s">
        <v>601</v>
      </c>
      <c r="J271" s="1"/>
      <c r="K271" s="1"/>
      <c r="L271" s="1"/>
    </row>
    <row r="272" spans="1:12" x14ac:dyDescent="0.25">
      <c r="A272" t="s">
        <v>451</v>
      </c>
      <c r="B272" s="1"/>
      <c r="C272" s="1"/>
      <c r="D272" s="1">
        <v>17.764535469999998</v>
      </c>
      <c r="E272" s="1">
        <v>7.0842848999999999E-2</v>
      </c>
      <c r="F272" s="1">
        <v>1.9602740569999999</v>
      </c>
      <c r="G272" s="1">
        <v>0</v>
      </c>
      <c r="H272" s="1">
        <v>1170</v>
      </c>
      <c r="I272" s="1" t="s">
        <v>603</v>
      </c>
      <c r="J272" s="1"/>
      <c r="K272" s="1"/>
      <c r="L272" s="1"/>
    </row>
    <row r="273" spans="1:12" x14ac:dyDescent="0.25">
      <c r="A273" t="s">
        <v>452</v>
      </c>
      <c r="B273" s="1"/>
      <c r="C273" s="1"/>
      <c r="D273" s="1">
        <v>14.02100448</v>
      </c>
      <c r="E273" s="1">
        <v>6.3849937999999995E-2</v>
      </c>
      <c r="F273" s="1">
        <v>2.0702701399999999</v>
      </c>
      <c r="G273" s="1">
        <v>0</v>
      </c>
      <c r="H273" s="1">
        <v>1171</v>
      </c>
      <c r="I273" s="1" t="s">
        <v>600</v>
      </c>
      <c r="J273" s="1"/>
      <c r="K273" s="1"/>
      <c r="L273" s="1"/>
    </row>
    <row r="274" spans="1:12" x14ac:dyDescent="0.25">
      <c r="A274" t="s">
        <v>308</v>
      </c>
      <c r="B274" s="1">
        <v>26.124125530000001</v>
      </c>
      <c r="C274" s="1">
        <v>0.21325454599999999</v>
      </c>
      <c r="D274" s="1"/>
      <c r="E274" s="1"/>
      <c r="F274" s="1"/>
      <c r="G274" s="1">
        <v>0</v>
      </c>
      <c r="H274" s="1">
        <v>1014</v>
      </c>
      <c r="I274" s="1" t="s">
        <v>602</v>
      </c>
      <c r="J274" s="1">
        <v>467.16116529999999</v>
      </c>
      <c r="K274" s="1">
        <v>3.474105776</v>
      </c>
      <c r="L274" s="1">
        <v>1.666979585</v>
      </c>
    </row>
    <row r="275" spans="1:12" x14ac:dyDescent="0.25">
      <c r="A275" t="s">
        <v>467</v>
      </c>
      <c r="B275" s="1"/>
      <c r="C275" s="1"/>
      <c r="D275" s="1"/>
      <c r="E275" s="1"/>
      <c r="F275" s="1"/>
      <c r="G275" s="1">
        <v>0</v>
      </c>
      <c r="H275" s="1">
        <v>1562</v>
      </c>
      <c r="I275" s="1" t="s">
        <v>600</v>
      </c>
      <c r="J275" s="1"/>
      <c r="K275" s="1"/>
      <c r="L275" s="1"/>
    </row>
    <row r="276" spans="1:12" x14ac:dyDescent="0.25">
      <c r="A276" t="s">
        <v>466</v>
      </c>
      <c r="B276" s="1"/>
      <c r="C276" s="1"/>
      <c r="D276" s="1"/>
      <c r="E276" s="1"/>
      <c r="F276" s="1"/>
      <c r="G276" s="1">
        <v>0</v>
      </c>
      <c r="H276" s="1">
        <v>1453</v>
      </c>
      <c r="I276" s="1" t="s">
        <v>601</v>
      </c>
      <c r="J276" s="1"/>
      <c r="K276" s="1"/>
      <c r="L276" s="1"/>
    </row>
    <row r="277" spans="1:12" x14ac:dyDescent="0.25">
      <c r="A277" t="s">
        <v>465</v>
      </c>
      <c r="B277" s="1"/>
      <c r="C277" s="1"/>
      <c r="D277" s="1"/>
      <c r="E277" s="1"/>
      <c r="F277" s="1"/>
      <c r="G277" s="1">
        <v>0</v>
      </c>
      <c r="H277" s="1">
        <v>1189</v>
      </c>
      <c r="I277" s="1" t="s">
        <v>601</v>
      </c>
      <c r="J277" s="1"/>
      <c r="K277" s="1"/>
      <c r="L277" s="1"/>
    </row>
    <row r="278" spans="1:12" x14ac:dyDescent="0.25">
      <c r="A278" t="s">
        <v>464</v>
      </c>
      <c r="B278" s="1"/>
      <c r="C278" s="1"/>
      <c r="D278" s="1"/>
      <c r="E278" s="1"/>
      <c r="F278" s="1"/>
      <c r="G278" s="1">
        <v>0</v>
      </c>
      <c r="H278" s="1">
        <v>1188</v>
      </c>
      <c r="I278" s="1" t="s">
        <v>601</v>
      </c>
      <c r="J278" s="1"/>
      <c r="K278" s="1"/>
      <c r="L278" s="1"/>
    </row>
    <row r="279" spans="1:12" x14ac:dyDescent="0.25">
      <c r="A279" t="s">
        <v>463</v>
      </c>
      <c r="B279" s="1"/>
      <c r="C279" s="1"/>
      <c r="D279" s="1"/>
      <c r="E279" s="1"/>
      <c r="F279" s="1"/>
      <c r="G279" s="1">
        <v>0</v>
      </c>
      <c r="H279" s="1">
        <v>1187</v>
      </c>
      <c r="I279" s="1" t="s">
        <v>601</v>
      </c>
      <c r="J279" s="1"/>
      <c r="K279" s="1"/>
      <c r="L279" s="1"/>
    </row>
    <row r="280" spans="1:12" x14ac:dyDescent="0.25">
      <c r="A280" t="s">
        <v>462</v>
      </c>
      <c r="B280" s="1"/>
      <c r="C280" s="1"/>
      <c r="D280" s="1"/>
      <c r="E280" s="1"/>
      <c r="F280" s="1"/>
      <c r="G280" s="1">
        <v>0</v>
      </c>
      <c r="H280" s="1">
        <v>1186</v>
      </c>
      <c r="I280" s="1" t="s">
        <v>601</v>
      </c>
      <c r="J280" s="1"/>
      <c r="K280" s="1"/>
      <c r="L280" s="1"/>
    </row>
    <row r="281" spans="1:12" x14ac:dyDescent="0.25">
      <c r="A281" t="s">
        <v>512</v>
      </c>
      <c r="B281" s="1"/>
      <c r="C281" s="1"/>
      <c r="D281" s="1"/>
      <c r="E281" s="1"/>
      <c r="F281" s="1"/>
      <c r="G281" s="1">
        <v>0</v>
      </c>
      <c r="H281" s="1">
        <v>1185</v>
      </c>
      <c r="I281" s="1" t="s">
        <v>600</v>
      </c>
      <c r="J281" s="1"/>
      <c r="K281" s="1"/>
      <c r="L281" s="1"/>
    </row>
    <row r="282" spans="1:12" x14ac:dyDescent="0.25">
      <c r="A282" t="s">
        <v>461</v>
      </c>
      <c r="B282" s="1"/>
      <c r="C282" s="1"/>
      <c r="D282" s="1"/>
      <c r="E282" s="1"/>
      <c r="F282" s="1"/>
      <c r="G282" s="1">
        <v>0</v>
      </c>
      <c r="H282" s="1">
        <v>1184</v>
      </c>
      <c r="I282" s="1" t="s">
        <v>600</v>
      </c>
      <c r="J282" s="1"/>
      <c r="K282" s="1"/>
      <c r="L282" s="1"/>
    </row>
    <row r="283" spans="1:12" x14ac:dyDescent="0.25">
      <c r="A283" t="s">
        <v>513</v>
      </c>
      <c r="B283" s="1"/>
      <c r="C283" s="1"/>
      <c r="D283" s="1"/>
      <c r="E283" s="1"/>
      <c r="F283" s="1"/>
      <c r="G283" s="1">
        <v>0</v>
      </c>
      <c r="H283" s="1">
        <v>1182</v>
      </c>
      <c r="I283" s="1" t="s">
        <v>601</v>
      </c>
      <c r="J283" s="1"/>
      <c r="K283" s="1"/>
      <c r="L283" s="1"/>
    </row>
    <row r="284" spans="1:12" x14ac:dyDescent="0.25">
      <c r="A284" t="s">
        <v>453</v>
      </c>
      <c r="B284" s="1"/>
      <c r="C284" s="1"/>
      <c r="D284" s="1">
        <v>12.394176140000001</v>
      </c>
      <c r="E284" s="1">
        <v>7.8854934000000002E-2</v>
      </c>
      <c r="F284" s="1">
        <v>1.204570516</v>
      </c>
      <c r="G284" s="1">
        <v>0</v>
      </c>
      <c r="H284" s="1">
        <v>1172</v>
      </c>
      <c r="I284" s="1" t="s">
        <v>603</v>
      </c>
      <c r="J284" s="1"/>
      <c r="K284" s="1"/>
      <c r="L284" s="1"/>
    </row>
    <row r="285" spans="1:12" x14ac:dyDescent="0.25">
      <c r="A285" t="s">
        <v>460</v>
      </c>
      <c r="B285" s="1"/>
      <c r="C285" s="1"/>
      <c r="D285" s="1"/>
      <c r="E285" s="1"/>
      <c r="F285" s="1"/>
      <c r="G285" s="1">
        <v>0</v>
      </c>
      <c r="H285" s="1">
        <v>1180</v>
      </c>
      <c r="I285" s="1" t="s">
        <v>601</v>
      </c>
      <c r="J285" s="1"/>
      <c r="K285" s="1"/>
      <c r="L285" s="1"/>
    </row>
    <row r="286" spans="1:12" x14ac:dyDescent="0.25">
      <c r="A286" t="s">
        <v>459</v>
      </c>
      <c r="B286" s="1"/>
      <c r="C286" s="1"/>
      <c r="D286" s="1"/>
      <c r="E286" s="1"/>
      <c r="F286" s="1"/>
      <c r="G286" s="1">
        <v>0</v>
      </c>
      <c r="H286" s="1">
        <v>1179</v>
      </c>
      <c r="I286" s="1" t="s">
        <v>601</v>
      </c>
      <c r="J286" s="1"/>
      <c r="K286" s="1"/>
      <c r="L286" s="1"/>
    </row>
    <row r="287" spans="1:12" x14ac:dyDescent="0.25">
      <c r="A287" t="s">
        <v>458</v>
      </c>
      <c r="B287" s="1"/>
      <c r="C287" s="1"/>
      <c r="D287" s="1"/>
      <c r="E287" s="1"/>
      <c r="F287" s="1"/>
      <c r="G287" s="1">
        <v>0</v>
      </c>
      <c r="H287" s="1">
        <v>1178</v>
      </c>
      <c r="I287" s="1" t="s">
        <v>601</v>
      </c>
      <c r="J287" s="1"/>
      <c r="K287" s="1"/>
      <c r="L287" s="1"/>
    </row>
    <row r="288" spans="1:12" x14ac:dyDescent="0.25">
      <c r="A288" t="s">
        <v>457</v>
      </c>
      <c r="B288" s="1"/>
      <c r="C288" s="1"/>
      <c r="D288" s="1"/>
      <c r="E288" s="1"/>
      <c r="F288" s="1"/>
      <c r="G288" s="1">
        <v>0</v>
      </c>
      <c r="H288" s="1">
        <v>1177</v>
      </c>
      <c r="I288" s="1" t="s">
        <v>601</v>
      </c>
      <c r="J288" s="1"/>
      <c r="K288" s="1"/>
      <c r="L288" s="1"/>
    </row>
    <row r="289" spans="1:12" x14ac:dyDescent="0.25">
      <c r="A289" t="s">
        <v>648</v>
      </c>
      <c r="B289" s="1"/>
      <c r="C289" s="1"/>
      <c r="D289" s="1">
        <v>9.2674956430000002</v>
      </c>
      <c r="E289" s="1">
        <v>4.8612586999999999E-2</v>
      </c>
      <c r="F289" s="1">
        <v>0.86240842399999995</v>
      </c>
      <c r="G289" s="1">
        <v>0</v>
      </c>
      <c r="H289" s="1">
        <v>1176</v>
      </c>
      <c r="I289" s="1" t="s">
        <v>601</v>
      </c>
      <c r="J289" s="1"/>
      <c r="K289" s="1"/>
      <c r="L289" s="1"/>
    </row>
    <row r="290" spans="1:12" x14ac:dyDescent="0.25">
      <c r="A290" t="s">
        <v>456</v>
      </c>
      <c r="B290" s="1">
        <v>16.467621380000001</v>
      </c>
      <c r="C290" s="1">
        <v>9.0732973999999994E-2</v>
      </c>
      <c r="D290" s="1"/>
      <c r="E290" s="1"/>
      <c r="F290" s="1"/>
      <c r="G290" s="1">
        <v>0</v>
      </c>
      <c r="H290" s="1">
        <v>1175</v>
      </c>
      <c r="I290" s="1" t="s">
        <v>600</v>
      </c>
      <c r="J290" s="1"/>
      <c r="K290" s="1"/>
      <c r="L290" s="1"/>
    </row>
    <row r="291" spans="1:12" x14ac:dyDescent="0.25">
      <c r="A291" t="s">
        <v>455</v>
      </c>
      <c r="B291" s="1">
        <v>16.81076298</v>
      </c>
      <c r="C291" s="1">
        <v>9.8122659000000001E-2</v>
      </c>
      <c r="D291" s="1"/>
      <c r="E291" s="1"/>
      <c r="F291" s="1"/>
      <c r="G291" s="1">
        <v>0</v>
      </c>
      <c r="H291" s="1">
        <v>1174</v>
      </c>
      <c r="I291" s="1" t="s">
        <v>600</v>
      </c>
      <c r="J291" s="1"/>
      <c r="K291" s="1"/>
      <c r="L291" s="1"/>
    </row>
    <row r="292" spans="1:12" x14ac:dyDescent="0.25">
      <c r="A292" t="s">
        <v>454</v>
      </c>
      <c r="B292" s="1">
        <v>17.070181789999999</v>
      </c>
      <c r="C292" s="1">
        <v>0.12448890899999999</v>
      </c>
      <c r="D292" s="1"/>
      <c r="E292" s="1"/>
      <c r="F292" s="1"/>
      <c r="G292" s="1">
        <v>0</v>
      </c>
      <c r="H292" s="1">
        <v>1173</v>
      </c>
      <c r="I292" s="1" t="s">
        <v>600</v>
      </c>
      <c r="J292" s="1"/>
      <c r="K292" s="1"/>
      <c r="L292" s="1"/>
    </row>
    <row r="293" spans="1:12" x14ac:dyDescent="0.25">
      <c r="A293" t="s">
        <v>431</v>
      </c>
      <c r="B293" s="1"/>
      <c r="C293" s="1"/>
      <c r="D293" s="1">
        <v>37.996578169999999</v>
      </c>
      <c r="E293" s="1">
        <v>0.15891849</v>
      </c>
      <c r="F293" s="1">
        <v>3.3770170259999999</v>
      </c>
      <c r="G293" s="1">
        <v>0</v>
      </c>
      <c r="H293" s="1">
        <v>1149</v>
      </c>
      <c r="I293" s="1" t="s">
        <v>601</v>
      </c>
      <c r="J293" s="1"/>
      <c r="K293" s="1"/>
      <c r="L293" s="1"/>
    </row>
    <row r="294" spans="1:12" x14ac:dyDescent="0.25">
      <c r="A294" t="s">
        <v>429</v>
      </c>
      <c r="B294" s="1"/>
      <c r="C294" s="1"/>
      <c r="D294" s="1">
        <v>32.203752950000002</v>
      </c>
      <c r="E294" s="1">
        <v>0.28269921599999998</v>
      </c>
      <c r="F294" s="1">
        <v>3.259721716</v>
      </c>
      <c r="G294" s="1">
        <v>0</v>
      </c>
      <c r="H294" s="1">
        <v>1147</v>
      </c>
      <c r="I294" s="1" t="s">
        <v>603</v>
      </c>
      <c r="J294" s="1"/>
      <c r="K294" s="1"/>
      <c r="L294" s="1"/>
    </row>
    <row r="295" spans="1:12" x14ac:dyDescent="0.25">
      <c r="A295" t="s">
        <v>515</v>
      </c>
      <c r="B295" s="1"/>
      <c r="C295" s="1"/>
      <c r="D295" s="1">
        <v>40.935541649999998</v>
      </c>
      <c r="E295" s="1">
        <v>0.33484033800000002</v>
      </c>
      <c r="F295" s="1">
        <v>3.9946734589999999</v>
      </c>
      <c r="G295" s="1">
        <v>0</v>
      </c>
      <c r="H295" s="1">
        <v>1104</v>
      </c>
      <c r="I295" s="1" t="s">
        <v>603</v>
      </c>
      <c r="J295" s="1"/>
      <c r="K295" s="1"/>
      <c r="L295" s="1"/>
    </row>
    <row r="296" spans="1:12" x14ac:dyDescent="0.25">
      <c r="A296" t="s">
        <v>427</v>
      </c>
      <c r="B296" s="1"/>
      <c r="C296" s="1"/>
      <c r="D296" s="1">
        <v>35.627105370000002</v>
      </c>
      <c r="E296" s="1">
        <v>0.19507893700000001</v>
      </c>
      <c r="F296" s="1">
        <v>3.5928897580000001</v>
      </c>
      <c r="G296" s="1">
        <v>0</v>
      </c>
      <c r="H296" s="1">
        <v>1146</v>
      </c>
      <c r="I296" s="1" t="s">
        <v>603</v>
      </c>
      <c r="J296" s="1"/>
      <c r="K296" s="1"/>
      <c r="L296" s="1"/>
    </row>
    <row r="297" spans="1:12" x14ac:dyDescent="0.25">
      <c r="A297" t="s">
        <v>406</v>
      </c>
      <c r="B297" s="1"/>
      <c r="C297" s="1"/>
      <c r="D297" s="1">
        <v>36.135768380000002</v>
      </c>
      <c r="E297" s="1">
        <v>0.31245035900000001</v>
      </c>
      <c r="F297" s="1">
        <v>3.3373089729999998</v>
      </c>
      <c r="G297" s="1">
        <v>0</v>
      </c>
      <c r="H297" s="1">
        <v>1123</v>
      </c>
      <c r="I297" s="1" t="s">
        <v>601</v>
      </c>
      <c r="J297" s="1"/>
      <c r="K297" s="1"/>
      <c r="L297" s="1"/>
    </row>
    <row r="298" spans="1:12" x14ac:dyDescent="0.25">
      <c r="A298" t="s">
        <v>405</v>
      </c>
      <c r="B298" s="1"/>
      <c r="C298" s="1"/>
      <c r="D298" s="1">
        <v>36.769336150000001</v>
      </c>
      <c r="E298" s="1">
        <v>0.23250821499999999</v>
      </c>
      <c r="F298" s="1">
        <v>4.0386993029999996</v>
      </c>
      <c r="G298" s="1">
        <v>0</v>
      </c>
      <c r="H298" s="1">
        <v>1122</v>
      </c>
      <c r="I298" s="1" t="s">
        <v>603</v>
      </c>
      <c r="J298" s="1"/>
      <c r="K298" s="1"/>
      <c r="L298" s="1"/>
    </row>
    <row r="299" spans="1:12" x14ac:dyDescent="0.25">
      <c r="A299" t="s">
        <v>404</v>
      </c>
      <c r="B299" s="1"/>
      <c r="C299" s="1"/>
      <c r="D299" s="1">
        <v>34.312563730000001</v>
      </c>
      <c r="E299" s="1">
        <v>0.33875965600000002</v>
      </c>
      <c r="F299" s="1">
        <v>3.707213173</v>
      </c>
      <c r="G299" s="1">
        <v>0</v>
      </c>
      <c r="H299" s="1">
        <v>1121</v>
      </c>
      <c r="I299" s="1" t="s">
        <v>603</v>
      </c>
      <c r="J299" s="1"/>
      <c r="K299" s="1"/>
      <c r="L299" s="1"/>
    </row>
    <row r="300" spans="1:12" x14ac:dyDescent="0.25">
      <c r="A300" t="s">
        <v>403</v>
      </c>
      <c r="B300" s="1"/>
      <c r="C300" s="1"/>
      <c r="D300" s="1">
        <v>38.535138830000001</v>
      </c>
      <c r="E300" s="1">
        <v>0.229394562</v>
      </c>
      <c r="F300" s="1">
        <v>3.1101687070000001</v>
      </c>
      <c r="G300" s="1">
        <v>0</v>
      </c>
      <c r="H300" s="1">
        <v>1120</v>
      </c>
      <c r="I300" s="1" t="s">
        <v>601</v>
      </c>
      <c r="J300" s="1"/>
      <c r="K300" s="1"/>
      <c r="L300" s="1"/>
    </row>
    <row r="301" spans="1:12" x14ac:dyDescent="0.25">
      <c r="A301" t="s">
        <v>402</v>
      </c>
      <c r="B301" s="1"/>
      <c r="C301" s="1"/>
      <c r="D301" s="1">
        <v>36.302751829999998</v>
      </c>
      <c r="E301" s="1">
        <v>0.297536099</v>
      </c>
      <c r="F301" s="1">
        <v>3.7628096430000002</v>
      </c>
      <c r="G301" s="1">
        <v>0</v>
      </c>
      <c r="H301" s="1">
        <v>1119</v>
      </c>
      <c r="I301" s="1" t="s">
        <v>603</v>
      </c>
      <c r="J301" s="1"/>
      <c r="K301" s="1"/>
      <c r="L301" s="1"/>
    </row>
    <row r="302" spans="1:12" x14ac:dyDescent="0.25">
      <c r="A302" t="s">
        <v>497</v>
      </c>
      <c r="B302" s="1">
        <v>8.0770852099999999</v>
      </c>
      <c r="C302" s="1">
        <v>5.8113369999999998E-2</v>
      </c>
      <c r="D302" s="1">
        <v>29.381924510000001</v>
      </c>
      <c r="E302" s="1">
        <v>0.105315138</v>
      </c>
      <c r="F302" s="1">
        <v>4.5195312909999998</v>
      </c>
      <c r="G302" s="1">
        <v>0</v>
      </c>
      <c r="H302" s="1">
        <v>1118</v>
      </c>
      <c r="I302" s="1" t="s">
        <v>600</v>
      </c>
      <c r="J302" s="1"/>
      <c r="K302" s="1"/>
      <c r="L302" s="1"/>
    </row>
    <row r="303" spans="1:12" x14ac:dyDescent="0.25">
      <c r="A303" t="s">
        <v>401</v>
      </c>
      <c r="B303" s="1"/>
      <c r="C303" s="1"/>
      <c r="D303" s="1">
        <v>37.967315820000003</v>
      </c>
      <c r="E303" s="1">
        <v>0.21308496299999999</v>
      </c>
      <c r="F303" s="1">
        <v>4.2060136469999998</v>
      </c>
      <c r="G303" s="1">
        <v>0</v>
      </c>
      <c r="H303" s="1">
        <v>1117</v>
      </c>
      <c r="I303" s="1" t="s">
        <v>603</v>
      </c>
      <c r="J303" s="1"/>
      <c r="K303" s="1"/>
      <c r="L303" s="1"/>
    </row>
    <row r="304" spans="1:12" x14ac:dyDescent="0.25">
      <c r="A304" t="s">
        <v>400</v>
      </c>
      <c r="B304" s="1">
        <v>40.364839500000002</v>
      </c>
      <c r="C304" s="1">
        <v>0.28661799700000001</v>
      </c>
      <c r="D304" s="1">
        <v>13.04399776</v>
      </c>
      <c r="E304" s="1">
        <v>6.9649925000000001E-2</v>
      </c>
      <c r="F304" s="1">
        <v>1.8828873960000001</v>
      </c>
      <c r="G304" s="1">
        <v>0</v>
      </c>
      <c r="H304" s="1">
        <v>1116</v>
      </c>
      <c r="I304" s="1" t="s">
        <v>600</v>
      </c>
      <c r="J304" s="1"/>
      <c r="K304" s="1"/>
      <c r="L304" s="1"/>
    </row>
    <row r="305" spans="1:12" x14ac:dyDescent="0.25">
      <c r="A305" t="s">
        <v>399</v>
      </c>
      <c r="B305" s="1"/>
      <c r="C305" s="1"/>
      <c r="D305" s="1">
        <v>36.59054794</v>
      </c>
      <c r="E305" s="1">
        <v>0.33245310500000003</v>
      </c>
      <c r="F305" s="1">
        <v>3.6737646900000001</v>
      </c>
      <c r="G305" s="1">
        <v>0</v>
      </c>
      <c r="H305" s="1">
        <v>1115</v>
      </c>
      <c r="I305" s="1" t="s">
        <v>603</v>
      </c>
      <c r="J305" s="1"/>
      <c r="K305" s="1"/>
      <c r="L305" s="1"/>
    </row>
    <row r="306" spans="1:12" x14ac:dyDescent="0.25">
      <c r="A306" t="s">
        <v>398</v>
      </c>
      <c r="B306" s="1"/>
      <c r="C306" s="1"/>
      <c r="D306" s="1">
        <v>36.842226349999997</v>
      </c>
      <c r="E306" s="1">
        <v>0.29308577000000002</v>
      </c>
      <c r="F306" s="1">
        <v>3.9646651140000002</v>
      </c>
      <c r="G306" s="1">
        <v>0</v>
      </c>
      <c r="H306" s="1">
        <v>1114</v>
      </c>
      <c r="I306" s="1" t="s">
        <v>603</v>
      </c>
      <c r="J306" s="1"/>
      <c r="K306" s="1"/>
      <c r="L306" s="1"/>
    </row>
    <row r="307" spans="1:12" x14ac:dyDescent="0.25">
      <c r="A307" t="s">
        <v>397</v>
      </c>
      <c r="B307" s="1"/>
      <c r="C307" s="1"/>
      <c r="D307" s="1">
        <v>37.385198080000002</v>
      </c>
      <c r="E307" s="1">
        <v>0.32463642599999998</v>
      </c>
      <c r="F307" s="1">
        <v>3.712659999</v>
      </c>
      <c r="G307" s="1">
        <v>0</v>
      </c>
      <c r="H307" s="1">
        <v>1113</v>
      </c>
      <c r="I307" s="1" t="s">
        <v>603</v>
      </c>
      <c r="J307" s="1"/>
      <c r="K307" s="1"/>
      <c r="L307" s="1"/>
    </row>
    <row r="308" spans="1:12" x14ac:dyDescent="0.25">
      <c r="A308" t="s">
        <v>396</v>
      </c>
      <c r="B308" s="1"/>
      <c r="C308" s="1"/>
      <c r="D308" s="1">
        <v>39.75455213</v>
      </c>
      <c r="E308" s="1">
        <v>0.339998472</v>
      </c>
      <c r="F308" s="1">
        <v>3.4594605110000001</v>
      </c>
      <c r="G308" s="1">
        <v>0</v>
      </c>
      <c r="H308" s="1">
        <v>1112</v>
      </c>
      <c r="I308" s="1" t="s">
        <v>601</v>
      </c>
      <c r="J308" s="1"/>
      <c r="K308" s="1"/>
      <c r="L308" s="1"/>
    </row>
    <row r="309" spans="1:12" x14ac:dyDescent="0.25">
      <c r="A309" t="s">
        <v>395</v>
      </c>
      <c r="B309" s="1"/>
      <c r="C309" s="1"/>
      <c r="D309" s="1">
        <v>39.165468990000001</v>
      </c>
      <c r="E309" s="1">
        <v>0.28877445099999999</v>
      </c>
      <c r="F309" s="1">
        <v>3.8142622730000002</v>
      </c>
      <c r="G309" s="1">
        <v>0</v>
      </c>
      <c r="H309" s="1">
        <v>1111</v>
      </c>
      <c r="I309" s="1" t="s">
        <v>603</v>
      </c>
      <c r="J309" s="1"/>
      <c r="K309" s="1"/>
      <c r="L309" s="1"/>
    </row>
    <row r="310" spans="1:12" x14ac:dyDescent="0.25">
      <c r="A310" t="s">
        <v>394</v>
      </c>
      <c r="B310" s="1"/>
      <c r="C310" s="1"/>
      <c r="D310" s="1">
        <v>38.197011799999999</v>
      </c>
      <c r="E310" s="1">
        <v>0.31063982200000001</v>
      </c>
      <c r="F310" s="1">
        <v>3.8230241829999998</v>
      </c>
      <c r="G310" s="1">
        <v>0</v>
      </c>
      <c r="H310" s="1">
        <v>1110</v>
      </c>
      <c r="I310" s="1" t="s">
        <v>603</v>
      </c>
      <c r="J310" s="1"/>
      <c r="K310" s="1"/>
      <c r="L310" s="1"/>
    </row>
    <row r="311" spans="1:12" x14ac:dyDescent="0.25">
      <c r="A311" t="s">
        <v>514</v>
      </c>
      <c r="B311" s="1"/>
      <c r="C311" s="1"/>
      <c r="D311" s="1">
        <v>35.769358660000002</v>
      </c>
      <c r="E311" s="1">
        <v>0.41834180399999998</v>
      </c>
      <c r="F311" s="1">
        <v>3.5445097470000002</v>
      </c>
      <c r="G311" s="1">
        <v>0</v>
      </c>
      <c r="H311" s="1">
        <v>1109</v>
      </c>
      <c r="I311" s="1" t="s">
        <v>603</v>
      </c>
      <c r="J311" s="1"/>
      <c r="K311" s="1"/>
      <c r="L311" s="1"/>
    </row>
    <row r="312" spans="1:12" x14ac:dyDescent="0.25">
      <c r="A312" t="s">
        <v>393</v>
      </c>
      <c r="B312" s="1"/>
      <c r="C312" s="1"/>
      <c r="D312" s="1">
        <v>40.30389624</v>
      </c>
      <c r="E312" s="1">
        <v>0.32299369100000003</v>
      </c>
      <c r="F312" s="1">
        <v>3.9799448590000002</v>
      </c>
      <c r="G312" s="1">
        <v>0</v>
      </c>
      <c r="H312" s="1">
        <v>1108</v>
      </c>
      <c r="I312" s="1" t="s">
        <v>603</v>
      </c>
      <c r="J312" s="1"/>
      <c r="K312" s="1"/>
      <c r="L312" s="1"/>
    </row>
    <row r="313" spans="1:12" x14ac:dyDescent="0.25">
      <c r="A313" t="s">
        <v>495</v>
      </c>
      <c r="B313" s="1"/>
      <c r="C313" s="1"/>
      <c r="D313" s="1">
        <v>43.608564319999999</v>
      </c>
      <c r="E313" s="1">
        <v>0.32331310099999999</v>
      </c>
      <c r="F313" s="1">
        <v>3.7225106509999999</v>
      </c>
      <c r="G313" s="1">
        <v>0</v>
      </c>
      <c r="H313" s="1">
        <v>1107</v>
      </c>
      <c r="I313" s="1" t="s">
        <v>601</v>
      </c>
      <c r="J313" s="1"/>
      <c r="K313" s="1"/>
      <c r="L313" s="1"/>
    </row>
    <row r="314" spans="1:12" x14ac:dyDescent="0.25">
      <c r="A314" t="s">
        <v>392</v>
      </c>
      <c r="B314" s="1"/>
      <c r="C314" s="1"/>
      <c r="D314" s="1">
        <v>37.34007888</v>
      </c>
      <c r="E314" s="1">
        <v>0.17406434900000001</v>
      </c>
      <c r="F314" s="1">
        <v>3.1649986210000001</v>
      </c>
      <c r="G314" s="1">
        <v>0</v>
      </c>
      <c r="H314" s="1">
        <v>1106</v>
      </c>
      <c r="I314" s="1" t="s">
        <v>601</v>
      </c>
      <c r="J314" s="1"/>
      <c r="K314" s="1"/>
      <c r="L314" s="1"/>
    </row>
    <row r="315" spans="1:12" x14ac:dyDescent="0.25">
      <c r="A315" t="s">
        <v>391</v>
      </c>
      <c r="B315" s="1"/>
      <c r="C315" s="1"/>
      <c r="D315" s="1">
        <v>39.4831048</v>
      </c>
      <c r="E315" s="1">
        <v>0.37194493699999998</v>
      </c>
      <c r="F315" s="1">
        <v>3.9214935390000001</v>
      </c>
      <c r="G315" s="1">
        <v>0</v>
      </c>
      <c r="H315" s="1">
        <v>1105</v>
      </c>
      <c r="I315" s="1" t="s">
        <v>603</v>
      </c>
      <c r="J315" s="1"/>
      <c r="K315" s="1"/>
      <c r="L315" s="1"/>
    </row>
    <row r="316" spans="1:12" x14ac:dyDescent="0.25">
      <c r="A316" t="s">
        <v>511</v>
      </c>
      <c r="B316" s="1"/>
      <c r="C316" s="1"/>
      <c r="D316" s="1">
        <v>36.478588520000002</v>
      </c>
      <c r="E316" s="1">
        <v>0.30828988400000001</v>
      </c>
      <c r="F316" s="1">
        <v>3.5187121499999998</v>
      </c>
      <c r="G316" s="1">
        <v>0</v>
      </c>
      <c r="H316" s="1">
        <v>1124</v>
      </c>
      <c r="I316" s="1" t="s">
        <v>603</v>
      </c>
      <c r="J316" s="1"/>
      <c r="K316" s="1"/>
      <c r="L316" s="1"/>
    </row>
    <row r="317" spans="1:12" x14ac:dyDescent="0.25">
      <c r="A317" t="s">
        <v>407</v>
      </c>
      <c r="B317" s="1"/>
      <c r="C317" s="1"/>
      <c r="D317" s="1">
        <v>36.902123160000002</v>
      </c>
      <c r="E317" s="1">
        <v>0.2640052</v>
      </c>
      <c r="F317" s="1">
        <v>3.687300461</v>
      </c>
      <c r="G317" s="1">
        <v>0</v>
      </c>
      <c r="H317" s="1">
        <v>1125</v>
      </c>
      <c r="I317" s="1" t="s">
        <v>603</v>
      </c>
      <c r="J317" s="1"/>
      <c r="K317" s="1"/>
      <c r="L317" s="1"/>
    </row>
    <row r="318" spans="1:12" x14ac:dyDescent="0.25">
      <c r="A318" t="s">
        <v>408</v>
      </c>
      <c r="B318" s="1"/>
      <c r="C318" s="1"/>
      <c r="D318" s="1">
        <v>40.139072040000002</v>
      </c>
      <c r="E318" s="1">
        <v>0.24305200299999999</v>
      </c>
      <c r="F318" s="1">
        <v>3.4658631820000001</v>
      </c>
      <c r="G318" s="1">
        <v>0</v>
      </c>
      <c r="H318" s="1">
        <v>1126</v>
      </c>
      <c r="I318" s="1" t="s">
        <v>601</v>
      </c>
      <c r="J318" s="1"/>
      <c r="K318" s="1"/>
      <c r="L318" s="1"/>
    </row>
    <row r="319" spans="1:12" x14ac:dyDescent="0.25">
      <c r="A319" t="s">
        <v>419</v>
      </c>
      <c r="B319" s="1"/>
      <c r="C319" s="1"/>
      <c r="D319" s="1">
        <v>19.707089799999999</v>
      </c>
      <c r="E319" s="1">
        <v>0.105419681</v>
      </c>
      <c r="F319" s="1">
        <v>1.3738095939999999</v>
      </c>
      <c r="G319" s="1">
        <v>0</v>
      </c>
      <c r="H319" s="1">
        <v>1137</v>
      </c>
      <c r="I319" s="1" t="s">
        <v>601</v>
      </c>
      <c r="J319" s="1"/>
      <c r="K319" s="1"/>
      <c r="L319" s="1"/>
    </row>
    <row r="320" spans="1:12" x14ac:dyDescent="0.25">
      <c r="A320" t="s">
        <v>425</v>
      </c>
      <c r="B320" s="1"/>
      <c r="C320" s="1"/>
      <c r="D320" s="1">
        <v>36.267159409999998</v>
      </c>
      <c r="E320" s="1">
        <v>0.19939258000000001</v>
      </c>
      <c r="F320" s="1">
        <v>3.5934106130000001</v>
      </c>
      <c r="G320" s="1">
        <v>0</v>
      </c>
      <c r="H320" s="1">
        <v>1145</v>
      </c>
      <c r="I320" s="1" t="s">
        <v>603</v>
      </c>
      <c r="J320" s="1"/>
      <c r="K320" s="1"/>
      <c r="L320" s="1"/>
    </row>
    <row r="321" spans="1:12" x14ac:dyDescent="0.25">
      <c r="A321" t="s">
        <v>426</v>
      </c>
      <c r="B321" s="1"/>
      <c r="C321" s="1"/>
      <c r="D321" s="1">
        <v>38.254266659999999</v>
      </c>
      <c r="E321" s="1">
        <v>0.21924654099999999</v>
      </c>
      <c r="F321" s="1">
        <v>3.267617054</v>
      </c>
      <c r="G321" s="1">
        <v>0</v>
      </c>
      <c r="H321" s="1">
        <v>1144</v>
      </c>
      <c r="I321" s="1" t="s">
        <v>601</v>
      </c>
      <c r="J321" s="1"/>
      <c r="K321" s="1"/>
      <c r="L321" s="1"/>
    </row>
    <row r="322" spans="1:12" x14ac:dyDescent="0.25">
      <c r="A322" t="s">
        <v>424</v>
      </c>
      <c r="B322" s="1"/>
      <c r="C322" s="1"/>
      <c r="D322" s="1">
        <v>37.898194879999998</v>
      </c>
      <c r="E322" s="1">
        <v>0.18465171999999999</v>
      </c>
      <c r="F322" s="1">
        <v>3.1967902989999999</v>
      </c>
      <c r="G322" s="1">
        <v>0</v>
      </c>
      <c r="H322" s="1">
        <v>1143</v>
      </c>
      <c r="I322" s="1" t="s">
        <v>601</v>
      </c>
      <c r="J322" s="1"/>
      <c r="K322" s="1"/>
      <c r="L322" s="1"/>
    </row>
    <row r="323" spans="1:12" x14ac:dyDescent="0.25">
      <c r="A323" t="s">
        <v>423</v>
      </c>
      <c r="B323" s="1"/>
      <c r="C323" s="1"/>
      <c r="D323" s="1">
        <v>32.920581409999997</v>
      </c>
      <c r="E323" s="1">
        <v>0.27459830899999998</v>
      </c>
      <c r="F323" s="1">
        <v>3.5686301409999999</v>
      </c>
      <c r="G323" s="1">
        <v>0</v>
      </c>
      <c r="H323" s="1">
        <v>1142</v>
      </c>
      <c r="I323" s="1" t="s">
        <v>601</v>
      </c>
      <c r="J323" s="1"/>
      <c r="K323" s="1"/>
      <c r="L323" s="1"/>
    </row>
    <row r="324" spans="1:12" x14ac:dyDescent="0.25">
      <c r="A324" t="s">
        <v>421</v>
      </c>
      <c r="B324" s="1"/>
      <c r="C324" s="1"/>
      <c r="D324" s="1">
        <v>38.069472900000001</v>
      </c>
      <c r="E324" s="1">
        <v>0.26842550300000001</v>
      </c>
      <c r="F324" s="1">
        <v>3.060988778</v>
      </c>
      <c r="G324" s="1">
        <v>0</v>
      </c>
      <c r="H324" s="1">
        <v>1141</v>
      </c>
      <c r="I324" s="1" t="s">
        <v>601</v>
      </c>
      <c r="J324" s="1"/>
      <c r="K324" s="1"/>
      <c r="L324" s="1"/>
    </row>
    <row r="325" spans="1:12" x14ac:dyDescent="0.25">
      <c r="A325" t="s">
        <v>422</v>
      </c>
      <c r="B325" s="1"/>
      <c r="C325" s="1"/>
      <c r="D325" s="1">
        <v>35.974808979999999</v>
      </c>
      <c r="E325" s="1">
        <v>0.20022221200000001</v>
      </c>
      <c r="F325" s="1">
        <v>3.6768837190000001</v>
      </c>
      <c r="G325" s="1">
        <v>0</v>
      </c>
      <c r="H325" s="1">
        <v>1140</v>
      </c>
      <c r="I325" s="1" t="s">
        <v>603</v>
      </c>
      <c r="J325" s="1"/>
      <c r="K325" s="1"/>
      <c r="L325" s="1"/>
    </row>
    <row r="326" spans="1:12" x14ac:dyDescent="0.25">
      <c r="A326" t="s">
        <v>360</v>
      </c>
      <c r="B326" s="1"/>
      <c r="C326" s="1"/>
      <c r="D326" s="1">
        <v>36.49165043</v>
      </c>
      <c r="E326" s="1">
        <v>0.23064606400000001</v>
      </c>
      <c r="F326" s="1">
        <v>3.1530257709999998</v>
      </c>
      <c r="G326" s="1">
        <v>0</v>
      </c>
      <c r="H326" s="1">
        <v>1139</v>
      </c>
      <c r="I326" s="1" t="s">
        <v>601</v>
      </c>
      <c r="J326" s="1"/>
      <c r="K326" s="1"/>
      <c r="L326" s="1"/>
    </row>
    <row r="327" spans="1:12" x14ac:dyDescent="0.25">
      <c r="A327" t="s">
        <v>420</v>
      </c>
      <c r="B327" s="1"/>
      <c r="C327" s="1"/>
      <c r="D327" s="1">
        <v>35.023724510000001</v>
      </c>
      <c r="E327" s="1">
        <v>0.28271775799999999</v>
      </c>
      <c r="F327" s="1">
        <v>3.3535666399999999</v>
      </c>
      <c r="G327" s="1">
        <v>0</v>
      </c>
      <c r="H327" s="1">
        <v>1138</v>
      </c>
      <c r="I327" s="1" t="s">
        <v>603</v>
      </c>
      <c r="J327" s="1"/>
      <c r="K327" s="1"/>
      <c r="L327" s="1"/>
    </row>
    <row r="328" spans="1:12" x14ac:dyDescent="0.25">
      <c r="A328" t="s">
        <v>418</v>
      </c>
      <c r="B328" s="1"/>
      <c r="C328" s="1"/>
      <c r="D328" s="1">
        <v>34.097611829999998</v>
      </c>
      <c r="E328" s="1">
        <v>0.30139922600000002</v>
      </c>
      <c r="F328" s="1">
        <v>3.4136045410000002</v>
      </c>
      <c r="G328" s="1">
        <v>0</v>
      </c>
      <c r="H328" s="1">
        <v>1136</v>
      </c>
      <c r="I328" s="1" t="s">
        <v>603</v>
      </c>
      <c r="J328" s="1"/>
      <c r="K328" s="1"/>
      <c r="L328" s="1"/>
    </row>
    <row r="329" spans="1:12" x14ac:dyDescent="0.25">
      <c r="A329" t="s">
        <v>409</v>
      </c>
      <c r="B329" s="1"/>
      <c r="C329" s="1"/>
      <c r="D329" s="1">
        <v>37.736162980000003</v>
      </c>
      <c r="E329" s="1">
        <v>0.22408128299999999</v>
      </c>
      <c r="F329" s="1">
        <v>3.796647959</v>
      </c>
      <c r="G329" s="1">
        <v>0</v>
      </c>
      <c r="H329" s="1">
        <v>1127</v>
      </c>
      <c r="I329" s="1" t="s">
        <v>603</v>
      </c>
      <c r="J329" s="1"/>
      <c r="K329" s="1"/>
      <c r="L329" s="1"/>
    </row>
    <row r="330" spans="1:12" x14ac:dyDescent="0.25">
      <c r="A330" t="s">
        <v>417</v>
      </c>
      <c r="B330" s="1">
        <v>12.135345689999999</v>
      </c>
      <c r="C330" s="1">
        <v>0.127282959</v>
      </c>
      <c r="D330" s="1">
        <v>28.478805980000001</v>
      </c>
      <c r="E330" s="1">
        <v>0.240761948</v>
      </c>
      <c r="F330" s="1">
        <v>2.4684602949999999</v>
      </c>
      <c r="G330" s="1">
        <v>0</v>
      </c>
      <c r="H330" s="1">
        <v>1135</v>
      </c>
      <c r="I330" s="1" t="s">
        <v>601</v>
      </c>
      <c r="J330" s="1"/>
      <c r="K330" s="1"/>
      <c r="L330" s="1"/>
    </row>
    <row r="331" spans="1:12" x14ac:dyDescent="0.25">
      <c r="A331" t="s">
        <v>416</v>
      </c>
      <c r="B331" s="1"/>
      <c r="C331" s="1"/>
      <c r="D331" s="1">
        <v>36.887844309999998</v>
      </c>
      <c r="E331" s="1">
        <v>0.225558332</v>
      </c>
      <c r="F331" s="1">
        <v>3.664779105</v>
      </c>
      <c r="G331" s="1">
        <v>0</v>
      </c>
      <c r="H331" s="1">
        <v>1134</v>
      </c>
      <c r="I331" s="1" t="s">
        <v>603</v>
      </c>
      <c r="J331" s="1"/>
      <c r="K331" s="1"/>
      <c r="L331" s="1"/>
    </row>
    <row r="332" spans="1:12" x14ac:dyDescent="0.25">
      <c r="A332" t="s">
        <v>496</v>
      </c>
      <c r="B332" s="1"/>
      <c r="C332" s="1"/>
      <c r="D332" s="1">
        <v>43.023899559999997</v>
      </c>
      <c r="E332" s="1">
        <v>0.21367778900000001</v>
      </c>
      <c r="F332" s="1">
        <v>3.2068062820000001</v>
      </c>
      <c r="G332" s="1">
        <v>0</v>
      </c>
      <c r="H332" s="1">
        <v>1133</v>
      </c>
      <c r="I332" s="1" t="s">
        <v>601</v>
      </c>
      <c r="J332" s="1"/>
      <c r="K332" s="1"/>
      <c r="L332" s="1"/>
    </row>
    <row r="333" spans="1:12" x14ac:dyDescent="0.25">
      <c r="A333" t="s">
        <v>414</v>
      </c>
      <c r="B333" s="1"/>
      <c r="C333" s="1"/>
      <c r="D333" s="1">
        <v>36.772999570000003</v>
      </c>
      <c r="E333" s="1">
        <v>0.24735642599999999</v>
      </c>
      <c r="F333" s="1">
        <v>3.6158613179999999</v>
      </c>
      <c r="G333" s="1">
        <v>0</v>
      </c>
      <c r="H333" s="1">
        <v>1132</v>
      </c>
      <c r="I333" s="1" t="s">
        <v>601</v>
      </c>
      <c r="J333" s="1"/>
      <c r="K333" s="1"/>
      <c r="L333" s="1"/>
    </row>
    <row r="334" spans="1:12" x14ac:dyDescent="0.25">
      <c r="A334" t="s">
        <v>413</v>
      </c>
      <c r="B334" s="1"/>
      <c r="C334" s="1"/>
      <c r="D334" s="1">
        <v>39.069071790000002</v>
      </c>
      <c r="E334" s="1">
        <v>0.26598889100000001</v>
      </c>
      <c r="F334" s="1">
        <v>3.3420395919999999</v>
      </c>
      <c r="G334" s="1">
        <v>0</v>
      </c>
      <c r="H334" s="1">
        <v>1131</v>
      </c>
      <c r="I334" s="1" t="s">
        <v>601</v>
      </c>
      <c r="J334" s="1"/>
      <c r="K334" s="1"/>
      <c r="L334" s="1"/>
    </row>
    <row r="335" spans="1:12" x14ac:dyDescent="0.25">
      <c r="A335" t="s">
        <v>412</v>
      </c>
      <c r="B335" s="1"/>
      <c r="C335" s="1"/>
      <c r="D335" s="1">
        <v>39.462908419999998</v>
      </c>
      <c r="E335" s="1">
        <v>0.25653775099999998</v>
      </c>
      <c r="F335" s="1">
        <v>3.3571958180000001</v>
      </c>
      <c r="G335" s="1">
        <v>0</v>
      </c>
      <c r="H335" s="1">
        <v>1130</v>
      </c>
      <c r="I335" s="1" t="s">
        <v>601</v>
      </c>
      <c r="J335" s="1"/>
      <c r="K335" s="1"/>
      <c r="L335" s="1"/>
    </row>
    <row r="336" spans="1:12" x14ac:dyDescent="0.25">
      <c r="A336" t="s">
        <v>410</v>
      </c>
      <c r="B336" s="1"/>
      <c r="C336" s="1"/>
      <c r="D336" s="1">
        <v>36.639448790000003</v>
      </c>
      <c r="E336" s="1">
        <v>0.212440184</v>
      </c>
      <c r="F336" s="1">
        <v>3.931045342</v>
      </c>
      <c r="G336" s="1">
        <v>0</v>
      </c>
      <c r="H336" s="1">
        <v>1129</v>
      </c>
      <c r="I336" s="1" t="s">
        <v>603</v>
      </c>
      <c r="J336" s="1"/>
      <c r="K336" s="1"/>
      <c r="L336" s="1"/>
    </row>
    <row r="337" spans="1:12" x14ac:dyDescent="0.25">
      <c r="A337" t="s">
        <v>411</v>
      </c>
      <c r="B337" s="1"/>
      <c r="C337" s="1"/>
      <c r="D337" s="1">
        <v>32.215802089999997</v>
      </c>
      <c r="E337" s="1">
        <v>0.363143467</v>
      </c>
      <c r="F337" s="1">
        <v>3.4528609229999998</v>
      </c>
      <c r="G337" s="1">
        <v>0</v>
      </c>
      <c r="H337" s="1">
        <v>1128</v>
      </c>
      <c r="I337" s="1" t="s">
        <v>603</v>
      </c>
      <c r="J337" s="1"/>
      <c r="K337" s="1"/>
      <c r="L337" s="1"/>
    </row>
    <row r="338" spans="1:12" x14ac:dyDescent="0.25">
      <c r="A338" t="s">
        <v>309</v>
      </c>
      <c r="B338" s="1">
        <v>13.026492709999999</v>
      </c>
      <c r="C338" s="1">
        <v>7.8561359999999997E-2</v>
      </c>
      <c r="D338" s="1">
        <v>111.2279557</v>
      </c>
      <c r="E338" s="1">
        <v>0.690220524</v>
      </c>
      <c r="F338" s="1">
        <v>11.64908556</v>
      </c>
      <c r="G338" s="1">
        <v>0</v>
      </c>
      <c r="H338" s="1">
        <v>1015</v>
      </c>
      <c r="I338" s="1" t="s">
        <v>601</v>
      </c>
      <c r="J338" s="1"/>
      <c r="K338" s="1"/>
      <c r="L338" s="1"/>
    </row>
    <row r="339" spans="1:12" x14ac:dyDescent="0.25">
      <c r="A339" t="s">
        <v>141</v>
      </c>
      <c r="B339" s="1"/>
      <c r="C339" s="1"/>
      <c r="D339" s="1">
        <v>293.67683820000002</v>
      </c>
      <c r="E339" s="1">
        <v>1.9703724949999999</v>
      </c>
      <c r="F339" s="1">
        <v>25.17501451</v>
      </c>
      <c r="G339" s="1">
        <v>0</v>
      </c>
      <c r="H339" s="1">
        <v>422</v>
      </c>
      <c r="I339" s="1" t="s">
        <v>601</v>
      </c>
      <c r="J339" s="1"/>
      <c r="K339" s="1"/>
      <c r="L339" s="1"/>
    </row>
    <row r="340" spans="1:12" x14ac:dyDescent="0.25">
      <c r="A340" t="s">
        <v>307</v>
      </c>
      <c r="B340" s="1">
        <v>33.065014239999996</v>
      </c>
      <c r="C340" s="1">
        <v>0.45460310599999998</v>
      </c>
      <c r="D340" s="1"/>
      <c r="E340" s="1"/>
      <c r="F340" s="1"/>
      <c r="G340" s="1">
        <v>0</v>
      </c>
      <c r="H340" s="1">
        <v>1013</v>
      </c>
      <c r="I340" s="1" t="s">
        <v>602</v>
      </c>
      <c r="J340" s="1">
        <v>482.89913309999997</v>
      </c>
      <c r="K340" s="1">
        <v>2.9259784390000001</v>
      </c>
      <c r="L340" s="1">
        <v>1.7144125290000001</v>
      </c>
    </row>
    <row r="341" spans="1:12" x14ac:dyDescent="0.25">
      <c r="A341" t="s">
        <v>504</v>
      </c>
      <c r="B341" s="1">
        <v>44.616483449999997</v>
      </c>
      <c r="C341" s="1">
        <v>0.29807751700000001</v>
      </c>
      <c r="D341" s="1">
        <v>448.15345580000002</v>
      </c>
      <c r="E341" s="1">
        <v>1.926458915</v>
      </c>
      <c r="F341" s="1">
        <v>34.886965189999998</v>
      </c>
      <c r="G341" s="1">
        <v>0</v>
      </c>
      <c r="H341" s="1">
        <v>328</v>
      </c>
      <c r="I341" s="1" t="s">
        <v>601</v>
      </c>
      <c r="J341" s="1"/>
      <c r="K341" s="1"/>
      <c r="L341" s="1"/>
    </row>
    <row r="342" spans="1:12" x14ac:dyDescent="0.25">
      <c r="A342" t="s">
        <v>210</v>
      </c>
      <c r="B342" s="1">
        <v>29.908418279999999</v>
      </c>
      <c r="C342" s="1">
        <v>0.19983706900000001</v>
      </c>
      <c r="D342" s="1">
        <v>359.37077319999997</v>
      </c>
      <c r="E342" s="1">
        <v>1.78750231</v>
      </c>
      <c r="F342" s="1">
        <v>32.472590310000001</v>
      </c>
      <c r="G342" s="1">
        <v>0</v>
      </c>
      <c r="H342" s="1">
        <v>358</v>
      </c>
      <c r="I342" s="1" t="s">
        <v>601</v>
      </c>
      <c r="J342" s="1"/>
      <c r="K342" s="1"/>
      <c r="L342" s="1"/>
    </row>
    <row r="343" spans="1:12" x14ac:dyDescent="0.25">
      <c r="A343" t="s">
        <v>204</v>
      </c>
      <c r="B343" s="1">
        <v>181.8147491</v>
      </c>
      <c r="C343" s="1">
        <v>1.384042539</v>
      </c>
      <c r="D343" s="1">
        <v>59.595870130000002</v>
      </c>
      <c r="E343" s="1">
        <v>0.25922284499999998</v>
      </c>
      <c r="F343" s="1">
        <v>9.2296061950000006</v>
      </c>
      <c r="G343" s="1">
        <v>0</v>
      </c>
      <c r="H343" s="1">
        <v>357</v>
      </c>
      <c r="I343" s="1" t="s">
        <v>600</v>
      </c>
      <c r="J343" s="1"/>
      <c r="K343" s="1"/>
      <c r="L343" s="1"/>
    </row>
    <row r="344" spans="1:12" x14ac:dyDescent="0.25">
      <c r="A344" t="s">
        <v>203</v>
      </c>
      <c r="B344" s="1">
        <v>241.07442660000001</v>
      </c>
      <c r="C344" s="1">
        <v>1.2889097309999999</v>
      </c>
      <c r="D344" s="1">
        <v>62.460239729999998</v>
      </c>
      <c r="E344" s="1">
        <v>0.22657155700000001</v>
      </c>
      <c r="F344" s="1">
        <v>8.8542926640000008</v>
      </c>
      <c r="G344" s="1">
        <v>0</v>
      </c>
      <c r="H344" s="1">
        <v>356</v>
      </c>
      <c r="I344" s="1" t="s">
        <v>600</v>
      </c>
      <c r="J344" s="1"/>
      <c r="K344" s="1"/>
      <c r="L344" s="1"/>
    </row>
    <row r="345" spans="1:12" x14ac:dyDescent="0.25">
      <c r="A345" t="s">
        <v>202</v>
      </c>
      <c r="B345" s="1">
        <v>222.99968519999999</v>
      </c>
      <c r="C345" s="1">
        <v>1.520709541</v>
      </c>
      <c r="D345" s="1">
        <v>65.482250030000003</v>
      </c>
      <c r="E345" s="1">
        <v>0.27724347599999999</v>
      </c>
      <c r="F345" s="1">
        <v>9.2742555489999994</v>
      </c>
      <c r="G345" s="1">
        <v>0</v>
      </c>
      <c r="H345" s="1">
        <v>354</v>
      </c>
      <c r="I345" s="1" t="s">
        <v>600</v>
      </c>
      <c r="J345" s="1"/>
      <c r="K345" s="1"/>
      <c r="L345" s="1"/>
    </row>
    <row r="346" spans="1:12" x14ac:dyDescent="0.25">
      <c r="A346" t="s">
        <v>201</v>
      </c>
      <c r="B346" s="1">
        <v>243.6287872</v>
      </c>
      <c r="C346" s="1">
        <v>1.4894201819999999</v>
      </c>
      <c r="D346" s="1">
        <v>68.280870039999996</v>
      </c>
      <c r="E346" s="1">
        <v>0.2539517</v>
      </c>
      <c r="F346" s="1">
        <v>10.043080290000001</v>
      </c>
      <c r="G346" s="1">
        <v>0</v>
      </c>
      <c r="H346" s="1">
        <v>353</v>
      </c>
      <c r="I346" s="1" t="s">
        <v>600</v>
      </c>
      <c r="J346" s="1"/>
      <c r="K346" s="1"/>
      <c r="L346" s="1"/>
    </row>
    <row r="347" spans="1:12" x14ac:dyDescent="0.25">
      <c r="A347" t="s">
        <v>200</v>
      </c>
      <c r="B347" s="1">
        <v>188.63608110000001</v>
      </c>
      <c r="C347" s="1">
        <v>1.0194445910000001</v>
      </c>
      <c r="D347" s="1">
        <v>106.5768127</v>
      </c>
      <c r="E347" s="1">
        <v>0.42730056399999999</v>
      </c>
      <c r="F347" s="1">
        <v>16.243350370000002</v>
      </c>
      <c r="G347" s="1">
        <v>0</v>
      </c>
      <c r="H347" s="1">
        <v>352</v>
      </c>
      <c r="I347" s="1" t="s">
        <v>600</v>
      </c>
      <c r="J347" s="1"/>
      <c r="K347" s="1"/>
      <c r="L347" s="1"/>
    </row>
    <row r="348" spans="1:12" x14ac:dyDescent="0.25">
      <c r="A348" t="s">
        <v>199</v>
      </c>
      <c r="B348" s="1">
        <v>103.6298644</v>
      </c>
      <c r="C348" s="1">
        <v>0.79885148100000003</v>
      </c>
      <c r="D348" s="1">
        <v>132.94706690000001</v>
      </c>
      <c r="E348" s="1">
        <v>0.74715997099999998</v>
      </c>
      <c r="F348" s="1">
        <v>18.33479999</v>
      </c>
      <c r="G348" s="1">
        <v>0</v>
      </c>
      <c r="H348" s="1">
        <v>351</v>
      </c>
      <c r="I348" s="1" t="s">
        <v>600</v>
      </c>
      <c r="J348" s="1"/>
      <c r="K348" s="1"/>
      <c r="L348" s="1"/>
    </row>
    <row r="349" spans="1:12" x14ac:dyDescent="0.25">
      <c r="A349" t="s">
        <v>198</v>
      </c>
      <c r="B349" s="1">
        <v>276.54074530000003</v>
      </c>
      <c r="C349" s="1">
        <v>1.7911003990000001</v>
      </c>
      <c r="D349" s="1">
        <v>63.142940619999997</v>
      </c>
      <c r="E349" s="1">
        <v>0.382470066</v>
      </c>
      <c r="F349" s="1">
        <v>8.9110076280000001</v>
      </c>
      <c r="G349" s="1">
        <v>0</v>
      </c>
      <c r="H349" s="1">
        <v>350</v>
      </c>
      <c r="I349" s="1" t="s">
        <v>600</v>
      </c>
      <c r="J349" s="1"/>
      <c r="K349" s="1"/>
      <c r="L349" s="1"/>
    </row>
    <row r="350" spans="1:12" x14ac:dyDescent="0.25">
      <c r="A350" t="s">
        <v>197</v>
      </c>
      <c r="B350" s="1">
        <v>225.3067854</v>
      </c>
      <c r="C350" s="1">
        <v>1.584406559</v>
      </c>
      <c r="D350" s="1">
        <v>89.00162693</v>
      </c>
      <c r="E350" s="1">
        <v>0.455166711</v>
      </c>
      <c r="F350" s="1">
        <v>13.32492592</v>
      </c>
      <c r="G350" s="1">
        <v>0</v>
      </c>
      <c r="H350" s="1">
        <v>347</v>
      </c>
      <c r="I350" s="1" t="s">
        <v>600</v>
      </c>
      <c r="J350" s="1"/>
      <c r="K350" s="1"/>
      <c r="L350" s="1"/>
    </row>
    <row r="351" spans="1:12" x14ac:dyDescent="0.25">
      <c r="A351" t="s">
        <v>196</v>
      </c>
      <c r="B351" s="1">
        <v>233.07040599999999</v>
      </c>
      <c r="C351" s="1">
        <v>1.6845110029999999</v>
      </c>
      <c r="D351" s="1">
        <v>86.050817030000005</v>
      </c>
      <c r="E351" s="1">
        <v>0.44900932100000002</v>
      </c>
      <c r="F351" s="1">
        <v>12.75583069</v>
      </c>
      <c r="G351" s="1">
        <v>0</v>
      </c>
      <c r="H351" s="1">
        <v>346</v>
      </c>
      <c r="I351" s="1" t="s">
        <v>600</v>
      </c>
      <c r="J351" s="1"/>
      <c r="K351" s="1"/>
      <c r="L351" s="1"/>
    </row>
    <row r="352" spans="1:12" x14ac:dyDescent="0.25">
      <c r="A352" t="s">
        <v>194</v>
      </c>
      <c r="B352" s="1">
        <v>182.95603550000001</v>
      </c>
      <c r="C352" s="1">
        <v>1.0619976259999999</v>
      </c>
      <c r="D352" s="1">
        <v>130.60015079999999</v>
      </c>
      <c r="E352" s="1">
        <v>0.40703155099999999</v>
      </c>
      <c r="F352" s="1">
        <v>18.283713850000002</v>
      </c>
      <c r="G352" s="1">
        <v>0</v>
      </c>
      <c r="H352" s="1">
        <v>345</v>
      </c>
      <c r="I352" s="1" t="s">
        <v>600</v>
      </c>
      <c r="J352" s="1"/>
      <c r="K352" s="1"/>
      <c r="L352" s="1"/>
    </row>
    <row r="353" spans="1:12" x14ac:dyDescent="0.25">
      <c r="A353" t="s">
        <v>195</v>
      </c>
      <c r="B353" s="1">
        <v>192.59649949999999</v>
      </c>
      <c r="C353" s="1">
        <v>0.81905063899999997</v>
      </c>
      <c r="D353" s="1">
        <v>70.775575000000003</v>
      </c>
      <c r="E353" s="1">
        <v>0.39797849699999999</v>
      </c>
      <c r="F353" s="1">
        <v>10.368411610000001</v>
      </c>
      <c r="G353" s="1">
        <v>0</v>
      </c>
      <c r="H353" s="1">
        <v>344</v>
      </c>
      <c r="I353" s="1" t="s">
        <v>600</v>
      </c>
      <c r="J353" s="1"/>
      <c r="K353" s="1"/>
      <c r="L353" s="1"/>
    </row>
    <row r="354" spans="1:12" x14ac:dyDescent="0.25">
      <c r="A354" t="s">
        <v>193</v>
      </c>
      <c r="B354" s="1">
        <v>192.2899482</v>
      </c>
      <c r="C354" s="1">
        <v>1.3947690239999999</v>
      </c>
      <c r="D354" s="1">
        <v>145.50327680000001</v>
      </c>
      <c r="E354" s="1">
        <v>0.48981656699999998</v>
      </c>
      <c r="F354" s="1">
        <v>15.18636025</v>
      </c>
      <c r="G354" s="1">
        <v>0</v>
      </c>
      <c r="H354" s="1">
        <v>342</v>
      </c>
      <c r="I354" s="1" t="s">
        <v>600</v>
      </c>
      <c r="J354" s="1"/>
      <c r="K354" s="1"/>
      <c r="L354" s="1"/>
    </row>
    <row r="355" spans="1:12" x14ac:dyDescent="0.25">
      <c r="A355" t="s">
        <v>192</v>
      </c>
      <c r="B355" s="1">
        <v>344.53146290000001</v>
      </c>
      <c r="C355" s="1">
        <v>2.167174422</v>
      </c>
      <c r="D355" s="1">
        <v>57.560263849999998</v>
      </c>
      <c r="E355" s="1">
        <v>0.26055673600000001</v>
      </c>
      <c r="F355" s="1">
        <v>8.7628392139999995</v>
      </c>
      <c r="G355" s="1">
        <v>0</v>
      </c>
      <c r="H355" s="1">
        <v>341</v>
      </c>
      <c r="I355" s="1" t="s">
        <v>600</v>
      </c>
      <c r="J355" s="1"/>
      <c r="K355" s="1"/>
      <c r="L355" s="1"/>
    </row>
    <row r="356" spans="1:12" x14ac:dyDescent="0.25">
      <c r="A356" t="s">
        <v>206</v>
      </c>
      <c r="B356" s="1"/>
      <c r="C356" s="1"/>
      <c r="D356" s="1">
        <v>371.9202535</v>
      </c>
      <c r="E356" s="1">
        <v>2.7324158010000001</v>
      </c>
      <c r="F356" s="1">
        <v>31.158842669999999</v>
      </c>
      <c r="G356" s="1">
        <v>0</v>
      </c>
      <c r="H356" s="1">
        <v>334</v>
      </c>
      <c r="I356" s="1" t="s">
        <v>601</v>
      </c>
      <c r="J356" s="1"/>
      <c r="K356" s="1"/>
      <c r="L356" s="1"/>
    </row>
    <row r="357" spans="1:12" x14ac:dyDescent="0.25">
      <c r="A357" t="s">
        <v>191</v>
      </c>
      <c r="B357" s="1">
        <v>53.973695450000001</v>
      </c>
      <c r="C357" s="1">
        <v>0.45243169300000002</v>
      </c>
      <c r="D357" s="1">
        <v>335.4916581</v>
      </c>
      <c r="E357" s="1">
        <v>2.1411307220000002</v>
      </c>
      <c r="F357" s="1">
        <v>30.200935479999998</v>
      </c>
      <c r="G357" s="1">
        <v>0</v>
      </c>
      <c r="H357" s="1">
        <v>333</v>
      </c>
      <c r="I357" s="1" t="s">
        <v>601</v>
      </c>
      <c r="J357" s="1"/>
      <c r="K357" s="1"/>
      <c r="L357" s="1"/>
    </row>
    <row r="358" spans="1:12" x14ac:dyDescent="0.25">
      <c r="A358" t="s">
        <v>205</v>
      </c>
      <c r="B358" s="1">
        <v>24.435112329999999</v>
      </c>
      <c r="C358" s="1">
        <v>0.170164493</v>
      </c>
      <c r="D358" s="1">
        <v>439.3685274</v>
      </c>
      <c r="E358" s="1">
        <v>2.57356491</v>
      </c>
      <c r="F358" s="1">
        <v>34.597083529999999</v>
      </c>
      <c r="G358" s="1">
        <v>0</v>
      </c>
      <c r="H358" s="1">
        <v>332</v>
      </c>
      <c r="I358" s="1" t="s">
        <v>601</v>
      </c>
      <c r="J358" s="1"/>
      <c r="K358" s="1"/>
      <c r="L358" s="1"/>
    </row>
    <row r="359" spans="1:12" x14ac:dyDescent="0.25">
      <c r="A359" t="s">
        <v>188</v>
      </c>
      <c r="B359" s="1"/>
      <c r="C359" s="1"/>
      <c r="D359" s="1">
        <v>454.95937520000001</v>
      </c>
      <c r="E359" s="1">
        <v>2.828884264</v>
      </c>
      <c r="F359" s="1">
        <v>38.381532300000003</v>
      </c>
      <c r="G359" s="1">
        <v>0</v>
      </c>
      <c r="H359" s="1">
        <v>331</v>
      </c>
      <c r="I359" s="1" t="s">
        <v>601</v>
      </c>
      <c r="J359" s="1"/>
      <c r="K359" s="1"/>
      <c r="L359" s="1"/>
    </row>
    <row r="360" spans="1:12" x14ac:dyDescent="0.25">
      <c r="A360" t="s">
        <v>189</v>
      </c>
      <c r="B360" s="1">
        <v>13.3852379</v>
      </c>
      <c r="C360" s="1">
        <v>6.8519200000000002E-2</v>
      </c>
      <c r="D360" s="1">
        <v>462.5399956</v>
      </c>
      <c r="E360" s="1">
        <v>2.9569016659999998</v>
      </c>
      <c r="F360" s="1">
        <v>36.571821659999998</v>
      </c>
      <c r="G360" s="1">
        <v>0</v>
      </c>
      <c r="H360" s="1">
        <v>330</v>
      </c>
      <c r="I360" s="1" t="s">
        <v>601</v>
      </c>
      <c r="J360" s="1"/>
      <c r="K360" s="1"/>
      <c r="L360" s="1"/>
    </row>
    <row r="361" spans="1:12" x14ac:dyDescent="0.25">
      <c r="A361" t="s">
        <v>211</v>
      </c>
      <c r="B361" s="1"/>
      <c r="C361" s="1"/>
      <c r="D361" s="1">
        <v>353.53598799999997</v>
      </c>
      <c r="E361" s="1">
        <v>2.7137631880000002</v>
      </c>
      <c r="F361" s="1">
        <v>31.303835599999999</v>
      </c>
      <c r="G361" s="1">
        <v>0</v>
      </c>
      <c r="H361" s="1">
        <v>359</v>
      </c>
      <c r="I361" s="1" t="s">
        <v>601</v>
      </c>
      <c r="J361" s="1"/>
      <c r="K361" s="1"/>
      <c r="L361" s="1"/>
    </row>
    <row r="362" spans="1:12" x14ac:dyDescent="0.25">
      <c r="A362" t="s">
        <v>207</v>
      </c>
      <c r="B362" s="1"/>
      <c r="C362" s="1"/>
      <c r="D362" s="1">
        <v>381.81679550000001</v>
      </c>
      <c r="E362" s="1">
        <v>2.994013587</v>
      </c>
      <c r="F362" s="1">
        <v>33.775942819999997</v>
      </c>
      <c r="G362" s="1">
        <v>0</v>
      </c>
      <c r="H362" s="1">
        <v>366</v>
      </c>
      <c r="I362" s="1" t="s">
        <v>603</v>
      </c>
      <c r="J362" s="1"/>
      <c r="K362" s="1"/>
      <c r="L362" s="1"/>
    </row>
    <row r="363" spans="1:12" x14ac:dyDescent="0.25">
      <c r="A363" t="s">
        <v>208</v>
      </c>
      <c r="B363" s="1">
        <v>2.1103387730000001</v>
      </c>
      <c r="C363" s="1">
        <v>6.205128E-2</v>
      </c>
      <c r="D363" s="1">
        <v>366.7572333</v>
      </c>
      <c r="E363" s="1">
        <v>2.4311232949999999</v>
      </c>
      <c r="F363" s="1">
        <v>31.338340580000001</v>
      </c>
      <c r="G363" s="1">
        <v>0</v>
      </c>
      <c r="H363" s="1">
        <v>367</v>
      </c>
      <c r="I363" s="1" t="s">
        <v>603</v>
      </c>
      <c r="J363" s="1"/>
      <c r="K363" s="1"/>
      <c r="L363" s="1"/>
    </row>
    <row r="364" spans="1:12" x14ac:dyDescent="0.25">
      <c r="A364" t="s">
        <v>9</v>
      </c>
      <c r="B364" s="1">
        <v>180.24176259999999</v>
      </c>
      <c r="C364" s="1">
        <v>2.4386921500000001</v>
      </c>
      <c r="D364" s="1"/>
      <c r="E364" s="1"/>
      <c r="F364" s="1"/>
      <c r="G364" s="1">
        <v>0</v>
      </c>
      <c r="H364" s="1">
        <v>388</v>
      </c>
      <c r="I364" s="1" t="s">
        <v>602</v>
      </c>
      <c r="J364" s="1">
        <v>3117.3386770000002</v>
      </c>
      <c r="K364" s="1">
        <v>17.017514760000001</v>
      </c>
      <c r="L364" s="1">
        <v>12.615416400000001</v>
      </c>
    </row>
    <row r="365" spans="1:12" x14ac:dyDescent="0.25">
      <c r="A365" t="s">
        <v>154</v>
      </c>
      <c r="B365" s="1">
        <v>175.644385</v>
      </c>
      <c r="C365" s="1">
        <v>0.75920628300000004</v>
      </c>
      <c r="D365" s="1">
        <v>55.342891710000004</v>
      </c>
      <c r="E365" s="1">
        <v>0.30945271000000002</v>
      </c>
      <c r="F365" s="1">
        <v>8.0330492299999996</v>
      </c>
      <c r="G365" s="1">
        <v>0</v>
      </c>
      <c r="H365" s="1">
        <v>399</v>
      </c>
      <c r="I365" s="1" t="s">
        <v>600</v>
      </c>
      <c r="J365" s="1"/>
      <c r="K365" s="1"/>
      <c r="L365" s="1"/>
    </row>
    <row r="366" spans="1:12" x14ac:dyDescent="0.25">
      <c r="A366" t="s">
        <v>221</v>
      </c>
      <c r="B366" s="1">
        <v>102.32724380000001</v>
      </c>
      <c r="C366" s="1">
        <v>0.60229135600000006</v>
      </c>
      <c r="D366" s="1">
        <v>94.332731620000004</v>
      </c>
      <c r="E366" s="1">
        <v>0.41411277299999999</v>
      </c>
      <c r="F366" s="1">
        <v>13.05345129</v>
      </c>
      <c r="G366" s="1">
        <v>0</v>
      </c>
      <c r="H366" s="1">
        <v>398</v>
      </c>
      <c r="I366" s="1" t="s">
        <v>600</v>
      </c>
      <c r="J366" s="1"/>
      <c r="K366" s="1"/>
      <c r="L366" s="1"/>
    </row>
    <row r="367" spans="1:12" x14ac:dyDescent="0.25">
      <c r="A367" t="s">
        <v>519</v>
      </c>
      <c r="B367" s="1">
        <v>117.664575</v>
      </c>
      <c r="C367" s="1">
        <v>0.74837217599999994</v>
      </c>
      <c r="D367" s="1">
        <v>83.514039429999997</v>
      </c>
      <c r="E367" s="1">
        <v>0.39306808999999998</v>
      </c>
      <c r="F367" s="1">
        <v>11.96978023</v>
      </c>
      <c r="G367" s="1">
        <v>0</v>
      </c>
      <c r="H367" s="1">
        <v>397</v>
      </c>
      <c r="I367" s="1" t="s">
        <v>600</v>
      </c>
      <c r="J367" s="1"/>
      <c r="K367" s="1"/>
      <c r="L367" s="1"/>
    </row>
    <row r="368" spans="1:12" x14ac:dyDescent="0.25">
      <c r="A368" t="s">
        <v>220</v>
      </c>
      <c r="B368" s="1">
        <v>28.45766987</v>
      </c>
      <c r="C368" s="1">
        <v>0.31575214400000001</v>
      </c>
      <c r="D368" s="1">
        <v>265.76381190000001</v>
      </c>
      <c r="E368" s="1">
        <v>2.1796413760000002</v>
      </c>
      <c r="F368" s="1">
        <v>21.527819950000001</v>
      </c>
      <c r="G368" s="1">
        <v>0</v>
      </c>
      <c r="H368" s="1">
        <v>396</v>
      </c>
      <c r="I368" s="1" t="s">
        <v>601</v>
      </c>
      <c r="J368" s="1"/>
      <c r="K368" s="1"/>
      <c r="L368" s="1"/>
    </row>
    <row r="369" spans="1:12" x14ac:dyDescent="0.25">
      <c r="A369" t="s">
        <v>219</v>
      </c>
      <c r="B369" s="1">
        <v>21.984647710000001</v>
      </c>
      <c r="C369" s="1">
        <v>0.17363031400000001</v>
      </c>
      <c r="D369" s="1">
        <v>323.93746970000001</v>
      </c>
      <c r="E369" s="1">
        <v>1.7266835110000001</v>
      </c>
      <c r="F369" s="1">
        <v>25.19321193</v>
      </c>
      <c r="G369" s="1">
        <v>0</v>
      </c>
      <c r="H369" s="1">
        <v>394</v>
      </c>
      <c r="I369" s="1" t="s">
        <v>601</v>
      </c>
      <c r="J369" s="1"/>
      <c r="K369" s="1"/>
      <c r="L369" s="1"/>
    </row>
    <row r="370" spans="1:12" x14ac:dyDescent="0.25">
      <c r="A370" t="s">
        <v>218</v>
      </c>
      <c r="B370" s="1"/>
      <c r="C370" s="1"/>
      <c r="D370" s="1">
        <v>325.24151430000001</v>
      </c>
      <c r="E370" s="1">
        <v>2.2601755529999998</v>
      </c>
      <c r="F370" s="1">
        <v>25.681715520000001</v>
      </c>
      <c r="G370" s="1">
        <v>0</v>
      </c>
      <c r="H370" s="1">
        <v>393</v>
      </c>
      <c r="I370" s="1" t="s">
        <v>601</v>
      </c>
      <c r="J370" s="1"/>
      <c r="K370" s="1"/>
      <c r="L370" s="1"/>
    </row>
    <row r="371" spans="1:12" x14ac:dyDescent="0.25">
      <c r="A371" t="s">
        <v>217</v>
      </c>
      <c r="B371" s="1"/>
      <c r="C371" s="1"/>
      <c r="D371" s="1">
        <v>363.92408180000001</v>
      </c>
      <c r="E371" s="1">
        <v>1.558652878</v>
      </c>
      <c r="F371" s="1">
        <v>27.931296629999999</v>
      </c>
      <c r="G371" s="1">
        <v>0</v>
      </c>
      <c r="H371" s="1">
        <v>392</v>
      </c>
      <c r="I371" s="1" t="s">
        <v>601</v>
      </c>
      <c r="J371" s="1"/>
      <c r="K371" s="1"/>
      <c r="L371" s="1"/>
    </row>
    <row r="372" spans="1:12" x14ac:dyDescent="0.25">
      <c r="A372" t="s">
        <v>216</v>
      </c>
      <c r="B372" s="1"/>
      <c r="C372" s="1"/>
      <c r="D372" s="1">
        <v>373.93190320000002</v>
      </c>
      <c r="E372" s="1">
        <v>2.1883879199999998</v>
      </c>
      <c r="F372" s="1">
        <v>28.573008229999999</v>
      </c>
      <c r="G372" s="1">
        <v>0</v>
      </c>
      <c r="H372" s="1">
        <v>391</v>
      </c>
      <c r="I372" s="1" t="s">
        <v>601</v>
      </c>
      <c r="J372" s="1"/>
      <c r="K372" s="1"/>
      <c r="L372" s="1"/>
    </row>
    <row r="373" spans="1:12" x14ac:dyDescent="0.25">
      <c r="A373" t="s">
        <v>215</v>
      </c>
      <c r="B373" s="1">
        <v>288.20537300000001</v>
      </c>
      <c r="C373" s="1">
        <v>2.2381924789999998</v>
      </c>
      <c r="D373" s="1"/>
      <c r="E373" s="1"/>
      <c r="F373" s="1"/>
      <c r="G373" s="1">
        <v>0</v>
      </c>
      <c r="H373" s="1">
        <v>386</v>
      </c>
      <c r="I373" s="1" t="s">
        <v>602</v>
      </c>
      <c r="J373" s="1">
        <v>2981.9095109999998</v>
      </c>
      <c r="K373" s="1">
        <v>14.73616605</v>
      </c>
      <c r="L373" s="1">
        <v>11.613497539999999</v>
      </c>
    </row>
    <row r="374" spans="1:12" x14ac:dyDescent="0.25">
      <c r="A374" t="s">
        <v>209</v>
      </c>
      <c r="B374" s="1"/>
      <c r="C374" s="1"/>
      <c r="D374" s="1">
        <v>326.60816019999999</v>
      </c>
      <c r="E374" s="1">
        <v>3.437789848</v>
      </c>
      <c r="F374" s="1">
        <v>29.047673939999999</v>
      </c>
      <c r="G374" s="1">
        <v>0</v>
      </c>
      <c r="H374" s="1">
        <v>369</v>
      </c>
      <c r="I374" s="1" t="s">
        <v>603</v>
      </c>
      <c r="J374" s="1"/>
      <c r="K374" s="1"/>
      <c r="L374" s="1"/>
    </row>
    <row r="375" spans="1:12" x14ac:dyDescent="0.25">
      <c r="A375" t="s">
        <v>20</v>
      </c>
      <c r="B375" s="1">
        <v>82.994067360000003</v>
      </c>
      <c r="C375" s="1">
        <v>0.49104021199999998</v>
      </c>
      <c r="D375" s="1"/>
      <c r="E375" s="1"/>
      <c r="F375" s="1"/>
      <c r="G375" s="1">
        <v>0</v>
      </c>
      <c r="H375" s="1">
        <v>383</v>
      </c>
      <c r="I375" s="1" t="s">
        <v>602</v>
      </c>
      <c r="J375" s="1">
        <v>3819.2550219999998</v>
      </c>
      <c r="K375" s="1">
        <v>20.552749030000001</v>
      </c>
      <c r="L375" s="1">
        <v>11.157614710000001</v>
      </c>
    </row>
    <row r="376" spans="1:12" x14ac:dyDescent="0.25">
      <c r="A376" t="s">
        <v>14</v>
      </c>
      <c r="B376" s="1">
        <v>189.6033534</v>
      </c>
      <c r="C376" s="1">
        <v>1.8235555640000001</v>
      </c>
      <c r="D376" s="1"/>
      <c r="E376" s="1"/>
      <c r="F376" s="1"/>
      <c r="G376" s="1">
        <v>0</v>
      </c>
      <c r="H376" s="1">
        <v>381</v>
      </c>
      <c r="I376" s="1" t="s">
        <v>602</v>
      </c>
      <c r="J376" s="1">
        <v>3152.3953759999999</v>
      </c>
      <c r="K376" s="1">
        <v>16.811417670000001</v>
      </c>
      <c r="L376" s="1">
        <v>12.75093115</v>
      </c>
    </row>
    <row r="377" spans="1:12" x14ac:dyDescent="0.25">
      <c r="A377" t="s">
        <v>214</v>
      </c>
      <c r="B377" s="1">
        <v>186.82500730000001</v>
      </c>
      <c r="C377" s="1">
        <v>1.232851833</v>
      </c>
      <c r="D377" s="1">
        <v>64.66531603</v>
      </c>
      <c r="E377" s="1">
        <v>0.260288148</v>
      </c>
      <c r="F377" s="1">
        <v>8.5926101989999992</v>
      </c>
      <c r="G377" s="1">
        <v>0</v>
      </c>
      <c r="H377" s="1">
        <v>378</v>
      </c>
      <c r="I377" s="1" t="s">
        <v>600</v>
      </c>
      <c r="J377" s="1"/>
      <c r="K377" s="1"/>
      <c r="L377" s="1"/>
    </row>
    <row r="378" spans="1:12" x14ac:dyDescent="0.25">
      <c r="A378" t="s">
        <v>213</v>
      </c>
      <c r="B378" s="1">
        <v>200.48655020000001</v>
      </c>
      <c r="C378" s="1">
        <v>1.4508145210000001</v>
      </c>
      <c r="D378" s="1">
        <v>56.518335610000001</v>
      </c>
      <c r="E378" s="1">
        <v>0.30185231800000001</v>
      </c>
      <c r="F378" s="1">
        <v>8.0921890259999998</v>
      </c>
      <c r="G378" s="1">
        <v>0</v>
      </c>
      <c r="H378" s="1">
        <v>377</v>
      </c>
      <c r="I378" s="1" t="s">
        <v>600</v>
      </c>
      <c r="J378" s="1"/>
      <c r="K378" s="1"/>
      <c r="L378" s="1"/>
    </row>
    <row r="379" spans="1:12" x14ac:dyDescent="0.25">
      <c r="A379" t="s">
        <v>212</v>
      </c>
      <c r="B379" s="1"/>
      <c r="C379" s="1"/>
      <c r="D379" s="1">
        <v>402.5415994</v>
      </c>
      <c r="E379" s="1">
        <v>1.992841912</v>
      </c>
      <c r="F379" s="1">
        <v>27.604971190000001</v>
      </c>
      <c r="G379" s="1">
        <v>0</v>
      </c>
      <c r="H379" s="1">
        <v>373</v>
      </c>
      <c r="I379" s="1" t="s">
        <v>601</v>
      </c>
      <c r="J379" s="1"/>
      <c r="K379" s="1"/>
      <c r="L379" s="1"/>
    </row>
    <row r="380" spans="1:12" x14ac:dyDescent="0.25">
      <c r="A380" t="s">
        <v>305</v>
      </c>
      <c r="B380" s="1"/>
      <c r="C380" s="1"/>
      <c r="D380" s="1">
        <v>409.16114490000001</v>
      </c>
      <c r="E380" s="1">
        <v>1.844353701</v>
      </c>
      <c r="F380" s="1">
        <v>27.092407470000001</v>
      </c>
      <c r="G380" s="1">
        <v>0</v>
      </c>
      <c r="H380" s="1">
        <v>372</v>
      </c>
      <c r="I380" s="1" t="s">
        <v>601</v>
      </c>
      <c r="J380" s="1"/>
      <c r="K380" s="1"/>
      <c r="L380" s="1"/>
    </row>
    <row r="381" spans="1:12" x14ac:dyDescent="0.25">
      <c r="A381" t="s">
        <v>151</v>
      </c>
      <c r="B381" s="1">
        <v>29.02334024</v>
      </c>
      <c r="C381" s="1">
        <v>0.27210471000000003</v>
      </c>
      <c r="D381" s="1">
        <v>353.94364789999997</v>
      </c>
      <c r="E381" s="1">
        <v>2.447325781</v>
      </c>
      <c r="F381" s="1">
        <v>26.595938690000001</v>
      </c>
      <c r="G381" s="1">
        <v>0</v>
      </c>
      <c r="H381" s="1">
        <v>371</v>
      </c>
      <c r="I381" s="1" t="s">
        <v>601</v>
      </c>
      <c r="J381" s="1"/>
      <c r="K381" s="1"/>
      <c r="L381" s="1"/>
    </row>
    <row r="382" spans="1:12" x14ac:dyDescent="0.25">
      <c r="A382" t="s">
        <v>560</v>
      </c>
      <c r="B382" s="1">
        <v>32.06421418</v>
      </c>
      <c r="C382" s="1">
        <v>0.24582611300000001</v>
      </c>
      <c r="D382" s="1">
        <v>327.11057010000002</v>
      </c>
      <c r="E382" s="1">
        <v>2.0342137660000001</v>
      </c>
      <c r="F382" s="1">
        <v>31.943210300000001</v>
      </c>
      <c r="G382" s="1">
        <v>0</v>
      </c>
      <c r="H382" s="1">
        <v>370</v>
      </c>
      <c r="I382" s="1" t="s">
        <v>601</v>
      </c>
      <c r="J382" s="1"/>
      <c r="K382" s="1"/>
      <c r="L382" s="1"/>
    </row>
    <row r="383" spans="1:12" x14ac:dyDescent="0.25">
      <c r="A383" t="s">
        <v>190</v>
      </c>
      <c r="B383" s="1"/>
      <c r="C383" s="1"/>
      <c r="D383" s="1">
        <v>481.64223930000003</v>
      </c>
      <c r="E383" s="1">
        <v>1.9394556890000001</v>
      </c>
      <c r="F383" s="1">
        <v>40.505164399999998</v>
      </c>
      <c r="G383" s="1">
        <v>0</v>
      </c>
      <c r="H383" s="1">
        <v>329</v>
      </c>
      <c r="I383" s="1" t="s">
        <v>601</v>
      </c>
      <c r="J383" s="1"/>
      <c r="K383" s="1"/>
      <c r="L383" s="1"/>
    </row>
    <row r="384" spans="1:12" x14ac:dyDescent="0.25">
      <c r="A384" t="s">
        <v>187</v>
      </c>
      <c r="B384" s="1"/>
      <c r="C384" s="1"/>
      <c r="D384" s="1">
        <v>330.20043029999999</v>
      </c>
      <c r="E384" s="1">
        <v>1.9594750869999999</v>
      </c>
      <c r="F384" s="1">
        <v>28.388749700000002</v>
      </c>
      <c r="G384" s="1">
        <v>0</v>
      </c>
      <c r="H384" s="1">
        <v>327</v>
      </c>
      <c r="I384" s="1" t="s">
        <v>601</v>
      </c>
      <c r="J384" s="1"/>
      <c r="K384" s="1"/>
      <c r="L384" s="1"/>
    </row>
    <row r="385" spans="1:12" x14ac:dyDescent="0.25">
      <c r="A385" t="s">
        <v>433</v>
      </c>
      <c r="B385" s="1"/>
      <c r="C385" s="1"/>
      <c r="D385" s="1">
        <v>147.3088678</v>
      </c>
      <c r="E385" s="1">
        <v>0.64731815599999998</v>
      </c>
      <c r="F385" s="1">
        <v>14.655730569999999</v>
      </c>
      <c r="G385" s="1">
        <v>0</v>
      </c>
      <c r="H385" s="1">
        <v>1012</v>
      </c>
      <c r="I385" s="1" t="s">
        <v>603</v>
      </c>
      <c r="J385" s="1"/>
      <c r="K385" s="1"/>
      <c r="L385" s="1"/>
    </row>
    <row r="386" spans="1:12" x14ac:dyDescent="0.25">
      <c r="A386" t="s">
        <v>184</v>
      </c>
      <c r="B386" s="1">
        <v>334.76025270000002</v>
      </c>
      <c r="C386" s="1">
        <v>2.6643509399999998</v>
      </c>
      <c r="D386" s="1">
        <v>49.532037989999999</v>
      </c>
      <c r="E386" s="1">
        <v>0.23215751200000001</v>
      </c>
      <c r="F386" s="1">
        <v>6.8631169859999996</v>
      </c>
      <c r="G386" s="1">
        <v>0</v>
      </c>
      <c r="H386" s="1">
        <v>326</v>
      </c>
      <c r="I386" s="1" t="s">
        <v>600</v>
      </c>
      <c r="J386" s="1"/>
      <c r="K386" s="1"/>
      <c r="L386" s="1"/>
    </row>
    <row r="387" spans="1:12" x14ac:dyDescent="0.25">
      <c r="A387" t="s">
        <v>168</v>
      </c>
      <c r="B387" s="1">
        <v>11.56485685</v>
      </c>
      <c r="C387" s="1">
        <v>6.9212107999999994E-2</v>
      </c>
      <c r="D387" s="1">
        <v>576.02124089999995</v>
      </c>
      <c r="E387" s="1">
        <v>2.4785720539999998</v>
      </c>
      <c r="F387" s="1">
        <v>57.820016070000001</v>
      </c>
      <c r="G387" s="1">
        <v>0</v>
      </c>
      <c r="H387" s="1">
        <v>288</v>
      </c>
      <c r="I387" s="1" t="s">
        <v>601</v>
      </c>
      <c r="J387" s="1"/>
      <c r="K387" s="1"/>
      <c r="L387" s="1"/>
    </row>
    <row r="388" spans="1:12" x14ac:dyDescent="0.25">
      <c r="A388" t="s">
        <v>516</v>
      </c>
      <c r="B388" s="1"/>
      <c r="C388" s="1"/>
      <c r="D388" s="1">
        <v>618.4817984</v>
      </c>
      <c r="E388" s="1">
        <v>4.9792656019999999</v>
      </c>
      <c r="F388" s="1">
        <v>41.727378620000003</v>
      </c>
      <c r="G388" s="1">
        <v>0</v>
      </c>
      <c r="H388" s="1">
        <v>285</v>
      </c>
      <c r="I388" s="1" t="s">
        <v>601</v>
      </c>
      <c r="J388" s="1"/>
      <c r="K388" s="1"/>
      <c r="L388" s="1"/>
    </row>
    <row r="389" spans="1:12" x14ac:dyDescent="0.25">
      <c r="A389" t="s">
        <v>167</v>
      </c>
      <c r="B389" s="1">
        <v>51.133908529999999</v>
      </c>
      <c r="C389" s="1">
        <v>0.38891078899999998</v>
      </c>
      <c r="D389" s="1">
        <v>573.70313309999995</v>
      </c>
      <c r="E389" s="1">
        <v>1.26128668</v>
      </c>
      <c r="F389" s="1">
        <v>62.350246210000002</v>
      </c>
      <c r="G389" s="1">
        <v>0</v>
      </c>
      <c r="H389" s="1">
        <v>284</v>
      </c>
      <c r="I389" s="1" t="s">
        <v>601</v>
      </c>
      <c r="J389" s="1"/>
      <c r="K389" s="1"/>
      <c r="L389" s="1"/>
    </row>
    <row r="390" spans="1:12" x14ac:dyDescent="0.25">
      <c r="A390" t="s">
        <v>34</v>
      </c>
      <c r="B390" s="1">
        <v>161.17104620000001</v>
      </c>
      <c r="C390" s="1">
        <v>1.2711889540000001</v>
      </c>
      <c r="D390" s="1"/>
      <c r="E390" s="1"/>
      <c r="F390" s="1"/>
      <c r="G390" s="1">
        <v>0</v>
      </c>
      <c r="H390" s="1">
        <v>281</v>
      </c>
      <c r="I390" s="1" t="s">
        <v>602</v>
      </c>
      <c r="J390" s="1">
        <v>3894.7198440000002</v>
      </c>
      <c r="K390" s="1">
        <v>23.609087079999998</v>
      </c>
      <c r="L390" s="1">
        <v>12.06805593</v>
      </c>
    </row>
    <row r="391" spans="1:12" x14ac:dyDescent="0.25">
      <c r="A391" t="s">
        <v>15</v>
      </c>
      <c r="B391" s="1">
        <v>486.68024830000002</v>
      </c>
      <c r="C391" s="1">
        <v>2.962614657</v>
      </c>
      <c r="D391" s="1"/>
      <c r="E391" s="1"/>
      <c r="F391" s="1"/>
      <c r="G391" s="1">
        <v>0</v>
      </c>
      <c r="H391" s="1">
        <v>277</v>
      </c>
      <c r="I391" s="1" t="s">
        <v>602</v>
      </c>
      <c r="J391" s="1">
        <v>3274.9527429999998</v>
      </c>
      <c r="K391" s="1">
        <v>14.05152835</v>
      </c>
      <c r="L391" s="1">
        <v>10.643959150000001</v>
      </c>
    </row>
    <row r="392" spans="1:12" x14ac:dyDescent="0.25">
      <c r="A392" t="s">
        <v>33</v>
      </c>
      <c r="B392" s="1">
        <v>267.37417060000001</v>
      </c>
      <c r="C392" s="1">
        <v>0.80513721299999996</v>
      </c>
      <c r="D392" s="1"/>
      <c r="E392" s="1"/>
      <c r="F392" s="1"/>
      <c r="G392" s="1">
        <v>0</v>
      </c>
      <c r="H392" s="1">
        <v>275</v>
      </c>
      <c r="I392" s="1" t="s">
        <v>602</v>
      </c>
      <c r="J392" s="1">
        <v>3524.1027560000002</v>
      </c>
      <c r="K392" s="1">
        <v>20.079673339999999</v>
      </c>
      <c r="L392" s="1">
        <v>11.611844720000001</v>
      </c>
    </row>
    <row r="393" spans="1:12" x14ac:dyDescent="0.25">
      <c r="A393" t="s">
        <v>11</v>
      </c>
      <c r="B393" s="1">
        <v>68.241202999999999</v>
      </c>
      <c r="C393" s="1">
        <v>0.97455119999999995</v>
      </c>
      <c r="D393" s="1"/>
      <c r="E393" s="1"/>
      <c r="F393" s="1"/>
      <c r="G393" s="1">
        <v>0</v>
      </c>
      <c r="H393" s="1">
        <v>270</v>
      </c>
      <c r="I393" s="1" t="s">
        <v>602</v>
      </c>
      <c r="J393" s="1">
        <v>4054.0975119999998</v>
      </c>
      <c r="K393" s="1">
        <v>23.20573568</v>
      </c>
      <c r="L393" s="1">
        <v>12.42492549</v>
      </c>
    </row>
    <row r="394" spans="1:12" x14ac:dyDescent="0.25">
      <c r="A394" t="s">
        <v>134</v>
      </c>
      <c r="B394" s="1">
        <v>442.86070580000001</v>
      </c>
      <c r="C394" s="1">
        <v>3.04464121</v>
      </c>
      <c r="D394" s="1">
        <v>177.4264498</v>
      </c>
      <c r="E394" s="1">
        <v>0.87649050799999995</v>
      </c>
      <c r="F394" s="1">
        <v>23.159123269999998</v>
      </c>
      <c r="G394" s="1">
        <v>0</v>
      </c>
      <c r="H394" s="1">
        <v>269</v>
      </c>
      <c r="I394" s="1" t="s">
        <v>600</v>
      </c>
      <c r="J394" s="1"/>
      <c r="K394" s="1"/>
      <c r="L394" s="1"/>
    </row>
    <row r="395" spans="1:12" x14ac:dyDescent="0.25">
      <c r="A395" t="s">
        <v>165</v>
      </c>
      <c r="B395" s="1">
        <v>339.16102080000002</v>
      </c>
      <c r="C395" s="1">
        <v>2.6824465759999998</v>
      </c>
      <c r="D395" s="1">
        <v>93.385729909999995</v>
      </c>
      <c r="E395" s="1">
        <v>0.56400132300000005</v>
      </c>
      <c r="F395" s="1">
        <v>13.08781276</v>
      </c>
      <c r="G395" s="1">
        <v>0</v>
      </c>
      <c r="H395" s="1">
        <v>266</v>
      </c>
      <c r="I395" s="1" t="s">
        <v>600</v>
      </c>
      <c r="J395" s="1"/>
      <c r="K395" s="1"/>
      <c r="L395" s="1"/>
    </row>
    <row r="396" spans="1:12" x14ac:dyDescent="0.25">
      <c r="A396" t="s">
        <v>142</v>
      </c>
      <c r="B396" s="1">
        <v>13.054166520000001</v>
      </c>
      <c r="C396" s="1">
        <v>5.4817460999999998E-2</v>
      </c>
      <c r="D396" s="1">
        <v>576.98363619999998</v>
      </c>
      <c r="E396" s="1">
        <v>3.0649007319999999</v>
      </c>
      <c r="F396" s="1">
        <v>49.586299689999997</v>
      </c>
      <c r="G396" s="1">
        <v>0</v>
      </c>
      <c r="H396" s="1">
        <v>262</v>
      </c>
      <c r="I396" s="1" t="s">
        <v>601</v>
      </c>
      <c r="J396" s="1"/>
      <c r="K396" s="1"/>
      <c r="L396" s="1"/>
    </row>
    <row r="397" spans="1:12" x14ac:dyDescent="0.25">
      <c r="A397" t="s">
        <v>164</v>
      </c>
      <c r="B397" s="1"/>
      <c r="C397" s="1"/>
      <c r="D397" s="1">
        <v>510.8676044</v>
      </c>
      <c r="E397" s="1">
        <v>3.8898674089999998</v>
      </c>
      <c r="F397" s="1">
        <v>45.374470590000001</v>
      </c>
      <c r="G397" s="1">
        <v>0</v>
      </c>
      <c r="H397" s="1">
        <v>260</v>
      </c>
      <c r="I397" s="1" t="s">
        <v>603</v>
      </c>
      <c r="J397" s="1"/>
      <c r="K397" s="1"/>
      <c r="L397" s="1"/>
    </row>
    <row r="398" spans="1:12" x14ac:dyDescent="0.25">
      <c r="A398" t="s">
        <v>150</v>
      </c>
      <c r="B398" s="1">
        <v>0.73225813299999998</v>
      </c>
      <c r="C398" s="1">
        <v>3.2185737999999998E-2</v>
      </c>
      <c r="D398" s="1">
        <v>404.31903190000003</v>
      </c>
      <c r="E398" s="1">
        <v>3.034941715</v>
      </c>
      <c r="F398" s="1">
        <v>45.563424849999997</v>
      </c>
      <c r="G398" s="1">
        <v>0</v>
      </c>
      <c r="H398" s="1">
        <v>222</v>
      </c>
      <c r="I398" s="1" t="s">
        <v>603</v>
      </c>
      <c r="J398" s="1"/>
      <c r="K398" s="1"/>
      <c r="L398" s="1"/>
    </row>
    <row r="399" spans="1:12" x14ac:dyDescent="0.25">
      <c r="A399" t="s">
        <v>163</v>
      </c>
      <c r="B399" s="1"/>
      <c r="C399" s="1"/>
      <c r="D399" s="1">
        <v>437.57780480000002</v>
      </c>
      <c r="E399" s="1">
        <v>3.7236820490000002</v>
      </c>
      <c r="F399" s="1">
        <v>44.874916910000003</v>
      </c>
      <c r="G399" s="1">
        <v>0</v>
      </c>
      <c r="H399" s="1">
        <v>221</v>
      </c>
      <c r="I399" s="1" t="s">
        <v>603</v>
      </c>
      <c r="J399" s="1"/>
      <c r="K399" s="1"/>
      <c r="L399" s="1"/>
    </row>
    <row r="400" spans="1:12" x14ac:dyDescent="0.25">
      <c r="A400" t="s">
        <v>162</v>
      </c>
      <c r="B400" s="1">
        <v>0.61622136199999999</v>
      </c>
      <c r="C400" s="1"/>
      <c r="D400" s="1">
        <v>538.92344490000005</v>
      </c>
      <c r="E400" s="1">
        <v>2.4914566960000002</v>
      </c>
      <c r="F400" s="1">
        <v>49.714795719999998</v>
      </c>
      <c r="G400" s="1">
        <v>0</v>
      </c>
      <c r="H400" s="1">
        <v>220</v>
      </c>
      <c r="I400" s="1" t="s">
        <v>603</v>
      </c>
      <c r="J400" s="1"/>
      <c r="K400" s="1"/>
      <c r="L400" s="1"/>
    </row>
    <row r="401" spans="1:12" x14ac:dyDescent="0.25">
      <c r="A401" t="s">
        <v>161</v>
      </c>
      <c r="B401" s="1">
        <v>291.50620309999999</v>
      </c>
      <c r="C401" s="1">
        <v>3.157107205</v>
      </c>
      <c r="D401" s="1">
        <v>274.04016619999999</v>
      </c>
      <c r="E401" s="1">
        <v>2.199884548</v>
      </c>
      <c r="F401" s="1">
        <v>29.817606250000001</v>
      </c>
      <c r="G401" s="1">
        <v>0</v>
      </c>
      <c r="H401" s="1">
        <v>218</v>
      </c>
      <c r="I401" s="1" t="s">
        <v>603</v>
      </c>
      <c r="J401" s="1">
        <v>80.137784679999996</v>
      </c>
      <c r="K401" s="1">
        <v>0.435568603</v>
      </c>
      <c r="L401" s="1">
        <v>0.30510664199999998</v>
      </c>
    </row>
    <row r="402" spans="1:12" x14ac:dyDescent="0.25">
      <c r="A402" t="s">
        <v>16</v>
      </c>
      <c r="B402" s="1">
        <v>51.208321210000001</v>
      </c>
      <c r="C402" s="1">
        <v>1.8280933960000001</v>
      </c>
      <c r="D402" s="1"/>
      <c r="E402" s="1"/>
      <c r="F402" s="1"/>
      <c r="G402" s="1">
        <v>0</v>
      </c>
      <c r="H402" s="1">
        <v>214</v>
      </c>
      <c r="I402" s="1" t="s">
        <v>602</v>
      </c>
      <c r="J402" s="1">
        <v>3755.0218530000002</v>
      </c>
      <c r="K402" s="1">
        <v>23.136184020000002</v>
      </c>
      <c r="L402" s="1">
        <v>10.148004240000001</v>
      </c>
    </row>
    <row r="403" spans="1:12" x14ac:dyDescent="0.25">
      <c r="A403" t="s">
        <v>30</v>
      </c>
      <c r="B403" s="1">
        <v>113.9709167</v>
      </c>
      <c r="C403" s="1">
        <v>1.0374659580000001</v>
      </c>
      <c r="D403" s="1"/>
      <c r="E403" s="1"/>
      <c r="F403" s="1"/>
      <c r="G403" s="1">
        <v>0</v>
      </c>
      <c r="H403" s="1">
        <v>212</v>
      </c>
      <c r="I403" s="1" t="s">
        <v>602</v>
      </c>
      <c r="J403" s="1">
        <v>4033.4185910000001</v>
      </c>
      <c r="K403" s="1">
        <v>22.946089229999998</v>
      </c>
      <c r="L403" s="1">
        <v>11.978905230000001</v>
      </c>
    </row>
    <row r="404" spans="1:12" x14ac:dyDescent="0.25">
      <c r="A404" t="s">
        <v>166</v>
      </c>
      <c r="B404" s="1"/>
      <c r="C404" s="1"/>
      <c r="D404" s="1">
        <v>697.50103960000001</v>
      </c>
      <c r="E404" s="1">
        <v>4.3822117289999998</v>
      </c>
      <c r="F404" s="1">
        <v>57.722625260000001</v>
      </c>
      <c r="G404" s="1">
        <v>0</v>
      </c>
      <c r="H404" s="1">
        <v>211</v>
      </c>
      <c r="I404" s="1" t="s">
        <v>601</v>
      </c>
      <c r="J404" s="1"/>
      <c r="K404" s="1"/>
      <c r="L404" s="1"/>
    </row>
    <row r="405" spans="1:12" x14ac:dyDescent="0.25">
      <c r="A405" t="s">
        <v>169</v>
      </c>
      <c r="B405" s="1">
        <v>77.261938279999995</v>
      </c>
      <c r="C405" s="1">
        <v>0.45989515600000003</v>
      </c>
      <c r="D405" s="1">
        <v>571.61131169999999</v>
      </c>
      <c r="E405" s="1">
        <v>2.3171386680000001</v>
      </c>
      <c r="F405" s="1">
        <v>44.281361859999997</v>
      </c>
      <c r="G405" s="1">
        <v>0</v>
      </c>
      <c r="H405" s="1">
        <v>210</v>
      </c>
      <c r="I405" s="1" t="s">
        <v>601</v>
      </c>
      <c r="J405" s="1"/>
      <c r="K405" s="1"/>
      <c r="L405" s="1"/>
    </row>
    <row r="406" spans="1:12" x14ac:dyDescent="0.25">
      <c r="A406" t="s">
        <v>172</v>
      </c>
      <c r="B406" s="1"/>
      <c r="C406" s="1"/>
      <c r="D406" s="1">
        <v>625.88067269999999</v>
      </c>
      <c r="E406" s="1">
        <v>2.760383644</v>
      </c>
      <c r="F406" s="1">
        <v>48.538296840000001</v>
      </c>
      <c r="G406" s="1">
        <v>0</v>
      </c>
      <c r="H406" s="1">
        <v>291</v>
      </c>
      <c r="I406" s="1" t="s">
        <v>601</v>
      </c>
      <c r="J406" s="1"/>
      <c r="K406" s="1"/>
      <c r="L406" s="1"/>
    </row>
    <row r="407" spans="1:12" x14ac:dyDescent="0.25">
      <c r="A407" t="s">
        <v>173</v>
      </c>
      <c r="B407" s="1"/>
      <c r="C407" s="1"/>
      <c r="D407" s="1">
        <v>603.05713300000002</v>
      </c>
      <c r="E407" s="1">
        <v>2.6132302219999999</v>
      </c>
      <c r="F407" s="1">
        <v>45.690392989999999</v>
      </c>
      <c r="G407" s="1">
        <v>0</v>
      </c>
      <c r="H407" s="1">
        <v>294</v>
      </c>
      <c r="I407" s="1" t="s">
        <v>601</v>
      </c>
      <c r="J407" s="1"/>
      <c r="K407" s="1"/>
      <c r="L407" s="1"/>
    </row>
    <row r="408" spans="1:12" x14ac:dyDescent="0.25">
      <c r="A408" t="s">
        <v>170</v>
      </c>
      <c r="B408" s="1"/>
      <c r="C408" s="1"/>
      <c r="D408" s="1">
        <v>376.31605839999997</v>
      </c>
      <c r="E408" s="1">
        <v>2.5910744889999999</v>
      </c>
      <c r="F408" s="1">
        <v>38.511258650000002</v>
      </c>
      <c r="G408" s="1">
        <v>0</v>
      </c>
      <c r="H408" s="1">
        <v>297</v>
      </c>
      <c r="I408" s="1" t="s">
        <v>603</v>
      </c>
      <c r="J408" s="1"/>
      <c r="K408" s="1"/>
      <c r="L408" s="1"/>
    </row>
    <row r="409" spans="1:12" x14ac:dyDescent="0.25">
      <c r="A409" t="s">
        <v>177</v>
      </c>
      <c r="B409" s="1"/>
      <c r="C409" s="1"/>
      <c r="D409" s="1">
        <v>393.41961800000001</v>
      </c>
      <c r="E409" s="1">
        <v>3.1502149500000001</v>
      </c>
      <c r="F409" s="1">
        <v>41.423851149999997</v>
      </c>
      <c r="G409" s="1">
        <v>0</v>
      </c>
      <c r="H409" s="1">
        <v>313</v>
      </c>
      <c r="I409" s="1" t="s">
        <v>603</v>
      </c>
      <c r="J409" s="1"/>
      <c r="K409" s="1"/>
      <c r="L409" s="1"/>
    </row>
    <row r="410" spans="1:12" x14ac:dyDescent="0.25">
      <c r="A410" t="s">
        <v>183</v>
      </c>
      <c r="B410" s="1">
        <v>234.6844839</v>
      </c>
      <c r="C410" s="1">
        <v>1.823311125</v>
      </c>
      <c r="D410" s="1">
        <v>122.98683440000001</v>
      </c>
      <c r="E410" s="1">
        <v>0.547916666</v>
      </c>
      <c r="F410" s="1">
        <v>16.372804940000002</v>
      </c>
      <c r="G410" s="1">
        <v>0</v>
      </c>
      <c r="H410" s="1">
        <v>325</v>
      </c>
      <c r="I410" s="1" t="s">
        <v>600</v>
      </c>
      <c r="J410" s="1"/>
      <c r="K410" s="1"/>
      <c r="L410" s="1"/>
    </row>
    <row r="411" spans="1:12" x14ac:dyDescent="0.25">
      <c r="A411" t="s">
        <v>498</v>
      </c>
      <c r="B411" s="1"/>
      <c r="C411" s="1"/>
      <c r="D411" s="1">
        <v>462.78669389999999</v>
      </c>
      <c r="E411" s="1">
        <v>3.4779033269999999</v>
      </c>
      <c r="F411" s="1">
        <v>31.78767264</v>
      </c>
      <c r="G411" s="1">
        <v>0</v>
      </c>
      <c r="H411" s="1">
        <v>323</v>
      </c>
      <c r="I411" s="1" t="s">
        <v>601</v>
      </c>
      <c r="J411" s="1"/>
      <c r="K411" s="1"/>
      <c r="L411" s="1"/>
    </row>
    <row r="412" spans="1:12" x14ac:dyDescent="0.25">
      <c r="A412" t="s">
        <v>181</v>
      </c>
      <c r="B412" s="1">
        <v>348.47955569999999</v>
      </c>
      <c r="C412" s="1">
        <v>1.88615917</v>
      </c>
      <c r="D412" s="1">
        <v>117.42312509999999</v>
      </c>
      <c r="E412" s="1">
        <v>0.65318358600000004</v>
      </c>
      <c r="F412" s="1">
        <v>16.259947149999999</v>
      </c>
      <c r="G412" s="1">
        <v>0</v>
      </c>
      <c r="H412" s="1">
        <v>322</v>
      </c>
      <c r="I412" s="1" t="s">
        <v>600</v>
      </c>
      <c r="J412" s="1"/>
      <c r="K412" s="1"/>
      <c r="L412" s="1"/>
    </row>
    <row r="413" spans="1:12" x14ac:dyDescent="0.25">
      <c r="A413" t="s">
        <v>517</v>
      </c>
      <c r="B413" s="1">
        <v>275.24494659999999</v>
      </c>
      <c r="C413" s="1">
        <v>1.617914166</v>
      </c>
      <c r="D413" s="1">
        <v>121.2449982</v>
      </c>
      <c r="E413" s="1">
        <v>0.63082531900000005</v>
      </c>
      <c r="F413" s="1">
        <v>17.646343689999998</v>
      </c>
      <c r="G413" s="1">
        <v>0</v>
      </c>
      <c r="H413" s="1">
        <v>321</v>
      </c>
      <c r="I413" s="1" t="s">
        <v>600</v>
      </c>
      <c r="J413" s="1"/>
      <c r="K413" s="1"/>
      <c r="L413" s="1"/>
    </row>
    <row r="414" spans="1:12" x14ac:dyDescent="0.25">
      <c r="A414" t="s">
        <v>180</v>
      </c>
      <c r="B414" s="1">
        <v>265.71736060000001</v>
      </c>
      <c r="C414" s="1">
        <v>1.962862562</v>
      </c>
      <c r="D414" s="1">
        <v>138.74121919999999</v>
      </c>
      <c r="E414" s="1">
        <v>0.48098635899999997</v>
      </c>
      <c r="F414" s="1">
        <v>19.93543519</v>
      </c>
      <c r="G414" s="1">
        <v>0</v>
      </c>
      <c r="H414" s="1">
        <v>320</v>
      </c>
      <c r="I414" s="1" t="s">
        <v>600</v>
      </c>
      <c r="J414" s="1"/>
      <c r="K414" s="1"/>
      <c r="L414" s="1"/>
    </row>
    <row r="415" spans="1:12" x14ac:dyDescent="0.25">
      <c r="A415" t="s">
        <v>179</v>
      </c>
      <c r="B415" s="1">
        <v>268.59340539999999</v>
      </c>
      <c r="C415" s="1">
        <v>2.0240511350000001</v>
      </c>
      <c r="D415" s="1"/>
      <c r="E415" s="1"/>
      <c r="F415" s="1"/>
      <c r="G415" s="1">
        <v>0</v>
      </c>
      <c r="H415" s="1">
        <v>318</v>
      </c>
      <c r="I415" s="1" t="s">
        <v>602</v>
      </c>
      <c r="J415" s="1">
        <v>2904.2077949999998</v>
      </c>
      <c r="K415" s="1">
        <v>14.86691817</v>
      </c>
      <c r="L415" s="1">
        <v>9.2655113969999991</v>
      </c>
    </row>
    <row r="416" spans="1:12" x14ac:dyDescent="0.25">
      <c r="A416" t="s">
        <v>23</v>
      </c>
      <c r="B416" s="1">
        <v>162.6591191</v>
      </c>
      <c r="C416" s="1">
        <v>2.038321158</v>
      </c>
      <c r="D416" s="1"/>
      <c r="E416" s="1"/>
      <c r="F416" s="1"/>
      <c r="G416" s="1">
        <v>0</v>
      </c>
      <c r="H416" s="1">
        <v>316</v>
      </c>
      <c r="I416" s="1" t="s">
        <v>602</v>
      </c>
      <c r="J416" s="1">
        <v>3809.8686029999999</v>
      </c>
      <c r="K416" s="1">
        <v>20.440559459999999</v>
      </c>
      <c r="L416" s="1">
        <v>12.54226723</v>
      </c>
    </row>
    <row r="417" spans="1:12" x14ac:dyDescent="0.25">
      <c r="A417" t="s">
        <v>178</v>
      </c>
      <c r="B417" s="1">
        <v>225.98037890000001</v>
      </c>
      <c r="C417" s="1">
        <v>1.4278699720000001</v>
      </c>
      <c r="D417" s="1"/>
      <c r="E417" s="1"/>
      <c r="F417" s="1"/>
      <c r="G417" s="1">
        <v>0</v>
      </c>
      <c r="H417" s="1">
        <v>314</v>
      </c>
      <c r="I417" s="1" t="s">
        <v>602</v>
      </c>
      <c r="J417" s="1">
        <v>3526.9583339999999</v>
      </c>
      <c r="K417" s="1">
        <v>19.945276329999999</v>
      </c>
      <c r="L417" s="1">
        <v>10.171811180000001</v>
      </c>
    </row>
    <row r="418" spans="1:12" x14ac:dyDescent="0.25">
      <c r="A418" t="s">
        <v>176</v>
      </c>
      <c r="B418" s="1"/>
      <c r="C418" s="1"/>
      <c r="D418" s="1">
        <v>455.92000359999997</v>
      </c>
      <c r="E418" s="1">
        <v>3.459503453</v>
      </c>
      <c r="F418" s="1">
        <v>43.217975060000001</v>
      </c>
      <c r="G418" s="1">
        <v>0</v>
      </c>
      <c r="H418" s="1">
        <v>312</v>
      </c>
      <c r="I418" s="1" t="s">
        <v>603</v>
      </c>
      <c r="J418" s="1"/>
      <c r="K418" s="1"/>
      <c r="L418" s="1"/>
    </row>
    <row r="419" spans="1:12" x14ac:dyDescent="0.25">
      <c r="A419" t="s">
        <v>171</v>
      </c>
      <c r="B419" s="1"/>
      <c r="C419" s="1"/>
      <c r="D419" s="1">
        <v>341.36368299999998</v>
      </c>
      <c r="E419" s="1">
        <v>2.0586675099999998</v>
      </c>
      <c r="F419" s="1">
        <v>34.645020500000001</v>
      </c>
      <c r="G419" s="1">
        <v>0</v>
      </c>
      <c r="H419" s="1">
        <v>298</v>
      </c>
      <c r="I419" s="1" t="s">
        <v>603</v>
      </c>
      <c r="J419" s="1"/>
      <c r="K419" s="1"/>
      <c r="L419" s="1"/>
    </row>
    <row r="420" spans="1:12" x14ac:dyDescent="0.25">
      <c r="A420" t="s">
        <v>153</v>
      </c>
      <c r="B420" s="1"/>
      <c r="C420" s="1"/>
      <c r="D420" s="1">
        <v>455.81677869999999</v>
      </c>
      <c r="E420" s="1">
        <v>1.928305969</v>
      </c>
      <c r="F420" s="1">
        <v>46.011760219999999</v>
      </c>
      <c r="G420" s="1">
        <v>0</v>
      </c>
      <c r="H420" s="1">
        <v>311</v>
      </c>
      <c r="I420" s="1" t="s">
        <v>603</v>
      </c>
      <c r="J420" s="1"/>
      <c r="K420" s="1"/>
      <c r="L420" s="1"/>
    </row>
    <row r="421" spans="1:12" x14ac:dyDescent="0.25">
      <c r="A421" t="s">
        <v>175</v>
      </c>
      <c r="B421" s="1">
        <v>344.25528809999997</v>
      </c>
      <c r="C421" s="1">
        <v>2.6177118799999999</v>
      </c>
      <c r="D421" s="1">
        <v>91.041117740000004</v>
      </c>
      <c r="E421" s="1">
        <v>0.50551027500000001</v>
      </c>
      <c r="F421" s="1">
        <v>12.946208759999999</v>
      </c>
      <c r="G421" s="1">
        <v>0</v>
      </c>
      <c r="H421" s="1">
        <v>309</v>
      </c>
      <c r="I421" s="1" t="s">
        <v>600</v>
      </c>
      <c r="J421" s="1"/>
      <c r="K421" s="1"/>
      <c r="L421" s="1"/>
    </row>
    <row r="422" spans="1:12" x14ac:dyDescent="0.25">
      <c r="A422" t="s">
        <v>174</v>
      </c>
      <c r="B422" s="1">
        <v>336.59530139999998</v>
      </c>
      <c r="C422" s="1">
        <v>1.820271365</v>
      </c>
      <c r="D422" s="1">
        <v>111.2722297</v>
      </c>
      <c r="E422" s="1">
        <v>0.28822747700000001</v>
      </c>
      <c r="F422" s="1">
        <v>19.170619599999998</v>
      </c>
      <c r="G422" s="1">
        <v>0</v>
      </c>
      <c r="H422" s="1">
        <v>308</v>
      </c>
      <c r="I422" s="1" t="s">
        <v>600</v>
      </c>
      <c r="J422" s="1"/>
      <c r="K422" s="1"/>
      <c r="L422" s="1"/>
    </row>
    <row r="423" spans="1:12" x14ac:dyDescent="0.25">
      <c r="A423" t="s">
        <v>147</v>
      </c>
      <c r="B423" s="1">
        <v>182.79783850000001</v>
      </c>
      <c r="C423" s="1">
        <v>1.3969076300000001</v>
      </c>
      <c r="D423" s="1">
        <v>78.185666749999996</v>
      </c>
      <c r="E423" s="1">
        <v>0.51229620200000003</v>
      </c>
      <c r="F423" s="1">
        <v>10.28802379</v>
      </c>
      <c r="G423" s="1">
        <v>0</v>
      </c>
      <c r="H423" s="1">
        <v>307</v>
      </c>
      <c r="I423" s="1" t="s">
        <v>600</v>
      </c>
      <c r="J423" s="1"/>
      <c r="K423" s="1"/>
      <c r="L423" s="1"/>
    </row>
    <row r="424" spans="1:12" x14ac:dyDescent="0.25">
      <c r="A424" t="s">
        <v>186</v>
      </c>
      <c r="B424" s="1"/>
      <c r="C424" s="1"/>
      <c r="D424" s="1">
        <v>488.7587474</v>
      </c>
      <c r="E424" s="1">
        <v>3.0144183959999999</v>
      </c>
      <c r="F424" s="1">
        <v>39.882521609999998</v>
      </c>
      <c r="G424" s="1">
        <v>0</v>
      </c>
      <c r="H424" s="1">
        <v>306</v>
      </c>
      <c r="I424" s="1" t="s">
        <v>601</v>
      </c>
      <c r="J424" s="1"/>
      <c r="K424" s="1"/>
      <c r="L424" s="1"/>
    </row>
    <row r="425" spans="1:12" x14ac:dyDescent="0.25">
      <c r="A425" t="s">
        <v>185</v>
      </c>
      <c r="B425" s="1"/>
      <c r="C425" s="1"/>
      <c r="D425" s="1">
        <v>516.8026539</v>
      </c>
      <c r="E425" s="1">
        <v>3.0787592020000001</v>
      </c>
      <c r="F425" s="1">
        <v>41.581154120000001</v>
      </c>
      <c r="G425" s="1">
        <v>0</v>
      </c>
      <c r="H425" s="1">
        <v>304</v>
      </c>
      <c r="I425" s="1" t="s">
        <v>601</v>
      </c>
      <c r="J425" s="1"/>
      <c r="K425" s="1"/>
      <c r="L425" s="1"/>
    </row>
    <row r="426" spans="1:12" x14ac:dyDescent="0.25">
      <c r="A426" t="s">
        <v>182</v>
      </c>
      <c r="B426" s="1"/>
      <c r="C426" s="1"/>
      <c r="D426" s="1">
        <v>609.41969140000003</v>
      </c>
      <c r="E426" s="1">
        <v>2.1585901779999999</v>
      </c>
      <c r="F426" s="1">
        <v>44.225772130000003</v>
      </c>
      <c r="G426" s="1">
        <v>0</v>
      </c>
      <c r="H426" s="1">
        <v>302</v>
      </c>
      <c r="I426" s="1" t="s">
        <v>601</v>
      </c>
      <c r="J426" s="1"/>
      <c r="K426" s="1"/>
      <c r="L426" s="1"/>
    </row>
    <row r="427" spans="1:12" x14ac:dyDescent="0.25">
      <c r="A427" t="s">
        <v>144</v>
      </c>
      <c r="B427" s="1"/>
      <c r="C427" s="1"/>
      <c r="D427" s="1">
        <v>574.35923130000003</v>
      </c>
      <c r="E427" s="1">
        <v>3.4712589629999999</v>
      </c>
      <c r="F427" s="1">
        <v>43.24494911</v>
      </c>
      <c r="G427" s="1">
        <v>0</v>
      </c>
      <c r="H427" s="1">
        <v>301</v>
      </c>
      <c r="I427" s="1" t="s">
        <v>601</v>
      </c>
      <c r="J427" s="1"/>
      <c r="K427" s="1"/>
      <c r="L427" s="1"/>
    </row>
    <row r="428" spans="1:12" x14ac:dyDescent="0.25">
      <c r="A428" t="s">
        <v>222</v>
      </c>
      <c r="B428" s="1">
        <v>159.53070299999999</v>
      </c>
      <c r="C428" s="1">
        <v>0.92176026300000002</v>
      </c>
      <c r="D428" s="1">
        <v>58.657255569999997</v>
      </c>
      <c r="E428" s="1">
        <v>0.277229687</v>
      </c>
      <c r="F428" s="1">
        <v>8.2194707220000005</v>
      </c>
      <c r="G428" s="1">
        <v>0</v>
      </c>
      <c r="H428" s="1">
        <v>400</v>
      </c>
      <c r="I428" s="1" t="s">
        <v>600</v>
      </c>
      <c r="J428" s="1"/>
      <c r="K428" s="1"/>
      <c r="L428" s="1"/>
    </row>
    <row r="429" spans="1:12" x14ac:dyDescent="0.25">
      <c r="A429" t="s">
        <v>223</v>
      </c>
      <c r="B429" s="1">
        <v>124.90406280000001</v>
      </c>
      <c r="C429" s="1">
        <v>0.95133992199999995</v>
      </c>
      <c r="D429" s="1">
        <v>54.238953510000002</v>
      </c>
      <c r="E429" s="1">
        <v>0.34302541600000003</v>
      </c>
      <c r="F429" s="1">
        <v>7.2890444790000002</v>
      </c>
      <c r="G429" s="1">
        <v>0</v>
      </c>
      <c r="H429" s="1">
        <v>401</v>
      </c>
      <c r="I429" s="1" t="s">
        <v>600</v>
      </c>
      <c r="J429" s="1"/>
      <c r="K429" s="1"/>
      <c r="L429" s="1"/>
    </row>
    <row r="430" spans="1:12" x14ac:dyDescent="0.25">
      <c r="A430" t="s">
        <v>224</v>
      </c>
      <c r="B430" s="1">
        <v>126.50556659999999</v>
      </c>
      <c r="C430" s="1">
        <v>0.73123605599999997</v>
      </c>
      <c r="D430" s="1">
        <v>74.072357350000004</v>
      </c>
      <c r="E430" s="1">
        <v>0.312443042</v>
      </c>
      <c r="F430" s="1">
        <v>10.04698084</v>
      </c>
      <c r="G430" s="1">
        <v>0</v>
      </c>
      <c r="H430" s="1">
        <v>404</v>
      </c>
      <c r="I430" s="1" t="s">
        <v>600</v>
      </c>
      <c r="J430" s="1"/>
      <c r="K430" s="1"/>
      <c r="L430" s="1"/>
    </row>
    <row r="431" spans="1:12" x14ac:dyDescent="0.25">
      <c r="A431" t="s">
        <v>225</v>
      </c>
      <c r="B431" s="1">
        <v>115.42770729999999</v>
      </c>
      <c r="C431" s="1">
        <v>0.82267712000000004</v>
      </c>
      <c r="D431" s="1">
        <v>60.857997099999999</v>
      </c>
      <c r="E431" s="1">
        <v>0.29218979299999998</v>
      </c>
      <c r="F431" s="1">
        <v>8.6573256389999997</v>
      </c>
      <c r="G431" s="1">
        <v>0</v>
      </c>
      <c r="H431" s="1">
        <v>405</v>
      </c>
      <c r="I431" s="1" t="s">
        <v>600</v>
      </c>
      <c r="J431" s="1"/>
      <c r="K431" s="1"/>
      <c r="L431" s="1"/>
    </row>
    <row r="432" spans="1:12" x14ac:dyDescent="0.25">
      <c r="A432" t="s">
        <v>297</v>
      </c>
      <c r="B432" s="1"/>
      <c r="C432" s="1"/>
      <c r="D432" s="1">
        <v>217.32714530000001</v>
      </c>
      <c r="E432" s="1">
        <v>1.6214931779999999</v>
      </c>
      <c r="F432" s="1">
        <v>16.336228200000001</v>
      </c>
      <c r="G432" s="1">
        <v>0</v>
      </c>
      <c r="H432" s="1">
        <v>989</v>
      </c>
      <c r="I432" s="1" t="s">
        <v>601</v>
      </c>
      <c r="J432" s="1"/>
      <c r="K432" s="1"/>
      <c r="L432" s="1"/>
    </row>
    <row r="433" spans="1:12" x14ac:dyDescent="0.25">
      <c r="A433" t="s">
        <v>509</v>
      </c>
      <c r="B433" s="1"/>
      <c r="C433" s="1"/>
      <c r="D433" s="1">
        <v>220.71968509999999</v>
      </c>
      <c r="E433" s="1">
        <v>1.417574777</v>
      </c>
      <c r="F433" s="1">
        <v>18.08158693</v>
      </c>
      <c r="G433" s="1">
        <v>0</v>
      </c>
      <c r="H433" s="1">
        <v>988</v>
      </c>
      <c r="I433" s="1" t="s">
        <v>601</v>
      </c>
      <c r="J433" s="1"/>
      <c r="K433" s="1"/>
      <c r="L433" s="1"/>
    </row>
    <row r="434" spans="1:12" x14ac:dyDescent="0.25">
      <c r="A434" t="s">
        <v>280</v>
      </c>
      <c r="B434" s="1"/>
      <c r="C434" s="1"/>
      <c r="D434" s="1">
        <v>236.18852620000001</v>
      </c>
      <c r="E434" s="1">
        <v>1.5820261410000001</v>
      </c>
      <c r="F434" s="1">
        <v>17.51427451</v>
      </c>
      <c r="G434" s="1">
        <v>0</v>
      </c>
      <c r="H434" s="1">
        <v>987</v>
      </c>
      <c r="I434" s="1" t="s">
        <v>601</v>
      </c>
      <c r="J434" s="1"/>
      <c r="K434" s="1"/>
      <c r="L434" s="1"/>
    </row>
    <row r="435" spans="1:12" x14ac:dyDescent="0.25">
      <c r="A435" t="s">
        <v>279</v>
      </c>
      <c r="B435" s="1"/>
      <c r="C435" s="1"/>
      <c r="D435" s="1">
        <v>266.3401207</v>
      </c>
      <c r="E435" s="1">
        <v>1.5486676690000001</v>
      </c>
      <c r="F435" s="1">
        <v>20.908389769999999</v>
      </c>
      <c r="G435" s="1">
        <v>0</v>
      </c>
      <c r="H435" s="1">
        <v>986</v>
      </c>
      <c r="I435" s="1" t="s">
        <v>601</v>
      </c>
      <c r="J435" s="1"/>
      <c r="K435" s="1"/>
      <c r="L435" s="1"/>
    </row>
    <row r="436" spans="1:12" x14ac:dyDescent="0.25">
      <c r="A436" t="s">
        <v>278</v>
      </c>
      <c r="B436" s="1">
        <v>12.255135170000001</v>
      </c>
      <c r="C436" s="1">
        <v>0.123200631</v>
      </c>
      <c r="D436" s="1">
        <v>264.94761670000003</v>
      </c>
      <c r="E436" s="1">
        <v>1.340032817</v>
      </c>
      <c r="F436" s="1">
        <v>19.66267363</v>
      </c>
      <c r="G436" s="1">
        <v>0</v>
      </c>
      <c r="H436" s="1">
        <v>985</v>
      </c>
      <c r="I436" s="1" t="s">
        <v>601</v>
      </c>
      <c r="J436" s="1"/>
      <c r="K436" s="1"/>
      <c r="L436" s="1"/>
    </row>
    <row r="437" spans="1:12" x14ac:dyDescent="0.25">
      <c r="A437" t="s">
        <v>277</v>
      </c>
      <c r="B437" s="1">
        <v>22.0344902</v>
      </c>
      <c r="C437" s="1">
        <v>0.15138088799999999</v>
      </c>
      <c r="D437" s="1">
        <v>284.7160743</v>
      </c>
      <c r="E437" s="1">
        <v>1.097767076</v>
      </c>
      <c r="F437" s="1">
        <v>20.579599590000001</v>
      </c>
      <c r="G437" s="1">
        <v>0</v>
      </c>
      <c r="H437" s="1">
        <v>984</v>
      </c>
      <c r="I437" s="1" t="s">
        <v>601</v>
      </c>
      <c r="J437" s="1"/>
      <c r="K437" s="1"/>
      <c r="L437" s="1"/>
    </row>
    <row r="438" spans="1:12" x14ac:dyDescent="0.25">
      <c r="A438" t="s">
        <v>276</v>
      </c>
      <c r="B438" s="1"/>
      <c r="C438" s="1"/>
      <c r="D438" s="1">
        <v>279.11799860000002</v>
      </c>
      <c r="E438" s="1">
        <v>1.492296176</v>
      </c>
      <c r="F438" s="1">
        <v>21.850960300000001</v>
      </c>
      <c r="G438" s="1">
        <v>0</v>
      </c>
      <c r="H438" s="1">
        <v>983</v>
      </c>
      <c r="I438" s="1" t="s">
        <v>601</v>
      </c>
      <c r="J438" s="1"/>
      <c r="K438" s="1"/>
      <c r="L438" s="1"/>
    </row>
    <row r="439" spans="1:12" x14ac:dyDescent="0.25">
      <c r="A439" t="s">
        <v>232</v>
      </c>
      <c r="B439" s="1"/>
      <c r="C439" s="1"/>
      <c r="D439" s="1">
        <v>279.48830359999999</v>
      </c>
      <c r="E439" s="1">
        <v>1.793816324</v>
      </c>
      <c r="F439" s="1">
        <v>21.301574649999999</v>
      </c>
      <c r="G439" s="1">
        <v>0</v>
      </c>
      <c r="H439" s="1">
        <v>982</v>
      </c>
      <c r="I439" s="1" t="s">
        <v>601</v>
      </c>
      <c r="J439" s="1"/>
      <c r="K439" s="1"/>
      <c r="L439" s="1"/>
    </row>
    <row r="440" spans="1:12" x14ac:dyDescent="0.25">
      <c r="A440" t="s">
        <v>231</v>
      </c>
      <c r="B440" s="1">
        <v>59.61171513</v>
      </c>
      <c r="C440" s="1">
        <v>0.40964695699999998</v>
      </c>
      <c r="D440" s="1">
        <v>229.69995990000001</v>
      </c>
      <c r="E440" s="1">
        <v>1.598825945</v>
      </c>
      <c r="F440" s="1">
        <v>18.406529689999999</v>
      </c>
      <c r="G440" s="1">
        <v>0</v>
      </c>
      <c r="H440" s="1">
        <v>981</v>
      </c>
      <c r="I440" s="1" t="s">
        <v>601</v>
      </c>
      <c r="J440" s="1"/>
      <c r="K440" s="1"/>
      <c r="L440" s="1"/>
    </row>
    <row r="441" spans="1:12" x14ac:dyDescent="0.25">
      <c r="A441" t="s">
        <v>561</v>
      </c>
      <c r="B441" s="1">
        <v>53.747119220000002</v>
      </c>
      <c r="C441" s="1">
        <v>0.37941524199999999</v>
      </c>
      <c r="D441" s="1">
        <v>277.5185371</v>
      </c>
      <c r="E441" s="1">
        <v>1.065208087</v>
      </c>
      <c r="F441" s="1">
        <v>21.00319103</v>
      </c>
      <c r="G441" s="1">
        <v>0</v>
      </c>
      <c r="H441" s="1">
        <v>980</v>
      </c>
      <c r="I441" s="1" t="s">
        <v>601</v>
      </c>
      <c r="J441" s="1"/>
      <c r="K441" s="1"/>
      <c r="L441" s="1"/>
    </row>
    <row r="442" spans="1:12" x14ac:dyDescent="0.25">
      <c r="A442" t="s">
        <v>275</v>
      </c>
      <c r="B442" s="1">
        <v>41.104169970000001</v>
      </c>
      <c r="C442" s="1">
        <v>0.939176707</v>
      </c>
      <c r="D442" s="1"/>
      <c r="E442" s="1"/>
      <c r="F442" s="1"/>
      <c r="G442" s="1">
        <v>0</v>
      </c>
      <c r="H442" s="1">
        <v>487</v>
      </c>
      <c r="I442" s="1" t="s">
        <v>602</v>
      </c>
      <c r="J442" s="1">
        <v>469.56015430000002</v>
      </c>
      <c r="K442" s="1">
        <v>3.0462216830000002</v>
      </c>
      <c r="L442" s="1">
        <v>1.8694218389999999</v>
      </c>
    </row>
    <row r="443" spans="1:12" x14ac:dyDescent="0.25">
      <c r="A443" t="s">
        <v>274</v>
      </c>
      <c r="B443" s="1">
        <v>70.242532240000003</v>
      </c>
      <c r="C443" s="1">
        <v>0.52465683299999999</v>
      </c>
      <c r="D443" s="1"/>
      <c r="E443" s="1"/>
      <c r="F443" s="1"/>
      <c r="G443" s="1">
        <v>0</v>
      </c>
      <c r="H443" s="1">
        <v>486</v>
      </c>
      <c r="I443" s="1" t="s">
        <v>602</v>
      </c>
      <c r="J443" s="1">
        <v>485.72144880000002</v>
      </c>
      <c r="K443" s="1">
        <v>1.858809843</v>
      </c>
      <c r="L443" s="1">
        <v>1.898234604</v>
      </c>
    </row>
    <row r="444" spans="1:12" x14ac:dyDescent="0.25">
      <c r="A444" t="s">
        <v>273</v>
      </c>
      <c r="B444" s="1">
        <v>24.58583758</v>
      </c>
      <c r="C444" s="1">
        <v>0.46255264899999998</v>
      </c>
      <c r="D444" s="1"/>
      <c r="E444" s="1"/>
      <c r="F444" s="1"/>
      <c r="G444" s="1">
        <v>0</v>
      </c>
      <c r="H444" s="1">
        <v>485</v>
      </c>
      <c r="I444" s="1" t="s">
        <v>602</v>
      </c>
      <c r="J444" s="1">
        <v>462.56381629999998</v>
      </c>
      <c r="K444" s="1">
        <v>2.9201329089999999</v>
      </c>
      <c r="L444" s="1">
        <v>1.4891730729999999</v>
      </c>
    </row>
    <row r="445" spans="1:12" x14ac:dyDescent="0.25">
      <c r="A445" t="s">
        <v>272</v>
      </c>
      <c r="B445" s="1">
        <v>7.2672042140000004</v>
      </c>
      <c r="C445" s="1">
        <v>0.15853898399999999</v>
      </c>
      <c r="D445" s="1"/>
      <c r="E445" s="1"/>
      <c r="F445" s="1"/>
      <c r="G445" s="1">
        <v>0</v>
      </c>
      <c r="H445" s="1">
        <v>484</v>
      </c>
      <c r="I445" s="1" t="s">
        <v>602</v>
      </c>
      <c r="J445" s="1">
        <v>541.5886653</v>
      </c>
      <c r="K445" s="1">
        <v>3.5150491810000002</v>
      </c>
      <c r="L445" s="1">
        <v>1.840542753</v>
      </c>
    </row>
    <row r="446" spans="1:12" x14ac:dyDescent="0.25">
      <c r="A446" t="s">
        <v>271</v>
      </c>
      <c r="B446" s="1">
        <v>27.109255439999998</v>
      </c>
      <c r="C446" s="1">
        <v>0.29575207399999998</v>
      </c>
      <c r="D446" s="1"/>
      <c r="E446" s="1"/>
      <c r="F446" s="1"/>
      <c r="G446" s="1">
        <v>0</v>
      </c>
      <c r="H446" s="1">
        <v>483</v>
      </c>
      <c r="I446" s="1" t="s">
        <v>602</v>
      </c>
      <c r="J446" s="1">
        <v>482.69005249999998</v>
      </c>
      <c r="K446" s="1">
        <v>4.2988217909999999</v>
      </c>
      <c r="L446" s="1">
        <v>1.7391947919999999</v>
      </c>
    </row>
    <row r="447" spans="1:12" x14ac:dyDescent="0.25">
      <c r="A447" t="s">
        <v>270</v>
      </c>
      <c r="B447" s="1">
        <v>22.92572187</v>
      </c>
      <c r="C447" s="1">
        <v>0.18644701799999999</v>
      </c>
      <c r="D447" s="1"/>
      <c r="E447" s="1"/>
      <c r="F447" s="1"/>
      <c r="G447" s="1">
        <v>0</v>
      </c>
      <c r="H447" s="1">
        <v>481</v>
      </c>
      <c r="I447" s="1" t="s">
        <v>602</v>
      </c>
      <c r="J447" s="1">
        <v>483.02644099999998</v>
      </c>
      <c r="K447" s="1">
        <v>2.6553891109999999</v>
      </c>
      <c r="L447" s="1">
        <v>1.787091201</v>
      </c>
    </row>
    <row r="448" spans="1:12" x14ac:dyDescent="0.25">
      <c r="A448" t="s">
        <v>269</v>
      </c>
      <c r="B448" s="1">
        <v>40.40583238</v>
      </c>
      <c r="C448" s="1">
        <v>0.54220998799999998</v>
      </c>
      <c r="D448" s="1"/>
      <c r="E448" s="1"/>
      <c r="F448" s="1"/>
      <c r="G448" s="1">
        <v>0</v>
      </c>
      <c r="H448" s="1">
        <v>480</v>
      </c>
      <c r="I448" s="1" t="s">
        <v>602</v>
      </c>
      <c r="J448" s="1">
        <v>780.81970369999999</v>
      </c>
      <c r="K448" s="1">
        <v>3.2511128560000002</v>
      </c>
      <c r="L448" s="1">
        <v>3.0450303120000002</v>
      </c>
    </row>
    <row r="449" spans="1:12" x14ac:dyDescent="0.25">
      <c r="A449" t="s">
        <v>268</v>
      </c>
      <c r="B449" s="1">
        <v>44.726738179999998</v>
      </c>
      <c r="C449" s="1">
        <v>0.31900755400000003</v>
      </c>
      <c r="D449" s="1"/>
      <c r="E449" s="1"/>
      <c r="F449" s="1"/>
      <c r="G449" s="1">
        <v>0</v>
      </c>
      <c r="H449" s="1">
        <v>479</v>
      </c>
      <c r="I449" s="1" t="s">
        <v>602</v>
      </c>
      <c r="J449" s="1">
        <v>707.32654309999998</v>
      </c>
      <c r="K449" s="1">
        <v>3.7600371080000001</v>
      </c>
      <c r="L449" s="1">
        <v>3.0731034250000002</v>
      </c>
    </row>
    <row r="450" spans="1:12" x14ac:dyDescent="0.25">
      <c r="A450" t="s">
        <v>267</v>
      </c>
      <c r="B450" s="1">
        <v>35.965354140000002</v>
      </c>
      <c r="C450" s="1">
        <v>0.35314579800000001</v>
      </c>
      <c r="D450" s="1"/>
      <c r="E450" s="1"/>
      <c r="F450" s="1"/>
      <c r="G450" s="1">
        <v>0</v>
      </c>
      <c r="H450" s="1">
        <v>478</v>
      </c>
      <c r="I450" s="1" t="s">
        <v>602</v>
      </c>
      <c r="J450" s="1">
        <v>1088.6423400000001</v>
      </c>
      <c r="K450" s="1">
        <v>5.0132873099999999</v>
      </c>
      <c r="L450" s="1">
        <v>4.5052300110000001</v>
      </c>
    </row>
    <row r="451" spans="1:12" x14ac:dyDescent="0.25">
      <c r="A451" t="s">
        <v>282</v>
      </c>
      <c r="B451" s="1">
        <v>20.85638788</v>
      </c>
      <c r="C451" s="1">
        <v>0.114200565</v>
      </c>
      <c r="D451" s="1">
        <v>190.00555159999999</v>
      </c>
      <c r="E451" s="1">
        <v>1.0056292229999999</v>
      </c>
      <c r="F451" s="1">
        <v>18.598835170000001</v>
      </c>
      <c r="G451" s="1">
        <v>0</v>
      </c>
      <c r="H451" s="1">
        <v>990</v>
      </c>
      <c r="I451" s="1" t="s">
        <v>601</v>
      </c>
      <c r="J451" s="1"/>
      <c r="K451" s="1"/>
      <c r="L451" s="1"/>
    </row>
    <row r="452" spans="1:12" x14ac:dyDescent="0.25">
      <c r="A452" t="s">
        <v>283</v>
      </c>
      <c r="B452" s="1"/>
      <c r="C452" s="1"/>
      <c r="D452" s="1">
        <v>215.88152579999999</v>
      </c>
      <c r="E452" s="1">
        <v>1.7096544730000001</v>
      </c>
      <c r="F452" s="1">
        <v>14.86640708</v>
      </c>
      <c r="G452" s="1">
        <v>0</v>
      </c>
      <c r="H452" s="1">
        <v>991</v>
      </c>
      <c r="I452" s="1" t="s">
        <v>601</v>
      </c>
      <c r="J452" s="1"/>
      <c r="K452" s="1"/>
      <c r="L452" s="1"/>
    </row>
    <row r="453" spans="1:12" x14ac:dyDescent="0.25">
      <c r="A453" t="s">
        <v>284</v>
      </c>
      <c r="B453" s="1">
        <v>51.297475630000001</v>
      </c>
      <c r="C453" s="1">
        <v>0.52824771400000003</v>
      </c>
      <c r="D453" s="1">
        <v>157.7044511</v>
      </c>
      <c r="E453" s="1">
        <v>1.044046069</v>
      </c>
      <c r="F453" s="1">
        <v>14.61969232</v>
      </c>
      <c r="G453" s="1">
        <v>0</v>
      </c>
      <c r="H453" s="1">
        <v>992</v>
      </c>
      <c r="I453" s="1" t="s">
        <v>601</v>
      </c>
      <c r="J453" s="1"/>
      <c r="K453" s="1"/>
      <c r="L453" s="1"/>
    </row>
    <row r="454" spans="1:12" x14ac:dyDescent="0.25">
      <c r="A454" t="s">
        <v>298</v>
      </c>
      <c r="B454" s="1"/>
      <c r="C454" s="1"/>
      <c r="D454" s="1">
        <v>142.3987506</v>
      </c>
      <c r="E454" s="1">
        <v>0.89129672500000001</v>
      </c>
      <c r="F454" s="1">
        <v>17.657725190000001</v>
      </c>
      <c r="G454" s="1">
        <v>0</v>
      </c>
      <c r="H454" s="1">
        <v>1003</v>
      </c>
      <c r="I454" s="1" t="s">
        <v>603</v>
      </c>
      <c r="J454" s="1"/>
      <c r="K454" s="1"/>
      <c r="L454" s="1"/>
    </row>
    <row r="455" spans="1:12" x14ac:dyDescent="0.25">
      <c r="A455" t="s">
        <v>306</v>
      </c>
      <c r="B455" s="1">
        <v>36.365935450000002</v>
      </c>
      <c r="C455" s="1">
        <v>0.51882760999999999</v>
      </c>
      <c r="D455" s="1"/>
      <c r="E455" s="1"/>
      <c r="F455" s="1"/>
      <c r="G455" s="1">
        <v>0</v>
      </c>
      <c r="H455" s="1">
        <v>1011</v>
      </c>
      <c r="I455" s="1" t="s">
        <v>602</v>
      </c>
      <c r="J455" s="1">
        <v>438.78696079999997</v>
      </c>
      <c r="K455" s="1">
        <v>3.4297671049999998</v>
      </c>
      <c r="L455" s="1">
        <v>1.581835197</v>
      </c>
    </row>
    <row r="456" spans="1:12" x14ac:dyDescent="0.25">
      <c r="A456" t="s">
        <v>304</v>
      </c>
      <c r="B456" s="1"/>
      <c r="C456" s="1"/>
      <c r="D456" s="1">
        <v>142.71309220000001</v>
      </c>
      <c r="E456" s="1">
        <v>0.96823058699999998</v>
      </c>
      <c r="F456" s="1">
        <v>14.087132560000001</v>
      </c>
      <c r="G456" s="1">
        <v>0</v>
      </c>
      <c r="H456" s="1">
        <v>1010</v>
      </c>
      <c r="I456" s="1" t="s">
        <v>603</v>
      </c>
      <c r="J456" s="1"/>
      <c r="K456" s="1"/>
      <c r="L456" s="1"/>
    </row>
    <row r="457" spans="1:12" x14ac:dyDescent="0.25">
      <c r="A457" t="s">
        <v>285</v>
      </c>
      <c r="B457" s="1"/>
      <c r="C457" s="1"/>
      <c r="D457" s="1">
        <v>143.60811659999999</v>
      </c>
      <c r="E457" s="1">
        <v>1.072331122</v>
      </c>
      <c r="F457" s="1">
        <v>13.419654789999999</v>
      </c>
      <c r="G457" s="1">
        <v>0</v>
      </c>
      <c r="H457" s="1">
        <v>1009</v>
      </c>
      <c r="I457" s="1" t="s">
        <v>603</v>
      </c>
      <c r="J457" s="1"/>
      <c r="K457" s="1"/>
      <c r="L457" s="1"/>
    </row>
    <row r="458" spans="1:12" x14ac:dyDescent="0.25">
      <c r="A458" t="s">
        <v>303</v>
      </c>
      <c r="B458" s="1">
        <v>16.126728549999999</v>
      </c>
      <c r="C458" s="1">
        <v>0.175870374</v>
      </c>
      <c r="D458" s="1"/>
      <c r="E458" s="1"/>
      <c r="F458" s="1"/>
      <c r="G458" s="1">
        <v>0</v>
      </c>
      <c r="H458" s="1">
        <v>1008</v>
      </c>
      <c r="I458" s="1" t="s">
        <v>602</v>
      </c>
      <c r="J458" s="1">
        <v>510.54202079999999</v>
      </c>
      <c r="K458" s="1">
        <v>3.895508473</v>
      </c>
      <c r="L458" s="1">
        <v>1.822519419</v>
      </c>
    </row>
    <row r="459" spans="1:12" x14ac:dyDescent="0.25">
      <c r="A459" t="s">
        <v>302</v>
      </c>
      <c r="B459" s="1"/>
      <c r="C459" s="1"/>
      <c r="D459" s="1">
        <v>156.30597929999999</v>
      </c>
      <c r="E459" s="1">
        <v>0.829746553</v>
      </c>
      <c r="F459" s="1">
        <v>14.6076137</v>
      </c>
      <c r="G459" s="1">
        <v>0</v>
      </c>
      <c r="H459" s="1">
        <v>1007</v>
      </c>
      <c r="I459" s="1" t="s">
        <v>603</v>
      </c>
      <c r="J459" s="1"/>
      <c r="K459" s="1"/>
      <c r="L459" s="1"/>
    </row>
    <row r="460" spans="1:12" x14ac:dyDescent="0.25">
      <c r="A460" t="s">
        <v>301</v>
      </c>
      <c r="B460" s="1"/>
      <c r="C460" s="1"/>
      <c r="D460" s="1">
        <v>151.56489690000001</v>
      </c>
      <c r="E460" s="1">
        <v>0.78721438700000002</v>
      </c>
      <c r="F460" s="1">
        <v>15.55756671</v>
      </c>
      <c r="G460" s="1">
        <v>0</v>
      </c>
      <c r="H460" s="1">
        <v>1006</v>
      </c>
      <c r="I460" s="1" t="s">
        <v>603</v>
      </c>
      <c r="J460" s="1"/>
      <c r="K460" s="1"/>
      <c r="L460" s="1"/>
    </row>
    <row r="461" spans="1:12" x14ac:dyDescent="0.25">
      <c r="A461" t="s">
        <v>300</v>
      </c>
      <c r="B461" s="1"/>
      <c r="C461" s="1"/>
      <c r="D461" s="1">
        <v>156.2826015</v>
      </c>
      <c r="E461" s="1">
        <v>1.152852937</v>
      </c>
      <c r="F461" s="1">
        <v>13.006678470000001</v>
      </c>
      <c r="G461" s="1">
        <v>0</v>
      </c>
      <c r="H461" s="1">
        <v>1005</v>
      </c>
      <c r="I461" s="1" t="s">
        <v>601</v>
      </c>
      <c r="J461" s="1"/>
      <c r="K461" s="1"/>
      <c r="L461" s="1"/>
    </row>
    <row r="462" spans="1:12" x14ac:dyDescent="0.25">
      <c r="A462" t="s">
        <v>299</v>
      </c>
      <c r="B462" s="1"/>
      <c r="C462" s="1"/>
      <c r="D462" s="1">
        <v>149.01796429999999</v>
      </c>
      <c r="E462" s="1">
        <v>1.039654632</v>
      </c>
      <c r="F462" s="1">
        <v>15.279498889999999</v>
      </c>
      <c r="G462" s="1">
        <v>0</v>
      </c>
      <c r="H462" s="1">
        <v>1004</v>
      </c>
      <c r="I462" s="1" t="s">
        <v>603</v>
      </c>
      <c r="J462" s="1"/>
      <c r="K462" s="1"/>
      <c r="L462" s="1"/>
    </row>
    <row r="463" spans="1:12" x14ac:dyDescent="0.25">
      <c r="A463" t="s">
        <v>295</v>
      </c>
      <c r="B463" s="1"/>
      <c r="C463" s="1"/>
      <c r="D463" s="1">
        <v>187.73827449999999</v>
      </c>
      <c r="E463" s="1">
        <v>0.98220003</v>
      </c>
      <c r="F463" s="1">
        <v>13.4424554</v>
      </c>
      <c r="G463" s="1">
        <v>0</v>
      </c>
      <c r="H463" s="1">
        <v>1002</v>
      </c>
      <c r="I463" s="1" t="s">
        <v>601</v>
      </c>
      <c r="J463" s="1"/>
      <c r="K463" s="1"/>
      <c r="L463" s="1"/>
    </row>
    <row r="464" spans="1:12" x14ac:dyDescent="0.25">
      <c r="A464" t="s">
        <v>286</v>
      </c>
      <c r="B464" s="1"/>
      <c r="C464" s="1"/>
      <c r="D464" s="1">
        <v>188.9245019</v>
      </c>
      <c r="E464" s="1">
        <v>1.3042529030000001</v>
      </c>
      <c r="F464" s="1">
        <v>15.60123881</v>
      </c>
      <c r="G464" s="1">
        <v>0</v>
      </c>
      <c r="H464" s="1">
        <v>993</v>
      </c>
      <c r="I464" s="1" t="s">
        <v>601</v>
      </c>
      <c r="J464" s="1"/>
      <c r="K464" s="1"/>
      <c r="L464" s="1"/>
    </row>
    <row r="465" spans="1:12" x14ac:dyDescent="0.25">
      <c r="A465" t="s">
        <v>294</v>
      </c>
      <c r="B465" s="1"/>
      <c r="C465" s="1"/>
      <c r="D465" s="1">
        <v>175.0390558</v>
      </c>
      <c r="E465" s="1">
        <v>1.10811927</v>
      </c>
      <c r="F465" s="1">
        <v>14.48077056</v>
      </c>
      <c r="G465" s="1">
        <v>0</v>
      </c>
      <c r="H465" s="1">
        <v>1001</v>
      </c>
      <c r="I465" s="1" t="s">
        <v>601</v>
      </c>
      <c r="J465" s="1"/>
      <c r="K465" s="1"/>
      <c r="L465" s="1"/>
    </row>
    <row r="466" spans="1:12" x14ac:dyDescent="0.25">
      <c r="A466" t="s">
        <v>293</v>
      </c>
      <c r="B466" s="1"/>
      <c r="C466" s="1"/>
      <c r="D466" s="1">
        <v>155.1724471</v>
      </c>
      <c r="E466" s="1">
        <v>1.2559278979999999</v>
      </c>
      <c r="F466" s="1">
        <v>16.002392520000001</v>
      </c>
      <c r="G466" s="1">
        <v>0</v>
      </c>
      <c r="H466" s="1">
        <v>1000</v>
      </c>
      <c r="I466" s="1" t="s">
        <v>603</v>
      </c>
      <c r="J466" s="1"/>
      <c r="K466" s="1"/>
      <c r="L466" s="1"/>
    </row>
    <row r="467" spans="1:12" x14ac:dyDescent="0.25">
      <c r="A467" t="s">
        <v>291</v>
      </c>
      <c r="B467" s="1"/>
      <c r="C467" s="1"/>
      <c r="D467" s="1">
        <v>165.50089220000001</v>
      </c>
      <c r="E467" s="1">
        <v>1.1322752089999999</v>
      </c>
      <c r="F467" s="1">
        <v>16.057234619999999</v>
      </c>
      <c r="G467" s="1">
        <v>0</v>
      </c>
      <c r="H467" s="1">
        <v>999</v>
      </c>
      <c r="I467" s="1" t="s">
        <v>603</v>
      </c>
      <c r="J467" s="1"/>
      <c r="K467" s="1"/>
      <c r="L467" s="1"/>
    </row>
    <row r="468" spans="1:12" x14ac:dyDescent="0.25">
      <c r="A468" t="s">
        <v>311</v>
      </c>
      <c r="B468" s="1"/>
      <c r="C468" s="1"/>
      <c r="D468" s="1">
        <v>175.63918670000001</v>
      </c>
      <c r="E468" s="1">
        <v>0.58774127899999995</v>
      </c>
      <c r="F468" s="1">
        <v>18.587116680000001</v>
      </c>
      <c r="G468" s="1">
        <v>0</v>
      </c>
      <c r="H468" s="1">
        <v>998</v>
      </c>
      <c r="I468" s="1" t="s">
        <v>601</v>
      </c>
      <c r="J468" s="1"/>
      <c r="K468" s="1"/>
      <c r="L468" s="1"/>
    </row>
    <row r="469" spans="1:12" x14ac:dyDescent="0.25">
      <c r="A469" t="s">
        <v>290</v>
      </c>
      <c r="B469" s="1"/>
      <c r="C469" s="1"/>
      <c r="D469" s="1">
        <v>176.8325456</v>
      </c>
      <c r="E469" s="1">
        <v>1.1972862390000001</v>
      </c>
      <c r="F469" s="1">
        <v>15.758107750000001</v>
      </c>
      <c r="G469" s="1">
        <v>0</v>
      </c>
      <c r="H469" s="1">
        <v>997</v>
      </c>
      <c r="I469" s="1" t="s">
        <v>601</v>
      </c>
      <c r="J469" s="1"/>
      <c r="K469" s="1"/>
      <c r="L469" s="1"/>
    </row>
    <row r="470" spans="1:12" x14ac:dyDescent="0.25">
      <c r="A470" t="s">
        <v>289</v>
      </c>
      <c r="B470" s="1"/>
      <c r="C470" s="1"/>
      <c r="D470" s="1">
        <v>181.7979498</v>
      </c>
      <c r="E470" s="1">
        <v>1.2739976749999999</v>
      </c>
      <c r="F470" s="1">
        <v>15.932322340000001</v>
      </c>
      <c r="G470" s="1">
        <v>0</v>
      </c>
      <c r="H470" s="1">
        <v>996</v>
      </c>
      <c r="I470" s="1" t="s">
        <v>603</v>
      </c>
      <c r="J470" s="1"/>
      <c r="K470" s="1"/>
      <c r="L470" s="1"/>
    </row>
    <row r="471" spans="1:12" x14ac:dyDescent="0.25">
      <c r="A471" t="s">
        <v>288</v>
      </c>
      <c r="B471" s="1"/>
      <c r="C471" s="1"/>
      <c r="D471" s="1">
        <v>200.16440209999999</v>
      </c>
      <c r="E471" s="1">
        <v>0.98090165100000004</v>
      </c>
      <c r="F471" s="1">
        <v>16.18074906</v>
      </c>
      <c r="G471" s="1">
        <v>0</v>
      </c>
      <c r="H471" s="1">
        <v>995</v>
      </c>
      <c r="I471" s="1" t="s">
        <v>601</v>
      </c>
      <c r="J471" s="1"/>
      <c r="K471" s="1"/>
      <c r="L471" s="1"/>
    </row>
    <row r="472" spans="1:12" x14ac:dyDescent="0.25">
      <c r="A472" t="s">
        <v>287</v>
      </c>
      <c r="B472" s="1">
        <v>13.217890779999999</v>
      </c>
      <c r="C472" s="1">
        <v>8.3013389000000007E-2</v>
      </c>
      <c r="D472" s="1">
        <v>198.7783704</v>
      </c>
      <c r="E472" s="1">
        <v>0.89722244900000003</v>
      </c>
      <c r="F472" s="1">
        <v>15.474186039999999</v>
      </c>
      <c r="G472" s="1">
        <v>0</v>
      </c>
      <c r="H472" s="1">
        <v>994</v>
      </c>
      <c r="I472" s="1" t="s">
        <v>601</v>
      </c>
      <c r="J472" s="1"/>
      <c r="K472" s="1"/>
      <c r="L472" s="1"/>
    </row>
    <row r="473" spans="1:12" x14ac:dyDescent="0.25">
      <c r="A473" t="s">
        <v>266</v>
      </c>
      <c r="B473" s="1">
        <v>24.800398980000001</v>
      </c>
      <c r="C473" s="1">
        <v>0.202327059</v>
      </c>
      <c r="D473" s="1"/>
      <c r="E473" s="1"/>
      <c r="F473" s="1"/>
      <c r="G473" s="1">
        <v>0</v>
      </c>
      <c r="H473" s="1">
        <v>477</v>
      </c>
      <c r="I473" s="1" t="s">
        <v>602</v>
      </c>
      <c r="J473" s="1">
        <v>480.81277340000003</v>
      </c>
      <c r="K473" s="1">
        <v>2.4007292329999999</v>
      </c>
      <c r="L473" s="1">
        <v>1.874180038</v>
      </c>
    </row>
    <row r="474" spans="1:12" x14ac:dyDescent="0.25">
      <c r="A474" t="s">
        <v>265</v>
      </c>
      <c r="B474" s="1"/>
      <c r="C474" s="1"/>
      <c r="D474" s="1">
        <v>185.14926629999999</v>
      </c>
      <c r="E474" s="1">
        <v>1.3582793989999999</v>
      </c>
      <c r="F474" s="1">
        <v>18.403386980000001</v>
      </c>
      <c r="G474" s="1">
        <v>0</v>
      </c>
      <c r="H474" s="1">
        <v>474</v>
      </c>
      <c r="I474" s="1" t="s">
        <v>603</v>
      </c>
      <c r="J474" s="1"/>
      <c r="K474" s="1"/>
      <c r="L474" s="1"/>
    </row>
    <row r="475" spans="1:12" x14ac:dyDescent="0.25">
      <c r="A475" t="s">
        <v>264</v>
      </c>
      <c r="B475" s="1"/>
      <c r="C475" s="1"/>
      <c r="D475" s="1">
        <v>188.1945274</v>
      </c>
      <c r="E475" s="1">
        <v>1.4454595619999999</v>
      </c>
      <c r="F475" s="1">
        <v>18.691333</v>
      </c>
      <c r="G475" s="1">
        <v>0</v>
      </c>
      <c r="H475" s="1">
        <v>473</v>
      </c>
      <c r="I475" s="1" t="s">
        <v>603</v>
      </c>
      <c r="J475" s="1"/>
      <c r="K475" s="1"/>
      <c r="L475" s="1"/>
    </row>
    <row r="476" spans="1:12" x14ac:dyDescent="0.25">
      <c r="A476" t="s">
        <v>233</v>
      </c>
      <c r="B476" s="1">
        <v>74.361977909999993</v>
      </c>
      <c r="C476" s="1">
        <v>1.3227692660000001</v>
      </c>
      <c r="D476" s="1"/>
      <c r="E476" s="1"/>
      <c r="F476" s="1"/>
      <c r="G476" s="1">
        <v>0</v>
      </c>
      <c r="H476" s="1">
        <v>430</v>
      </c>
      <c r="I476" s="1" t="s">
        <v>602</v>
      </c>
      <c r="J476" s="1">
        <v>1927.8557089999999</v>
      </c>
      <c r="K476" s="1">
        <v>8.7214135079999995</v>
      </c>
      <c r="L476" s="1">
        <v>6.4780857770000004</v>
      </c>
    </row>
    <row r="477" spans="1:12" x14ac:dyDescent="0.25">
      <c r="A477" t="s">
        <v>241</v>
      </c>
      <c r="B477" s="1">
        <v>116.1735334</v>
      </c>
      <c r="C477" s="1">
        <v>0.95966232299999998</v>
      </c>
      <c r="D477" s="1">
        <v>27.034910910000001</v>
      </c>
      <c r="E477" s="1">
        <v>0.16924982</v>
      </c>
      <c r="F477" s="1">
        <v>3.6923368970000001</v>
      </c>
      <c r="G477" s="1">
        <v>0</v>
      </c>
      <c r="H477" s="1">
        <v>439</v>
      </c>
      <c r="I477" s="1" t="s">
        <v>600</v>
      </c>
      <c r="J477" s="1"/>
      <c r="K477" s="1"/>
      <c r="L477" s="1"/>
    </row>
    <row r="478" spans="1:12" x14ac:dyDescent="0.25">
      <c r="A478" t="s">
        <v>226</v>
      </c>
      <c r="B478" s="1">
        <v>140.5300264</v>
      </c>
      <c r="C478" s="1">
        <v>0.75271924999999995</v>
      </c>
      <c r="D478" s="1">
        <v>27.01735905</v>
      </c>
      <c r="E478" s="1">
        <v>0.15861212699999999</v>
      </c>
      <c r="F478" s="1">
        <v>3.8324191239999998</v>
      </c>
      <c r="G478" s="1">
        <v>0</v>
      </c>
      <c r="H478" s="1">
        <v>438</v>
      </c>
      <c r="I478" s="1" t="s">
        <v>600</v>
      </c>
      <c r="J478" s="1"/>
      <c r="K478" s="1"/>
      <c r="L478" s="1"/>
    </row>
    <row r="479" spans="1:12" x14ac:dyDescent="0.25">
      <c r="A479" t="s">
        <v>240</v>
      </c>
      <c r="B479" s="1">
        <v>118.5237577</v>
      </c>
      <c r="C479" s="1">
        <v>0.93240747000000002</v>
      </c>
      <c r="D479" s="1">
        <v>30.197055079999998</v>
      </c>
      <c r="E479" s="1">
        <v>0.19554011099999999</v>
      </c>
      <c r="F479" s="1">
        <v>4.3288003799999997</v>
      </c>
      <c r="G479" s="1">
        <v>0</v>
      </c>
      <c r="H479" s="1">
        <v>437</v>
      </c>
      <c r="I479" s="1" t="s">
        <v>600</v>
      </c>
      <c r="J479" s="1"/>
      <c r="K479" s="1"/>
      <c r="L479" s="1"/>
    </row>
    <row r="480" spans="1:12" x14ac:dyDescent="0.25">
      <c r="A480" t="s">
        <v>239</v>
      </c>
      <c r="B480" s="1">
        <v>19.80116718</v>
      </c>
      <c r="C480" s="1">
        <v>0.22033928799999999</v>
      </c>
      <c r="D480" s="1">
        <v>88.312206209999999</v>
      </c>
      <c r="E480" s="1">
        <v>0.80735116500000004</v>
      </c>
      <c r="F480" s="1">
        <v>11.744801539999999</v>
      </c>
      <c r="G480" s="1">
        <v>0</v>
      </c>
      <c r="H480" s="1">
        <v>436</v>
      </c>
      <c r="I480" s="1" t="s">
        <v>600</v>
      </c>
      <c r="J480" s="1"/>
      <c r="K480" s="1"/>
      <c r="L480" s="1"/>
    </row>
    <row r="481" spans="1:12" x14ac:dyDescent="0.25">
      <c r="A481" t="s">
        <v>238</v>
      </c>
      <c r="B481" s="1">
        <v>93.202206200000006</v>
      </c>
      <c r="C481" s="1">
        <v>0.53405015899999997</v>
      </c>
      <c r="D481" s="1">
        <v>52.163508389999997</v>
      </c>
      <c r="E481" s="1">
        <v>0.23517653399999999</v>
      </c>
      <c r="F481" s="1">
        <v>7.7872847370000002</v>
      </c>
      <c r="G481" s="1">
        <v>0</v>
      </c>
      <c r="H481" s="1">
        <v>435</v>
      </c>
      <c r="I481" s="1" t="s">
        <v>600</v>
      </c>
      <c r="J481" s="1"/>
      <c r="K481" s="1"/>
      <c r="L481" s="1"/>
    </row>
    <row r="482" spans="1:12" x14ac:dyDescent="0.25">
      <c r="A482" t="s">
        <v>237</v>
      </c>
      <c r="B482" s="1">
        <v>163.8612224</v>
      </c>
      <c r="C482" s="1">
        <v>1.379944981</v>
      </c>
      <c r="D482" s="1">
        <v>26.776956680000001</v>
      </c>
      <c r="E482" s="1">
        <v>0.12947475</v>
      </c>
      <c r="F482" s="1">
        <v>3.7024417879999998</v>
      </c>
      <c r="G482" s="1">
        <v>0</v>
      </c>
      <c r="H482" s="1">
        <v>433</v>
      </c>
      <c r="I482" s="1" t="s">
        <v>600</v>
      </c>
      <c r="J482" s="1"/>
      <c r="K482" s="1"/>
      <c r="L482" s="1"/>
    </row>
    <row r="483" spans="1:12" x14ac:dyDescent="0.25">
      <c r="A483" t="s">
        <v>236</v>
      </c>
      <c r="B483" s="1">
        <v>124.8636042</v>
      </c>
      <c r="C483" s="1">
        <v>1.084643085</v>
      </c>
      <c r="D483" s="1">
        <v>47.17633515</v>
      </c>
      <c r="E483" s="1">
        <v>0.20328133300000001</v>
      </c>
      <c r="F483" s="1">
        <v>6.0976648659999997</v>
      </c>
      <c r="G483" s="1">
        <v>0</v>
      </c>
      <c r="H483" s="1">
        <v>432</v>
      </c>
      <c r="I483" s="1" t="s">
        <v>600</v>
      </c>
      <c r="J483" s="1"/>
      <c r="K483" s="1"/>
    </row>
    <row r="484" spans="1:12" x14ac:dyDescent="0.25">
      <c r="A484" t="s">
        <v>234</v>
      </c>
      <c r="B484" s="1">
        <v>58.038230429999999</v>
      </c>
      <c r="C484" s="1">
        <v>0.59540595799999996</v>
      </c>
      <c r="D484" s="1"/>
      <c r="E484" s="1"/>
      <c r="F484" s="1"/>
      <c r="G484" s="1">
        <v>0</v>
      </c>
      <c r="H484" s="1">
        <v>431</v>
      </c>
      <c r="I484" s="1" t="s">
        <v>602</v>
      </c>
      <c r="J484" s="1">
        <v>907.44219769999995</v>
      </c>
      <c r="K484" s="1">
        <v>3.846905858</v>
      </c>
      <c r="L484">
        <v>3.1672209250000001</v>
      </c>
    </row>
    <row r="485" spans="1:12" x14ac:dyDescent="0.25">
      <c r="A485" t="s">
        <v>10</v>
      </c>
      <c r="B485" s="1">
        <v>99.942700830000007</v>
      </c>
      <c r="C485" s="1">
        <v>1.5445585020000001</v>
      </c>
      <c r="D485" s="1"/>
      <c r="E485" s="1"/>
      <c r="F485" s="1"/>
      <c r="G485" s="1">
        <v>0</v>
      </c>
      <c r="H485" s="1">
        <v>423</v>
      </c>
      <c r="I485" s="1" t="s">
        <v>602</v>
      </c>
      <c r="J485" s="1">
        <v>2163.762667</v>
      </c>
      <c r="K485" s="1">
        <v>9.6405947429999994</v>
      </c>
      <c r="L485">
        <v>6.7179459430000001</v>
      </c>
    </row>
    <row r="486" spans="1:12" x14ac:dyDescent="0.25">
      <c r="A486" t="s">
        <v>260</v>
      </c>
      <c r="B486" s="1"/>
      <c r="C486" s="1"/>
      <c r="D486" s="1">
        <v>359.66615760000002</v>
      </c>
      <c r="E486" s="1">
        <v>2.0561780779999999</v>
      </c>
      <c r="F486" s="1">
        <v>34.411622569999999</v>
      </c>
      <c r="G486" s="1">
        <v>0</v>
      </c>
      <c r="H486" s="1">
        <v>442</v>
      </c>
      <c r="I486" s="1" t="s">
        <v>603</v>
      </c>
      <c r="J486" s="1"/>
      <c r="K486" s="1"/>
    </row>
    <row r="487" spans="1:12" x14ac:dyDescent="0.25">
      <c r="A487" t="s">
        <v>281</v>
      </c>
      <c r="B487" s="1">
        <v>25.680534139999999</v>
      </c>
      <c r="C487" s="1">
        <v>0.165181562</v>
      </c>
      <c r="D487" s="1">
        <v>291.23151000000001</v>
      </c>
      <c r="E487" s="1">
        <v>1.098848321</v>
      </c>
      <c r="F487" s="1">
        <v>26.138230660000001</v>
      </c>
      <c r="G487" s="1">
        <v>0</v>
      </c>
      <c r="H487" s="1">
        <v>420</v>
      </c>
      <c r="I487" s="1" t="s">
        <v>601</v>
      </c>
      <c r="J487" s="1"/>
      <c r="K487" s="1"/>
    </row>
    <row r="488" spans="1:12" x14ac:dyDescent="0.25">
      <c r="A488" t="s">
        <v>230</v>
      </c>
      <c r="B488" s="1"/>
      <c r="C488" s="1"/>
      <c r="D488" s="1">
        <v>328.9229512</v>
      </c>
      <c r="E488" s="1">
        <v>1.4218260199999999</v>
      </c>
      <c r="F488" s="1">
        <v>29.126622210000001</v>
      </c>
      <c r="G488" s="1">
        <v>0</v>
      </c>
      <c r="H488" s="1">
        <v>419</v>
      </c>
      <c r="I488" s="1" t="s">
        <v>603</v>
      </c>
      <c r="J488" s="1"/>
      <c r="K488" s="1"/>
    </row>
    <row r="489" spans="1:12" x14ac:dyDescent="0.25">
      <c r="A489" t="s">
        <v>229</v>
      </c>
      <c r="B489" s="1"/>
      <c r="C489" s="1"/>
      <c r="D489" s="1">
        <v>318.99395550000003</v>
      </c>
      <c r="E489" s="1">
        <v>2.6086163789999999</v>
      </c>
      <c r="F489" s="1">
        <v>32.242350450000004</v>
      </c>
      <c r="G489" s="1">
        <v>0</v>
      </c>
      <c r="H489" s="1">
        <v>418</v>
      </c>
      <c r="I489" s="1" t="s">
        <v>603</v>
      </c>
      <c r="J489" s="1"/>
      <c r="K489" s="1"/>
    </row>
    <row r="490" spans="1:12" x14ac:dyDescent="0.25">
      <c r="A490" t="s">
        <v>228</v>
      </c>
      <c r="B490" s="1">
        <v>1.829299419</v>
      </c>
      <c r="C490" s="1">
        <v>2.2037595E-2</v>
      </c>
      <c r="D490" s="1">
        <v>292.60131519999999</v>
      </c>
      <c r="E490" s="1">
        <v>2.2967522630000001</v>
      </c>
      <c r="F490" s="1">
        <v>31.3082244</v>
      </c>
      <c r="G490" s="1">
        <v>0</v>
      </c>
      <c r="H490" s="1">
        <v>417</v>
      </c>
      <c r="I490" s="1" t="s">
        <v>603</v>
      </c>
      <c r="J490" s="1"/>
      <c r="K490" s="1"/>
    </row>
    <row r="491" spans="1:12" x14ac:dyDescent="0.25">
      <c r="A491" t="s">
        <v>155</v>
      </c>
      <c r="B491" s="1"/>
      <c r="C491" s="1"/>
      <c r="D491" s="1">
        <v>325.23483599999997</v>
      </c>
      <c r="E491" s="1">
        <v>1.6829993050000001</v>
      </c>
      <c r="F491" s="1">
        <v>32.145339180000001</v>
      </c>
      <c r="G491" s="1">
        <v>0</v>
      </c>
      <c r="H491" s="1">
        <v>416</v>
      </c>
      <c r="I491" s="1" t="s">
        <v>603</v>
      </c>
      <c r="J491" s="1"/>
      <c r="K491" s="1"/>
    </row>
    <row r="492" spans="1:12" x14ac:dyDescent="0.25">
      <c r="A492" t="s">
        <v>227</v>
      </c>
      <c r="B492" s="1"/>
      <c r="C492" s="1"/>
      <c r="D492" s="1">
        <v>351.38722860000001</v>
      </c>
      <c r="E492" s="1">
        <v>2.0232437000000001</v>
      </c>
      <c r="F492" s="1">
        <v>35.839216890000003</v>
      </c>
      <c r="G492" s="1">
        <v>0</v>
      </c>
      <c r="H492" s="1">
        <v>413</v>
      </c>
      <c r="I492" s="1" t="s">
        <v>603</v>
      </c>
      <c r="J492" s="1"/>
      <c r="K492" s="1"/>
    </row>
    <row r="493" spans="1:12" x14ac:dyDescent="0.25">
      <c r="A493" t="s">
        <v>364</v>
      </c>
      <c r="B493" s="1"/>
      <c r="C493" s="1"/>
      <c r="D493" s="1">
        <v>320.54201999999998</v>
      </c>
      <c r="E493" s="1">
        <v>1.4108897520000001</v>
      </c>
      <c r="F493" s="1">
        <v>26.648904380000001</v>
      </c>
      <c r="G493" s="1">
        <v>0</v>
      </c>
      <c r="H493" s="1">
        <v>407</v>
      </c>
      <c r="I493" s="1" t="s">
        <v>601</v>
      </c>
      <c r="J493" s="1"/>
      <c r="K493" s="1"/>
    </row>
    <row r="494" spans="1:12" x14ac:dyDescent="0.25">
      <c r="A494" t="s">
        <v>235</v>
      </c>
      <c r="B494" s="1">
        <v>114.8133046</v>
      </c>
      <c r="C494" s="1">
        <v>0.83010450300000005</v>
      </c>
      <c r="D494" s="1">
        <v>57.839850439999999</v>
      </c>
      <c r="E494" s="1">
        <v>0.322665708</v>
      </c>
      <c r="F494" s="1">
        <v>8.2351717610000001</v>
      </c>
      <c r="G494" s="1">
        <v>0</v>
      </c>
      <c r="H494" s="1">
        <v>406</v>
      </c>
      <c r="I494" s="1" t="s">
        <v>600</v>
      </c>
      <c r="J494" s="1"/>
      <c r="K494" s="1"/>
    </row>
    <row r="495" spans="1:12" x14ac:dyDescent="0.25">
      <c r="A495" t="s">
        <v>242</v>
      </c>
      <c r="B495" s="1">
        <v>216.6611159</v>
      </c>
      <c r="C495" s="1">
        <v>1.21066859</v>
      </c>
      <c r="D495" s="1"/>
      <c r="E495" s="1"/>
      <c r="F495" s="1"/>
      <c r="G495" s="1">
        <v>0</v>
      </c>
      <c r="H495" s="1">
        <v>441</v>
      </c>
      <c r="I495" s="1" t="s">
        <v>602</v>
      </c>
      <c r="J495" s="1">
        <v>849.74031249999996</v>
      </c>
      <c r="K495" s="1">
        <v>4.5432916250000002</v>
      </c>
      <c r="L495">
        <v>3.4588682780000002</v>
      </c>
    </row>
    <row r="496" spans="1:12" x14ac:dyDescent="0.25">
      <c r="A496" t="s">
        <v>244</v>
      </c>
      <c r="B496" s="1"/>
      <c r="C496" s="1"/>
      <c r="D496" s="1">
        <v>298.34893319999998</v>
      </c>
      <c r="E496" s="1">
        <v>2.1546253229999999</v>
      </c>
      <c r="F496" s="1">
        <v>31.55931245</v>
      </c>
      <c r="G496" s="1">
        <v>0</v>
      </c>
      <c r="H496" s="1">
        <v>443</v>
      </c>
      <c r="I496" s="1" t="s">
        <v>603</v>
      </c>
      <c r="J496" s="1"/>
      <c r="K496" s="1"/>
    </row>
    <row r="497" spans="1:12" x14ac:dyDescent="0.25">
      <c r="A497" t="s">
        <v>263</v>
      </c>
      <c r="B497" s="1"/>
      <c r="C497" s="1"/>
      <c r="D497" s="1">
        <v>197.84806570000001</v>
      </c>
      <c r="E497" s="1">
        <v>1.1857546750000001</v>
      </c>
      <c r="F497" s="1">
        <v>19.450101159999999</v>
      </c>
      <c r="G497" s="1">
        <v>0</v>
      </c>
      <c r="H497" s="1">
        <v>472</v>
      </c>
      <c r="I497" s="1" t="s">
        <v>603</v>
      </c>
      <c r="J497" s="1"/>
      <c r="K497" s="1"/>
    </row>
    <row r="498" spans="1:12" x14ac:dyDescent="0.25">
      <c r="A498" t="s">
        <v>254</v>
      </c>
      <c r="B498" s="1"/>
      <c r="C498" s="1"/>
      <c r="D498" s="1">
        <v>191.40600509999999</v>
      </c>
      <c r="E498" s="1">
        <v>1.1173122</v>
      </c>
      <c r="F498" s="1">
        <v>20.49749422</v>
      </c>
      <c r="G498" s="1">
        <v>0</v>
      </c>
      <c r="H498" s="1">
        <v>460</v>
      </c>
      <c r="I498" s="1" t="s">
        <v>603</v>
      </c>
      <c r="J498" s="1"/>
      <c r="K498" s="1"/>
    </row>
    <row r="499" spans="1:12" x14ac:dyDescent="0.25">
      <c r="A499" t="s">
        <v>262</v>
      </c>
      <c r="B499" s="1"/>
      <c r="C499" s="1"/>
      <c r="D499" s="1">
        <v>206.0496417</v>
      </c>
      <c r="E499" s="1">
        <v>1.4420330669999999</v>
      </c>
      <c r="F499" s="1">
        <v>21.326092450000001</v>
      </c>
      <c r="G499" s="1">
        <v>0</v>
      </c>
      <c r="H499" s="1">
        <v>471</v>
      </c>
      <c r="I499" s="1" t="s">
        <v>603</v>
      </c>
      <c r="J499" s="1"/>
      <c r="K499" s="1"/>
    </row>
    <row r="500" spans="1:12" x14ac:dyDescent="0.25">
      <c r="A500" t="s">
        <v>261</v>
      </c>
      <c r="B500" s="1"/>
      <c r="C500" s="1"/>
      <c r="D500" s="1">
        <v>246.6370225</v>
      </c>
      <c r="E500" s="1">
        <v>1.079510883</v>
      </c>
      <c r="F500" s="1">
        <v>26.456478409999999</v>
      </c>
      <c r="G500" s="1">
        <v>0</v>
      </c>
      <c r="H500" s="1">
        <v>470</v>
      </c>
      <c r="I500" s="1" t="s">
        <v>603</v>
      </c>
      <c r="J500" s="1"/>
      <c r="K500" s="1"/>
    </row>
    <row r="501" spans="1:12" x14ac:dyDescent="0.25">
      <c r="A501" t="s">
        <v>243</v>
      </c>
      <c r="B501" s="1"/>
      <c r="C501" s="1"/>
      <c r="D501" s="1">
        <v>179.55132649999999</v>
      </c>
      <c r="E501" s="1">
        <v>0.86494534999999995</v>
      </c>
      <c r="F501" s="1">
        <v>21.859354490000001</v>
      </c>
      <c r="G501" s="1">
        <v>0</v>
      </c>
      <c r="H501" s="1">
        <v>469</v>
      </c>
      <c r="I501" s="1" t="s">
        <v>603</v>
      </c>
      <c r="J501" s="1"/>
      <c r="K501" s="1"/>
    </row>
    <row r="502" spans="1:12" x14ac:dyDescent="0.25">
      <c r="A502" t="s">
        <v>259</v>
      </c>
      <c r="B502" s="1"/>
      <c r="C502" s="1"/>
      <c r="D502" s="1">
        <v>265.04529480000002</v>
      </c>
      <c r="E502" s="1">
        <v>2.3443824969999998</v>
      </c>
      <c r="F502" s="1">
        <v>25.826509009999999</v>
      </c>
      <c r="G502" s="1">
        <v>0</v>
      </c>
      <c r="H502" s="1">
        <v>468</v>
      </c>
      <c r="I502" s="1" t="s">
        <v>603</v>
      </c>
      <c r="J502" s="1"/>
      <c r="K502" s="1"/>
    </row>
    <row r="503" spans="1:12" x14ac:dyDescent="0.25">
      <c r="A503" t="s">
        <v>258</v>
      </c>
      <c r="B503" s="1"/>
      <c r="C503" s="1"/>
      <c r="D503" s="1">
        <v>230.06112289999999</v>
      </c>
      <c r="E503" s="1">
        <v>1.7799266549999999</v>
      </c>
      <c r="F503" s="1">
        <v>24.175926230000002</v>
      </c>
      <c r="G503" s="1">
        <v>0</v>
      </c>
      <c r="H503" s="1">
        <v>467</v>
      </c>
      <c r="I503" s="1" t="s">
        <v>603</v>
      </c>
      <c r="J503" s="1"/>
      <c r="K503" s="1"/>
    </row>
    <row r="504" spans="1:12" x14ac:dyDescent="0.25">
      <c r="A504" t="s">
        <v>257</v>
      </c>
      <c r="B504" s="1"/>
      <c r="C504" s="1"/>
      <c r="D504" s="1">
        <v>266.09908619999999</v>
      </c>
      <c r="E504" s="1">
        <v>1.4202484550000001</v>
      </c>
      <c r="F504" s="1">
        <v>30.19275815</v>
      </c>
      <c r="G504" s="1">
        <v>0</v>
      </c>
      <c r="H504" s="1">
        <v>466</v>
      </c>
      <c r="I504" s="1" t="s">
        <v>603</v>
      </c>
      <c r="J504" s="1"/>
      <c r="K504" s="1"/>
    </row>
    <row r="505" spans="1:12" x14ac:dyDescent="0.25">
      <c r="A505" t="s">
        <v>256</v>
      </c>
      <c r="B505" s="1"/>
      <c r="C505" s="1"/>
      <c r="D505" s="1">
        <v>289.13552909999999</v>
      </c>
      <c r="E505" s="1">
        <v>2.2703738759999998</v>
      </c>
      <c r="F505" s="1">
        <v>28.50512384</v>
      </c>
      <c r="G505" s="1">
        <v>0</v>
      </c>
      <c r="H505" s="1">
        <v>464</v>
      </c>
      <c r="I505" s="1" t="s">
        <v>603</v>
      </c>
      <c r="J505" s="1"/>
      <c r="K505" s="1"/>
    </row>
    <row r="506" spans="1:12" x14ac:dyDescent="0.25">
      <c r="A506" t="s">
        <v>255</v>
      </c>
      <c r="B506" s="1"/>
      <c r="C506" s="1"/>
      <c r="D506" s="1">
        <v>320.00016549999998</v>
      </c>
      <c r="E506" s="1">
        <v>1.4016245089999999</v>
      </c>
      <c r="F506" s="1">
        <v>30.776843889999999</v>
      </c>
      <c r="G506" s="1">
        <v>0</v>
      </c>
      <c r="H506" s="1">
        <v>461</v>
      </c>
      <c r="I506" s="1" t="s">
        <v>603</v>
      </c>
      <c r="J506" s="1"/>
      <c r="K506" s="1"/>
    </row>
    <row r="507" spans="1:12" x14ac:dyDescent="0.25">
      <c r="A507" t="s">
        <v>253</v>
      </c>
      <c r="B507" s="1">
        <v>61.81521936</v>
      </c>
      <c r="C507" s="1">
        <v>0.32535430599999998</v>
      </c>
      <c r="D507" s="1">
        <v>59.759779190000003</v>
      </c>
      <c r="E507" s="1">
        <v>0.26536838200000001</v>
      </c>
      <c r="F507" s="1">
        <v>8.4893816599999994</v>
      </c>
      <c r="G507" s="1">
        <v>0</v>
      </c>
      <c r="H507" s="1">
        <v>459</v>
      </c>
      <c r="I507" s="1" t="s">
        <v>600</v>
      </c>
      <c r="J507" s="1"/>
      <c r="K507" s="1"/>
    </row>
    <row r="508" spans="1:12" x14ac:dyDescent="0.25">
      <c r="A508" t="s">
        <v>245</v>
      </c>
      <c r="B508" s="1"/>
      <c r="C508" s="1"/>
      <c r="D508" s="1">
        <v>328.93829360000001</v>
      </c>
      <c r="E508" s="1">
        <v>3.0950399289999999</v>
      </c>
      <c r="F508" s="1">
        <v>32.029951779999998</v>
      </c>
      <c r="G508" s="1">
        <v>0</v>
      </c>
      <c r="H508" s="1">
        <v>444</v>
      </c>
      <c r="I508" s="1" t="s">
        <v>603</v>
      </c>
      <c r="J508" s="1"/>
      <c r="K508" s="1"/>
    </row>
    <row r="509" spans="1:12" x14ac:dyDescent="0.25">
      <c r="A509" t="s">
        <v>252</v>
      </c>
      <c r="B509" s="1">
        <v>52.660578049999998</v>
      </c>
      <c r="C509" s="1">
        <v>0.36500772999999997</v>
      </c>
      <c r="D509" s="1">
        <v>65.083353200000005</v>
      </c>
      <c r="E509" s="1">
        <v>0.37912404700000002</v>
      </c>
      <c r="F509" s="1">
        <v>9.2245237620000005</v>
      </c>
      <c r="G509" s="1">
        <v>0</v>
      </c>
      <c r="H509" s="1">
        <v>458</v>
      </c>
      <c r="I509" s="1" t="s">
        <v>600</v>
      </c>
      <c r="J509" s="1"/>
      <c r="K509" s="1"/>
    </row>
    <row r="510" spans="1:12" x14ac:dyDescent="0.25">
      <c r="A510" t="s">
        <v>251</v>
      </c>
      <c r="B510" s="1">
        <v>115.18785</v>
      </c>
      <c r="C510" s="1">
        <v>0.86336647099999997</v>
      </c>
      <c r="D510" s="1">
        <v>30.11853623</v>
      </c>
      <c r="E510" s="1">
        <v>0.126769669</v>
      </c>
      <c r="F510" s="1">
        <v>4.3091441799999997</v>
      </c>
      <c r="G510" s="1">
        <v>0</v>
      </c>
      <c r="H510" s="1">
        <v>457</v>
      </c>
      <c r="I510" s="1" t="s">
        <v>600</v>
      </c>
      <c r="J510" s="1"/>
      <c r="K510" s="1"/>
    </row>
    <row r="511" spans="1:12" x14ac:dyDescent="0.25">
      <c r="A511" t="s">
        <v>250</v>
      </c>
      <c r="B511" s="1">
        <v>35.039918980000003</v>
      </c>
      <c r="C511" s="1">
        <v>0.60790627399999997</v>
      </c>
      <c r="D511" s="1"/>
      <c r="E511" s="1"/>
      <c r="F511" s="1"/>
      <c r="G511" s="1">
        <v>0</v>
      </c>
      <c r="H511" s="1">
        <v>456</v>
      </c>
      <c r="I511" s="1" t="s">
        <v>602</v>
      </c>
      <c r="J511" s="1">
        <v>498.43907569999999</v>
      </c>
      <c r="K511" s="1">
        <v>3.622313621</v>
      </c>
      <c r="L511">
        <v>1.8735650079999999</v>
      </c>
    </row>
    <row r="512" spans="1:12" x14ac:dyDescent="0.25">
      <c r="A512" t="s">
        <v>249</v>
      </c>
      <c r="B512" s="1">
        <v>18.279336539999999</v>
      </c>
      <c r="C512" s="1">
        <v>0.19134161999999999</v>
      </c>
      <c r="D512" s="1"/>
      <c r="E512" s="1"/>
      <c r="F512" s="1"/>
      <c r="G512" s="1">
        <v>0</v>
      </c>
      <c r="H512" s="1">
        <v>455</v>
      </c>
      <c r="I512" s="1" t="s">
        <v>602</v>
      </c>
      <c r="J512" s="1">
        <v>432.32501300000001</v>
      </c>
      <c r="K512" s="1">
        <v>2.2374438090000002</v>
      </c>
      <c r="L512">
        <v>1.5807611770000001</v>
      </c>
    </row>
    <row r="513" spans="1:12" x14ac:dyDescent="0.25">
      <c r="A513" t="s">
        <v>248</v>
      </c>
      <c r="B513" s="1">
        <v>39.045601619999999</v>
      </c>
      <c r="C513" s="1">
        <v>0.18219149000000001</v>
      </c>
      <c r="D513" s="1"/>
      <c r="E513" s="1"/>
      <c r="F513" s="1"/>
      <c r="G513" s="1">
        <v>0</v>
      </c>
      <c r="H513" s="1">
        <v>453</v>
      </c>
      <c r="I513" s="1" t="s">
        <v>602</v>
      </c>
      <c r="J513" s="1">
        <v>445.49458120000003</v>
      </c>
      <c r="K513" s="1">
        <v>3.4163379549999999</v>
      </c>
      <c r="L513">
        <v>1.7804727709999999</v>
      </c>
    </row>
    <row r="514" spans="1:12" x14ac:dyDescent="0.25">
      <c r="A514" t="s">
        <v>247</v>
      </c>
      <c r="B514" s="1">
        <v>56.860247319999999</v>
      </c>
      <c r="C514" s="1">
        <v>0.72526617400000004</v>
      </c>
      <c r="D514" s="1"/>
      <c r="E514" s="1"/>
      <c r="F514" s="1"/>
      <c r="G514" s="1">
        <v>0</v>
      </c>
      <c r="H514" s="1">
        <v>452</v>
      </c>
      <c r="I514" s="1" t="s">
        <v>602</v>
      </c>
      <c r="J514" s="1">
        <v>711.84268970000005</v>
      </c>
      <c r="K514" s="1">
        <v>4.2747364640000001</v>
      </c>
      <c r="L514">
        <v>2.7531261549999999</v>
      </c>
    </row>
    <row r="515" spans="1:12" x14ac:dyDescent="0.25">
      <c r="A515" t="s">
        <v>518</v>
      </c>
      <c r="B515" s="1">
        <v>15.359351009999999</v>
      </c>
      <c r="C515" s="1">
        <v>0.18879707000000001</v>
      </c>
      <c r="D515" s="1"/>
      <c r="E515" s="1"/>
      <c r="F515" s="1"/>
      <c r="G515" s="1">
        <v>0</v>
      </c>
      <c r="H515" s="1">
        <v>450</v>
      </c>
      <c r="I515" s="1" t="s">
        <v>602</v>
      </c>
      <c r="J515" s="1">
        <v>469.6800733</v>
      </c>
      <c r="K515" s="1">
        <v>3.5516003469999999</v>
      </c>
      <c r="L515">
        <v>1.8494094830000001</v>
      </c>
    </row>
    <row r="516" spans="1:12" x14ac:dyDescent="0.25">
      <c r="A516" t="s">
        <v>246</v>
      </c>
      <c r="B516" s="1"/>
      <c r="C516" s="1"/>
      <c r="D516" s="1">
        <v>301.91982150000001</v>
      </c>
      <c r="E516" s="1">
        <v>1.357942795</v>
      </c>
      <c r="F516" s="1">
        <v>28.967833120000002</v>
      </c>
      <c r="G516" s="1">
        <v>0</v>
      </c>
      <c r="H516" s="1">
        <v>446</v>
      </c>
      <c r="I516" s="1" t="s">
        <v>603</v>
      </c>
      <c r="J516" s="1"/>
      <c r="K516" s="1"/>
    </row>
    <row r="517" spans="1:12" x14ac:dyDescent="0.25">
      <c r="A517" t="s">
        <v>468</v>
      </c>
      <c r="B517" s="1"/>
      <c r="C517" s="1"/>
      <c r="D517" s="1"/>
      <c r="E517" s="1"/>
      <c r="F517" s="1"/>
      <c r="G517" s="1">
        <v>0</v>
      </c>
      <c r="H517" s="1">
        <v>1712</v>
      </c>
      <c r="I517" s="1" t="s">
        <v>601</v>
      </c>
      <c r="J517" s="1"/>
      <c r="K517" s="1"/>
    </row>
    <row r="518" spans="1:12" x14ac:dyDescent="0.25"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2" x14ac:dyDescent="0.25"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2" x14ac:dyDescent="0.25"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2" x14ac:dyDescent="0.25"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2" x14ac:dyDescent="0.25"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2" x14ac:dyDescent="0.25"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2" x14ac:dyDescent="0.25"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2" x14ac:dyDescent="0.25"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2" x14ac:dyDescent="0.25"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2" x14ac:dyDescent="0.25"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2" x14ac:dyDescent="0.25"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2:11" x14ac:dyDescent="0.25"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2:11" x14ac:dyDescent="0.25"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2:11" x14ac:dyDescent="0.25"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2:11" x14ac:dyDescent="0.25"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2:11" x14ac:dyDescent="0.25"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2:11" x14ac:dyDescent="0.25"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2:11" x14ac:dyDescent="0.25"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2:11" x14ac:dyDescent="0.25"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2:11" x14ac:dyDescent="0.25"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2:11" x14ac:dyDescent="0.25"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2:11" x14ac:dyDescent="0.25"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2:11" x14ac:dyDescent="0.25"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2:11" x14ac:dyDescent="0.25"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2:11" x14ac:dyDescent="0.25"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2:11" x14ac:dyDescent="0.25"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2:11" x14ac:dyDescent="0.25"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2:11" x14ac:dyDescent="0.25"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2:11" x14ac:dyDescent="0.25"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2:11" x14ac:dyDescent="0.25"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2:11" x14ac:dyDescent="0.25"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2:11" x14ac:dyDescent="0.25"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2:11" x14ac:dyDescent="0.25"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2:11" x14ac:dyDescent="0.25"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2:11" x14ac:dyDescent="0.25"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2:11" x14ac:dyDescent="0.25"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2:11" x14ac:dyDescent="0.25"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2:11" x14ac:dyDescent="0.25"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2:11" x14ac:dyDescent="0.25"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2:11" x14ac:dyDescent="0.25"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2:11" x14ac:dyDescent="0.25"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2:11" x14ac:dyDescent="0.25"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2:11" x14ac:dyDescent="0.25"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2:11" x14ac:dyDescent="0.25"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2:11" x14ac:dyDescent="0.25"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2:11" x14ac:dyDescent="0.25"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2:11" x14ac:dyDescent="0.25"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2:11" x14ac:dyDescent="0.25"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2:11" x14ac:dyDescent="0.25"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2:11" x14ac:dyDescent="0.25"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2:11" x14ac:dyDescent="0.25"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2:11" x14ac:dyDescent="0.25"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2:11" x14ac:dyDescent="0.25"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2:11" x14ac:dyDescent="0.25"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2:11" x14ac:dyDescent="0.25"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2:11" x14ac:dyDescent="0.25"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2:11" x14ac:dyDescent="0.25"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2:11" x14ac:dyDescent="0.25"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2:11" x14ac:dyDescent="0.25"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2:11" x14ac:dyDescent="0.25"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2:11" x14ac:dyDescent="0.25"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2:11" x14ac:dyDescent="0.25"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2:11" x14ac:dyDescent="0.25"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2:11" x14ac:dyDescent="0.25"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2:11" x14ac:dyDescent="0.25">
      <c r="B582" s="1"/>
      <c r="C582" s="1"/>
      <c r="D582" s="1"/>
      <c r="E582" s="1"/>
      <c r="F582" s="1"/>
      <c r="G582" s="1"/>
      <c r="H582" s="1"/>
      <c r="I582" s="1"/>
      <c r="J582" s="1"/>
      <c r="K58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7B25-C605-4F0A-B66C-99A5384CA895}">
  <sheetPr codeName="Sheet2"/>
  <dimension ref="A1:B9"/>
  <sheetViews>
    <sheetView workbookViewId="0">
      <selection activeCell="D37" sqref="D37"/>
    </sheetView>
  </sheetViews>
  <sheetFormatPr defaultRowHeight="15" x14ac:dyDescent="0.25"/>
  <cols>
    <col min="1" max="1" width="13.85546875" bestFit="1" customWidth="1"/>
    <col min="2" max="2" width="8.85546875" customWidth="1"/>
  </cols>
  <sheetData>
    <row r="1" spans="1:2" x14ac:dyDescent="0.25">
      <c r="A1" t="s">
        <v>520</v>
      </c>
      <c r="B1" t="s">
        <v>521</v>
      </c>
    </row>
    <row r="2" spans="1:2" x14ac:dyDescent="0.25">
      <c r="A2" t="s">
        <v>2</v>
      </c>
      <c r="B2">
        <v>4</v>
      </c>
    </row>
    <row r="3" spans="1:2" x14ac:dyDescent="0.25">
      <c r="A3" t="s">
        <v>3</v>
      </c>
      <c r="B3">
        <v>-2</v>
      </c>
    </row>
    <row r="4" spans="1:2" x14ac:dyDescent="0.25">
      <c r="A4" t="s">
        <v>7</v>
      </c>
      <c r="B4">
        <v>6</v>
      </c>
    </row>
    <row r="5" spans="1:2" x14ac:dyDescent="0.25">
      <c r="A5" t="s">
        <v>6</v>
      </c>
      <c r="B5">
        <v>0.1</v>
      </c>
    </row>
    <row r="6" spans="1:2" x14ac:dyDescent="0.25">
      <c r="A6" t="s">
        <v>4</v>
      </c>
      <c r="B6">
        <v>0.1</v>
      </c>
    </row>
    <row r="7" spans="1:2" x14ac:dyDescent="0.25">
      <c r="A7" t="s">
        <v>5</v>
      </c>
      <c r="B7">
        <v>6</v>
      </c>
    </row>
    <row r="8" spans="1:2" x14ac:dyDescent="0.25">
      <c r="A8" t="s">
        <v>8</v>
      </c>
      <c r="B8">
        <v>0.5</v>
      </c>
    </row>
    <row r="9" spans="1:2" x14ac:dyDescent="0.25">
      <c r="A9" t="s">
        <v>1</v>
      </c>
      <c r="B9">
        <f>0.2/5</f>
        <v>0.04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Pivots</vt:lpstr>
      <vt:lpstr>Checks</vt:lpstr>
      <vt:lpstr>Combined (Pivot Source)</vt:lpstr>
      <vt:lpstr>DK Over Unders</vt:lpstr>
      <vt:lpstr>ESPN Projections</vt:lpstr>
      <vt:lpstr>Scoring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Viola</dc:creator>
  <cp:lastModifiedBy>Frank Viola</cp:lastModifiedBy>
  <dcterms:created xsi:type="dcterms:W3CDTF">2024-08-23T02:25:59Z</dcterms:created>
  <dcterms:modified xsi:type="dcterms:W3CDTF">2024-08-26T15:49:51Z</dcterms:modified>
</cp:coreProperties>
</file>