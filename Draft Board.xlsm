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4a1fb48d050b2357/Documents/Fantasy Football/"/>
    </mc:Choice>
  </mc:AlternateContent>
  <xr:revisionPtr revIDLastSave="1734" documentId="8_{58AEED50-85EB-4524-9E07-B62FED4FD7AE}" xr6:coauthVersionLast="47" xr6:coauthVersionMax="47" xr10:uidLastSave="{05D49900-0403-43DD-8E4A-C81C5D767530}"/>
  <bookViews>
    <workbookView xWindow="-28920" yWindow="-120" windowWidth="29040" windowHeight="15720" xr2:uid="{003E5229-578A-42A5-8E33-441D269F2A64}"/>
  </bookViews>
  <sheets>
    <sheet name="Pt System" sheetId="15" r:id="rId1"/>
    <sheet name="ADP" sheetId="19" r:id="rId2"/>
    <sheet name="Skill Pos Compiled" sheetId="17" r:id="rId3"/>
    <sheet name="2022 Skill Pos Stats" sheetId="13" r:id="rId4"/>
    <sheet name="QBs Compiled" sheetId="16" r:id="rId5"/>
    <sheet name="Total Interceptions" sheetId="14" r:id="rId6"/>
    <sheet name="Total Passing Yards" sheetId="2" r:id="rId7"/>
    <sheet name="Total Passing Touchdowns" sheetId="4" r:id="rId8"/>
    <sheet name="Total Receiving Yards" sheetId="1" r:id="rId9"/>
    <sheet name="Total Receptions" sheetId="11" r:id="rId10"/>
    <sheet name="Total Receiving Touchdowns" sheetId="8" r:id="rId11"/>
    <sheet name="Total Rushing Touchdowns" sheetId="9" r:id="rId12"/>
    <sheet name="Total Rushing Yards" sheetId="5" r:id="rId13"/>
    <sheet name="2022 QB Stats" sheetId="12" r:id="rId14"/>
    <sheet name="All Players" sheetId="10" r:id="rId15"/>
  </sheets>
  <functionGroups builtInGroupCount="19"/>
  <definedNames>
    <definedName name="_xlnm._FilterDatabase" localSheetId="1" hidden="1">ADP!$A$1:$H$402</definedName>
    <definedName name="_xlnm._FilterDatabase" localSheetId="4" hidden="1">'QBs Compiled'!$A$1:$Q$32</definedName>
    <definedName name="_xlnm._FilterDatabase" localSheetId="2" hidden="1">'Skill Pos Compiled'!$A$1:$T$163</definedName>
    <definedName name="_xlnm._FilterDatabase" localSheetId="6" hidden="1">'Total Passing Yards'!$A$1:$G$32</definedName>
    <definedName name="rTeams">'Pt System'!$E$2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67" i="17" l="1"/>
  <c r="D166" i="17"/>
  <c r="D165" i="17"/>
  <c r="D164" i="17"/>
  <c r="D163" i="17"/>
  <c r="D162" i="17"/>
  <c r="D161" i="17"/>
  <c r="D160" i="17"/>
  <c r="D159" i="17"/>
  <c r="D158" i="17"/>
  <c r="D157" i="17"/>
  <c r="D156" i="17"/>
  <c r="D155" i="17"/>
  <c r="D154" i="17"/>
  <c r="D153" i="17"/>
  <c r="D152" i="17"/>
  <c r="D151" i="17"/>
  <c r="D150" i="17"/>
  <c r="D149" i="17"/>
  <c r="D148" i="17"/>
  <c r="D147" i="17"/>
  <c r="D146" i="17"/>
  <c r="D145" i="17"/>
  <c r="D144" i="17"/>
  <c r="D143" i="17"/>
  <c r="D142" i="17"/>
  <c r="D141" i="17"/>
  <c r="D140" i="17"/>
  <c r="D139" i="17"/>
  <c r="D138" i="17"/>
  <c r="D137" i="17"/>
  <c r="D136" i="17"/>
  <c r="D135" i="17"/>
  <c r="D134" i="17"/>
  <c r="D133" i="17"/>
  <c r="D132" i="17"/>
  <c r="D131" i="17"/>
  <c r="D130" i="17"/>
  <c r="D129" i="17"/>
  <c r="D128" i="17"/>
  <c r="D127" i="17"/>
  <c r="D126" i="17"/>
  <c r="D125" i="17"/>
  <c r="D124" i="17"/>
  <c r="D123" i="17"/>
  <c r="D122" i="17"/>
  <c r="D121" i="17"/>
  <c r="D120" i="17"/>
  <c r="D119" i="17"/>
  <c r="D118" i="17"/>
  <c r="D117" i="17"/>
  <c r="D116" i="17"/>
  <c r="D115" i="17"/>
  <c r="D114" i="17"/>
  <c r="D113" i="17"/>
  <c r="D112" i="17"/>
  <c r="D111" i="17"/>
  <c r="D110" i="17"/>
  <c r="D109" i="17"/>
  <c r="D108" i="17"/>
  <c r="D107" i="17"/>
  <c r="D106" i="17"/>
  <c r="D105" i="17"/>
  <c r="D104" i="17"/>
  <c r="D103" i="17"/>
  <c r="D102" i="17"/>
  <c r="D101" i="17"/>
  <c r="D100" i="17"/>
  <c r="D99" i="17"/>
  <c r="D98" i="17"/>
  <c r="D97" i="17"/>
  <c r="D96" i="17"/>
  <c r="D95" i="17"/>
  <c r="D94" i="17"/>
  <c r="D93" i="17"/>
  <c r="D92" i="17"/>
  <c r="D91" i="17"/>
  <c r="D90" i="17"/>
  <c r="D89" i="17"/>
  <c r="D88" i="17"/>
  <c r="D87" i="17"/>
  <c r="D86" i="17"/>
  <c r="D85" i="17"/>
  <c r="D84" i="17"/>
  <c r="D83" i="17"/>
  <c r="D82" i="17"/>
  <c r="D81" i="17"/>
  <c r="D80" i="17"/>
  <c r="D79" i="17"/>
  <c r="D78" i="17"/>
  <c r="D77" i="17"/>
  <c r="D76" i="17"/>
  <c r="D75" i="17"/>
  <c r="D74" i="17"/>
  <c r="D73" i="17"/>
  <c r="D72" i="17"/>
  <c r="D71" i="17"/>
  <c r="D70" i="17"/>
  <c r="D69" i="17"/>
  <c r="D68" i="17"/>
  <c r="D67" i="17"/>
  <c r="D66" i="17"/>
  <c r="D65" i="17"/>
  <c r="D64" i="17"/>
  <c r="D63" i="17"/>
  <c r="D62" i="17"/>
  <c r="D61" i="17"/>
  <c r="D60" i="17"/>
  <c r="D59" i="17"/>
  <c r="D58" i="17"/>
  <c r="D57" i="17"/>
  <c r="D56" i="17"/>
  <c r="D55" i="17"/>
  <c r="D54" i="17"/>
  <c r="D53" i="17"/>
  <c r="D52" i="17"/>
  <c r="D51" i="17"/>
  <c r="D50" i="17"/>
  <c r="D49" i="17"/>
  <c r="D48" i="17"/>
  <c r="D47" i="17"/>
  <c r="D46" i="17"/>
  <c r="D45" i="17"/>
  <c r="D44" i="17"/>
  <c r="D43" i="17"/>
  <c r="D42" i="17"/>
  <c r="D41" i="17"/>
  <c r="D40" i="17"/>
  <c r="D39" i="17"/>
  <c r="D38" i="17"/>
  <c r="D37" i="17"/>
  <c r="D36" i="17"/>
  <c r="D35" i="17"/>
  <c r="D34" i="17"/>
  <c r="D33" i="17"/>
  <c r="D32" i="17"/>
  <c r="D31" i="17"/>
  <c r="D30" i="17"/>
  <c r="D29" i="17"/>
  <c r="D28" i="17"/>
  <c r="D27" i="17"/>
  <c r="D26" i="17"/>
  <c r="D25" i="17"/>
  <c r="D24" i="17"/>
  <c r="D23" i="17"/>
  <c r="D22" i="17"/>
  <c r="D21" i="17"/>
  <c r="D20" i="17"/>
  <c r="D19" i="17"/>
  <c r="D18" i="17"/>
  <c r="D17" i="17"/>
  <c r="D16" i="17"/>
  <c r="D15" i="17"/>
  <c r="D14" i="17"/>
  <c r="D13" i="17"/>
  <c r="D12" i="17"/>
  <c r="D11" i="17"/>
  <c r="D10" i="17"/>
  <c r="D9" i="17"/>
  <c r="D8" i="17"/>
  <c r="D7" i="17"/>
  <c r="D6" i="17"/>
  <c r="D5" i="17"/>
  <c r="D4" i="17"/>
  <c r="D3" i="17"/>
  <c r="D2" i="17"/>
  <c r="T144" i="17"/>
  <c r="T136" i="17"/>
  <c r="T128" i="17"/>
  <c r="T120" i="17"/>
  <c r="T112" i="17"/>
  <c r="T96" i="17"/>
  <c r="T48" i="17"/>
  <c r="B167" i="17"/>
  <c r="S167" i="17"/>
  <c r="R167" i="17"/>
  <c r="Q167" i="17"/>
  <c r="P167" i="17"/>
  <c r="O167" i="17"/>
  <c r="T167" i="17" s="1"/>
  <c r="I167" i="17"/>
  <c r="N167" i="17" s="1"/>
  <c r="H167" i="17"/>
  <c r="M167" i="17" s="1"/>
  <c r="G167" i="17"/>
  <c r="L167" i="17" s="1"/>
  <c r="F167" i="17"/>
  <c r="K167" i="17" s="1"/>
  <c r="E167" i="17"/>
  <c r="J167" i="17" s="1"/>
  <c r="S166" i="17"/>
  <c r="R166" i="17"/>
  <c r="Q166" i="17"/>
  <c r="P166" i="17"/>
  <c r="O166" i="17"/>
  <c r="T166" i="17" s="1"/>
  <c r="M166" i="17"/>
  <c r="I166" i="17"/>
  <c r="N166" i="17" s="1"/>
  <c r="H166" i="17"/>
  <c r="G166" i="17"/>
  <c r="L166" i="17" s="1"/>
  <c r="F166" i="17"/>
  <c r="K166" i="17" s="1"/>
  <c r="E166" i="17"/>
  <c r="J166" i="17" s="1"/>
  <c r="S165" i="17"/>
  <c r="R165" i="17"/>
  <c r="Q165" i="17"/>
  <c r="P165" i="17"/>
  <c r="O165" i="17"/>
  <c r="T165" i="17" s="1"/>
  <c r="I165" i="17"/>
  <c r="N165" i="17" s="1"/>
  <c r="H165" i="17"/>
  <c r="M165" i="17" s="1"/>
  <c r="G165" i="17"/>
  <c r="L165" i="17" s="1"/>
  <c r="F165" i="17"/>
  <c r="K165" i="17" s="1"/>
  <c r="E165" i="17"/>
  <c r="J165" i="17" s="1"/>
  <c r="C165" i="17" s="1"/>
  <c r="S164" i="17"/>
  <c r="R164" i="17"/>
  <c r="Q164" i="17"/>
  <c r="P164" i="17"/>
  <c r="O164" i="17"/>
  <c r="T164" i="17" s="1"/>
  <c r="J164" i="17"/>
  <c r="I164" i="17"/>
  <c r="N164" i="17" s="1"/>
  <c r="H164" i="17"/>
  <c r="M164" i="17" s="1"/>
  <c r="G164" i="17"/>
  <c r="L164" i="17" s="1"/>
  <c r="F164" i="17"/>
  <c r="K164" i="17" s="1"/>
  <c r="E164" i="17"/>
  <c r="S163" i="17"/>
  <c r="R163" i="17"/>
  <c r="Q163" i="17"/>
  <c r="P163" i="17"/>
  <c r="O163" i="17"/>
  <c r="T163" i="17" s="1"/>
  <c r="I163" i="17"/>
  <c r="N163" i="17" s="1"/>
  <c r="H163" i="17"/>
  <c r="M163" i="17" s="1"/>
  <c r="G163" i="17"/>
  <c r="L163" i="17" s="1"/>
  <c r="F163" i="17"/>
  <c r="K163" i="17" s="1"/>
  <c r="E163" i="17"/>
  <c r="J163" i="17" s="1"/>
  <c r="S162" i="17"/>
  <c r="R162" i="17"/>
  <c r="Q162" i="17"/>
  <c r="P162" i="17"/>
  <c r="O162" i="17"/>
  <c r="T162" i="17" s="1"/>
  <c r="L162" i="17"/>
  <c r="I162" i="17"/>
  <c r="N162" i="17" s="1"/>
  <c r="H162" i="17"/>
  <c r="M162" i="17" s="1"/>
  <c r="G162" i="17"/>
  <c r="F162" i="17"/>
  <c r="K162" i="17" s="1"/>
  <c r="E162" i="17"/>
  <c r="J162" i="17" s="1"/>
  <c r="S161" i="17"/>
  <c r="R161" i="17"/>
  <c r="Q161" i="17"/>
  <c r="P161" i="17"/>
  <c r="O161" i="17"/>
  <c r="T161" i="17" s="1"/>
  <c r="J161" i="17"/>
  <c r="I161" i="17"/>
  <c r="N161" i="17" s="1"/>
  <c r="H161" i="17"/>
  <c r="M161" i="17" s="1"/>
  <c r="G161" i="17"/>
  <c r="L161" i="17" s="1"/>
  <c r="F161" i="17"/>
  <c r="K161" i="17" s="1"/>
  <c r="E161" i="17"/>
  <c r="S160" i="17"/>
  <c r="R160" i="17"/>
  <c r="T160" i="17" s="1"/>
  <c r="Q160" i="17"/>
  <c r="P160" i="17"/>
  <c r="O160" i="17"/>
  <c r="I160" i="17"/>
  <c r="N160" i="17" s="1"/>
  <c r="H160" i="17"/>
  <c r="M160" i="17" s="1"/>
  <c r="G160" i="17"/>
  <c r="L160" i="17" s="1"/>
  <c r="F160" i="17"/>
  <c r="K160" i="17" s="1"/>
  <c r="E160" i="17"/>
  <c r="J160" i="17" s="1"/>
  <c r="S159" i="17"/>
  <c r="R159" i="17"/>
  <c r="Q159" i="17"/>
  <c r="P159" i="17"/>
  <c r="O159" i="17"/>
  <c r="T159" i="17" s="1"/>
  <c r="I159" i="17"/>
  <c r="N159" i="17" s="1"/>
  <c r="H159" i="17"/>
  <c r="M159" i="17" s="1"/>
  <c r="G159" i="17"/>
  <c r="L159" i="17" s="1"/>
  <c r="F159" i="17"/>
  <c r="K159" i="17" s="1"/>
  <c r="E159" i="17"/>
  <c r="J159" i="17" s="1"/>
  <c r="S158" i="17"/>
  <c r="R158" i="17"/>
  <c r="Q158" i="17"/>
  <c r="P158" i="17"/>
  <c r="O158" i="17"/>
  <c r="T158" i="17" s="1"/>
  <c r="I158" i="17"/>
  <c r="N158" i="17" s="1"/>
  <c r="H158" i="17"/>
  <c r="M158" i="17" s="1"/>
  <c r="G158" i="17"/>
  <c r="L158" i="17" s="1"/>
  <c r="F158" i="17"/>
  <c r="K158" i="17" s="1"/>
  <c r="E158" i="17"/>
  <c r="J158" i="17" s="1"/>
  <c r="S157" i="17"/>
  <c r="R157" i="17"/>
  <c r="Q157" i="17"/>
  <c r="P157" i="17"/>
  <c r="O157" i="17"/>
  <c r="T157" i="17" s="1"/>
  <c r="I157" i="17"/>
  <c r="N157" i="17" s="1"/>
  <c r="H157" i="17"/>
  <c r="M157" i="17" s="1"/>
  <c r="G157" i="17"/>
  <c r="L157" i="17" s="1"/>
  <c r="F157" i="17"/>
  <c r="K157" i="17" s="1"/>
  <c r="E157" i="17"/>
  <c r="J157" i="17" s="1"/>
  <c r="S156" i="17"/>
  <c r="R156" i="17"/>
  <c r="Q156" i="17"/>
  <c r="P156" i="17"/>
  <c r="O156" i="17"/>
  <c r="T156" i="17" s="1"/>
  <c r="I156" i="17"/>
  <c r="N156" i="17" s="1"/>
  <c r="H156" i="17"/>
  <c r="M156" i="17" s="1"/>
  <c r="G156" i="17"/>
  <c r="L156" i="17" s="1"/>
  <c r="F156" i="17"/>
  <c r="K156" i="17" s="1"/>
  <c r="E156" i="17"/>
  <c r="J156" i="17" s="1"/>
  <c r="S155" i="17"/>
  <c r="R155" i="17"/>
  <c r="Q155" i="17"/>
  <c r="P155" i="17"/>
  <c r="O155" i="17"/>
  <c r="T155" i="17" s="1"/>
  <c r="L155" i="17"/>
  <c r="K155" i="17"/>
  <c r="I155" i="17"/>
  <c r="N155" i="17" s="1"/>
  <c r="H155" i="17"/>
  <c r="M155" i="17" s="1"/>
  <c r="G155" i="17"/>
  <c r="F155" i="17"/>
  <c r="E155" i="17"/>
  <c r="J155" i="17" s="1"/>
  <c r="S154" i="17"/>
  <c r="R154" i="17"/>
  <c r="Q154" i="17"/>
  <c r="P154" i="17"/>
  <c r="O154" i="17"/>
  <c r="T154" i="17" s="1"/>
  <c r="K154" i="17"/>
  <c r="I154" i="17"/>
  <c r="N154" i="17" s="1"/>
  <c r="H154" i="17"/>
  <c r="M154" i="17" s="1"/>
  <c r="G154" i="17"/>
  <c r="L154" i="17" s="1"/>
  <c r="F154" i="17"/>
  <c r="E154" i="17"/>
  <c r="J154" i="17" s="1"/>
  <c r="S153" i="17"/>
  <c r="R153" i="17"/>
  <c r="Q153" i="17"/>
  <c r="P153" i="17"/>
  <c r="O153" i="17"/>
  <c r="T153" i="17" s="1"/>
  <c r="L153" i="17"/>
  <c r="I153" i="17"/>
  <c r="N153" i="17" s="1"/>
  <c r="H153" i="17"/>
  <c r="M153" i="17" s="1"/>
  <c r="G153" i="17"/>
  <c r="F153" i="17"/>
  <c r="K153" i="17" s="1"/>
  <c r="E153" i="17"/>
  <c r="J153" i="17" s="1"/>
  <c r="S152" i="17"/>
  <c r="R152" i="17"/>
  <c r="T152" i="17" s="1"/>
  <c r="Q152" i="17"/>
  <c r="P152" i="17"/>
  <c r="O152" i="17"/>
  <c r="N152" i="17"/>
  <c r="I152" i="17"/>
  <c r="H152" i="17"/>
  <c r="M152" i="17" s="1"/>
  <c r="G152" i="17"/>
  <c r="L152" i="17" s="1"/>
  <c r="F152" i="17"/>
  <c r="K152" i="17" s="1"/>
  <c r="E152" i="17"/>
  <c r="J152" i="17" s="1"/>
  <c r="S151" i="17"/>
  <c r="R151" i="17"/>
  <c r="Q151" i="17"/>
  <c r="P151" i="17"/>
  <c r="O151" i="17"/>
  <c r="T151" i="17" s="1"/>
  <c r="N151" i="17"/>
  <c r="I151" i="17"/>
  <c r="H151" i="17"/>
  <c r="M151" i="17" s="1"/>
  <c r="G151" i="17"/>
  <c r="L151" i="17" s="1"/>
  <c r="F151" i="17"/>
  <c r="K151" i="17" s="1"/>
  <c r="E151" i="17"/>
  <c r="J151" i="17" s="1"/>
  <c r="S150" i="17"/>
  <c r="R150" i="17"/>
  <c r="Q150" i="17"/>
  <c r="P150" i="17"/>
  <c r="O150" i="17"/>
  <c r="T150" i="17" s="1"/>
  <c r="I150" i="17"/>
  <c r="N150" i="17" s="1"/>
  <c r="H150" i="17"/>
  <c r="M150" i="17" s="1"/>
  <c r="G150" i="17"/>
  <c r="L150" i="17" s="1"/>
  <c r="F150" i="17"/>
  <c r="K150" i="17" s="1"/>
  <c r="E150" i="17"/>
  <c r="J150" i="17" s="1"/>
  <c r="S149" i="17"/>
  <c r="R149" i="17"/>
  <c r="Q149" i="17"/>
  <c r="P149" i="17"/>
  <c r="O149" i="17"/>
  <c r="T149" i="17" s="1"/>
  <c r="I149" i="17"/>
  <c r="N149" i="17" s="1"/>
  <c r="H149" i="17"/>
  <c r="M149" i="17" s="1"/>
  <c r="G149" i="17"/>
  <c r="L149" i="17" s="1"/>
  <c r="F149" i="17"/>
  <c r="K149" i="17" s="1"/>
  <c r="E149" i="17"/>
  <c r="J149" i="17" s="1"/>
  <c r="S148" i="17"/>
  <c r="R148" i="17"/>
  <c r="Q148" i="17"/>
  <c r="P148" i="17"/>
  <c r="O148" i="17"/>
  <c r="T148" i="17" s="1"/>
  <c r="I148" i="17"/>
  <c r="N148" i="17" s="1"/>
  <c r="H148" i="17"/>
  <c r="M148" i="17" s="1"/>
  <c r="G148" i="17"/>
  <c r="L148" i="17" s="1"/>
  <c r="F148" i="17"/>
  <c r="K148" i="17" s="1"/>
  <c r="E148" i="17"/>
  <c r="J148" i="17" s="1"/>
  <c r="S147" i="17"/>
  <c r="R147" i="17"/>
  <c r="Q147" i="17"/>
  <c r="P147" i="17"/>
  <c r="O147" i="17"/>
  <c r="T147" i="17" s="1"/>
  <c r="L147" i="17"/>
  <c r="I147" i="17"/>
  <c r="N147" i="17" s="1"/>
  <c r="H147" i="17"/>
  <c r="M147" i="17" s="1"/>
  <c r="G147" i="17"/>
  <c r="F147" i="17"/>
  <c r="K147" i="17" s="1"/>
  <c r="E147" i="17"/>
  <c r="J147" i="17" s="1"/>
  <c r="S146" i="17"/>
  <c r="R146" i="17"/>
  <c r="Q146" i="17"/>
  <c r="P146" i="17"/>
  <c r="O146" i="17"/>
  <c r="T146" i="17" s="1"/>
  <c r="K146" i="17"/>
  <c r="I146" i="17"/>
  <c r="N146" i="17" s="1"/>
  <c r="H146" i="17"/>
  <c r="M146" i="17" s="1"/>
  <c r="G146" i="17"/>
  <c r="L146" i="17" s="1"/>
  <c r="F146" i="17"/>
  <c r="E146" i="17"/>
  <c r="J146" i="17" s="1"/>
  <c r="S145" i="17"/>
  <c r="R145" i="17"/>
  <c r="Q145" i="17"/>
  <c r="P145" i="17"/>
  <c r="O145" i="17"/>
  <c r="T145" i="17" s="1"/>
  <c r="L145" i="17"/>
  <c r="I145" i="17"/>
  <c r="N145" i="17" s="1"/>
  <c r="H145" i="17"/>
  <c r="M145" i="17" s="1"/>
  <c r="G145" i="17"/>
  <c r="F145" i="17"/>
  <c r="K145" i="17" s="1"/>
  <c r="E145" i="17"/>
  <c r="J145" i="17" s="1"/>
  <c r="S144" i="17"/>
  <c r="R144" i="17"/>
  <c r="Q144" i="17"/>
  <c r="P144" i="17"/>
  <c r="O144" i="17"/>
  <c r="K144" i="17"/>
  <c r="I144" i="17"/>
  <c r="N144" i="17" s="1"/>
  <c r="H144" i="17"/>
  <c r="M144" i="17" s="1"/>
  <c r="G144" i="17"/>
  <c r="L144" i="17" s="1"/>
  <c r="F144" i="17"/>
  <c r="E144" i="17"/>
  <c r="J144" i="17" s="1"/>
  <c r="S143" i="17"/>
  <c r="R143" i="17"/>
  <c r="Q143" i="17"/>
  <c r="P143" i="17"/>
  <c r="O143" i="17"/>
  <c r="T143" i="17" s="1"/>
  <c r="I143" i="17"/>
  <c r="N143" i="17" s="1"/>
  <c r="H143" i="17"/>
  <c r="M143" i="17" s="1"/>
  <c r="G143" i="17"/>
  <c r="L143" i="17" s="1"/>
  <c r="F143" i="17"/>
  <c r="K143" i="17" s="1"/>
  <c r="E143" i="17"/>
  <c r="J143" i="17" s="1"/>
  <c r="S142" i="17"/>
  <c r="R142" i="17"/>
  <c r="Q142" i="17"/>
  <c r="P142" i="17"/>
  <c r="O142" i="17"/>
  <c r="T142" i="17" s="1"/>
  <c r="I142" i="17"/>
  <c r="N142" i="17" s="1"/>
  <c r="H142" i="17"/>
  <c r="M142" i="17" s="1"/>
  <c r="G142" i="17"/>
  <c r="L142" i="17" s="1"/>
  <c r="F142" i="17"/>
  <c r="K142" i="17" s="1"/>
  <c r="E142" i="17"/>
  <c r="J142" i="17" s="1"/>
  <c r="S141" i="17"/>
  <c r="R141" i="17"/>
  <c r="Q141" i="17"/>
  <c r="P141" i="17"/>
  <c r="O141" i="17"/>
  <c r="T141" i="17" s="1"/>
  <c r="I141" i="17"/>
  <c r="N141" i="17" s="1"/>
  <c r="H141" i="17"/>
  <c r="M141" i="17" s="1"/>
  <c r="G141" i="17"/>
  <c r="L141" i="17" s="1"/>
  <c r="F141" i="17"/>
  <c r="K141" i="17" s="1"/>
  <c r="E141" i="17"/>
  <c r="J141" i="17" s="1"/>
  <c r="S140" i="17"/>
  <c r="R140" i="17"/>
  <c r="Q140" i="17"/>
  <c r="P140" i="17"/>
  <c r="O140" i="17"/>
  <c r="T140" i="17" s="1"/>
  <c r="J140" i="17"/>
  <c r="I140" i="17"/>
  <c r="N140" i="17" s="1"/>
  <c r="H140" i="17"/>
  <c r="M140" i="17" s="1"/>
  <c r="G140" i="17"/>
  <c r="L140" i="17" s="1"/>
  <c r="F140" i="17"/>
  <c r="K140" i="17" s="1"/>
  <c r="E140" i="17"/>
  <c r="S139" i="17"/>
  <c r="R139" i="17"/>
  <c r="Q139" i="17"/>
  <c r="P139" i="17"/>
  <c r="O139" i="17"/>
  <c r="T139" i="17" s="1"/>
  <c r="K139" i="17"/>
  <c r="I139" i="17"/>
  <c r="N139" i="17" s="1"/>
  <c r="H139" i="17"/>
  <c r="M139" i="17" s="1"/>
  <c r="G139" i="17"/>
  <c r="L139" i="17" s="1"/>
  <c r="F139" i="17"/>
  <c r="E139" i="17"/>
  <c r="J139" i="17" s="1"/>
  <c r="S138" i="17"/>
  <c r="R138" i="17"/>
  <c r="Q138" i="17"/>
  <c r="P138" i="17"/>
  <c r="O138" i="17"/>
  <c r="T138" i="17" s="1"/>
  <c r="L138" i="17"/>
  <c r="I138" i="17"/>
  <c r="N138" i="17" s="1"/>
  <c r="H138" i="17"/>
  <c r="M138" i="17" s="1"/>
  <c r="G138" i="17"/>
  <c r="F138" i="17"/>
  <c r="K138" i="17" s="1"/>
  <c r="E138" i="17"/>
  <c r="J138" i="17" s="1"/>
  <c r="S137" i="17"/>
  <c r="R137" i="17"/>
  <c r="Q137" i="17"/>
  <c r="P137" i="17"/>
  <c r="O137" i="17"/>
  <c r="T137" i="17" s="1"/>
  <c r="N137" i="17"/>
  <c r="I137" i="17"/>
  <c r="H137" i="17"/>
  <c r="M137" i="17" s="1"/>
  <c r="G137" i="17"/>
  <c r="L137" i="17" s="1"/>
  <c r="F137" i="17"/>
  <c r="K137" i="17" s="1"/>
  <c r="E137" i="17"/>
  <c r="J137" i="17" s="1"/>
  <c r="S136" i="17"/>
  <c r="R136" i="17"/>
  <c r="Q136" i="17"/>
  <c r="P136" i="17"/>
  <c r="O136" i="17"/>
  <c r="K136" i="17"/>
  <c r="I136" i="17"/>
  <c r="N136" i="17" s="1"/>
  <c r="H136" i="17"/>
  <c r="M136" i="17" s="1"/>
  <c r="G136" i="17"/>
  <c r="L136" i="17" s="1"/>
  <c r="F136" i="17"/>
  <c r="E136" i="17"/>
  <c r="J136" i="17" s="1"/>
  <c r="S135" i="17"/>
  <c r="R135" i="17"/>
  <c r="Q135" i="17"/>
  <c r="P135" i="17"/>
  <c r="O135" i="17"/>
  <c r="T135" i="17" s="1"/>
  <c r="I135" i="17"/>
  <c r="N135" i="17" s="1"/>
  <c r="H135" i="17"/>
  <c r="M135" i="17" s="1"/>
  <c r="G135" i="17"/>
  <c r="L135" i="17" s="1"/>
  <c r="F135" i="17"/>
  <c r="K135" i="17" s="1"/>
  <c r="E135" i="17"/>
  <c r="J135" i="17" s="1"/>
  <c r="S134" i="17"/>
  <c r="R134" i="17"/>
  <c r="Q134" i="17"/>
  <c r="P134" i="17"/>
  <c r="O134" i="17"/>
  <c r="T134" i="17" s="1"/>
  <c r="I134" i="17"/>
  <c r="N134" i="17" s="1"/>
  <c r="H134" i="17"/>
  <c r="M134" i="17" s="1"/>
  <c r="G134" i="17"/>
  <c r="L134" i="17" s="1"/>
  <c r="F134" i="17"/>
  <c r="K134" i="17" s="1"/>
  <c r="E134" i="17"/>
  <c r="J134" i="17" s="1"/>
  <c r="S133" i="17"/>
  <c r="R133" i="17"/>
  <c r="Q133" i="17"/>
  <c r="P133" i="17"/>
  <c r="O133" i="17"/>
  <c r="T133" i="17" s="1"/>
  <c r="I133" i="17"/>
  <c r="N133" i="17" s="1"/>
  <c r="H133" i="17"/>
  <c r="M133" i="17" s="1"/>
  <c r="G133" i="17"/>
  <c r="L133" i="17" s="1"/>
  <c r="F133" i="17"/>
  <c r="K133" i="17" s="1"/>
  <c r="E133" i="17"/>
  <c r="J133" i="17" s="1"/>
  <c r="S132" i="17"/>
  <c r="R132" i="17"/>
  <c r="Q132" i="17"/>
  <c r="P132" i="17"/>
  <c r="O132" i="17"/>
  <c r="T132" i="17" s="1"/>
  <c r="J132" i="17"/>
  <c r="I132" i="17"/>
  <c r="N132" i="17" s="1"/>
  <c r="H132" i="17"/>
  <c r="M132" i="17" s="1"/>
  <c r="G132" i="17"/>
  <c r="L132" i="17" s="1"/>
  <c r="F132" i="17"/>
  <c r="K132" i="17" s="1"/>
  <c r="E132" i="17"/>
  <c r="S131" i="17"/>
  <c r="R131" i="17"/>
  <c r="Q131" i="17"/>
  <c r="P131" i="17"/>
  <c r="O131" i="17"/>
  <c r="T131" i="17" s="1"/>
  <c r="I131" i="17"/>
  <c r="N131" i="17" s="1"/>
  <c r="H131" i="17"/>
  <c r="M131" i="17" s="1"/>
  <c r="G131" i="17"/>
  <c r="L131" i="17" s="1"/>
  <c r="F131" i="17"/>
  <c r="K131" i="17" s="1"/>
  <c r="E131" i="17"/>
  <c r="J131" i="17" s="1"/>
  <c r="S130" i="17"/>
  <c r="R130" i="17"/>
  <c r="Q130" i="17"/>
  <c r="P130" i="17"/>
  <c r="O130" i="17"/>
  <c r="T130" i="17" s="1"/>
  <c r="I130" i="17"/>
  <c r="N130" i="17" s="1"/>
  <c r="H130" i="17"/>
  <c r="M130" i="17" s="1"/>
  <c r="G130" i="17"/>
  <c r="L130" i="17" s="1"/>
  <c r="F130" i="17"/>
  <c r="K130" i="17" s="1"/>
  <c r="E130" i="17"/>
  <c r="J130" i="17" s="1"/>
  <c r="S129" i="17"/>
  <c r="R129" i="17"/>
  <c r="Q129" i="17"/>
  <c r="P129" i="17"/>
  <c r="O129" i="17"/>
  <c r="T129" i="17" s="1"/>
  <c r="I129" i="17"/>
  <c r="N129" i="17" s="1"/>
  <c r="H129" i="17"/>
  <c r="M129" i="17" s="1"/>
  <c r="G129" i="17"/>
  <c r="L129" i="17" s="1"/>
  <c r="F129" i="17"/>
  <c r="K129" i="17" s="1"/>
  <c r="E129" i="17"/>
  <c r="J129" i="17" s="1"/>
  <c r="S128" i="17"/>
  <c r="R128" i="17"/>
  <c r="Q128" i="17"/>
  <c r="P128" i="17"/>
  <c r="O128" i="17"/>
  <c r="K128" i="17"/>
  <c r="I128" i="17"/>
  <c r="N128" i="17" s="1"/>
  <c r="H128" i="17"/>
  <c r="M128" i="17" s="1"/>
  <c r="G128" i="17"/>
  <c r="L128" i="17" s="1"/>
  <c r="F128" i="17"/>
  <c r="E128" i="17"/>
  <c r="J128" i="17" s="1"/>
  <c r="S127" i="17"/>
  <c r="R127" i="17"/>
  <c r="Q127" i="17"/>
  <c r="P127" i="17"/>
  <c r="O127" i="17"/>
  <c r="T127" i="17" s="1"/>
  <c r="I127" i="17"/>
  <c r="N127" i="17" s="1"/>
  <c r="H127" i="17"/>
  <c r="M127" i="17" s="1"/>
  <c r="G127" i="17"/>
  <c r="L127" i="17" s="1"/>
  <c r="F127" i="17"/>
  <c r="K127" i="17" s="1"/>
  <c r="E127" i="17"/>
  <c r="J127" i="17" s="1"/>
  <c r="S126" i="17"/>
  <c r="R126" i="17"/>
  <c r="Q126" i="17"/>
  <c r="P126" i="17"/>
  <c r="O126" i="17"/>
  <c r="T126" i="17" s="1"/>
  <c r="I126" i="17"/>
  <c r="N126" i="17" s="1"/>
  <c r="H126" i="17"/>
  <c r="M126" i="17" s="1"/>
  <c r="G126" i="17"/>
  <c r="L126" i="17" s="1"/>
  <c r="F126" i="17"/>
  <c r="K126" i="17" s="1"/>
  <c r="E126" i="17"/>
  <c r="J126" i="17" s="1"/>
  <c r="S125" i="17"/>
  <c r="R125" i="17"/>
  <c r="Q125" i="17"/>
  <c r="P125" i="17"/>
  <c r="O125" i="17"/>
  <c r="T125" i="17" s="1"/>
  <c r="I125" i="17"/>
  <c r="N125" i="17" s="1"/>
  <c r="H125" i="17"/>
  <c r="M125" i="17" s="1"/>
  <c r="G125" i="17"/>
  <c r="L125" i="17" s="1"/>
  <c r="F125" i="17"/>
  <c r="K125" i="17" s="1"/>
  <c r="E125" i="17"/>
  <c r="J125" i="17" s="1"/>
  <c r="S124" i="17"/>
  <c r="R124" i="17"/>
  <c r="Q124" i="17"/>
  <c r="P124" i="17"/>
  <c r="O124" i="17"/>
  <c r="T124" i="17" s="1"/>
  <c r="I124" i="17"/>
  <c r="N124" i="17" s="1"/>
  <c r="H124" i="17"/>
  <c r="M124" i="17" s="1"/>
  <c r="G124" i="17"/>
  <c r="L124" i="17" s="1"/>
  <c r="F124" i="17"/>
  <c r="K124" i="17" s="1"/>
  <c r="E124" i="17"/>
  <c r="J124" i="17" s="1"/>
  <c r="S123" i="17"/>
  <c r="R123" i="17"/>
  <c r="Q123" i="17"/>
  <c r="P123" i="17"/>
  <c r="O123" i="17"/>
  <c r="T123" i="17" s="1"/>
  <c r="J123" i="17"/>
  <c r="I123" i="17"/>
  <c r="N123" i="17" s="1"/>
  <c r="H123" i="17"/>
  <c r="M123" i="17" s="1"/>
  <c r="G123" i="17"/>
  <c r="L123" i="17" s="1"/>
  <c r="F123" i="17"/>
  <c r="K123" i="17" s="1"/>
  <c r="E123" i="17"/>
  <c r="S122" i="17"/>
  <c r="R122" i="17"/>
  <c r="Q122" i="17"/>
  <c r="P122" i="17"/>
  <c r="O122" i="17"/>
  <c r="T122" i="17" s="1"/>
  <c r="J122" i="17"/>
  <c r="I122" i="17"/>
  <c r="N122" i="17" s="1"/>
  <c r="H122" i="17"/>
  <c r="M122" i="17" s="1"/>
  <c r="G122" i="17"/>
  <c r="L122" i="17" s="1"/>
  <c r="F122" i="17"/>
  <c r="K122" i="17" s="1"/>
  <c r="E122" i="17"/>
  <c r="S121" i="17"/>
  <c r="R121" i="17"/>
  <c r="Q121" i="17"/>
  <c r="P121" i="17"/>
  <c r="O121" i="17"/>
  <c r="T121" i="17" s="1"/>
  <c r="M121" i="17"/>
  <c r="I121" i="17"/>
  <c r="N121" i="17" s="1"/>
  <c r="H121" i="17"/>
  <c r="G121" i="17"/>
  <c r="L121" i="17" s="1"/>
  <c r="F121" i="17"/>
  <c r="K121" i="17" s="1"/>
  <c r="E121" i="17"/>
  <c r="J121" i="17" s="1"/>
  <c r="S120" i="17"/>
  <c r="R120" i="17"/>
  <c r="Q120" i="17"/>
  <c r="P120" i="17"/>
  <c r="O120" i="17"/>
  <c r="M120" i="17"/>
  <c r="I120" i="17"/>
  <c r="N120" i="17" s="1"/>
  <c r="H120" i="17"/>
  <c r="G120" i="17"/>
  <c r="L120" i="17" s="1"/>
  <c r="F120" i="17"/>
  <c r="K120" i="17" s="1"/>
  <c r="E120" i="17"/>
  <c r="J120" i="17" s="1"/>
  <c r="S119" i="17"/>
  <c r="R119" i="17"/>
  <c r="Q119" i="17"/>
  <c r="P119" i="17"/>
  <c r="O119" i="17"/>
  <c r="T119" i="17" s="1"/>
  <c r="I119" i="17"/>
  <c r="N119" i="17" s="1"/>
  <c r="H119" i="17"/>
  <c r="M119" i="17" s="1"/>
  <c r="G119" i="17"/>
  <c r="L119" i="17" s="1"/>
  <c r="F119" i="17"/>
  <c r="K119" i="17" s="1"/>
  <c r="E119" i="17"/>
  <c r="J119" i="17" s="1"/>
  <c r="S118" i="17"/>
  <c r="R118" i="17"/>
  <c r="Q118" i="17"/>
  <c r="P118" i="17"/>
  <c r="O118" i="17"/>
  <c r="T118" i="17" s="1"/>
  <c r="I118" i="17"/>
  <c r="N118" i="17" s="1"/>
  <c r="H118" i="17"/>
  <c r="M118" i="17" s="1"/>
  <c r="G118" i="17"/>
  <c r="L118" i="17" s="1"/>
  <c r="F118" i="17"/>
  <c r="K118" i="17" s="1"/>
  <c r="E118" i="17"/>
  <c r="J118" i="17" s="1"/>
  <c r="S117" i="17"/>
  <c r="R117" i="17"/>
  <c r="Q117" i="17"/>
  <c r="P117" i="17"/>
  <c r="O117" i="17"/>
  <c r="T117" i="17" s="1"/>
  <c r="I117" i="17"/>
  <c r="N117" i="17" s="1"/>
  <c r="H117" i="17"/>
  <c r="M117" i="17" s="1"/>
  <c r="G117" i="17"/>
  <c r="L117" i="17" s="1"/>
  <c r="F117" i="17"/>
  <c r="K117" i="17" s="1"/>
  <c r="E117" i="17"/>
  <c r="J117" i="17" s="1"/>
  <c r="S116" i="17"/>
  <c r="R116" i="17"/>
  <c r="Q116" i="17"/>
  <c r="P116" i="17"/>
  <c r="O116" i="17"/>
  <c r="T116" i="17" s="1"/>
  <c r="I116" i="17"/>
  <c r="N116" i="17" s="1"/>
  <c r="H116" i="17"/>
  <c r="M116" i="17" s="1"/>
  <c r="G116" i="17"/>
  <c r="L116" i="17" s="1"/>
  <c r="F116" i="17"/>
  <c r="K116" i="17" s="1"/>
  <c r="E116" i="17"/>
  <c r="J116" i="17" s="1"/>
  <c r="S115" i="17"/>
  <c r="R115" i="17"/>
  <c r="Q115" i="17"/>
  <c r="P115" i="17"/>
  <c r="O115" i="17"/>
  <c r="T115" i="17" s="1"/>
  <c r="I115" i="17"/>
  <c r="N115" i="17" s="1"/>
  <c r="H115" i="17"/>
  <c r="M115" i="17" s="1"/>
  <c r="G115" i="17"/>
  <c r="L115" i="17" s="1"/>
  <c r="F115" i="17"/>
  <c r="K115" i="17" s="1"/>
  <c r="E115" i="17"/>
  <c r="J115" i="17" s="1"/>
  <c r="S114" i="17"/>
  <c r="R114" i="17"/>
  <c r="Q114" i="17"/>
  <c r="P114" i="17"/>
  <c r="O114" i="17"/>
  <c r="T114" i="17" s="1"/>
  <c r="L114" i="17"/>
  <c r="K114" i="17"/>
  <c r="I114" i="17"/>
  <c r="N114" i="17" s="1"/>
  <c r="H114" i="17"/>
  <c r="M114" i="17" s="1"/>
  <c r="G114" i="17"/>
  <c r="F114" i="17"/>
  <c r="E114" i="17"/>
  <c r="J114" i="17" s="1"/>
  <c r="S113" i="17"/>
  <c r="R113" i="17"/>
  <c r="Q113" i="17"/>
  <c r="P113" i="17"/>
  <c r="O113" i="17"/>
  <c r="T113" i="17" s="1"/>
  <c r="I113" i="17"/>
  <c r="N113" i="17" s="1"/>
  <c r="H113" i="17"/>
  <c r="M113" i="17" s="1"/>
  <c r="G113" i="17"/>
  <c r="L113" i="17" s="1"/>
  <c r="F113" i="17"/>
  <c r="K113" i="17" s="1"/>
  <c r="E113" i="17"/>
  <c r="J113" i="17" s="1"/>
  <c r="S112" i="17"/>
  <c r="R112" i="17"/>
  <c r="Q112" i="17"/>
  <c r="P112" i="17"/>
  <c r="O112" i="17"/>
  <c r="I112" i="17"/>
  <c r="N112" i="17" s="1"/>
  <c r="H112" i="17"/>
  <c r="M112" i="17" s="1"/>
  <c r="G112" i="17"/>
  <c r="L112" i="17" s="1"/>
  <c r="F112" i="17"/>
  <c r="K112" i="17" s="1"/>
  <c r="E112" i="17"/>
  <c r="J112" i="17" s="1"/>
  <c r="S111" i="17"/>
  <c r="R111" i="17"/>
  <c r="Q111" i="17"/>
  <c r="P111" i="17"/>
  <c r="O111" i="17"/>
  <c r="T111" i="17" s="1"/>
  <c r="I111" i="17"/>
  <c r="N111" i="17" s="1"/>
  <c r="H111" i="17"/>
  <c r="M111" i="17" s="1"/>
  <c r="G111" i="17"/>
  <c r="L111" i="17" s="1"/>
  <c r="F111" i="17"/>
  <c r="K111" i="17" s="1"/>
  <c r="E111" i="17"/>
  <c r="J111" i="17" s="1"/>
  <c r="S110" i="17"/>
  <c r="R110" i="17"/>
  <c r="Q110" i="17"/>
  <c r="P110" i="17"/>
  <c r="O110" i="17"/>
  <c r="T110" i="17" s="1"/>
  <c r="I110" i="17"/>
  <c r="N110" i="17" s="1"/>
  <c r="H110" i="17"/>
  <c r="M110" i="17" s="1"/>
  <c r="G110" i="17"/>
  <c r="L110" i="17" s="1"/>
  <c r="F110" i="17"/>
  <c r="K110" i="17" s="1"/>
  <c r="E110" i="17"/>
  <c r="J110" i="17" s="1"/>
  <c r="S109" i="17"/>
  <c r="R109" i="17"/>
  <c r="Q109" i="17"/>
  <c r="P109" i="17"/>
  <c r="O109" i="17"/>
  <c r="T109" i="17" s="1"/>
  <c r="J109" i="17"/>
  <c r="I109" i="17"/>
  <c r="N109" i="17" s="1"/>
  <c r="H109" i="17"/>
  <c r="M109" i="17" s="1"/>
  <c r="G109" i="17"/>
  <c r="L109" i="17" s="1"/>
  <c r="F109" i="17"/>
  <c r="K109" i="17" s="1"/>
  <c r="E109" i="17"/>
  <c r="S108" i="17"/>
  <c r="R108" i="17"/>
  <c r="Q108" i="17"/>
  <c r="P108" i="17"/>
  <c r="O108" i="17"/>
  <c r="T108" i="17" s="1"/>
  <c r="I108" i="17"/>
  <c r="N108" i="17" s="1"/>
  <c r="H108" i="17"/>
  <c r="M108" i="17" s="1"/>
  <c r="G108" i="17"/>
  <c r="L108" i="17" s="1"/>
  <c r="F108" i="17"/>
  <c r="K108" i="17" s="1"/>
  <c r="E108" i="17"/>
  <c r="J108" i="17" s="1"/>
  <c r="S107" i="17"/>
  <c r="R107" i="17"/>
  <c r="Q107" i="17"/>
  <c r="P107" i="17"/>
  <c r="O107" i="17"/>
  <c r="T107" i="17" s="1"/>
  <c r="K107" i="17"/>
  <c r="J107" i="17"/>
  <c r="I107" i="17"/>
  <c r="N107" i="17" s="1"/>
  <c r="H107" i="17"/>
  <c r="M107" i="17" s="1"/>
  <c r="G107" i="17"/>
  <c r="L107" i="17" s="1"/>
  <c r="F107" i="17"/>
  <c r="E107" i="17"/>
  <c r="S106" i="17"/>
  <c r="R106" i="17"/>
  <c r="Q106" i="17"/>
  <c r="P106" i="17"/>
  <c r="O106" i="17"/>
  <c r="T106" i="17" s="1"/>
  <c r="I106" i="17"/>
  <c r="N106" i="17" s="1"/>
  <c r="H106" i="17"/>
  <c r="M106" i="17" s="1"/>
  <c r="G106" i="17"/>
  <c r="L106" i="17" s="1"/>
  <c r="F106" i="17"/>
  <c r="K106" i="17" s="1"/>
  <c r="E106" i="17"/>
  <c r="J106" i="17" s="1"/>
  <c r="S105" i="17"/>
  <c r="R105" i="17"/>
  <c r="Q105" i="17"/>
  <c r="P105" i="17"/>
  <c r="O105" i="17"/>
  <c r="T105" i="17" s="1"/>
  <c r="I105" i="17"/>
  <c r="N105" i="17" s="1"/>
  <c r="H105" i="17"/>
  <c r="M105" i="17" s="1"/>
  <c r="G105" i="17"/>
  <c r="L105" i="17" s="1"/>
  <c r="F105" i="17"/>
  <c r="K105" i="17" s="1"/>
  <c r="E105" i="17"/>
  <c r="J105" i="17" s="1"/>
  <c r="S104" i="17"/>
  <c r="R104" i="17"/>
  <c r="T104" i="17" s="1"/>
  <c r="Q104" i="17"/>
  <c r="P104" i="17"/>
  <c r="O104" i="17"/>
  <c r="N104" i="17"/>
  <c r="I104" i="17"/>
  <c r="H104" i="17"/>
  <c r="M104" i="17" s="1"/>
  <c r="G104" i="17"/>
  <c r="L104" i="17" s="1"/>
  <c r="F104" i="17"/>
  <c r="K104" i="17" s="1"/>
  <c r="E104" i="17"/>
  <c r="J104" i="17" s="1"/>
  <c r="S103" i="17"/>
  <c r="R103" i="17"/>
  <c r="Q103" i="17"/>
  <c r="P103" i="17"/>
  <c r="O103" i="17"/>
  <c r="T103" i="17" s="1"/>
  <c r="I103" i="17"/>
  <c r="N103" i="17" s="1"/>
  <c r="H103" i="17"/>
  <c r="M103" i="17" s="1"/>
  <c r="G103" i="17"/>
  <c r="L103" i="17" s="1"/>
  <c r="F103" i="17"/>
  <c r="K103" i="17" s="1"/>
  <c r="E103" i="17"/>
  <c r="J103" i="17" s="1"/>
  <c r="S102" i="17"/>
  <c r="R102" i="17"/>
  <c r="Q102" i="17"/>
  <c r="P102" i="17"/>
  <c r="O102" i="17"/>
  <c r="T102" i="17" s="1"/>
  <c r="I102" i="17"/>
  <c r="N102" i="17" s="1"/>
  <c r="H102" i="17"/>
  <c r="M102" i="17" s="1"/>
  <c r="G102" i="17"/>
  <c r="L102" i="17" s="1"/>
  <c r="F102" i="17"/>
  <c r="K102" i="17" s="1"/>
  <c r="E102" i="17"/>
  <c r="J102" i="17" s="1"/>
  <c r="S101" i="17"/>
  <c r="R101" i="17"/>
  <c r="Q101" i="17"/>
  <c r="P101" i="17"/>
  <c r="O101" i="17"/>
  <c r="T101" i="17" s="1"/>
  <c r="J101" i="17"/>
  <c r="I101" i="17"/>
  <c r="N101" i="17" s="1"/>
  <c r="H101" i="17"/>
  <c r="M101" i="17" s="1"/>
  <c r="G101" i="17"/>
  <c r="L101" i="17" s="1"/>
  <c r="F101" i="17"/>
  <c r="K101" i="17" s="1"/>
  <c r="E101" i="17"/>
  <c r="S100" i="17"/>
  <c r="R100" i="17"/>
  <c r="Q100" i="17"/>
  <c r="P100" i="17"/>
  <c r="O100" i="17"/>
  <c r="T100" i="17" s="1"/>
  <c r="K100" i="17"/>
  <c r="I100" i="17"/>
  <c r="N100" i="17" s="1"/>
  <c r="H100" i="17"/>
  <c r="M100" i="17" s="1"/>
  <c r="G100" i="17"/>
  <c r="L100" i="17" s="1"/>
  <c r="F100" i="17"/>
  <c r="E100" i="17"/>
  <c r="J100" i="17" s="1"/>
  <c r="S99" i="17"/>
  <c r="R99" i="17"/>
  <c r="Q99" i="17"/>
  <c r="P99" i="17"/>
  <c r="O99" i="17"/>
  <c r="T99" i="17" s="1"/>
  <c r="I99" i="17"/>
  <c r="N99" i="17" s="1"/>
  <c r="H99" i="17"/>
  <c r="M99" i="17" s="1"/>
  <c r="G99" i="17"/>
  <c r="L99" i="17" s="1"/>
  <c r="F99" i="17"/>
  <c r="K99" i="17" s="1"/>
  <c r="E99" i="17"/>
  <c r="J99" i="17" s="1"/>
  <c r="S98" i="17"/>
  <c r="R98" i="17"/>
  <c r="Q98" i="17"/>
  <c r="P98" i="17"/>
  <c r="O98" i="17"/>
  <c r="T98" i="17" s="1"/>
  <c r="I98" i="17"/>
  <c r="N98" i="17" s="1"/>
  <c r="H98" i="17"/>
  <c r="M98" i="17" s="1"/>
  <c r="G98" i="17"/>
  <c r="L98" i="17" s="1"/>
  <c r="F98" i="17"/>
  <c r="K98" i="17" s="1"/>
  <c r="E98" i="17"/>
  <c r="J98" i="17" s="1"/>
  <c r="S97" i="17"/>
  <c r="R97" i="17"/>
  <c r="Q97" i="17"/>
  <c r="P97" i="17"/>
  <c r="O97" i="17"/>
  <c r="T97" i="17" s="1"/>
  <c r="L97" i="17"/>
  <c r="I97" i="17"/>
  <c r="N97" i="17" s="1"/>
  <c r="H97" i="17"/>
  <c r="M97" i="17" s="1"/>
  <c r="G97" i="17"/>
  <c r="F97" i="17"/>
  <c r="K97" i="17" s="1"/>
  <c r="E97" i="17"/>
  <c r="J97" i="17" s="1"/>
  <c r="S96" i="17"/>
  <c r="R96" i="17"/>
  <c r="Q96" i="17"/>
  <c r="P96" i="17"/>
  <c r="O96" i="17"/>
  <c r="K96" i="17"/>
  <c r="I96" i="17"/>
  <c r="N96" i="17" s="1"/>
  <c r="H96" i="17"/>
  <c r="M96" i="17" s="1"/>
  <c r="G96" i="17"/>
  <c r="L96" i="17" s="1"/>
  <c r="F96" i="17"/>
  <c r="E96" i="17"/>
  <c r="J96" i="17" s="1"/>
  <c r="S95" i="17"/>
  <c r="R95" i="17"/>
  <c r="Q95" i="17"/>
  <c r="P95" i="17"/>
  <c r="O95" i="17"/>
  <c r="T95" i="17" s="1"/>
  <c r="N95" i="17"/>
  <c r="I95" i="17"/>
  <c r="H95" i="17"/>
  <c r="M95" i="17" s="1"/>
  <c r="G95" i="17"/>
  <c r="L95" i="17" s="1"/>
  <c r="F95" i="17"/>
  <c r="K95" i="17" s="1"/>
  <c r="E95" i="17"/>
  <c r="J95" i="17" s="1"/>
  <c r="S94" i="17"/>
  <c r="R94" i="17"/>
  <c r="Q94" i="17"/>
  <c r="P94" i="17"/>
  <c r="O94" i="17"/>
  <c r="T94" i="17" s="1"/>
  <c r="I94" i="17"/>
  <c r="N94" i="17" s="1"/>
  <c r="H94" i="17"/>
  <c r="M94" i="17" s="1"/>
  <c r="G94" i="17"/>
  <c r="L94" i="17" s="1"/>
  <c r="F94" i="17"/>
  <c r="K94" i="17" s="1"/>
  <c r="E94" i="17"/>
  <c r="J94" i="17" s="1"/>
  <c r="S93" i="17"/>
  <c r="R93" i="17"/>
  <c r="Q93" i="17"/>
  <c r="P93" i="17"/>
  <c r="O93" i="17"/>
  <c r="T93" i="17" s="1"/>
  <c r="I93" i="17"/>
  <c r="N93" i="17" s="1"/>
  <c r="H93" i="17"/>
  <c r="M93" i="17" s="1"/>
  <c r="G93" i="17"/>
  <c r="L93" i="17" s="1"/>
  <c r="F93" i="17"/>
  <c r="K93" i="17" s="1"/>
  <c r="E93" i="17"/>
  <c r="J93" i="17" s="1"/>
  <c r="S92" i="17"/>
  <c r="R92" i="17"/>
  <c r="Q92" i="17"/>
  <c r="P92" i="17"/>
  <c r="O92" i="17"/>
  <c r="T92" i="17" s="1"/>
  <c r="I92" i="17"/>
  <c r="N92" i="17" s="1"/>
  <c r="H92" i="17"/>
  <c r="M92" i="17" s="1"/>
  <c r="G92" i="17"/>
  <c r="L92" i="17" s="1"/>
  <c r="F92" i="17"/>
  <c r="K92" i="17" s="1"/>
  <c r="E92" i="17"/>
  <c r="J92" i="17" s="1"/>
  <c r="S91" i="17"/>
  <c r="R91" i="17"/>
  <c r="Q91" i="17"/>
  <c r="P91" i="17"/>
  <c r="O91" i="17"/>
  <c r="T91" i="17" s="1"/>
  <c r="I91" i="17"/>
  <c r="N91" i="17" s="1"/>
  <c r="H91" i="17"/>
  <c r="M91" i="17" s="1"/>
  <c r="G91" i="17"/>
  <c r="L91" i="17" s="1"/>
  <c r="F91" i="17"/>
  <c r="K91" i="17" s="1"/>
  <c r="E91" i="17"/>
  <c r="J91" i="17" s="1"/>
  <c r="S90" i="17"/>
  <c r="R90" i="17"/>
  <c r="Q90" i="17"/>
  <c r="P90" i="17"/>
  <c r="O90" i="17"/>
  <c r="T90" i="17" s="1"/>
  <c r="K90" i="17"/>
  <c r="J90" i="17"/>
  <c r="I90" i="17"/>
  <c r="N90" i="17" s="1"/>
  <c r="H90" i="17"/>
  <c r="M90" i="17" s="1"/>
  <c r="G90" i="17"/>
  <c r="L90" i="17" s="1"/>
  <c r="F90" i="17"/>
  <c r="E90" i="17"/>
  <c r="S89" i="17"/>
  <c r="R89" i="17"/>
  <c r="Q89" i="17"/>
  <c r="P89" i="17"/>
  <c r="O89" i="17"/>
  <c r="T89" i="17" s="1"/>
  <c r="I89" i="17"/>
  <c r="N89" i="17" s="1"/>
  <c r="H89" i="17"/>
  <c r="M89" i="17" s="1"/>
  <c r="G89" i="17"/>
  <c r="L89" i="17" s="1"/>
  <c r="F89" i="17"/>
  <c r="K89" i="17" s="1"/>
  <c r="E89" i="17"/>
  <c r="J89" i="17" s="1"/>
  <c r="S88" i="17"/>
  <c r="T88" i="17" s="1"/>
  <c r="R88" i="17"/>
  <c r="Q88" i="17"/>
  <c r="P88" i="17"/>
  <c r="O88" i="17"/>
  <c r="K88" i="17"/>
  <c r="I88" i="17"/>
  <c r="N88" i="17" s="1"/>
  <c r="H88" i="17"/>
  <c r="M88" i="17" s="1"/>
  <c r="G88" i="17"/>
  <c r="L88" i="17" s="1"/>
  <c r="F88" i="17"/>
  <c r="E88" i="17"/>
  <c r="J88" i="17" s="1"/>
  <c r="S87" i="17"/>
  <c r="R87" i="17"/>
  <c r="Q87" i="17"/>
  <c r="P87" i="17"/>
  <c r="O87" i="17"/>
  <c r="T87" i="17" s="1"/>
  <c r="I87" i="17"/>
  <c r="N87" i="17" s="1"/>
  <c r="H87" i="17"/>
  <c r="M87" i="17" s="1"/>
  <c r="G87" i="17"/>
  <c r="L87" i="17" s="1"/>
  <c r="F87" i="17"/>
  <c r="K87" i="17" s="1"/>
  <c r="E87" i="17"/>
  <c r="J87" i="17" s="1"/>
  <c r="S86" i="17"/>
  <c r="R86" i="17"/>
  <c r="Q86" i="17"/>
  <c r="P86" i="17"/>
  <c r="O86" i="17"/>
  <c r="T86" i="17" s="1"/>
  <c r="I86" i="17"/>
  <c r="N86" i="17" s="1"/>
  <c r="H86" i="17"/>
  <c r="M86" i="17" s="1"/>
  <c r="G86" i="17"/>
  <c r="L86" i="17" s="1"/>
  <c r="F86" i="17"/>
  <c r="K86" i="17" s="1"/>
  <c r="E86" i="17"/>
  <c r="J86" i="17" s="1"/>
  <c r="S85" i="17"/>
  <c r="R85" i="17"/>
  <c r="Q85" i="17"/>
  <c r="P85" i="17"/>
  <c r="O85" i="17"/>
  <c r="T85" i="17" s="1"/>
  <c r="N85" i="17"/>
  <c r="I85" i="17"/>
  <c r="H85" i="17"/>
  <c r="M85" i="17" s="1"/>
  <c r="G85" i="17"/>
  <c r="L85" i="17" s="1"/>
  <c r="F85" i="17"/>
  <c r="K85" i="17" s="1"/>
  <c r="E85" i="17"/>
  <c r="J85" i="17" s="1"/>
  <c r="S84" i="17"/>
  <c r="R84" i="17"/>
  <c r="Q84" i="17"/>
  <c r="P84" i="17"/>
  <c r="O84" i="17"/>
  <c r="T84" i="17" s="1"/>
  <c r="I84" i="17"/>
  <c r="N84" i="17" s="1"/>
  <c r="H84" i="17"/>
  <c r="M84" i="17" s="1"/>
  <c r="G84" i="17"/>
  <c r="L84" i="17" s="1"/>
  <c r="F84" i="17"/>
  <c r="K84" i="17" s="1"/>
  <c r="E84" i="17"/>
  <c r="J84" i="17" s="1"/>
  <c r="S83" i="17"/>
  <c r="R83" i="17"/>
  <c r="Q83" i="17"/>
  <c r="P83" i="17"/>
  <c r="O83" i="17"/>
  <c r="T83" i="17" s="1"/>
  <c r="I83" i="17"/>
  <c r="N83" i="17" s="1"/>
  <c r="H83" i="17"/>
  <c r="M83" i="17" s="1"/>
  <c r="G83" i="17"/>
  <c r="L83" i="17" s="1"/>
  <c r="F83" i="17"/>
  <c r="K83" i="17" s="1"/>
  <c r="E83" i="17"/>
  <c r="J83" i="17" s="1"/>
  <c r="S82" i="17"/>
  <c r="R82" i="17"/>
  <c r="Q82" i="17"/>
  <c r="P82" i="17"/>
  <c r="O82" i="17"/>
  <c r="T82" i="17" s="1"/>
  <c r="I82" i="17"/>
  <c r="N82" i="17" s="1"/>
  <c r="H82" i="17"/>
  <c r="M82" i="17" s="1"/>
  <c r="G82" i="17"/>
  <c r="L82" i="17" s="1"/>
  <c r="F82" i="17"/>
  <c r="K82" i="17" s="1"/>
  <c r="E82" i="17"/>
  <c r="J82" i="17" s="1"/>
  <c r="S81" i="17"/>
  <c r="R81" i="17"/>
  <c r="Q81" i="17"/>
  <c r="P81" i="17"/>
  <c r="O81" i="17"/>
  <c r="T81" i="17" s="1"/>
  <c r="N81" i="17"/>
  <c r="K81" i="17"/>
  <c r="I81" i="17"/>
  <c r="H81" i="17"/>
  <c r="M81" i="17" s="1"/>
  <c r="G81" i="17"/>
  <c r="L81" i="17" s="1"/>
  <c r="F81" i="17"/>
  <c r="E81" i="17"/>
  <c r="J81" i="17" s="1"/>
  <c r="S80" i="17"/>
  <c r="R80" i="17"/>
  <c r="Q80" i="17"/>
  <c r="T80" i="17" s="1"/>
  <c r="P80" i="17"/>
  <c r="O80" i="17"/>
  <c r="I80" i="17"/>
  <c r="N80" i="17" s="1"/>
  <c r="H80" i="17"/>
  <c r="M80" i="17" s="1"/>
  <c r="G80" i="17"/>
  <c r="L80" i="17" s="1"/>
  <c r="F80" i="17"/>
  <c r="K80" i="17" s="1"/>
  <c r="E80" i="17"/>
  <c r="J80" i="17" s="1"/>
  <c r="S79" i="17"/>
  <c r="R79" i="17"/>
  <c r="Q79" i="17"/>
  <c r="P79" i="17"/>
  <c r="O79" i="17"/>
  <c r="T79" i="17" s="1"/>
  <c r="L79" i="17"/>
  <c r="I79" i="17"/>
  <c r="N79" i="17" s="1"/>
  <c r="H79" i="17"/>
  <c r="M79" i="17" s="1"/>
  <c r="G79" i="17"/>
  <c r="F79" i="17"/>
  <c r="K79" i="17" s="1"/>
  <c r="E79" i="17"/>
  <c r="J79" i="17" s="1"/>
  <c r="S78" i="17"/>
  <c r="R78" i="17"/>
  <c r="Q78" i="17"/>
  <c r="P78" i="17"/>
  <c r="O78" i="17"/>
  <c r="T78" i="17" s="1"/>
  <c r="I78" i="17"/>
  <c r="N78" i="17" s="1"/>
  <c r="H78" i="17"/>
  <c r="M78" i="17" s="1"/>
  <c r="G78" i="17"/>
  <c r="L78" i="17" s="1"/>
  <c r="F78" i="17"/>
  <c r="K78" i="17" s="1"/>
  <c r="E78" i="17"/>
  <c r="J78" i="17" s="1"/>
  <c r="S77" i="17"/>
  <c r="R77" i="17"/>
  <c r="Q77" i="17"/>
  <c r="P77" i="17"/>
  <c r="O77" i="17"/>
  <c r="T77" i="17" s="1"/>
  <c r="I77" i="17"/>
  <c r="N77" i="17" s="1"/>
  <c r="H77" i="17"/>
  <c r="M77" i="17" s="1"/>
  <c r="G77" i="17"/>
  <c r="L77" i="17" s="1"/>
  <c r="F77" i="17"/>
  <c r="K77" i="17" s="1"/>
  <c r="E77" i="17"/>
  <c r="J77" i="17" s="1"/>
  <c r="S76" i="17"/>
  <c r="R76" i="17"/>
  <c r="Q76" i="17"/>
  <c r="P76" i="17"/>
  <c r="O76" i="17"/>
  <c r="T76" i="17" s="1"/>
  <c r="I76" i="17"/>
  <c r="N76" i="17" s="1"/>
  <c r="H76" i="17"/>
  <c r="M76" i="17" s="1"/>
  <c r="G76" i="17"/>
  <c r="L76" i="17" s="1"/>
  <c r="F76" i="17"/>
  <c r="K76" i="17" s="1"/>
  <c r="E76" i="17"/>
  <c r="J76" i="17" s="1"/>
  <c r="S75" i="17"/>
  <c r="R75" i="17"/>
  <c r="Q75" i="17"/>
  <c r="P75" i="17"/>
  <c r="O75" i="17"/>
  <c r="T75" i="17" s="1"/>
  <c r="N75" i="17"/>
  <c r="I75" i="17"/>
  <c r="H75" i="17"/>
  <c r="M75" i="17" s="1"/>
  <c r="G75" i="17"/>
  <c r="L75" i="17" s="1"/>
  <c r="F75" i="17"/>
  <c r="K75" i="17" s="1"/>
  <c r="E75" i="17"/>
  <c r="J75" i="17" s="1"/>
  <c r="S74" i="17"/>
  <c r="R74" i="17"/>
  <c r="Q74" i="17"/>
  <c r="P74" i="17"/>
  <c r="O74" i="17"/>
  <c r="T74" i="17" s="1"/>
  <c r="J74" i="17"/>
  <c r="I74" i="17"/>
  <c r="N74" i="17" s="1"/>
  <c r="H74" i="17"/>
  <c r="M74" i="17" s="1"/>
  <c r="G74" i="17"/>
  <c r="L74" i="17" s="1"/>
  <c r="F74" i="17"/>
  <c r="K74" i="17" s="1"/>
  <c r="E74" i="17"/>
  <c r="S73" i="17"/>
  <c r="R73" i="17"/>
  <c r="Q73" i="17"/>
  <c r="P73" i="17"/>
  <c r="O73" i="17"/>
  <c r="T73" i="17" s="1"/>
  <c r="N73" i="17"/>
  <c r="I73" i="17"/>
  <c r="H73" i="17"/>
  <c r="M73" i="17" s="1"/>
  <c r="G73" i="17"/>
  <c r="L73" i="17" s="1"/>
  <c r="F73" i="17"/>
  <c r="K73" i="17" s="1"/>
  <c r="E73" i="17"/>
  <c r="J73" i="17" s="1"/>
  <c r="S72" i="17"/>
  <c r="R72" i="17"/>
  <c r="Q72" i="17"/>
  <c r="T72" i="17" s="1"/>
  <c r="P72" i="17"/>
  <c r="O72" i="17"/>
  <c r="I72" i="17"/>
  <c r="N72" i="17" s="1"/>
  <c r="H72" i="17"/>
  <c r="M72" i="17" s="1"/>
  <c r="G72" i="17"/>
  <c r="L72" i="17" s="1"/>
  <c r="F72" i="17"/>
  <c r="K72" i="17" s="1"/>
  <c r="E72" i="17"/>
  <c r="J72" i="17" s="1"/>
  <c r="S71" i="17"/>
  <c r="R71" i="17"/>
  <c r="Q71" i="17"/>
  <c r="P71" i="17"/>
  <c r="O71" i="17"/>
  <c r="T71" i="17" s="1"/>
  <c r="I71" i="17"/>
  <c r="N71" i="17" s="1"/>
  <c r="H71" i="17"/>
  <c r="M71" i="17" s="1"/>
  <c r="G71" i="17"/>
  <c r="L71" i="17" s="1"/>
  <c r="F71" i="17"/>
  <c r="K71" i="17" s="1"/>
  <c r="E71" i="17"/>
  <c r="J71" i="17" s="1"/>
  <c r="S70" i="17"/>
  <c r="R70" i="17"/>
  <c r="Q70" i="17"/>
  <c r="P70" i="17"/>
  <c r="O70" i="17"/>
  <c r="T70" i="17" s="1"/>
  <c r="L70" i="17"/>
  <c r="I70" i="17"/>
  <c r="N70" i="17" s="1"/>
  <c r="H70" i="17"/>
  <c r="M70" i="17" s="1"/>
  <c r="G70" i="17"/>
  <c r="F70" i="17"/>
  <c r="K70" i="17" s="1"/>
  <c r="E70" i="17"/>
  <c r="J70" i="17" s="1"/>
  <c r="S69" i="17"/>
  <c r="R69" i="17"/>
  <c r="Q69" i="17"/>
  <c r="P69" i="17"/>
  <c r="O69" i="17"/>
  <c r="T69" i="17" s="1"/>
  <c r="I69" i="17"/>
  <c r="N69" i="17" s="1"/>
  <c r="H69" i="17"/>
  <c r="M69" i="17" s="1"/>
  <c r="G69" i="17"/>
  <c r="L69" i="17" s="1"/>
  <c r="F69" i="17"/>
  <c r="K69" i="17" s="1"/>
  <c r="E69" i="17"/>
  <c r="J69" i="17" s="1"/>
  <c r="S68" i="17"/>
  <c r="R68" i="17"/>
  <c r="Q68" i="17"/>
  <c r="P68" i="17"/>
  <c r="O68" i="17"/>
  <c r="T68" i="17" s="1"/>
  <c r="L68" i="17"/>
  <c r="I68" i="17"/>
  <c r="N68" i="17" s="1"/>
  <c r="H68" i="17"/>
  <c r="M68" i="17" s="1"/>
  <c r="G68" i="17"/>
  <c r="F68" i="17"/>
  <c r="K68" i="17" s="1"/>
  <c r="E68" i="17"/>
  <c r="J68" i="17" s="1"/>
  <c r="S67" i="17"/>
  <c r="R67" i="17"/>
  <c r="Q67" i="17"/>
  <c r="P67" i="17"/>
  <c r="O67" i="17"/>
  <c r="T67" i="17" s="1"/>
  <c r="I67" i="17"/>
  <c r="N67" i="17" s="1"/>
  <c r="H67" i="17"/>
  <c r="M67" i="17" s="1"/>
  <c r="G67" i="17"/>
  <c r="L67" i="17" s="1"/>
  <c r="F67" i="17"/>
  <c r="K67" i="17" s="1"/>
  <c r="E67" i="17"/>
  <c r="J67" i="17" s="1"/>
  <c r="S66" i="17"/>
  <c r="R66" i="17"/>
  <c r="Q66" i="17"/>
  <c r="P66" i="17"/>
  <c r="O66" i="17"/>
  <c r="T66" i="17" s="1"/>
  <c r="N66" i="17"/>
  <c r="J66" i="17"/>
  <c r="I66" i="17"/>
  <c r="H66" i="17"/>
  <c r="M66" i="17" s="1"/>
  <c r="G66" i="17"/>
  <c r="L66" i="17" s="1"/>
  <c r="F66" i="17"/>
  <c r="K66" i="17" s="1"/>
  <c r="E66" i="17"/>
  <c r="S65" i="17"/>
  <c r="R65" i="17"/>
  <c r="Q65" i="17"/>
  <c r="P65" i="17"/>
  <c r="O65" i="17"/>
  <c r="T65" i="17" s="1"/>
  <c r="I65" i="17"/>
  <c r="N65" i="17" s="1"/>
  <c r="H65" i="17"/>
  <c r="M65" i="17" s="1"/>
  <c r="G65" i="17"/>
  <c r="L65" i="17" s="1"/>
  <c r="F65" i="17"/>
  <c r="K65" i="17" s="1"/>
  <c r="E65" i="17"/>
  <c r="J65" i="17" s="1"/>
  <c r="S64" i="17"/>
  <c r="R64" i="17"/>
  <c r="Q64" i="17"/>
  <c r="P64" i="17"/>
  <c r="T64" i="17" s="1"/>
  <c r="O64" i="17"/>
  <c r="I64" i="17"/>
  <c r="N64" i="17" s="1"/>
  <c r="H64" i="17"/>
  <c r="M64" i="17" s="1"/>
  <c r="G64" i="17"/>
  <c r="L64" i="17" s="1"/>
  <c r="F64" i="17"/>
  <c r="K64" i="17" s="1"/>
  <c r="E64" i="17"/>
  <c r="J64" i="17" s="1"/>
  <c r="S63" i="17"/>
  <c r="R63" i="17"/>
  <c r="Q63" i="17"/>
  <c r="P63" i="17"/>
  <c r="O63" i="17"/>
  <c r="T63" i="17" s="1"/>
  <c r="I63" i="17"/>
  <c r="N63" i="17" s="1"/>
  <c r="H63" i="17"/>
  <c r="M63" i="17" s="1"/>
  <c r="G63" i="17"/>
  <c r="L63" i="17" s="1"/>
  <c r="F63" i="17"/>
  <c r="K63" i="17" s="1"/>
  <c r="E63" i="17"/>
  <c r="J63" i="17" s="1"/>
  <c r="S62" i="17"/>
  <c r="R62" i="17"/>
  <c r="Q62" i="17"/>
  <c r="P62" i="17"/>
  <c r="O62" i="17"/>
  <c r="T62" i="17" s="1"/>
  <c r="N62" i="17"/>
  <c r="I62" i="17"/>
  <c r="H62" i="17"/>
  <c r="M62" i="17" s="1"/>
  <c r="G62" i="17"/>
  <c r="L62" i="17" s="1"/>
  <c r="F62" i="17"/>
  <c r="K62" i="17" s="1"/>
  <c r="E62" i="17"/>
  <c r="J62" i="17" s="1"/>
  <c r="S61" i="17"/>
  <c r="R61" i="17"/>
  <c r="Q61" i="17"/>
  <c r="P61" i="17"/>
  <c r="O61" i="17"/>
  <c r="T61" i="17" s="1"/>
  <c r="I61" i="17"/>
  <c r="N61" i="17" s="1"/>
  <c r="H61" i="17"/>
  <c r="M61" i="17" s="1"/>
  <c r="G61" i="17"/>
  <c r="L61" i="17" s="1"/>
  <c r="F61" i="17"/>
  <c r="K61" i="17" s="1"/>
  <c r="E61" i="17"/>
  <c r="J61" i="17" s="1"/>
  <c r="S60" i="17"/>
  <c r="R60" i="17"/>
  <c r="Q60" i="17"/>
  <c r="P60" i="17"/>
  <c r="O60" i="17"/>
  <c r="T60" i="17" s="1"/>
  <c r="I60" i="17"/>
  <c r="N60" i="17" s="1"/>
  <c r="H60" i="17"/>
  <c r="M60" i="17" s="1"/>
  <c r="G60" i="17"/>
  <c r="L60" i="17" s="1"/>
  <c r="F60" i="17"/>
  <c r="K60" i="17" s="1"/>
  <c r="E60" i="17"/>
  <c r="J60" i="17" s="1"/>
  <c r="S59" i="17"/>
  <c r="R59" i="17"/>
  <c r="Q59" i="17"/>
  <c r="P59" i="17"/>
  <c r="O59" i="17"/>
  <c r="T59" i="17" s="1"/>
  <c r="I59" i="17"/>
  <c r="N59" i="17" s="1"/>
  <c r="H59" i="17"/>
  <c r="M59" i="17" s="1"/>
  <c r="G59" i="17"/>
  <c r="L59" i="17" s="1"/>
  <c r="F59" i="17"/>
  <c r="K59" i="17" s="1"/>
  <c r="E59" i="17"/>
  <c r="J59" i="17" s="1"/>
  <c r="S58" i="17"/>
  <c r="R58" i="17"/>
  <c r="Q58" i="17"/>
  <c r="P58" i="17"/>
  <c r="O58" i="17"/>
  <c r="T58" i="17" s="1"/>
  <c r="I58" i="17"/>
  <c r="N58" i="17" s="1"/>
  <c r="H58" i="17"/>
  <c r="M58" i="17" s="1"/>
  <c r="G58" i="17"/>
  <c r="L58" i="17" s="1"/>
  <c r="F58" i="17"/>
  <c r="K58" i="17" s="1"/>
  <c r="E58" i="17"/>
  <c r="J58" i="17" s="1"/>
  <c r="S57" i="17"/>
  <c r="R57" i="17"/>
  <c r="Q57" i="17"/>
  <c r="P57" i="17"/>
  <c r="O57" i="17"/>
  <c r="T57" i="17" s="1"/>
  <c r="I57" i="17"/>
  <c r="N57" i="17" s="1"/>
  <c r="H57" i="17"/>
  <c r="M57" i="17" s="1"/>
  <c r="G57" i="17"/>
  <c r="L57" i="17" s="1"/>
  <c r="F57" i="17"/>
  <c r="K57" i="17" s="1"/>
  <c r="E57" i="17"/>
  <c r="J57" i="17" s="1"/>
  <c r="S56" i="17"/>
  <c r="R56" i="17"/>
  <c r="Q56" i="17"/>
  <c r="P56" i="17"/>
  <c r="O56" i="17"/>
  <c r="T56" i="17" s="1"/>
  <c r="I56" i="17"/>
  <c r="N56" i="17" s="1"/>
  <c r="H56" i="17"/>
  <c r="M56" i="17" s="1"/>
  <c r="G56" i="17"/>
  <c r="L56" i="17" s="1"/>
  <c r="F56" i="17"/>
  <c r="K56" i="17" s="1"/>
  <c r="E56" i="17"/>
  <c r="J56" i="17" s="1"/>
  <c r="S55" i="17"/>
  <c r="R55" i="17"/>
  <c r="Q55" i="17"/>
  <c r="P55" i="17"/>
  <c r="O55" i="17"/>
  <c r="T55" i="17" s="1"/>
  <c r="J55" i="17"/>
  <c r="I55" i="17"/>
  <c r="N55" i="17" s="1"/>
  <c r="H55" i="17"/>
  <c r="M55" i="17" s="1"/>
  <c r="G55" i="17"/>
  <c r="L55" i="17" s="1"/>
  <c r="F55" i="17"/>
  <c r="K55" i="17" s="1"/>
  <c r="E55" i="17"/>
  <c r="S54" i="17"/>
  <c r="R54" i="17"/>
  <c r="Q54" i="17"/>
  <c r="P54" i="17"/>
  <c r="O54" i="17"/>
  <c r="T54" i="17" s="1"/>
  <c r="N54" i="17"/>
  <c r="I54" i="17"/>
  <c r="H54" i="17"/>
  <c r="M54" i="17" s="1"/>
  <c r="G54" i="17"/>
  <c r="L54" i="17" s="1"/>
  <c r="F54" i="17"/>
  <c r="K54" i="17" s="1"/>
  <c r="E54" i="17"/>
  <c r="J54" i="17" s="1"/>
  <c r="S53" i="17"/>
  <c r="R53" i="17"/>
  <c r="Q53" i="17"/>
  <c r="P53" i="17"/>
  <c r="O53" i="17"/>
  <c r="T53" i="17" s="1"/>
  <c r="M53" i="17"/>
  <c r="I53" i="17"/>
  <c r="N53" i="17" s="1"/>
  <c r="H53" i="17"/>
  <c r="G53" i="17"/>
  <c r="L53" i="17" s="1"/>
  <c r="F53" i="17"/>
  <c r="K53" i="17" s="1"/>
  <c r="E53" i="17"/>
  <c r="J53" i="17" s="1"/>
  <c r="S52" i="17"/>
  <c r="R52" i="17"/>
  <c r="Q52" i="17"/>
  <c r="P52" i="17"/>
  <c r="O52" i="17"/>
  <c r="T52" i="17" s="1"/>
  <c r="I52" i="17"/>
  <c r="N52" i="17" s="1"/>
  <c r="H52" i="17"/>
  <c r="M52" i="17" s="1"/>
  <c r="G52" i="17"/>
  <c r="L52" i="17" s="1"/>
  <c r="F52" i="17"/>
  <c r="K52" i="17" s="1"/>
  <c r="E52" i="17"/>
  <c r="J52" i="17" s="1"/>
  <c r="S51" i="17"/>
  <c r="R51" i="17"/>
  <c r="Q51" i="17"/>
  <c r="P51" i="17"/>
  <c r="O51" i="17"/>
  <c r="T51" i="17" s="1"/>
  <c r="I51" i="17"/>
  <c r="N51" i="17" s="1"/>
  <c r="H51" i="17"/>
  <c r="M51" i="17" s="1"/>
  <c r="G51" i="17"/>
  <c r="L51" i="17" s="1"/>
  <c r="F51" i="17"/>
  <c r="K51" i="17" s="1"/>
  <c r="E51" i="17"/>
  <c r="J51" i="17" s="1"/>
  <c r="S50" i="17"/>
  <c r="R50" i="17"/>
  <c r="Q50" i="17"/>
  <c r="P50" i="17"/>
  <c r="O50" i="17"/>
  <c r="T50" i="17" s="1"/>
  <c r="I50" i="17"/>
  <c r="N50" i="17" s="1"/>
  <c r="H50" i="17"/>
  <c r="M50" i="17" s="1"/>
  <c r="G50" i="17"/>
  <c r="L50" i="17" s="1"/>
  <c r="F50" i="17"/>
  <c r="K50" i="17" s="1"/>
  <c r="E50" i="17"/>
  <c r="J50" i="17" s="1"/>
  <c r="S49" i="17"/>
  <c r="R49" i="17"/>
  <c r="Q49" i="17"/>
  <c r="P49" i="17"/>
  <c r="O49" i="17"/>
  <c r="T49" i="17" s="1"/>
  <c r="I49" i="17"/>
  <c r="N49" i="17" s="1"/>
  <c r="H49" i="17"/>
  <c r="M49" i="17" s="1"/>
  <c r="G49" i="17"/>
  <c r="L49" i="17" s="1"/>
  <c r="F49" i="17"/>
  <c r="K49" i="17" s="1"/>
  <c r="E49" i="17"/>
  <c r="J49" i="17" s="1"/>
  <c r="S48" i="17"/>
  <c r="R48" i="17"/>
  <c r="Q48" i="17"/>
  <c r="P48" i="17"/>
  <c r="O48" i="17"/>
  <c r="L48" i="17"/>
  <c r="I48" i="17"/>
  <c r="N48" i="17" s="1"/>
  <c r="H48" i="17"/>
  <c r="M48" i="17" s="1"/>
  <c r="G48" i="17"/>
  <c r="F48" i="17"/>
  <c r="K48" i="17" s="1"/>
  <c r="E48" i="17"/>
  <c r="J48" i="17" s="1"/>
  <c r="S47" i="17"/>
  <c r="R47" i="17"/>
  <c r="Q47" i="17"/>
  <c r="P47" i="17"/>
  <c r="O47" i="17"/>
  <c r="T47" i="17" s="1"/>
  <c r="K47" i="17"/>
  <c r="I47" i="17"/>
  <c r="N47" i="17" s="1"/>
  <c r="H47" i="17"/>
  <c r="M47" i="17" s="1"/>
  <c r="G47" i="17"/>
  <c r="L47" i="17" s="1"/>
  <c r="F47" i="17"/>
  <c r="E47" i="17"/>
  <c r="J47" i="17" s="1"/>
  <c r="S46" i="17"/>
  <c r="R46" i="17"/>
  <c r="Q46" i="17"/>
  <c r="P46" i="17"/>
  <c r="O46" i="17"/>
  <c r="T46" i="17" s="1"/>
  <c r="J46" i="17"/>
  <c r="I46" i="17"/>
  <c r="N46" i="17" s="1"/>
  <c r="H46" i="17"/>
  <c r="M46" i="17" s="1"/>
  <c r="G46" i="17"/>
  <c r="L46" i="17" s="1"/>
  <c r="F46" i="17"/>
  <c r="K46" i="17" s="1"/>
  <c r="E46" i="17"/>
  <c r="S45" i="17"/>
  <c r="R45" i="17"/>
  <c r="Q45" i="17"/>
  <c r="P45" i="17"/>
  <c r="O45" i="17"/>
  <c r="T45" i="17" s="1"/>
  <c r="N45" i="17"/>
  <c r="I45" i="17"/>
  <c r="H45" i="17"/>
  <c r="M45" i="17" s="1"/>
  <c r="G45" i="17"/>
  <c r="L45" i="17" s="1"/>
  <c r="F45" i="17"/>
  <c r="K45" i="17" s="1"/>
  <c r="E45" i="17"/>
  <c r="J45" i="17" s="1"/>
  <c r="S44" i="17"/>
  <c r="R44" i="17"/>
  <c r="Q44" i="17"/>
  <c r="P44" i="17"/>
  <c r="O44" i="17"/>
  <c r="T44" i="17" s="1"/>
  <c r="L44" i="17"/>
  <c r="J44" i="17"/>
  <c r="I44" i="17"/>
  <c r="N44" i="17" s="1"/>
  <c r="H44" i="17"/>
  <c r="M44" i="17" s="1"/>
  <c r="G44" i="17"/>
  <c r="F44" i="17"/>
  <c r="K44" i="17" s="1"/>
  <c r="E44" i="17"/>
  <c r="S43" i="17"/>
  <c r="R43" i="17"/>
  <c r="Q43" i="17"/>
  <c r="P43" i="17"/>
  <c r="O43" i="17"/>
  <c r="T43" i="17" s="1"/>
  <c r="I43" i="17"/>
  <c r="N43" i="17" s="1"/>
  <c r="H43" i="17"/>
  <c r="M43" i="17" s="1"/>
  <c r="G43" i="17"/>
  <c r="L43" i="17" s="1"/>
  <c r="F43" i="17"/>
  <c r="K43" i="17" s="1"/>
  <c r="E43" i="17"/>
  <c r="J43" i="17" s="1"/>
  <c r="S42" i="17"/>
  <c r="R42" i="17"/>
  <c r="Q42" i="17"/>
  <c r="P42" i="17"/>
  <c r="O42" i="17"/>
  <c r="T42" i="17" s="1"/>
  <c r="I42" i="17"/>
  <c r="N42" i="17" s="1"/>
  <c r="H42" i="17"/>
  <c r="M42" i="17" s="1"/>
  <c r="G42" i="17"/>
  <c r="L42" i="17" s="1"/>
  <c r="F42" i="17"/>
  <c r="K42" i="17" s="1"/>
  <c r="E42" i="17"/>
  <c r="J42" i="17" s="1"/>
  <c r="S41" i="17"/>
  <c r="R41" i="17"/>
  <c r="Q41" i="17"/>
  <c r="P41" i="17"/>
  <c r="O41" i="17"/>
  <c r="T41" i="17" s="1"/>
  <c r="K41" i="17"/>
  <c r="J41" i="17"/>
  <c r="I41" i="17"/>
  <c r="N41" i="17" s="1"/>
  <c r="H41" i="17"/>
  <c r="M41" i="17" s="1"/>
  <c r="G41" i="17"/>
  <c r="L41" i="17" s="1"/>
  <c r="F41" i="17"/>
  <c r="E41" i="17"/>
  <c r="S40" i="17"/>
  <c r="R40" i="17"/>
  <c r="Q40" i="17"/>
  <c r="T40" i="17" s="1"/>
  <c r="P40" i="17"/>
  <c r="O40" i="17"/>
  <c r="I40" i="17"/>
  <c r="N40" i="17" s="1"/>
  <c r="H40" i="17"/>
  <c r="M40" i="17" s="1"/>
  <c r="G40" i="17"/>
  <c r="L40" i="17" s="1"/>
  <c r="F40" i="17"/>
  <c r="K40" i="17" s="1"/>
  <c r="E40" i="17"/>
  <c r="J40" i="17" s="1"/>
  <c r="S39" i="17"/>
  <c r="R39" i="17"/>
  <c r="Q39" i="17"/>
  <c r="P39" i="17"/>
  <c r="O39" i="17"/>
  <c r="T39" i="17" s="1"/>
  <c r="I39" i="17"/>
  <c r="N39" i="17" s="1"/>
  <c r="H39" i="17"/>
  <c r="M39" i="17" s="1"/>
  <c r="G39" i="17"/>
  <c r="L39" i="17" s="1"/>
  <c r="F39" i="17"/>
  <c r="K39" i="17" s="1"/>
  <c r="E39" i="17"/>
  <c r="J39" i="17" s="1"/>
  <c r="S38" i="17"/>
  <c r="R38" i="17"/>
  <c r="Q38" i="17"/>
  <c r="P38" i="17"/>
  <c r="O38" i="17"/>
  <c r="T38" i="17" s="1"/>
  <c r="L38" i="17"/>
  <c r="I38" i="17"/>
  <c r="N38" i="17" s="1"/>
  <c r="H38" i="17"/>
  <c r="M38" i="17" s="1"/>
  <c r="G38" i="17"/>
  <c r="F38" i="17"/>
  <c r="K38" i="17" s="1"/>
  <c r="E38" i="17"/>
  <c r="J38" i="17" s="1"/>
  <c r="S37" i="17"/>
  <c r="R37" i="17"/>
  <c r="Q37" i="17"/>
  <c r="P37" i="17"/>
  <c r="O37" i="17"/>
  <c r="T37" i="17" s="1"/>
  <c r="K37" i="17"/>
  <c r="I37" i="17"/>
  <c r="N37" i="17" s="1"/>
  <c r="H37" i="17"/>
  <c r="M37" i="17" s="1"/>
  <c r="G37" i="17"/>
  <c r="L37" i="17" s="1"/>
  <c r="F37" i="17"/>
  <c r="E37" i="17"/>
  <c r="J37" i="17" s="1"/>
  <c r="S36" i="17"/>
  <c r="R36" i="17"/>
  <c r="Q36" i="17"/>
  <c r="P36" i="17"/>
  <c r="O36" i="17"/>
  <c r="T36" i="17" s="1"/>
  <c r="N36" i="17"/>
  <c r="I36" i="17"/>
  <c r="H36" i="17"/>
  <c r="M36" i="17" s="1"/>
  <c r="G36" i="17"/>
  <c r="L36" i="17" s="1"/>
  <c r="F36" i="17"/>
  <c r="K36" i="17" s="1"/>
  <c r="E36" i="17"/>
  <c r="J36" i="17" s="1"/>
  <c r="S35" i="17"/>
  <c r="R35" i="17"/>
  <c r="Q35" i="17"/>
  <c r="P35" i="17"/>
  <c r="O35" i="17"/>
  <c r="T35" i="17" s="1"/>
  <c r="I35" i="17"/>
  <c r="N35" i="17" s="1"/>
  <c r="H35" i="17"/>
  <c r="M35" i="17" s="1"/>
  <c r="G35" i="17"/>
  <c r="L35" i="17" s="1"/>
  <c r="F35" i="17"/>
  <c r="K35" i="17" s="1"/>
  <c r="E35" i="17"/>
  <c r="J35" i="17" s="1"/>
  <c r="S34" i="17"/>
  <c r="R34" i="17"/>
  <c r="Q34" i="17"/>
  <c r="P34" i="17"/>
  <c r="O34" i="17"/>
  <c r="T34" i="17" s="1"/>
  <c r="I34" i="17"/>
  <c r="N34" i="17" s="1"/>
  <c r="H34" i="17"/>
  <c r="M34" i="17" s="1"/>
  <c r="G34" i="17"/>
  <c r="L34" i="17" s="1"/>
  <c r="F34" i="17"/>
  <c r="K34" i="17" s="1"/>
  <c r="E34" i="17"/>
  <c r="J34" i="17" s="1"/>
  <c r="S33" i="17"/>
  <c r="R33" i="17"/>
  <c r="Q33" i="17"/>
  <c r="P33" i="17"/>
  <c r="O33" i="17"/>
  <c r="T33" i="17" s="1"/>
  <c r="I33" i="17"/>
  <c r="N33" i="17" s="1"/>
  <c r="H33" i="17"/>
  <c r="M33" i="17" s="1"/>
  <c r="G33" i="17"/>
  <c r="L33" i="17" s="1"/>
  <c r="F33" i="17"/>
  <c r="K33" i="17" s="1"/>
  <c r="E33" i="17"/>
  <c r="J33" i="17" s="1"/>
  <c r="S32" i="17"/>
  <c r="R32" i="17"/>
  <c r="Q32" i="17"/>
  <c r="T32" i="17" s="1"/>
  <c r="P32" i="17"/>
  <c r="O32" i="17"/>
  <c r="L32" i="17"/>
  <c r="I32" i="17"/>
  <c r="N32" i="17" s="1"/>
  <c r="H32" i="17"/>
  <c r="M32" i="17" s="1"/>
  <c r="G32" i="17"/>
  <c r="F32" i="17"/>
  <c r="K32" i="17" s="1"/>
  <c r="E32" i="17"/>
  <c r="J32" i="17" s="1"/>
  <c r="S31" i="17"/>
  <c r="R31" i="17"/>
  <c r="Q31" i="17"/>
  <c r="P31" i="17"/>
  <c r="O31" i="17"/>
  <c r="T31" i="17" s="1"/>
  <c r="M31" i="17"/>
  <c r="L31" i="17"/>
  <c r="K31" i="17"/>
  <c r="I31" i="17"/>
  <c r="N31" i="17" s="1"/>
  <c r="H31" i="17"/>
  <c r="G31" i="17"/>
  <c r="F31" i="17"/>
  <c r="E31" i="17"/>
  <c r="J31" i="17" s="1"/>
  <c r="S30" i="17"/>
  <c r="R30" i="17"/>
  <c r="Q30" i="17"/>
  <c r="P30" i="17"/>
  <c r="O30" i="17"/>
  <c r="T30" i="17" s="1"/>
  <c r="I30" i="17"/>
  <c r="N30" i="17" s="1"/>
  <c r="H30" i="17"/>
  <c r="M30" i="17" s="1"/>
  <c r="G30" i="17"/>
  <c r="L30" i="17" s="1"/>
  <c r="F30" i="17"/>
  <c r="K30" i="17" s="1"/>
  <c r="E30" i="17"/>
  <c r="J30" i="17" s="1"/>
  <c r="S29" i="17"/>
  <c r="R29" i="17"/>
  <c r="Q29" i="17"/>
  <c r="P29" i="17"/>
  <c r="O29" i="17"/>
  <c r="T29" i="17" s="1"/>
  <c r="I29" i="17"/>
  <c r="N29" i="17" s="1"/>
  <c r="H29" i="17"/>
  <c r="M29" i="17" s="1"/>
  <c r="G29" i="17"/>
  <c r="L29" i="17" s="1"/>
  <c r="F29" i="17"/>
  <c r="K29" i="17" s="1"/>
  <c r="E29" i="17"/>
  <c r="J29" i="17" s="1"/>
  <c r="S28" i="17"/>
  <c r="R28" i="17"/>
  <c r="Q28" i="17"/>
  <c r="P28" i="17"/>
  <c r="O28" i="17"/>
  <c r="T28" i="17" s="1"/>
  <c r="J28" i="17"/>
  <c r="I28" i="17"/>
  <c r="N28" i="17" s="1"/>
  <c r="H28" i="17"/>
  <c r="M28" i="17" s="1"/>
  <c r="G28" i="17"/>
  <c r="L28" i="17" s="1"/>
  <c r="F28" i="17"/>
  <c r="K28" i="17" s="1"/>
  <c r="E28" i="17"/>
  <c r="S27" i="17"/>
  <c r="R27" i="17"/>
  <c r="Q27" i="17"/>
  <c r="P27" i="17"/>
  <c r="O27" i="17"/>
  <c r="T27" i="17" s="1"/>
  <c r="I27" i="17"/>
  <c r="N27" i="17" s="1"/>
  <c r="H27" i="17"/>
  <c r="M27" i="17" s="1"/>
  <c r="G27" i="17"/>
  <c r="L27" i="17" s="1"/>
  <c r="F27" i="17"/>
  <c r="K27" i="17" s="1"/>
  <c r="E27" i="17"/>
  <c r="J27" i="17" s="1"/>
  <c r="S26" i="17"/>
  <c r="R26" i="17"/>
  <c r="Q26" i="17"/>
  <c r="P26" i="17"/>
  <c r="O26" i="17"/>
  <c r="T26" i="17" s="1"/>
  <c r="I26" i="17"/>
  <c r="N26" i="17" s="1"/>
  <c r="H26" i="17"/>
  <c r="M26" i="17" s="1"/>
  <c r="G26" i="17"/>
  <c r="L26" i="17" s="1"/>
  <c r="F26" i="17"/>
  <c r="K26" i="17" s="1"/>
  <c r="E26" i="17"/>
  <c r="J26" i="17" s="1"/>
  <c r="S25" i="17"/>
  <c r="R25" i="17"/>
  <c r="Q25" i="17"/>
  <c r="P25" i="17"/>
  <c r="O25" i="17"/>
  <c r="T25" i="17" s="1"/>
  <c r="K25" i="17"/>
  <c r="I25" i="17"/>
  <c r="N25" i="17" s="1"/>
  <c r="H25" i="17"/>
  <c r="M25" i="17" s="1"/>
  <c r="G25" i="17"/>
  <c r="L25" i="17" s="1"/>
  <c r="F25" i="17"/>
  <c r="E25" i="17"/>
  <c r="J25" i="17" s="1"/>
  <c r="S24" i="17"/>
  <c r="R24" i="17"/>
  <c r="T24" i="17" s="1"/>
  <c r="Q24" i="17"/>
  <c r="P24" i="17"/>
  <c r="O24" i="17"/>
  <c r="I24" i="17"/>
  <c r="N24" i="17" s="1"/>
  <c r="H24" i="17"/>
  <c r="M24" i="17" s="1"/>
  <c r="G24" i="17"/>
  <c r="L24" i="17" s="1"/>
  <c r="F24" i="17"/>
  <c r="K24" i="17" s="1"/>
  <c r="E24" i="17"/>
  <c r="J24" i="17" s="1"/>
  <c r="C24" i="17" s="1"/>
  <c r="S23" i="17"/>
  <c r="R23" i="17"/>
  <c r="Q23" i="17"/>
  <c r="P23" i="17"/>
  <c r="O23" i="17"/>
  <c r="T23" i="17" s="1"/>
  <c r="M23" i="17"/>
  <c r="L23" i="17"/>
  <c r="K23" i="17"/>
  <c r="I23" i="17"/>
  <c r="N23" i="17" s="1"/>
  <c r="H23" i="17"/>
  <c r="G23" i="17"/>
  <c r="F23" i="17"/>
  <c r="E23" i="17"/>
  <c r="J23" i="17" s="1"/>
  <c r="S22" i="17"/>
  <c r="R22" i="17"/>
  <c r="Q22" i="17"/>
  <c r="P22" i="17"/>
  <c r="O22" i="17"/>
  <c r="T22" i="17" s="1"/>
  <c r="I22" i="17"/>
  <c r="N22" i="17" s="1"/>
  <c r="H22" i="17"/>
  <c r="M22" i="17" s="1"/>
  <c r="G22" i="17"/>
  <c r="L22" i="17" s="1"/>
  <c r="F22" i="17"/>
  <c r="K22" i="17" s="1"/>
  <c r="E22" i="17"/>
  <c r="J22" i="17" s="1"/>
  <c r="S21" i="17"/>
  <c r="R21" i="17"/>
  <c r="Q21" i="17"/>
  <c r="P21" i="17"/>
  <c r="O21" i="17"/>
  <c r="T21" i="17" s="1"/>
  <c r="I21" i="17"/>
  <c r="N21" i="17" s="1"/>
  <c r="H21" i="17"/>
  <c r="M21" i="17" s="1"/>
  <c r="G21" i="17"/>
  <c r="L21" i="17" s="1"/>
  <c r="F21" i="17"/>
  <c r="K21" i="17" s="1"/>
  <c r="E21" i="17"/>
  <c r="J21" i="17" s="1"/>
  <c r="S20" i="17"/>
  <c r="R20" i="17"/>
  <c r="Q20" i="17"/>
  <c r="P20" i="17"/>
  <c r="O20" i="17"/>
  <c r="T20" i="17" s="1"/>
  <c r="I20" i="17"/>
  <c r="N20" i="17" s="1"/>
  <c r="H20" i="17"/>
  <c r="M20" i="17" s="1"/>
  <c r="G20" i="17"/>
  <c r="L20" i="17" s="1"/>
  <c r="F20" i="17"/>
  <c r="K20" i="17" s="1"/>
  <c r="E20" i="17"/>
  <c r="J20" i="17" s="1"/>
  <c r="S19" i="17"/>
  <c r="R19" i="17"/>
  <c r="Q19" i="17"/>
  <c r="P19" i="17"/>
  <c r="O19" i="17"/>
  <c r="T19" i="17" s="1"/>
  <c r="I19" i="17"/>
  <c r="N19" i="17" s="1"/>
  <c r="H19" i="17"/>
  <c r="M19" i="17" s="1"/>
  <c r="G19" i="17"/>
  <c r="L19" i="17" s="1"/>
  <c r="F19" i="17"/>
  <c r="K19" i="17" s="1"/>
  <c r="E19" i="17"/>
  <c r="J19" i="17" s="1"/>
  <c r="S18" i="17"/>
  <c r="R18" i="17"/>
  <c r="Q18" i="17"/>
  <c r="P18" i="17"/>
  <c r="O18" i="17"/>
  <c r="T18" i="17" s="1"/>
  <c r="I18" i="17"/>
  <c r="N18" i="17" s="1"/>
  <c r="H18" i="17"/>
  <c r="M18" i="17" s="1"/>
  <c r="G18" i="17"/>
  <c r="L18" i="17" s="1"/>
  <c r="F18" i="17"/>
  <c r="K18" i="17" s="1"/>
  <c r="E18" i="17"/>
  <c r="J18" i="17" s="1"/>
  <c r="S17" i="17"/>
  <c r="R17" i="17"/>
  <c r="Q17" i="17"/>
  <c r="P17" i="17"/>
  <c r="O17" i="17"/>
  <c r="T17" i="17" s="1"/>
  <c r="I17" i="17"/>
  <c r="N17" i="17" s="1"/>
  <c r="H17" i="17"/>
  <c r="M17" i="17" s="1"/>
  <c r="G17" i="17"/>
  <c r="L17" i="17" s="1"/>
  <c r="F17" i="17"/>
  <c r="K17" i="17" s="1"/>
  <c r="E17" i="17"/>
  <c r="J17" i="17" s="1"/>
  <c r="S16" i="17"/>
  <c r="R16" i="17"/>
  <c r="Q16" i="17"/>
  <c r="T16" i="17" s="1"/>
  <c r="P16" i="17"/>
  <c r="O16" i="17"/>
  <c r="J16" i="17"/>
  <c r="I16" i="17"/>
  <c r="N16" i="17" s="1"/>
  <c r="H16" i="17"/>
  <c r="M16" i="17" s="1"/>
  <c r="G16" i="17"/>
  <c r="L16" i="17" s="1"/>
  <c r="F16" i="17"/>
  <c r="K16" i="17" s="1"/>
  <c r="E16" i="17"/>
  <c r="S15" i="17"/>
  <c r="R15" i="17"/>
  <c r="Q15" i="17"/>
  <c r="P15" i="17"/>
  <c r="O15" i="17"/>
  <c r="T15" i="17" s="1"/>
  <c r="I15" i="17"/>
  <c r="N15" i="17" s="1"/>
  <c r="H15" i="17"/>
  <c r="M15" i="17" s="1"/>
  <c r="G15" i="17"/>
  <c r="L15" i="17" s="1"/>
  <c r="F15" i="17"/>
  <c r="K15" i="17" s="1"/>
  <c r="E15" i="17"/>
  <c r="J15" i="17" s="1"/>
  <c r="S14" i="17"/>
  <c r="R14" i="17"/>
  <c r="Q14" i="17"/>
  <c r="P14" i="17"/>
  <c r="O14" i="17"/>
  <c r="T14" i="17" s="1"/>
  <c r="I14" i="17"/>
  <c r="N14" i="17" s="1"/>
  <c r="H14" i="17"/>
  <c r="M14" i="17" s="1"/>
  <c r="G14" i="17"/>
  <c r="L14" i="17" s="1"/>
  <c r="F14" i="17"/>
  <c r="K14" i="17" s="1"/>
  <c r="E14" i="17"/>
  <c r="J14" i="17" s="1"/>
  <c r="S13" i="17"/>
  <c r="R13" i="17"/>
  <c r="Q13" i="17"/>
  <c r="P13" i="17"/>
  <c r="O13" i="17"/>
  <c r="T13" i="17" s="1"/>
  <c r="M13" i="17"/>
  <c r="I13" i="17"/>
  <c r="N13" i="17" s="1"/>
  <c r="H13" i="17"/>
  <c r="G13" i="17"/>
  <c r="L13" i="17" s="1"/>
  <c r="F13" i="17"/>
  <c r="K13" i="17" s="1"/>
  <c r="E13" i="17"/>
  <c r="J13" i="17" s="1"/>
  <c r="S12" i="17"/>
  <c r="R12" i="17"/>
  <c r="Q12" i="17"/>
  <c r="P12" i="17"/>
  <c r="O12" i="17"/>
  <c r="T12" i="17" s="1"/>
  <c r="K12" i="17"/>
  <c r="J12" i="17"/>
  <c r="I12" i="17"/>
  <c r="N12" i="17" s="1"/>
  <c r="H12" i="17"/>
  <c r="M12" i="17" s="1"/>
  <c r="G12" i="17"/>
  <c r="L12" i="17" s="1"/>
  <c r="F12" i="17"/>
  <c r="E12" i="17"/>
  <c r="S11" i="17"/>
  <c r="R11" i="17"/>
  <c r="Q11" i="17"/>
  <c r="P11" i="17"/>
  <c r="O11" i="17"/>
  <c r="T11" i="17" s="1"/>
  <c r="I11" i="17"/>
  <c r="N11" i="17" s="1"/>
  <c r="H11" i="17"/>
  <c r="M11" i="17" s="1"/>
  <c r="G11" i="17"/>
  <c r="L11" i="17" s="1"/>
  <c r="F11" i="17"/>
  <c r="K11" i="17" s="1"/>
  <c r="E11" i="17"/>
  <c r="J11" i="17" s="1"/>
  <c r="S10" i="17"/>
  <c r="R10" i="17"/>
  <c r="Q10" i="17"/>
  <c r="P10" i="17"/>
  <c r="O10" i="17"/>
  <c r="T10" i="17" s="1"/>
  <c r="L10" i="17"/>
  <c r="I10" i="17"/>
  <c r="N10" i="17" s="1"/>
  <c r="H10" i="17"/>
  <c r="M10" i="17" s="1"/>
  <c r="G10" i="17"/>
  <c r="F10" i="17"/>
  <c r="K10" i="17" s="1"/>
  <c r="E10" i="17"/>
  <c r="J10" i="17" s="1"/>
  <c r="S9" i="17"/>
  <c r="R9" i="17"/>
  <c r="Q9" i="17"/>
  <c r="P9" i="17"/>
  <c r="O9" i="17"/>
  <c r="T9" i="17" s="1"/>
  <c r="I9" i="17"/>
  <c r="N9" i="17" s="1"/>
  <c r="H9" i="17"/>
  <c r="M9" i="17" s="1"/>
  <c r="G9" i="17"/>
  <c r="L9" i="17" s="1"/>
  <c r="F9" i="17"/>
  <c r="K9" i="17" s="1"/>
  <c r="E9" i="17"/>
  <c r="J9" i="17" s="1"/>
  <c r="S8" i="17"/>
  <c r="R8" i="17"/>
  <c r="T8" i="17" s="1"/>
  <c r="Q8" i="17"/>
  <c r="P8" i="17"/>
  <c r="O8" i="17"/>
  <c r="I8" i="17"/>
  <c r="N8" i="17" s="1"/>
  <c r="H8" i="17"/>
  <c r="M8" i="17" s="1"/>
  <c r="G8" i="17"/>
  <c r="L8" i="17" s="1"/>
  <c r="F8" i="17"/>
  <c r="K8" i="17" s="1"/>
  <c r="E8" i="17"/>
  <c r="J8" i="17" s="1"/>
  <c r="S7" i="17"/>
  <c r="R7" i="17"/>
  <c r="Q7" i="17"/>
  <c r="P7" i="17"/>
  <c r="O7" i="17"/>
  <c r="T7" i="17" s="1"/>
  <c r="K7" i="17"/>
  <c r="I7" i="17"/>
  <c r="N7" i="17" s="1"/>
  <c r="H7" i="17"/>
  <c r="M7" i="17" s="1"/>
  <c r="G7" i="17"/>
  <c r="L7" i="17" s="1"/>
  <c r="F7" i="17"/>
  <c r="E7" i="17"/>
  <c r="J7" i="17" s="1"/>
  <c r="S6" i="17"/>
  <c r="R6" i="17"/>
  <c r="Q6" i="17"/>
  <c r="P6" i="17"/>
  <c r="O6" i="17"/>
  <c r="T6" i="17" s="1"/>
  <c r="I6" i="17"/>
  <c r="N6" i="17" s="1"/>
  <c r="H6" i="17"/>
  <c r="M6" i="17" s="1"/>
  <c r="G6" i="17"/>
  <c r="L6" i="17" s="1"/>
  <c r="F6" i="17"/>
  <c r="K6" i="17" s="1"/>
  <c r="E6" i="17"/>
  <c r="J6" i="17" s="1"/>
  <c r="S5" i="17"/>
  <c r="R5" i="17"/>
  <c r="Q5" i="17"/>
  <c r="P5" i="17"/>
  <c r="O5" i="17"/>
  <c r="T5" i="17" s="1"/>
  <c r="K5" i="17"/>
  <c r="J5" i="17"/>
  <c r="I5" i="17"/>
  <c r="N5" i="17" s="1"/>
  <c r="H5" i="17"/>
  <c r="M5" i="17" s="1"/>
  <c r="G5" i="17"/>
  <c r="L5" i="17" s="1"/>
  <c r="F5" i="17"/>
  <c r="E5" i="17"/>
  <c r="S4" i="17"/>
  <c r="R4" i="17"/>
  <c r="Q4" i="17"/>
  <c r="P4" i="17"/>
  <c r="O4" i="17"/>
  <c r="T4" i="17" s="1"/>
  <c r="I4" i="17"/>
  <c r="N4" i="17" s="1"/>
  <c r="H4" i="17"/>
  <c r="M4" i="17" s="1"/>
  <c r="G4" i="17"/>
  <c r="L4" i="17" s="1"/>
  <c r="F4" i="17"/>
  <c r="K4" i="17" s="1"/>
  <c r="E4" i="17"/>
  <c r="J4" i="17" s="1"/>
  <c r="S3" i="17"/>
  <c r="R3" i="17"/>
  <c r="Q3" i="17"/>
  <c r="P3" i="17"/>
  <c r="O3" i="17"/>
  <c r="T3" i="17" s="1"/>
  <c r="J3" i="17"/>
  <c r="I3" i="17"/>
  <c r="N3" i="17" s="1"/>
  <c r="H3" i="17"/>
  <c r="M3" i="17" s="1"/>
  <c r="G3" i="17"/>
  <c r="L3" i="17" s="1"/>
  <c r="F3" i="17"/>
  <c r="K3" i="17" s="1"/>
  <c r="E3" i="17"/>
  <c r="B3" i="17"/>
  <c r="B4" i="17"/>
  <c r="B5" i="17"/>
  <c r="B6" i="17"/>
  <c r="B7" i="17"/>
  <c r="B8" i="17"/>
  <c r="B9" i="17"/>
  <c r="B10" i="17"/>
  <c r="B11" i="17"/>
  <c r="B12" i="17"/>
  <c r="B13" i="17"/>
  <c r="B14" i="17"/>
  <c r="B15" i="17"/>
  <c r="B17" i="17"/>
  <c r="B18" i="17"/>
  <c r="B19" i="17"/>
  <c r="B20" i="17"/>
  <c r="B21" i="17"/>
  <c r="B22" i="17"/>
  <c r="B23" i="17"/>
  <c r="B24" i="17"/>
  <c r="B25" i="17"/>
  <c r="B26" i="17"/>
  <c r="B27" i="17"/>
  <c r="B29" i="17"/>
  <c r="B30" i="17"/>
  <c r="B32" i="17"/>
  <c r="B33" i="17"/>
  <c r="B34" i="17"/>
  <c r="B36" i="17"/>
  <c r="B40" i="17"/>
  <c r="B44" i="17"/>
  <c r="B47" i="17"/>
  <c r="B48" i="17"/>
  <c r="B49" i="17"/>
  <c r="B52" i="17"/>
  <c r="B53" i="17"/>
  <c r="B54" i="17"/>
  <c r="B55" i="17"/>
  <c r="B56" i="17"/>
  <c r="B57" i="17"/>
  <c r="B58" i="17"/>
  <c r="B59" i="17"/>
  <c r="B60" i="17"/>
  <c r="B61" i="17"/>
  <c r="B62" i="17"/>
  <c r="B63" i="17"/>
  <c r="B64" i="17"/>
  <c r="B65" i="17"/>
  <c r="B66" i="17"/>
  <c r="B67" i="17"/>
  <c r="B68" i="17"/>
  <c r="B69" i="17"/>
  <c r="B70" i="17"/>
  <c r="B71" i="17"/>
  <c r="B72" i="17"/>
  <c r="B73" i="17"/>
  <c r="B74" i="17"/>
  <c r="B75" i="17"/>
  <c r="B76" i="17"/>
  <c r="B77" i="17"/>
  <c r="B78" i="17"/>
  <c r="B79" i="17"/>
  <c r="B80" i="17"/>
  <c r="B81" i="17"/>
  <c r="B82" i="17"/>
  <c r="B83" i="17"/>
  <c r="B84" i="17"/>
  <c r="B85" i="17"/>
  <c r="B86" i="17"/>
  <c r="B87" i="17"/>
  <c r="B88" i="17"/>
  <c r="B89" i="17"/>
  <c r="B90" i="17"/>
  <c r="B91" i="17"/>
  <c r="B92" i="17"/>
  <c r="B93" i="17"/>
  <c r="B94" i="17"/>
  <c r="B95" i="17"/>
  <c r="B96" i="17"/>
  <c r="B97" i="17"/>
  <c r="B98" i="17"/>
  <c r="B99" i="17"/>
  <c r="B100" i="17"/>
  <c r="B101" i="17"/>
  <c r="B102" i="17"/>
  <c r="B103" i="17"/>
  <c r="B104" i="17"/>
  <c r="B105" i="17"/>
  <c r="B106" i="17"/>
  <c r="B107" i="17"/>
  <c r="B108" i="17"/>
  <c r="B109" i="17"/>
  <c r="B110" i="17"/>
  <c r="B111" i="17"/>
  <c r="B112" i="17"/>
  <c r="B113" i="17"/>
  <c r="B114" i="17"/>
  <c r="B115" i="17"/>
  <c r="B116" i="17"/>
  <c r="B117" i="17"/>
  <c r="B118" i="17"/>
  <c r="B119" i="17"/>
  <c r="B120" i="17"/>
  <c r="B121" i="17"/>
  <c r="B122" i="17"/>
  <c r="B123" i="17"/>
  <c r="B124" i="17"/>
  <c r="B125" i="17"/>
  <c r="B126" i="17"/>
  <c r="B127" i="17"/>
  <c r="B128" i="17"/>
  <c r="B129" i="17"/>
  <c r="B130" i="17"/>
  <c r="B131" i="17"/>
  <c r="B132" i="17"/>
  <c r="B133" i="17"/>
  <c r="B134" i="17"/>
  <c r="B135" i="17"/>
  <c r="B136" i="17"/>
  <c r="B137" i="17"/>
  <c r="B138" i="17"/>
  <c r="B139" i="17"/>
  <c r="B140" i="17"/>
  <c r="B141" i="17"/>
  <c r="B142" i="17"/>
  <c r="B143" i="17"/>
  <c r="B144" i="17"/>
  <c r="B145" i="17"/>
  <c r="B146" i="17"/>
  <c r="B147" i="17"/>
  <c r="B148" i="17"/>
  <c r="B149" i="17"/>
  <c r="B150" i="17"/>
  <c r="B151" i="17"/>
  <c r="B152" i="17"/>
  <c r="B153" i="17"/>
  <c r="B154" i="17"/>
  <c r="B155" i="17"/>
  <c r="B156" i="17"/>
  <c r="B157" i="17"/>
  <c r="B158" i="17"/>
  <c r="B159" i="17"/>
  <c r="B160" i="17"/>
  <c r="B161" i="17"/>
  <c r="B162" i="17"/>
  <c r="B163" i="17"/>
  <c r="B164" i="17"/>
  <c r="B165" i="17"/>
  <c r="B166" i="17"/>
  <c r="B2" i="17"/>
  <c r="Q251" i="13"/>
  <c r="P251" i="13"/>
  <c r="O251" i="13"/>
  <c r="N251" i="13"/>
  <c r="M251" i="13"/>
  <c r="Q250" i="13"/>
  <c r="P250" i="13"/>
  <c r="O250" i="13"/>
  <c r="N250" i="13"/>
  <c r="M250" i="13"/>
  <c r="Q249" i="13"/>
  <c r="P249" i="13"/>
  <c r="O249" i="13"/>
  <c r="N249" i="13"/>
  <c r="M249" i="13"/>
  <c r="Q248" i="13"/>
  <c r="P248" i="13"/>
  <c r="O248" i="13"/>
  <c r="N248" i="13"/>
  <c r="M248" i="13"/>
  <c r="Q247" i="13"/>
  <c r="P247" i="13"/>
  <c r="O247" i="13"/>
  <c r="N247" i="13"/>
  <c r="M247" i="13"/>
  <c r="Q246" i="13"/>
  <c r="P246" i="13"/>
  <c r="O246" i="13"/>
  <c r="N246" i="13"/>
  <c r="M246" i="13"/>
  <c r="Q245" i="13"/>
  <c r="P245" i="13"/>
  <c r="O245" i="13"/>
  <c r="N245" i="13"/>
  <c r="M245" i="13"/>
  <c r="Q244" i="13"/>
  <c r="P244" i="13"/>
  <c r="O244" i="13"/>
  <c r="N244" i="13"/>
  <c r="M244" i="13"/>
  <c r="Q243" i="13"/>
  <c r="P243" i="13"/>
  <c r="O243" i="13"/>
  <c r="N243" i="13"/>
  <c r="M243" i="13"/>
  <c r="Q242" i="13"/>
  <c r="P242" i="13"/>
  <c r="O242" i="13"/>
  <c r="N242" i="13"/>
  <c r="M242" i="13"/>
  <c r="Q241" i="13"/>
  <c r="P241" i="13"/>
  <c r="O241" i="13"/>
  <c r="N241" i="13"/>
  <c r="M241" i="13"/>
  <c r="Q240" i="13"/>
  <c r="P240" i="13"/>
  <c r="O240" i="13"/>
  <c r="N240" i="13"/>
  <c r="M240" i="13"/>
  <c r="Q239" i="13"/>
  <c r="P239" i="13"/>
  <c r="O239" i="13"/>
  <c r="N239" i="13"/>
  <c r="M239" i="13"/>
  <c r="Q238" i="13"/>
  <c r="P238" i="13"/>
  <c r="O238" i="13"/>
  <c r="N238" i="13"/>
  <c r="M238" i="13"/>
  <c r="Q237" i="13"/>
  <c r="P237" i="13"/>
  <c r="O237" i="13"/>
  <c r="N237" i="13"/>
  <c r="M237" i="13"/>
  <c r="Q236" i="13"/>
  <c r="P236" i="13"/>
  <c r="O236" i="13"/>
  <c r="N236" i="13"/>
  <c r="M236" i="13"/>
  <c r="Q235" i="13"/>
  <c r="P235" i="13"/>
  <c r="O235" i="13"/>
  <c r="N235" i="13"/>
  <c r="M235" i="13"/>
  <c r="Q234" i="13"/>
  <c r="P234" i="13"/>
  <c r="O234" i="13"/>
  <c r="N234" i="13"/>
  <c r="M234" i="13"/>
  <c r="Q233" i="13"/>
  <c r="P233" i="13"/>
  <c r="O233" i="13"/>
  <c r="N233" i="13"/>
  <c r="M233" i="13"/>
  <c r="Q232" i="13"/>
  <c r="P232" i="13"/>
  <c r="O232" i="13"/>
  <c r="N232" i="13"/>
  <c r="M232" i="13"/>
  <c r="Q231" i="13"/>
  <c r="P231" i="13"/>
  <c r="O231" i="13"/>
  <c r="N231" i="13"/>
  <c r="M231" i="13"/>
  <c r="Q230" i="13"/>
  <c r="P230" i="13"/>
  <c r="O230" i="13"/>
  <c r="N230" i="13"/>
  <c r="M230" i="13"/>
  <c r="Q229" i="13"/>
  <c r="P229" i="13"/>
  <c r="O229" i="13"/>
  <c r="N229" i="13"/>
  <c r="M229" i="13"/>
  <c r="Q228" i="13"/>
  <c r="P228" i="13"/>
  <c r="O228" i="13"/>
  <c r="N228" i="13"/>
  <c r="M228" i="13"/>
  <c r="Q227" i="13"/>
  <c r="P227" i="13"/>
  <c r="O227" i="13"/>
  <c r="N227" i="13"/>
  <c r="M227" i="13"/>
  <c r="Q226" i="13"/>
  <c r="P226" i="13"/>
  <c r="O226" i="13"/>
  <c r="N226" i="13"/>
  <c r="M226" i="13"/>
  <c r="Q225" i="13"/>
  <c r="P225" i="13"/>
  <c r="O225" i="13"/>
  <c r="N225" i="13"/>
  <c r="M225" i="13"/>
  <c r="Q224" i="13"/>
  <c r="P224" i="13"/>
  <c r="O224" i="13"/>
  <c r="N224" i="13"/>
  <c r="M224" i="13"/>
  <c r="Q223" i="13"/>
  <c r="P223" i="13"/>
  <c r="O223" i="13"/>
  <c r="N223" i="13"/>
  <c r="M223" i="13"/>
  <c r="Q222" i="13"/>
  <c r="P222" i="13"/>
  <c r="O222" i="13"/>
  <c r="N222" i="13"/>
  <c r="M222" i="13"/>
  <c r="Q221" i="13"/>
  <c r="P221" i="13"/>
  <c r="O221" i="13"/>
  <c r="N221" i="13"/>
  <c r="M221" i="13"/>
  <c r="Q220" i="13"/>
  <c r="P220" i="13"/>
  <c r="O220" i="13"/>
  <c r="N220" i="13"/>
  <c r="M220" i="13"/>
  <c r="Q219" i="13"/>
  <c r="P219" i="13"/>
  <c r="O219" i="13"/>
  <c r="N219" i="13"/>
  <c r="M219" i="13"/>
  <c r="Q218" i="13"/>
  <c r="P218" i="13"/>
  <c r="O218" i="13"/>
  <c r="N218" i="13"/>
  <c r="M218" i="13"/>
  <c r="Q217" i="13"/>
  <c r="P217" i="13"/>
  <c r="O217" i="13"/>
  <c r="N217" i="13"/>
  <c r="M217" i="13"/>
  <c r="Q216" i="13"/>
  <c r="P216" i="13"/>
  <c r="O216" i="13"/>
  <c r="N216" i="13"/>
  <c r="M216" i="13"/>
  <c r="Q215" i="13"/>
  <c r="P215" i="13"/>
  <c r="O215" i="13"/>
  <c r="N215" i="13"/>
  <c r="M215" i="13"/>
  <c r="Q214" i="13"/>
  <c r="P214" i="13"/>
  <c r="O214" i="13"/>
  <c r="N214" i="13"/>
  <c r="M214" i="13"/>
  <c r="Q213" i="13"/>
  <c r="P213" i="13"/>
  <c r="O213" i="13"/>
  <c r="N213" i="13"/>
  <c r="M213" i="13"/>
  <c r="Q212" i="13"/>
  <c r="P212" i="13"/>
  <c r="O212" i="13"/>
  <c r="N212" i="13"/>
  <c r="M212" i="13"/>
  <c r="Q211" i="13"/>
  <c r="P211" i="13"/>
  <c r="O211" i="13"/>
  <c r="N211" i="13"/>
  <c r="M211" i="13"/>
  <c r="Q210" i="13"/>
  <c r="P210" i="13"/>
  <c r="O210" i="13"/>
  <c r="N210" i="13"/>
  <c r="M210" i="13"/>
  <c r="Q209" i="13"/>
  <c r="P209" i="13"/>
  <c r="O209" i="13"/>
  <c r="N209" i="13"/>
  <c r="M209" i="13"/>
  <c r="Q208" i="13"/>
  <c r="P208" i="13"/>
  <c r="O208" i="13"/>
  <c r="N208" i="13"/>
  <c r="M208" i="13"/>
  <c r="Q207" i="13"/>
  <c r="P207" i="13"/>
  <c r="O207" i="13"/>
  <c r="N207" i="13"/>
  <c r="M207" i="13"/>
  <c r="Q206" i="13"/>
  <c r="P206" i="13"/>
  <c r="O206" i="13"/>
  <c r="N206" i="13"/>
  <c r="M206" i="13"/>
  <c r="Q205" i="13"/>
  <c r="P205" i="13"/>
  <c r="O205" i="13"/>
  <c r="N205" i="13"/>
  <c r="M205" i="13"/>
  <c r="Q204" i="13"/>
  <c r="P204" i="13"/>
  <c r="O204" i="13"/>
  <c r="N204" i="13"/>
  <c r="M204" i="13"/>
  <c r="Q203" i="13"/>
  <c r="P203" i="13"/>
  <c r="O203" i="13"/>
  <c r="N203" i="13"/>
  <c r="M203" i="13"/>
  <c r="Q202" i="13"/>
  <c r="P202" i="13"/>
  <c r="O202" i="13"/>
  <c r="N202" i="13"/>
  <c r="M202" i="13"/>
  <c r="E73" i="1"/>
  <c r="E72" i="1"/>
  <c r="E71" i="1"/>
  <c r="Q201" i="13"/>
  <c r="P201" i="13"/>
  <c r="O201" i="13"/>
  <c r="N201" i="13"/>
  <c r="M201" i="13"/>
  <c r="Q200" i="13"/>
  <c r="P200" i="13"/>
  <c r="O200" i="13"/>
  <c r="N200" i="13"/>
  <c r="M200" i="13"/>
  <c r="Q199" i="13"/>
  <c r="P199" i="13"/>
  <c r="O199" i="13"/>
  <c r="N199" i="13"/>
  <c r="M199" i="13"/>
  <c r="Q198" i="13"/>
  <c r="P198" i="13"/>
  <c r="O198" i="13"/>
  <c r="N198" i="13"/>
  <c r="M198" i="13"/>
  <c r="Q197" i="13"/>
  <c r="P197" i="13"/>
  <c r="O197" i="13"/>
  <c r="N197" i="13"/>
  <c r="M197" i="13"/>
  <c r="Q196" i="13"/>
  <c r="P196" i="13"/>
  <c r="O196" i="13"/>
  <c r="N196" i="13"/>
  <c r="M196" i="13"/>
  <c r="Q195" i="13"/>
  <c r="P195" i="13"/>
  <c r="O195" i="13"/>
  <c r="N195" i="13"/>
  <c r="M195" i="13"/>
  <c r="Q194" i="13"/>
  <c r="P194" i="13"/>
  <c r="O194" i="13"/>
  <c r="N194" i="13"/>
  <c r="M194" i="13"/>
  <c r="Q193" i="13"/>
  <c r="P193" i="13"/>
  <c r="O193" i="13"/>
  <c r="N193" i="13"/>
  <c r="M193" i="13"/>
  <c r="Q192" i="13"/>
  <c r="P192" i="13"/>
  <c r="O192" i="13"/>
  <c r="N192" i="13"/>
  <c r="M192" i="13"/>
  <c r="Q191" i="13"/>
  <c r="P191" i="13"/>
  <c r="O191" i="13"/>
  <c r="N191" i="13"/>
  <c r="M191" i="13"/>
  <c r="Q190" i="13"/>
  <c r="P190" i="13"/>
  <c r="O190" i="13"/>
  <c r="N190" i="13"/>
  <c r="M190" i="13"/>
  <c r="Q189" i="13"/>
  <c r="P189" i="13"/>
  <c r="O189" i="13"/>
  <c r="N189" i="13"/>
  <c r="M189" i="13"/>
  <c r="Q188" i="13"/>
  <c r="P188" i="13"/>
  <c r="O188" i="13"/>
  <c r="N188" i="13"/>
  <c r="M188" i="13"/>
  <c r="Q187" i="13"/>
  <c r="P187" i="13"/>
  <c r="O187" i="13"/>
  <c r="N187" i="13"/>
  <c r="M187" i="13"/>
  <c r="Q186" i="13"/>
  <c r="P186" i="13"/>
  <c r="O186" i="13"/>
  <c r="N186" i="13"/>
  <c r="M186" i="13"/>
  <c r="Q185" i="13"/>
  <c r="P185" i="13"/>
  <c r="O185" i="13"/>
  <c r="N185" i="13"/>
  <c r="M185" i="13"/>
  <c r="Q184" i="13"/>
  <c r="P184" i="13"/>
  <c r="O184" i="13"/>
  <c r="N184" i="13"/>
  <c r="M184" i="13"/>
  <c r="Q183" i="13"/>
  <c r="P183" i="13"/>
  <c r="O183" i="13"/>
  <c r="N183" i="13"/>
  <c r="M183" i="13"/>
  <c r="Q182" i="13"/>
  <c r="P182" i="13"/>
  <c r="O182" i="13"/>
  <c r="N182" i="13"/>
  <c r="M182" i="13"/>
  <c r="Q181" i="13"/>
  <c r="P181" i="13"/>
  <c r="O181" i="13"/>
  <c r="N181" i="13"/>
  <c r="M181" i="13"/>
  <c r="Q180" i="13"/>
  <c r="P180" i="13"/>
  <c r="O180" i="13"/>
  <c r="N180" i="13"/>
  <c r="M180" i="13"/>
  <c r="Q179" i="13"/>
  <c r="P179" i="13"/>
  <c r="O179" i="13"/>
  <c r="N179" i="13"/>
  <c r="M179" i="13"/>
  <c r="Q178" i="13"/>
  <c r="P178" i="13"/>
  <c r="O178" i="13"/>
  <c r="N178" i="13"/>
  <c r="M178" i="13"/>
  <c r="Q177" i="13"/>
  <c r="P177" i="13"/>
  <c r="O177" i="13"/>
  <c r="N177" i="13"/>
  <c r="M177" i="13"/>
  <c r="Q176" i="13"/>
  <c r="P176" i="13"/>
  <c r="O176" i="13"/>
  <c r="N176" i="13"/>
  <c r="M176" i="13"/>
  <c r="Q175" i="13"/>
  <c r="P175" i="13"/>
  <c r="O175" i="13"/>
  <c r="N175" i="13"/>
  <c r="M175" i="13"/>
  <c r="Q174" i="13"/>
  <c r="P174" i="13"/>
  <c r="O174" i="13"/>
  <c r="N174" i="13"/>
  <c r="M174" i="13"/>
  <c r="Q173" i="13"/>
  <c r="P173" i="13"/>
  <c r="O173" i="13"/>
  <c r="N173" i="13"/>
  <c r="M173" i="13"/>
  <c r="Q172" i="13"/>
  <c r="P172" i="13"/>
  <c r="O172" i="13"/>
  <c r="N172" i="13"/>
  <c r="M172" i="13"/>
  <c r="Q171" i="13"/>
  <c r="P171" i="13"/>
  <c r="O171" i="13"/>
  <c r="N171" i="13"/>
  <c r="M171" i="13"/>
  <c r="Q170" i="13"/>
  <c r="P170" i="13"/>
  <c r="O170" i="13"/>
  <c r="N170" i="13"/>
  <c r="M170" i="13"/>
  <c r="Q169" i="13"/>
  <c r="P169" i="13"/>
  <c r="O169" i="13"/>
  <c r="N169" i="13"/>
  <c r="M169" i="13"/>
  <c r="Q168" i="13"/>
  <c r="P168" i="13"/>
  <c r="O168" i="13"/>
  <c r="N168" i="13"/>
  <c r="M168" i="13"/>
  <c r="Q167" i="13"/>
  <c r="P167" i="13"/>
  <c r="O167" i="13"/>
  <c r="N167" i="13"/>
  <c r="M167" i="13"/>
  <c r="Q166" i="13"/>
  <c r="P166" i="13"/>
  <c r="O166" i="13"/>
  <c r="N166" i="13"/>
  <c r="M166" i="13"/>
  <c r="Q165" i="13"/>
  <c r="P165" i="13"/>
  <c r="O165" i="13"/>
  <c r="N165" i="13"/>
  <c r="M165" i="13"/>
  <c r="Q164" i="13"/>
  <c r="P164" i="13"/>
  <c r="O164" i="13"/>
  <c r="N164" i="13"/>
  <c r="M164" i="13"/>
  <c r="Q163" i="13"/>
  <c r="P163" i="13"/>
  <c r="O163" i="13"/>
  <c r="N163" i="13"/>
  <c r="M163" i="13"/>
  <c r="Q162" i="13"/>
  <c r="P162" i="13"/>
  <c r="O162" i="13"/>
  <c r="N162" i="13"/>
  <c r="M162" i="13"/>
  <c r="Q161" i="13"/>
  <c r="P161" i="13"/>
  <c r="O161" i="13"/>
  <c r="N161" i="13"/>
  <c r="M161" i="13"/>
  <c r="Q160" i="13"/>
  <c r="P160" i="13"/>
  <c r="O160" i="13"/>
  <c r="N160" i="13"/>
  <c r="M160" i="13"/>
  <c r="Q159" i="13"/>
  <c r="P159" i="13"/>
  <c r="O159" i="13"/>
  <c r="N159" i="13"/>
  <c r="M159" i="13"/>
  <c r="Q158" i="13"/>
  <c r="P158" i="13"/>
  <c r="O158" i="13"/>
  <c r="N158" i="13"/>
  <c r="M158" i="13"/>
  <c r="Q157" i="13"/>
  <c r="P157" i="13"/>
  <c r="O157" i="13"/>
  <c r="N157" i="13"/>
  <c r="M157" i="13"/>
  <c r="Q156" i="13"/>
  <c r="P156" i="13"/>
  <c r="O156" i="13"/>
  <c r="N156" i="13"/>
  <c r="M156" i="13"/>
  <c r="Q155" i="13"/>
  <c r="P155" i="13"/>
  <c r="O155" i="13"/>
  <c r="N155" i="13"/>
  <c r="M155" i="13"/>
  <c r="Q154" i="13"/>
  <c r="P154" i="13"/>
  <c r="O154" i="13"/>
  <c r="N154" i="13"/>
  <c r="M154" i="13"/>
  <c r="Q153" i="13"/>
  <c r="P153" i="13"/>
  <c r="O153" i="13"/>
  <c r="N153" i="13"/>
  <c r="M153" i="13"/>
  <c r="Q152" i="13"/>
  <c r="P152" i="13"/>
  <c r="O152" i="13"/>
  <c r="N152" i="13"/>
  <c r="M152" i="13"/>
  <c r="Q151" i="13"/>
  <c r="P151" i="13"/>
  <c r="O151" i="13"/>
  <c r="N151" i="13"/>
  <c r="M151" i="13"/>
  <c r="Q150" i="13"/>
  <c r="P150" i="13"/>
  <c r="O150" i="13"/>
  <c r="N150" i="13"/>
  <c r="M150" i="13"/>
  <c r="Q149" i="13"/>
  <c r="P149" i="13"/>
  <c r="O149" i="13"/>
  <c r="N149" i="13"/>
  <c r="M149" i="13"/>
  <c r="Q148" i="13"/>
  <c r="P148" i="13"/>
  <c r="O148" i="13"/>
  <c r="N148" i="13"/>
  <c r="M148" i="13"/>
  <c r="Q147" i="13"/>
  <c r="P147" i="13"/>
  <c r="O147" i="13"/>
  <c r="N147" i="13"/>
  <c r="M147" i="13"/>
  <c r="Q146" i="13"/>
  <c r="P146" i="13"/>
  <c r="O146" i="13"/>
  <c r="N146" i="13"/>
  <c r="M146" i="13"/>
  <c r="Q145" i="13"/>
  <c r="P145" i="13"/>
  <c r="O145" i="13"/>
  <c r="N145" i="13"/>
  <c r="M145" i="13"/>
  <c r="Q144" i="13"/>
  <c r="P144" i="13"/>
  <c r="O144" i="13"/>
  <c r="N144" i="13"/>
  <c r="M144" i="13"/>
  <c r="Q143" i="13"/>
  <c r="P143" i="13"/>
  <c r="O143" i="13"/>
  <c r="N143" i="13"/>
  <c r="M143" i="13"/>
  <c r="Q142" i="13"/>
  <c r="P142" i="13"/>
  <c r="O142" i="13"/>
  <c r="N142" i="13"/>
  <c r="M142" i="13"/>
  <c r="Q141" i="13"/>
  <c r="P141" i="13"/>
  <c r="O141" i="13"/>
  <c r="N141" i="13"/>
  <c r="M141" i="13"/>
  <c r="Q140" i="13"/>
  <c r="P140" i="13"/>
  <c r="O140" i="13"/>
  <c r="N140" i="13"/>
  <c r="M140" i="13"/>
  <c r="Q139" i="13"/>
  <c r="P139" i="13"/>
  <c r="O139" i="13"/>
  <c r="N139" i="13"/>
  <c r="M139" i="13"/>
  <c r="Q138" i="13"/>
  <c r="P138" i="13"/>
  <c r="O138" i="13"/>
  <c r="N138" i="13"/>
  <c r="M138" i="13"/>
  <c r="Q137" i="13"/>
  <c r="P137" i="13"/>
  <c r="O137" i="13"/>
  <c r="N137" i="13"/>
  <c r="M137" i="13"/>
  <c r="Q136" i="13"/>
  <c r="P136" i="13"/>
  <c r="O136" i="13"/>
  <c r="N136" i="13"/>
  <c r="M136" i="13"/>
  <c r="Q135" i="13"/>
  <c r="P135" i="13"/>
  <c r="O135" i="13"/>
  <c r="N135" i="13"/>
  <c r="M135" i="13"/>
  <c r="Q134" i="13"/>
  <c r="P134" i="13"/>
  <c r="O134" i="13"/>
  <c r="N134" i="13"/>
  <c r="M134" i="13"/>
  <c r="Q133" i="13"/>
  <c r="P133" i="13"/>
  <c r="O133" i="13"/>
  <c r="N133" i="13"/>
  <c r="M133" i="13"/>
  <c r="Q132" i="13"/>
  <c r="P132" i="13"/>
  <c r="O132" i="13"/>
  <c r="N132" i="13"/>
  <c r="M132" i="13"/>
  <c r="Q131" i="13"/>
  <c r="P131" i="13"/>
  <c r="O131" i="13"/>
  <c r="N131" i="13"/>
  <c r="M131" i="13"/>
  <c r="Q130" i="13"/>
  <c r="P130" i="13"/>
  <c r="O130" i="13"/>
  <c r="N130" i="13"/>
  <c r="M130" i="13"/>
  <c r="Q129" i="13"/>
  <c r="P129" i="13"/>
  <c r="O129" i="13"/>
  <c r="N129" i="13"/>
  <c r="M129" i="13"/>
  <c r="Q128" i="13"/>
  <c r="P128" i="13"/>
  <c r="O128" i="13"/>
  <c r="N128" i="13"/>
  <c r="M128" i="13"/>
  <c r="Q127" i="13"/>
  <c r="P127" i="13"/>
  <c r="O127" i="13"/>
  <c r="N127" i="13"/>
  <c r="M127" i="13"/>
  <c r="Q126" i="13"/>
  <c r="P126" i="13"/>
  <c r="O126" i="13"/>
  <c r="N126" i="13"/>
  <c r="M126" i="13"/>
  <c r="Q125" i="13"/>
  <c r="P125" i="13"/>
  <c r="O125" i="13"/>
  <c r="N125" i="13"/>
  <c r="M125" i="13"/>
  <c r="Q124" i="13"/>
  <c r="P124" i="13"/>
  <c r="O124" i="13"/>
  <c r="N124" i="13"/>
  <c r="M124" i="13"/>
  <c r="Q123" i="13"/>
  <c r="P123" i="13"/>
  <c r="O123" i="13"/>
  <c r="N123" i="13"/>
  <c r="M123" i="13"/>
  <c r="Q122" i="13"/>
  <c r="P122" i="13"/>
  <c r="O122" i="13"/>
  <c r="N122" i="13"/>
  <c r="M122" i="13"/>
  <c r="Q121" i="13"/>
  <c r="P121" i="13"/>
  <c r="O121" i="13"/>
  <c r="N121" i="13"/>
  <c r="M121" i="13"/>
  <c r="Q120" i="13"/>
  <c r="P120" i="13"/>
  <c r="O120" i="13"/>
  <c r="N120" i="13"/>
  <c r="M120" i="13"/>
  <c r="Q119" i="13"/>
  <c r="P119" i="13"/>
  <c r="O119" i="13"/>
  <c r="N119" i="13"/>
  <c r="M119" i="13"/>
  <c r="Q118" i="13"/>
  <c r="P118" i="13"/>
  <c r="O118" i="13"/>
  <c r="N118" i="13"/>
  <c r="M118" i="13"/>
  <c r="Q117" i="13"/>
  <c r="P117" i="13"/>
  <c r="O117" i="13"/>
  <c r="N117" i="13"/>
  <c r="M117" i="13"/>
  <c r="Q116" i="13"/>
  <c r="P116" i="13"/>
  <c r="O116" i="13"/>
  <c r="N116" i="13"/>
  <c r="M116" i="13"/>
  <c r="Q115" i="13"/>
  <c r="P115" i="13"/>
  <c r="O115" i="13"/>
  <c r="N115" i="13"/>
  <c r="M115" i="13"/>
  <c r="Q114" i="13"/>
  <c r="P114" i="13"/>
  <c r="O114" i="13"/>
  <c r="N114" i="13"/>
  <c r="M114" i="13"/>
  <c r="Q113" i="13"/>
  <c r="P113" i="13"/>
  <c r="O113" i="13"/>
  <c r="N113" i="13"/>
  <c r="M113" i="13"/>
  <c r="Q112" i="13"/>
  <c r="P112" i="13"/>
  <c r="O112" i="13"/>
  <c r="N112" i="13"/>
  <c r="M112" i="13"/>
  <c r="Q111" i="13"/>
  <c r="P111" i="13"/>
  <c r="O111" i="13"/>
  <c r="N111" i="13"/>
  <c r="M111" i="13"/>
  <c r="Q110" i="13"/>
  <c r="P110" i="13"/>
  <c r="O110" i="13"/>
  <c r="N110" i="13"/>
  <c r="M110" i="13"/>
  <c r="Q109" i="13"/>
  <c r="P109" i="13"/>
  <c r="O109" i="13"/>
  <c r="N109" i="13"/>
  <c r="M109" i="13"/>
  <c r="Q108" i="13"/>
  <c r="P108" i="13"/>
  <c r="O108" i="13"/>
  <c r="N108" i="13"/>
  <c r="M108" i="13"/>
  <c r="Q107" i="13"/>
  <c r="P107" i="13"/>
  <c r="O107" i="13"/>
  <c r="N107" i="13"/>
  <c r="M107" i="13"/>
  <c r="Q106" i="13"/>
  <c r="P106" i="13"/>
  <c r="O106" i="13"/>
  <c r="N106" i="13"/>
  <c r="M106" i="13"/>
  <c r="Q105" i="13"/>
  <c r="P105" i="13"/>
  <c r="O105" i="13"/>
  <c r="N105" i="13"/>
  <c r="M105" i="13"/>
  <c r="Q104" i="13"/>
  <c r="P104" i="13"/>
  <c r="O104" i="13"/>
  <c r="N104" i="13"/>
  <c r="M104" i="13"/>
  <c r="Q103" i="13"/>
  <c r="P103" i="13"/>
  <c r="O103" i="13"/>
  <c r="N103" i="13"/>
  <c r="M103" i="13"/>
  <c r="Q102" i="13"/>
  <c r="P102" i="13"/>
  <c r="O102" i="13"/>
  <c r="N102" i="13"/>
  <c r="M102" i="13"/>
  <c r="Q101" i="13"/>
  <c r="P101" i="13"/>
  <c r="O101" i="13"/>
  <c r="N101" i="13"/>
  <c r="M101" i="13"/>
  <c r="Q100" i="13"/>
  <c r="P100" i="13"/>
  <c r="O100" i="13"/>
  <c r="N100" i="13"/>
  <c r="M100" i="13"/>
  <c r="Q99" i="13"/>
  <c r="P99" i="13"/>
  <c r="O99" i="13"/>
  <c r="N99" i="13"/>
  <c r="M99" i="13"/>
  <c r="Q98" i="13"/>
  <c r="P98" i="13"/>
  <c r="O98" i="13"/>
  <c r="N98" i="13"/>
  <c r="M98" i="13"/>
  <c r="P97" i="13"/>
  <c r="O97" i="13"/>
  <c r="N97" i="13"/>
  <c r="M97" i="13"/>
  <c r="Q96" i="13"/>
  <c r="P96" i="13"/>
  <c r="O96" i="13"/>
  <c r="N96" i="13"/>
  <c r="M96" i="13"/>
  <c r="Q95" i="13"/>
  <c r="P95" i="13"/>
  <c r="O95" i="13"/>
  <c r="N95" i="13"/>
  <c r="M95" i="13"/>
  <c r="Q94" i="13"/>
  <c r="P94" i="13"/>
  <c r="O94" i="13"/>
  <c r="N94" i="13"/>
  <c r="M94" i="13"/>
  <c r="Q93" i="13"/>
  <c r="P93" i="13"/>
  <c r="O93" i="13"/>
  <c r="N93" i="13"/>
  <c r="M93" i="13"/>
  <c r="Q92" i="13"/>
  <c r="P92" i="13"/>
  <c r="O92" i="13"/>
  <c r="N92" i="13"/>
  <c r="M92" i="13"/>
  <c r="Q91" i="13"/>
  <c r="P91" i="13"/>
  <c r="O91" i="13"/>
  <c r="N91" i="13"/>
  <c r="M91" i="13"/>
  <c r="Q90" i="13"/>
  <c r="P90" i="13"/>
  <c r="O90" i="13"/>
  <c r="N90" i="13"/>
  <c r="M90" i="13"/>
  <c r="Q89" i="13"/>
  <c r="P89" i="13"/>
  <c r="O89" i="13"/>
  <c r="N89" i="13"/>
  <c r="M89" i="13"/>
  <c r="Q88" i="13"/>
  <c r="P88" i="13"/>
  <c r="O88" i="13"/>
  <c r="N88" i="13"/>
  <c r="M88" i="13"/>
  <c r="Q87" i="13"/>
  <c r="P87" i="13"/>
  <c r="O87" i="13"/>
  <c r="N87" i="13"/>
  <c r="M87" i="13"/>
  <c r="Q86" i="13"/>
  <c r="P86" i="13"/>
  <c r="O86" i="13"/>
  <c r="N86" i="13"/>
  <c r="M86" i="13"/>
  <c r="Q85" i="13"/>
  <c r="P85" i="13"/>
  <c r="O85" i="13"/>
  <c r="N85" i="13"/>
  <c r="M85" i="13"/>
  <c r="Q84" i="13"/>
  <c r="P84" i="13"/>
  <c r="O84" i="13"/>
  <c r="N84" i="13"/>
  <c r="M84" i="13"/>
  <c r="Q83" i="13"/>
  <c r="P83" i="13"/>
  <c r="O83" i="13"/>
  <c r="N83" i="13"/>
  <c r="M83" i="13"/>
  <c r="Q82" i="13"/>
  <c r="P82" i="13"/>
  <c r="O82" i="13"/>
  <c r="N82" i="13"/>
  <c r="M82" i="13"/>
  <c r="Q81" i="13"/>
  <c r="P81" i="13"/>
  <c r="O81" i="13"/>
  <c r="N81" i="13"/>
  <c r="M81" i="13"/>
  <c r="Q80" i="13"/>
  <c r="P80" i="13"/>
  <c r="O80" i="13"/>
  <c r="N80" i="13"/>
  <c r="M80" i="13"/>
  <c r="Q79" i="13"/>
  <c r="P79" i="13"/>
  <c r="O79" i="13"/>
  <c r="N79" i="13"/>
  <c r="M79" i="13"/>
  <c r="Q78" i="13"/>
  <c r="P78" i="13"/>
  <c r="O78" i="13"/>
  <c r="N78" i="13"/>
  <c r="M78" i="13"/>
  <c r="Q77" i="13"/>
  <c r="P77" i="13"/>
  <c r="O77" i="13"/>
  <c r="N77" i="13"/>
  <c r="M77" i="13"/>
  <c r="Q76" i="13"/>
  <c r="P76" i="13"/>
  <c r="O76" i="13"/>
  <c r="N76" i="13"/>
  <c r="M76" i="13"/>
  <c r="Q75" i="13"/>
  <c r="P75" i="13"/>
  <c r="O75" i="13"/>
  <c r="N75" i="13"/>
  <c r="M75" i="13"/>
  <c r="Q74" i="13"/>
  <c r="P74" i="13"/>
  <c r="O74" i="13"/>
  <c r="N74" i="13"/>
  <c r="M74" i="13"/>
  <c r="Q73" i="13"/>
  <c r="P73" i="13"/>
  <c r="O73" i="13"/>
  <c r="N73" i="13"/>
  <c r="M73" i="13"/>
  <c r="Q72" i="13"/>
  <c r="P72" i="13"/>
  <c r="O72" i="13"/>
  <c r="N72" i="13"/>
  <c r="M72" i="13"/>
  <c r="Q71" i="13"/>
  <c r="P71" i="13"/>
  <c r="O71" i="13"/>
  <c r="N71" i="13"/>
  <c r="M71" i="13"/>
  <c r="Q70" i="13"/>
  <c r="P70" i="13"/>
  <c r="O70" i="13"/>
  <c r="N70" i="13"/>
  <c r="M70" i="13"/>
  <c r="Q69" i="13"/>
  <c r="P69" i="13"/>
  <c r="O69" i="13"/>
  <c r="N69" i="13"/>
  <c r="M69" i="13"/>
  <c r="Q68" i="13"/>
  <c r="P68" i="13"/>
  <c r="O68" i="13"/>
  <c r="N68" i="13"/>
  <c r="M68" i="13"/>
  <c r="Q67" i="13"/>
  <c r="P67" i="13"/>
  <c r="O67" i="13"/>
  <c r="N67" i="13"/>
  <c r="M67" i="13"/>
  <c r="Q66" i="13"/>
  <c r="P66" i="13"/>
  <c r="O66" i="13"/>
  <c r="N66" i="13"/>
  <c r="M66" i="13"/>
  <c r="Q65" i="13"/>
  <c r="P65" i="13"/>
  <c r="O65" i="13"/>
  <c r="N65" i="13"/>
  <c r="M65" i="13"/>
  <c r="Q64" i="13"/>
  <c r="P64" i="13"/>
  <c r="O64" i="13"/>
  <c r="N64" i="13"/>
  <c r="M64" i="13"/>
  <c r="Q63" i="13"/>
  <c r="P63" i="13"/>
  <c r="O63" i="13"/>
  <c r="N63" i="13"/>
  <c r="M63" i="13"/>
  <c r="Q62" i="13"/>
  <c r="P62" i="13"/>
  <c r="O62" i="13"/>
  <c r="N62" i="13"/>
  <c r="M62" i="13"/>
  <c r="Q61" i="13"/>
  <c r="P61" i="13"/>
  <c r="O61" i="13"/>
  <c r="N61" i="13"/>
  <c r="M61" i="13"/>
  <c r="Q60" i="13"/>
  <c r="P60" i="13"/>
  <c r="O60" i="13"/>
  <c r="N60" i="13"/>
  <c r="M60" i="13"/>
  <c r="Q59" i="13"/>
  <c r="P59" i="13"/>
  <c r="O59" i="13"/>
  <c r="N59" i="13"/>
  <c r="M59" i="13"/>
  <c r="Q58" i="13"/>
  <c r="P58" i="13"/>
  <c r="O58" i="13"/>
  <c r="N58" i="13"/>
  <c r="M58" i="13"/>
  <c r="Q57" i="13"/>
  <c r="P57" i="13"/>
  <c r="O57" i="13"/>
  <c r="N57" i="13"/>
  <c r="M57" i="13"/>
  <c r="Q56" i="13"/>
  <c r="P56" i="13"/>
  <c r="O56" i="13"/>
  <c r="N56" i="13"/>
  <c r="M56" i="13"/>
  <c r="Q55" i="13"/>
  <c r="P55" i="13"/>
  <c r="O55" i="13"/>
  <c r="N55" i="13"/>
  <c r="M55" i="13"/>
  <c r="Q54" i="13"/>
  <c r="P54" i="13"/>
  <c r="O54" i="13"/>
  <c r="N54" i="13"/>
  <c r="M54" i="13"/>
  <c r="Q53" i="13"/>
  <c r="P53" i="13"/>
  <c r="O53" i="13"/>
  <c r="N53" i="13"/>
  <c r="M53" i="13"/>
  <c r="Q52" i="13"/>
  <c r="P52" i="13"/>
  <c r="O52" i="13"/>
  <c r="N52" i="13"/>
  <c r="M52" i="13"/>
  <c r="Q51" i="13"/>
  <c r="P51" i="13"/>
  <c r="O51" i="13"/>
  <c r="N51" i="13"/>
  <c r="M51" i="13"/>
  <c r="Q50" i="13"/>
  <c r="P50" i="13"/>
  <c r="O50" i="13"/>
  <c r="N50" i="13"/>
  <c r="M50" i="13"/>
  <c r="Q49" i="13"/>
  <c r="P49" i="13"/>
  <c r="O49" i="13"/>
  <c r="N49" i="13"/>
  <c r="M49" i="13"/>
  <c r="Q48" i="13"/>
  <c r="P48" i="13"/>
  <c r="O48" i="13"/>
  <c r="N48" i="13"/>
  <c r="M48" i="13"/>
  <c r="Q47" i="13"/>
  <c r="P47" i="13"/>
  <c r="O47" i="13"/>
  <c r="N47" i="13"/>
  <c r="M47" i="13"/>
  <c r="Q46" i="13"/>
  <c r="P46" i="13"/>
  <c r="O46" i="13"/>
  <c r="N46" i="13"/>
  <c r="M46" i="13"/>
  <c r="Q45" i="13"/>
  <c r="P45" i="13"/>
  <c r="O45" i="13"/>
  <c r="N45" i="13"/>
  <c r="M45" i="13"/>
  <c r="Q44" i="13"/>
  <c r="P44" i="13"/>
  <c r="O44" i="13"/>
  <c r="N44" i="13"/>
  <c r="M44" i="13"/>
  <c r="Q43" i="13"/>
  <c r="P43" i="13"/>
  <c r="O43" i="13"/>
  <c r="N43" i="13"/>
  <c r="M43" i="13"/>
  <c r="Q42" i="13"/>
  <c r="P42" i="13"/>
  <c r="O42" i="13"/>
  <c r="N42" i="13"/>
  <c r="M42" i="13"/>
  <c r="Q41" i="13"/>
  <c r="P41" i="13"/>
  <c r="O41" i="13"/>
  <c r="N41" i="13"/>
  <c r="M41" i="13"/>
  <c r="Q40" i="13"/>
  <c r="P40" i="13"/>
  <c r="O40" i="13"/>
  <c r="N40" i="13"/>
  <c r="M40" i="13"/>
  <c r="Q39" i="13"/>
  <c r="P39" i="13"/>
  <c r="O39" i="13"/>
  <c r="N39" i="13"/>
  <c r="M39" i="13"/>
  <c r="Q38" i="13"/>
  <c r="P38" i="13"/>
  <c r="O38" i="13"/>
  <c r="N38" i="13"/>
  <c r="M38" i="13"/>
  <c r="Q37" i="13"/>
  <c r="P37" i="13"/>
  <c r="O37" i="13"/>
  <c r="N37" i="13"/>
  <c r="M37" i="13"/>
  <c r="Q36" i="13"/>
  <c r="P36" i="13"/>
  <c r="O36" i="13"/>
  <c r="N36" i="13"/>
  <c r="M36" i="13"/>
  <c r="Q35" i="13"/>
  <c r="P35" i="13"/>
  <c r="O35" i="13"/>
  <c r="N35" i="13"/>
  <c r="M35" i="13"/>
  <c r="Q34" i="13"/>
  <c r="P34" i="13"/>
  <c r="O34" i="13"/>
  <c r="N34" i="13"/>
  <c r="M34" i="13"/>
  <c r="Q33" i="13"/>
  <c r="P33" i="13"/>
  <c r="O33" i="13"/>
  <c r="N33" i="13"/>
  <c r="M33" i="13"/>
  <c r="Q32" i="13"/>
  <c r="P32" i="13"/>
  <c r="O32" i="13"/>
  <c r="N32" i="13"/>
  <c r="M32" i="13"/>
  <c r="Q31" i="13"/>
  <c r="P31" i="13"/>
  <c r="O31" i="13"/>
  <c r="N31" i="13"/>
  <c r="M31" i="13"/>
  <c r="Q30" i="13"/>
  <c r="P30" i="13"/>
  <c r="O30" i="13"/>
  <c r="N30" i="13"/>
  <c r="M30" i="13"/>
  <c r="Q29" i="13"/>
  <c r="P29" i="13"/>
  <c r="O29" i="13"/>
  <c r="N29" i="13"/>
  <c r="M29" i="13"/>
  <c r="Q28" i="13"/>
  <c r="P28" i="13"/>
  <c r="O28" i="13"/>
  <c r="N28" i="13"/>
  <c r="M28" i="13"/>
  <c r="Q27" i="13"/>
  <c r="P27" i="13"/>
  <c r="O27" i="13"/>
  <c r="N27" i="13"/>
  <c r="M27" i="13"/>
  <c r="Q26" i="13"/>
  <c r="P26" i="13"/>
  <c r="O26" i="13"/>
  <c r="N26" i="13"/>
  <c r="M26" i="13"/>
  <c r="Q25" i="13"/>
  <c r="P25" i="13"/>
  <c r="O25" i="13"/>
  <c r="N25" i="13"/>
  <c r="M25" i="13"/>
  <c r="Q24" i="13"/>
  <c r="P24" i="13"/>
  <c r="O24" i="13"/>
  <c r="N24" i="13"/>
  <c r="M24" i="13"/>
  <c r="Q23" i="13"/>
  <c r="P23" i="13"/>
  <c r="O23" i="13"/>
  <c r="N23" i="13"/>
  <c r="M23" i="13"/>
  <c r="Q22" i="13"/>
  <c r="P22" i="13"/>
  <c r="O22" i="13"/>
  <c r="N22" i="13"/>
  <c r="M22" i="13"/>
  <c r="Q21" i="13"/>
  <c r="P21" i="13"/>
  <c r="O21" i="13"/>
  <c r="N21" i="13"/>
  <c r="M21" i="13"/>
  <c r="Q20" i="13"/>
  <c r="P20" i="13"/>
  <c r="O20" i="13"/>
  <c r="N20" i="13"/>
  <c r="M20" i="13"/>
  <c r="Q19" i="13"/>
  <c r="P19" i="13"/>
  <c r="O19" i="13"/>
  <c r="N19" i="13"/>
  <c r="M19" i="13"/>
  <c r="Q18" i="13"/>
  <c r="P18" i="13"/>
  <c r="O18" i="13"/>
  <c r="N18" i="13"/>
  <c r="M18" i="13"/>
  <c r="Q17" i="13"/>
  <c r="P17" i="13"/>
  <c r="O17" i="13"/>
  <c r="N17" i="13"/>
  <c r="M17" i="13"/>
  <c r="Q16" i="13"/>
  <c r="P16" i="13"/>
  <c r="O16" i="13"/>
  <c r="N16" i="13"/>
  <c r="M16" i="13"/>
  <c r="Q15" i="13"/>
  <c r="P15" i="13"/>
  <c r="O15" i="13"/>
  <c r="N15" i="13"/>
  <c r="M15" i="13"/>
  <c r="Q14" i="13"/>
  <c r="P14" i="13"/>
  <c r="O14" i="13"/>
  <c r="N14" i="13"/>
  <c r="M14" i="13"/>
  <c r="Q13" i="13"/>
  <c r="P13" i="13"/>
  <c r="O13" i="13"/>
  <c r="N13" i="13"/>
  <c r="M13" i="13"/>
  <c r="Q12" i="13"/>
  <c r="P12" i="13"/>
  <c r="O12" i="13"/>
  <c r="N12" i="13"/>
  <c r="M12" i="13"/>
  <c r="Q11" i="13"/>
  <c r="P11" i="13"/>
  <c r="O11" i="13"/>
  <c r="N11" i="13"/>
  <c r="M11" i="13"/>
  <c r="Q10" i="13"/>
  <c r="P10" i="13"/>
  <c r="O10" i="13"/>
  <c r="N10" i="13"/>
  <c r="M10" i="13"/>
  <c r="Q9" i="13"/>
  <c r="P9" i="13"/>
  <c r="O9" i="13"/>
  <c r="N9" i="13"/>
  <c r="M9" i="13"/>
  <c r="Q8" i="13"/>
  <c r="P8" i="13"/>
  <c r="O8" i="13"/>
  <c r="N8" i="13"/>
  <c r="M8" i="13"/>
  <c r="Q7" i="13"/>
  <c r="P7" i="13"/>
  <c r="O7" i="13"/>
  <c r="N7" i="13"/>
  <c r="M7" i="13"/>
  <c r="Q6" i="13"/>
  <c r="P6" i="13"/>
  <c r="O6" i="13"/>
  <c r="N6" i="13"/>
  <c r="M6" i="13"/>
  <c r="Q5" i="13"/>
  <c r="P5" i="13"/>
  <c r="O5" i="13"/>
  <c r="N5" i="13"/>
  <c r="M5" i="13"/>
  <c r="Q4" i="13"/>
  <c r="P4" i="13"/>
  <c r="O4" i="13"/>
  <c r="N4" i="13"/>
  <c r="M4" i="13"/>
  <c r="Q3" i="13"/>
  <c r="P3" i="13"/>
  <c r="O3" i="13"/>
  <c r="N3" i="13"/>
  <c r="M3" i="13"/>
  <c r="S2" i="17"/>
  <c r="R2" i="17"/>
  <c r="Q2" i="17"/>
  <c r="P2" i="17"/>
  <c r="S1" i="17"/>
  <c r="R1" i="17"/>
  <c r="Q1" i="17"/>
  <c r="P1" i="17"/>
  <c r="O1" i="17"/>
  <c r="J1" i="17"/>
  <c r="O2" i="17"/>
  <c r="T2" i="17" s="1"/>
  <c r="N1" i="17"/>
  <c r="M1" i="17"/>
  <c r="L1" i="17"/>
  <c r="K1" i="17"/>
  <c r="G2" i="17"/>
  <c r="L2" i="17" s="1"/>
  <c r="Q32" i="16"/>
  <c r="P32" i="16"/>
  <c r="O32" i="16"/>
  <c r="N32" i="16"/>
  <c r="M32" i="16"/>
  <c r="G32" i="16"/>
  <c r="L32" i="16" s="1"/>
  <c r="F32" i="16"/>
  <c r="K32" i="16" s="1"/>
  <c r="E32" i="16"/>
  <c r="J32" i="16" s="1"/>
  <c r="Q31" i="16"/>
  <c r="P31" i="16"/>
  <c r="O31" i="16"/>
  <c r="N31" i="16"/>
  <c r="M31" i="16"/>
  <c r="G31" i="16"/>
  <c r="L31" i="16" s="1"/>
  <c r="F31" i="16"/>
  <c r="K31" i="16" s="1"/>
  <c r="E31" i="16"/>
  <c r="J31" i="16" s="1"/>
  <c r="Q30" i="16"/>
  <c r="P30" i="16"/>
  <c r="O30" i="16"/>
  <c r="N30" i="16"/>
  <c r="M30" i="16"/>
  <c r="G30" i="16"/>
  <c r="L30" i="16" s="1"/>
  <c r="F30" i="16"/>
  <c r="K30" i="16" s="1"/>
  <c r="E30" i="16"/>
  <c r="J30" i="16" s="1"/>
  <c r="Q29" i="16"/>
  <c r="P29" i="16"/>
  <c r="O29" i="16"/>
  <c r="N29" i="16"/>
  <c r="M29" i="16"/>
  <c r="G29" i="16"/>
  <c r="L29" i="16" s="1"/>
  <c r="F29" i="16"/>
  <c r="K29" i="16" s="1"/>
  <c r="Q28" i="16"/>
  <c r="P28" i="16"/>
  <c r="O28" i="16"/>
  <c r="N28" i="16"/>
  <c r="M28" i="16"/>
  <c r="G28" i="16"/>
  <c r="L28" i="16" s="1"/>
  <c r="F28" i="16"/>
  <c r="K28" i="16" s="1"/>
  <c r="E28" i="16"/>
  <c r="J28" i="16" s="1"/>
  <c r="Q27" i="16"/>
  <c r="P27" i="16"/>
  <c r="O27" i="16"/>
  <c r="N27" i="16"/>
  <c r="M27" i="16"/>
  <c r="G27" i="16"/>
  <c r="L27" i="16" s="1"/>
  <c r="F27" i="16"/>
  <c r="K27" i="16" s="1"/>
  <c r="E27" i="16"/>
  <c r="J27" i="16" s="1"/>
  <c r="Q26" i="16"/>
  <c r="P26" i="16"/>
  <c r="O26" i="16"/>
  <c r="N26" i="16"/>
  <c r="M26" i="16"/>
  <c r="G26" i="16"/>
  <c r="L26" i="16" s="1"/>
  <c r="F26" i="16"/>
  <c r="K26" i="16" s="1"/>
  <c r="E26" i="16"/>
  <c r="J26" i="16" s="1"/>
  <c r="Q25" i="16"/>
  <c r="P25" i="16"/>
  <c r="O25" i="16"/>
  <c r="N25" i="16"/>
  <c r="M25" i="16"/>
  <c r="G25" i="16"/>
  <c r="L25" i="16" s="1"/>
  <c r="F25" i="16"/>
  <c r="K25" i="16" s="1"/>
  <c r="E25" i="16"/>
  <c r="J25" i="16" s="1"/>
  <c r="Q24" i="16"/>
  <c r="P24" i="16"/>
  <c r="O24" i="16"/>
  <c r="N24" i="16"/>
  <c r="M24" i="16"/>
  <c r="G24" i="16"/>
  <c r="L24" i="16" s="1"/>
  <c r="F24" i="16"/>
  <c r="K24" i="16" s="1"/>
  <c r="E24" i="16"/>
  <c r="J24" i="16" s="1"/>
  <c r="Q23" i="16"/>
  <c r="P23" i="16"/>
  <c r="O23" i="16"/>
  <c r="N23" i="16"/>
  <c r="M23" i="16"/>
  <c r="G23" i="16"/>
  <c r="L23" i="16" s="1"/>
  <c r="F23" i="16"/>
  <c r="K23" i="16" s="1"/>
  <c r="Q22" i="16"/>
  <c r="P22" i="16"/>
  <c r="O22" i="16"/>
  <c r="N22" i="16"/>
  <c r="M22" i="16"/>
  <c r="G22" i="16"/>
  <c r="L22" i="16" s="1"/>
  <c r="F22" i="16"/>
  <c r="K22" i="16" s="1"/>
  <c r="E22" i="16"/>
  <c r="J22" i="16" s="1"/>
  <c r="D22" i="16"/>
  <c r="I22" i="16" s="1"/>
  <c r="Q21" i="16"/>
  <c r="P21" i="16"/>
  <c r="O21" i="16"/>
  <c r="N21" i="16"/>
  <c r="M21" i="16"/>
  <c r="G21" i="16"/>
  <c r="L21" i="16" s="1"/>
  <c r="F21" i="16"/>
  <c r="K21" i="16" s="1"/>
  <c r="E21" i="16"/>
  <c r="J21" i="16" s="1"/>
  <c r="Q20" i="16"/>
  <c r="P20" i="16"/>
  <c r="O20" i="16"/>
  <c r="N20" i="16"/>
  <c r="M20" i="16"/>
  <c r="G20" i="16"/>
  <c r="L20" i="16" s="1"/>
  <c r="F20" i="16"/>
  <c r="K20" i="16" s="1"/>
  <c r="E20" i="16"/>
  <c r="J20" i="16" s="1"/>
  <c r="Q19" i="16"/>
  <c r="P19" i="16"/>
  <c r="O19" i="16"/>
  <c r="N19" i="16"/>
  <c r="M19" i="16"/>
  <c r="G19" i="16"/>
  <c r="L19" i="16" s="1"/>
  <c r="F19" i="16"/>
  <c r="K19" i="16" s="1"/>
  <c r="E19" i="16"/>
  <c r="J19" i="16" s="1"/>
  <c r="Q18" i="16"/>
  <c r="P18" i="16"/>
  <c r="O18" i="16"/>
  <c r="N18" i="16"/>
  <c r="M18" i="16"/>
  <c r="G18" i="16"/>
  <c r="L18" i="16" s="1"/>
  <c r="F18" i="16"/>
  <c r="K18" i="16" s="1"/>
  <c r="Q17" i="16"/>
  <c r="P17" i="16"/>
  <c r="O17" i="16"/>
  <c r="N17" i="16"/>
  <c r="M17" i="16"/>
  <c r="G17" i="16"/>
  <c r="L17" i="16" s="1"/>
  <c r="F17" i="16"/>
  <c r="K17" i="16" s="1"/>
  <c r="E17" i="16"/>
  <c r="J17" i="16" s="1"/>
  <c r="Q16" i="16"/>
  <c r="P16" i="16"/>
  <c r="O16" i="16"/>
  <c r="N16" i="16"/>
  <c r="M16" i="16"/>
  <c r="G16" i="16"/>
  <c r="L16" i="16" s="1"/>
  <c r="F16" i="16"/>
  <c r="K16" i="16" s="1"/>
  <c r="E16" i="16"/>
  <c r="J16" i="16" s="1"/>
  <c r="Q15" i="16"/>
  <c r="P15" i="16"/>
  <c r="O15" i="16"/>
  <c r="N15" i="16"/>
  <c r="M15" i="16"/>
  <c r="G15" i="16"/>
  <c r="L15" i="16" s="1"/>
  <c r="F15" i="16"/>
  <c r="K15" i="16" s="1"/>
  <c r="E15" i="16"/>
  <c r="J15" i="16" s="1"/>
  <c r="Q14" i="16"/>
  <c r="P14" i="16"/>
  <c r="O14" i="16"/>
  <c r="N14" i="16"/>
  <c r="M14" i="16"/>
  <c r="G14" i="16"/>
  <c r="L14" i="16" s="1"/>
  <c r="F14" i="16"/>
  <c r="K14" i="16" s="1"/>
  <c r="Q13" i="16"/>
  <c r="P13" i="16"/>
  <c r="O13" i="16"/>
  <c r="N13" i="16"/>
  <c r="M13" i="16"/>
  <c r="G13" i="16"/>
  <c r="L13" i="16" s="1"/>
  <c r="F13" i="16"/>
  <c r="K13" i="16" s="1"/>
  <c r="E13" i="16"/>
  <c r="J13" i="16" s="1"/>
  <c r="Q12" i="16"/>
  <c r="P12" i="16"/>
  <c r="O12" i="16"/>
  <c r="N12" i="16"/>
  <c r="M12" i="16"/>
  <c r="G12" i="16"/>
  <c r="L12" i="16" s="1"/>
  <c r="F12" i="16"/>
  <c r="K12" i="16" s="1"/>
  <c r="E12" i="16"/>
  <c r="J12" i="16" s="1"/>
  <c r="Q11" i="16"/>
  <c r="P11" i="16"/>
  <c r="O11" i="16"/>
  <c r="N11" i="16"/>
  <c r="M11" i="16"/>
  <c r="G11" i="16"/>
  <c r="L11" i="16" s="1"/>
  <c r="F11" i="16"/>
  <c r="K11" i="16" s="1"/>
  <c r="E11" i="16"/>
  <c r="J11" i="16" s="1"/>
  <c r="Q10" i="16"/>
  <c r="P10" i="16"/>
  <c r="O10" i="16"/>
  <c r="N10" i="16"/>
  <c r="M10" i="16"/>
  <c r="G10" i="16"/>
  <c r="L10" i="16" s="1"/>
  <c r="F10" i="16"/>
  <c r="K10" i="16" s="1"/>
  <c r="E10" i="16"/>
  <c r="J10" i="16" s="1"/>
  <c r="Q9" i="16"/>
  <c r="P9" i="16"/>
  <c r="O9" i="16"/>
  <c r="N9" i="16"/>
  <c r="M9" i="16"/>
  <c r="G9" i="16"/>
  <c r="L9" i="16" s="1"/>
  <c r="F9" i="16"/>
  <c r="K9" i="16" s="1"/>
  <c r="E9" i="16"/>
  <c r="J9" i="16" s="1"/>
  <c r="Q8" i="16"/>
  <c r="P8" i="16"/>
  <c r="O8" i="16"/>
  <c r="N8" i="16"/>
  <c r="M8" i="16"/>
  <c r="G8" i="16"/>
  <c r="L8" i="16" s="1"/>
  <c r="F8" i="16"/>
  <c r="K8" i="16" s="1"/>
  <c r="E8" i="16"/>
  <c r="J8" i="16" s="1"/>
  <c r="Q7" i="16"/>
  <c r="P7" i="16"/>
  <c r="O7" i="16"/>
  <c r="N7" i="16"/>
  <c r="M7" i="16"/>
  <c r="G7" i="16"/>
  <c r="L7" i="16" s="1"/>
  <c r="F7" i="16"/>
  <c r="K7" i="16" s="1"/>
  <c r="E7" i="16"/>
  <c r="J7" i="16" s="1"/>
  <c r="Q6" i="16"/>
  <c r="P6" i="16"/>
  <c r="O6" i="16"/>
  <c r="N6" i="16"/>
  <c r="M6" i="16"/>
  <c r="G6" i="16"/>
  <c r="L6" i="16" s="1"/>
  <c r="F6" i="16"/>
  <c r="K6" i="16" s="1"/>
  <c r="Q5" i="16"/>
  <c r="P5" i="16"/>
  <c r="O5" i="16"/>
  <c r="N5" i="16"/>
  <c r="M5" i="16"/>
  <c r="G5" i="16"/>
  <c r="L5" i="16" s="1"/>
  <c r="F5" i="16"/>
  <c r="K5" i="16" s="1"/>
  <c r="E5" i="16"/>
  <c r="J5" i="16" s="1"/>
  <c r="Q4" i="16"/>
  <c r="P4" i="16"/>
  <c r="O4" i="16"/>
  <c r="N4" i="16"/>
  <c r="M4" i="16"/>
  <c r="G4" i="16"/>
  <c r="L4" i="16" s="1"/>
  <c r="F4" i="16"/>
  <c r="K4" i="16" s="1"/>
  <c r="E4" i="16"/>
  <c r="J4" i="16" s="1"/>
  <c r="Q3" i="16"/>
  <c r="P3" i="16"/>
  <c r="O3" i="16"/>
  <c r="N3" i="16"/>
  <c r="M3" i="16"/>
  <c r="G3" i="16"/>
  <c r="L3" i="16" s="1"/>
  <c r="F3" i="16"/>
  <c r="K3" i="16" s="1"/>
  <c r="E3" i="16"/>
  <c r="J3" i="16" s="1"/>
  <c r="Q2" i="16"/>
  <c r="P2" i="16"/>
  <c r="O2" i="16"/>
  <c r="N2" i="16"/>
  <c r="M2" i="16"/>
  <c r="G2" i="16"/>
  <c r="L2" i="16" s="1"/>
  <c r="F2" i="16"/>
  <c r="K2" i="16" s="1"/>
  <c r="E2" i="16"/>
  <c r="J2" i="16" s="1"/>
  <c r="N52" i="12"/>
  <c r="N51" i="12"/>
  <c r="N49" i="12"/>
  <c r="N48" i="12"/>
  <c r="N47" i="12"/>
  <c r="N46" i="12"/>
  <c r="N45" i="12"/>
  <c r="N44" i="12"/>
  <c r="N43" i="12"/>
  <c r="N42" i="12"/>
  <c r="N41" i="12"/>
  <c r="N40" i="12"/>
  <c r="N39" i="12"/>
  <c r="N38" i="12"/>
  <c r="N37" i="12"/>
  <c r="N36" i="12"/>
  <c r="N35" i="12"/>
  <c r="N34" i="12"/>
  <c r="N33" i="12"/>
  <c r="N32" i="12"/>
  <c r="N31" i="12"/>
  <c r="N30" i="12"/>
  <c r="N29" i="12"/>
  <c r="N28" i="12"/>
  <c r="N27" i="12"/>
  <c r="N26" i="12"/>
  <c r="N25" i="12"/>
  <c r="N24" i="12"/>
  <c r="N23" i="12"/>
  <c r="N22" i="12"/>
  <c r="N21" i="12"/>
  <c r="N20" i="12"/>
  <c r="N19" i="12"/>
  <c r="N18" i="12"/>
  <c r="N17" i="12"/>
  <c r="N16" i="12"/>
  <c r="N15" i="12"/>
  <c r="N14" i="12"/>
  <c r="N13" i="12"/>
  <c r="N12" i="12"/>
  <c r="N11" i="12"/>
  <c r="N10" i="12"/>
  <c r="N9" i="12"/>
  <c r="N8" i="12"/>
  <c r="N7" i="12"/>
  <c r="N6" i="12"/>
  <c r="N5" i="12"/>
  <c r="N4" i="12"/>
  <c r="N3" i="12"/>
  <c r="Q24" i="12"/>
  <c r="O52" i="12"/>
  <c r="O51" i="12"/>
  <c r="O50" i="12"/>
  <c r="O49" i="12"/>
  <c r="O48" i="12"/>
  <c r="O47" i="12"/>
  <c r="O46" i="12"/>
  <c r="O45" i="12"/>
  <c r="O44" i="12"/>
  <c r="O43" i="12"/>
  <c r="O42" i="12"/>
  <c r="O41" i="12"/>
  <c r="O40" i="12"/>
  <c r="O39" i="12"/>
  <c r="O38" i="12"/>
  <c r="O37" i="12"/>
  <c r="O36" i="12"/>
  <c r="O35" i="12"/>
  <c r="O34" i="12"/>
  <c r="O33" i="12"/>
  <c r="O32" i="12"/>
  <c r="O31" i="12"/>
  <c r="O30" i="12"/>
  <c r="O29" i="12"/>
  <c r="O28" i="12"/>
  <c r="O27" i="12"/>
  <c r="O26" i="12"/>
  <c r="O25" i="12"/>
  <c r="O24" i="12"/>
  <c r="O23" i="12"/>
  <c r="O22" i="12"/>
  <c r="O21" i="12"/>
  <c r="O20" i="12"/>
  <c r="O19" i="12"/>
  <c r="O18" i="12"/>
  <c r="O17" i="12"/>
  <c r="O16" i="12"/>
  <c r="O15" i="12"/>
  <c r="O14" i="12"/>
  <c r="O13" i="12"/>
  <c r="O12" i="12"/>
  <c r="O11" i="12"/>
  <c r="O10" i="12"/>
  <c r="O9" i="12"/>
  <c r="O8" i="12"/>
  <c r="O7" i="12"/>
  <c r="O6" i="12"/>
  <c r="O5" i="12"/>
  <c r="O4" i="12"/>
  <c r="O3" i="12"/>
  <c r="O56" i="12" s="1"/>
  <c r="Q2" i="13"/>
  <c r="P2" i="13"/>
  <c r="O2" i="13"/>
  <c r="N2" i="13"/>
  <c r="F2" i="17" s="1"/>
  <c r="K2" i="17" s="1"/>
  <c r="M2" i="13"/>
  <c r="E2" i="17" s="1"/>
  <c r="J2" i="17" s="1"/>
  <c r="E45" i="5"/>
  <c r="E44" i="5"/>
  <c r="Q52" i="12"/>
  <c r="Q51" i="12"/>
  <c r="Q50" i="12"/>
  <c r="Q49" i="12"/>
  <c r="Q48" i="12"/>
  <c r="Q47" i="12"/>
  <c r="Q46" i="12"/>
  <c r="Q45" i="12"/>
  <c r="Q44" i="12"/>
  <c r="Q43" i="12"/>
  <c r="Q42" i="12"/>
  <c r="Q41" i="12"/>
  <c r="Q40" i="12"/>
  <c r="Q39" i="12"/>
  <c r="Q38" i="12"/>
  <c r="Q37" i="12"/>
  <c r="Q36" i="12"/>
  <c r="Q35" i="12"/>
  <c r="Q34" i="12"/>
  <c r="Q33" i="12"/>
  <c r="Q32" i="12"/>
  <c r="Q31" i="12"/>
  <c r="Q30" i="12"/>
  <c r="Q29" i="12"/>
  <c r="Q28" i="12"/>
  <c r="Q27" i="12"/>
  <c r="Q26" i="12"/>
  <c r="Q25" i="12"/>
  <c r="Q23" i="12"/>
  <c r="Q22" i="12"/>
  <c r="Q21" i="12"/>
  <c r="Q20" i="12"/>
  <c r="Q19" i="12"/>
  <c r="Q18" i="12"/>
  <c r="Q17" i="12"/>
  <c r="Q16" i="12"/>
  <c r="Q15" i="12"/>
  <c r="Q14" i="12"/>
  <c r="Q13" i="12"/>
  <c r="Q12" i="12"/>
  <c r="Q11" i="12"/>
  <c r="Q10" i="12"/>
  <c r="Q9" i="12"/>
  <c r="Q8" i="12"/>
  <c r="Q7" i="12"/>
  <c r="Q6" i="12"/>
  <c r="Q5" i="12"/>
  <c r="Q4" i="12"/>
  <c r="Q3" i="12"/>
  <c r="P3" i="12"/>
  <c r="P52" i="12"/>
  <c r="P51" i="12"/>
  <c r="P50" i="12"/>
  <c r="P49" i="12"/>
  <c r="P48" i="12"/>
  <c r="P47" i="12"/>
  <c r="P46" i="12"/>
  <c r="P45" i="12"/>
  <c r="P44" i="12"/>
  <c r="P43" i="12"/>
  <c r="P42" i="12"/>
  <c r="P41" i="12"/>
  <c r="P40" i="12"/>
  <c r="P39" i="12"/>
  <c r="P38" i="12"/>
  <c r="P37" i="12"/>
  <c r="P36" i="12"/>
  <c r="P35" i="12"/>
  <c r="P34" i="12"/>
  <c r="P33" i="12"/>
  <c r="P32" i="12"/>
  <c r="P31" i="12"/>
  <c r="P30" i="12"/>
  <c r="P29" i="12"/>
  <c r="P28" i="12"/>
  <c r="P27" i="12"/>
  <c r="P26" i="12"/>
  <c r="P25" i="12"/>
  <c r="P24" i="12"/>
  <c r="P23" i="12"/>
  <c r="P22" i="12"/>
  <c r="P21" i="12"/>
  <c r="P20" i="12"/>
  <c r="P19" i="12"/>
  <c r="P18" i="12"/>
  <c r="P17" i="12"/>
  <c r="P16" i="12"/>
  <c r="P15" i="12"/>
  <c r="P14" i="12"/>
  <c r="P13" i="12"/>
  <c r="P12" i="12"/>
  <c r="P11" i="12"/>
  <c r="P10" i="12"/>
  <c r="P9" i="12"/>
  <c r="P8" i="12"/>
  <c r="P7" i="12"/>
  <c r="P6" i="12"/>
  <c r="P5" i="12"/>
  <c r="P4" i="12"/>
  <c r="A1" i="10" a="1"/>
  <c r="A1" i="10" s="1"/>
  <c r="C10" i="14" s="1"/>
  <c r="E2" i="8"/>
  <c r="E3" i="8"/>
  <c r="E4" i="8"/>
  <c r="E5" i="8"/>
  <c r="E6" i="8"/>
  <c r="E7" i="8"/>
  <c r="E8" i="8"/>
  <c r="I2" i="17" s="1"/>
  <c r="N2" i="17" s="1"/>
  <c r="E9" i="8"/>
  <c r="E10" i="8"/>
  <c r="E11" i="8"/>
  <c r="E12" i="8"/>
  <c r="E13" i="8"/>
  <c r="E14" i="8"/>
  <c r="E15" i="8"/>
  <c r="E16" i="8"/>
  <c r="E17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2" i="5"/>
  <c r="E3" i="5"/>
  <c r="E4" i="5"/>
  <c r="E5" i="5"/>
  <c r="E6" i="5"/>
  <c r="E7" i="5"/>
  <c r="E8" i="5"/>
  <c r="E9" i="5"/>
  <c r="E10" i="5"/>
  <c r="E11" i="5"/>
  <c r="E12" i="5"/>
  <c r="E13" i="5"/>
  <c r="E14" i="5"/>
  <c r="E15" i="5"/>
  <c r="E16" i="5"/>
  <c r="E17" i="5"/>
  <c r="E18" i="5"/>
  <c r="E19" i="5"/>
  <c r="E20" i="5"/>
  <c r="E6" i="16" s="1"/>
  <c r="J6" i="16" s="1"/>
  <c r="E21" i="5"/>
  <c r="E22" i="5"/>
  <c r="E23" i="5"/>
  <c r="E24" i="5"/>
  <c r="E25" i="5"/>
  <c r="E26" i="5"/>
  <c r="E27" i="5"/>
  <c r="E28" i="5"/>
  <c r="E29" i="5"/>
  <c r="E18" i="16" s="1"/>
  <c r="J18" i="16" s="1"/>
  <c r="E30" i="5"/>
  <c r="E31" i="5"/>
  <c r="E32" i="5"/>
  <c r="E33" i="5"/>
  <c r="E29" i="16" s="1"/>
  <c r="J29" i="16" s="1"/>
  <c r="E34" i="5"/>
  <c r="E35" i="5"/>
  <c r="E14" i="16" s="1"/>
  <c r="J14" i="16" s="1"/>
  <c r="E36" i="5"/>
  <c r="E37" i="5"/>
  <c r="E38" i="5"/>
  <c r="E39" i="5"/>
  <c r="E40" i="5"/>
  <c r="E41" i="5"/>
  <c r="E42" i="5"/>
  <c r="E43" i="5"/>
  <c r="E23" i="16" s="1"/>
  <c r="J23" i="16" s="1"/>
  <c r="G11" i="2"/>
  <c r="C15" i="16" s="1"/>
  <c r="H15" i="16" s="1"/>
  <c r="G26" i="2"/>
  <c r="C17" i="16" s="1"/>
  <c r="H17" i="16" s="1"/>
  <c r="G22" i="2"/>
  <c r="C20" i="16" s="1"/>
  <c r="H20" i="16" s="1"/>
  <c r="G31" i="2"/>
  <c r="C7" i="16" s="1"/>
  <c r="H7" i="16" s="1"/>
  <c r="G5" i="2"/>
  <c r="C21" i="16" s="1"/>
  <c r="H21" i="16" s="1"/>
  <c r="G21" i="2"/>
  <c r="C3" i="16" s="1"/>
  <c r="H3" i="16" s="1"/>
  <c r="G14" i="2"/>
  <c r="C14" i="16" s="1"/>
  <c r="H14" i="16" s="1"/>
  <c r="G4" i="2"/>
  <c r="C30" i="16" s="1"/>
  <c r="H30" i="16" s="1"/>
  <c r="G6" i="2"/>
  <c r="C25" i="16" s="1"/>
  <c r="H25" i="16" s="1"/>
  <c r="G29" i="2"/>
  <c r="C28" i="16" s="1"/>
  <c r="H28" i="16" s="1"/>
  <c r="G32" i="2"/>
  <c r="C12" i="16" s="1"/>
  <c r="H12" i="16" s="1"/>
  <c r="G12" i="2"/>
  <c r="C32" i="16" s="1"/>
  <c r="H32" i="16" s="1"/>
  <c r="G24" i="2"/>
  <c r="C18" i="16" s="1"/>
  <c r="H18" i="16" s="1"/>
  <c r="G7" i="2"/>
  <c r="C27" i="16" s="1"/>
  <c r="H27" i="16" s="1"/>
  <c r="G13" i="2"/>
  <c r="C11" i="16" s="1"/>
  <c r="H11" i="16" s="1"/>
  <c r="G10" i="2"/>
  <c r="C16" i="16" s="1"/>
  <c r="H16" i="16" s="1"/>
  <c r="G20" i="2"/>
  <c r="C29" i="16" s="1"/>
  <c r="H29" i="16" s="1"/>
  <c r="G15" i="2"/>
  <c r="C9" i="16" s="1"/>
  <c r="H9" i="16" s="1"/>
  <c r="G17" i="2"/>
  <c r="C4" i="16" s="1"/>
  <c r="H4" i="16" s="1"/>
  <c r="G9" i="2"/>
  <c r="C23" i="16" s="1"/>
  <c r="H23" i="16" s="1"/>
  <c r="G27" i="2"/>
  <c r="C2" i="16" s="1"/>
  <c r="H2" i="16" s="1"/>
  <c r="G2" i="2"/>
  <c r="C10" i="16" s="1"/>
  <c r="H10" i="16" s="1"/>
  <c r="G19" i="2"/>
  <c r="C6" i="16" s="1"/>
  <c r="H6" i="16" s="1"/>
  <c r="G23" i="2"/>
  <c r="C5" i="16" s="1"/>
  <c r="H5" i="16" s="1"/>
  <c r="G25" i="2"/>
  <c r="C24" i="16" s="1"/>
  <c r="H24" i="16" s="1"/>
  <c r="G30" i="2"/>
  <c r="C26" i="16" s="1"/>
  <c r="H26" i="16" s="1"/>
  <c r="G3" i="2"/>
  <c r="C31" i="16" s="1"/>
  <c r="H31" i="16" s="1"/>
  <c r="G8" i="2"/>
  <c r="C8" i="16" s="1"/>
  <c r="H8" i="16" s="1"/>
  <c r="G16" i="2"/>
  <c r="C22" i="16" s="1"/>
  <c r="H22" i="16" s="1"/>
  <c r="G28" i="2"/>
  <c r="C13" i="16" s="1"/>
  <c r="H13" i="16" s="1"/>
  <c r="G18" i="2"/>
  <c r="C19" i="16" s="1"/>
  <c r="H19" i="16" s="1"/>
  <c r="E2" i="4"/>
  <c r="D9" i="16" s="1"/>
  <c r="I9" i="16" s="1"/>
  <c r="E3" i="4"/>
  <c r="D20" i="16" s="1"/>
  <c r="I20" i="16" s="1"/>
  <c r="E4" i="4"/>
  <c r="D29" i="16" s="1"/>
  <c r="I29" i="16" s="1"/>
  <c r="E5" i="4"/>
  <c r="D23" i="16" s="1"/>
  <c r="I23" i="16" s="1"/>
  <c r="E6" i="4"/>
  <c r="D26" i="16" s="1"/>
  <c r="I26" i="16" s="1"/>
  <c r="E7" i="4"/>
  <c r="D18" i="16" s="1"/>
  <c r="I18" i="16" s="1"/>
  <c r="E8" i="4"/>
  <c r="D24" i="16" s="1"/>
  <c r="I24" i="16" s="1"/>
  <c r="E9" i="4"/>
  <c r="D12" i="16" s="1"/>
  <c r="I12" i="16" s="1"/>
  <c r="E10" i="4"/>
  <c r="D21" i="16" s="1"/>
  <c r="I21" i="16" s="1"/>
  <c r="E11" i="4"/>
  <c r="D4" i="16" s="1"/>
  <c r="I4" i="16" s="1"/>
  <c r="E12" i="4"/>
  <c r="D13" i="16" s="1"/>
  <c r="I13" i="16" s="1"/>
  <c r="E13" i="4"/>
  <c r="D28" i="16" s="1"/>
  <c r="I28" i="16" s="1"/>
  <c r="E14" i="4"/>
  <c r="D8" i="16" s="1"/>
  <c r="I8" i="16" s="1"/>
  <c r="E15" i="4"/>
  <c r="D2" i="16" s="1"/>
  <c r="I2" i="16" s="1"/>
  <c r="E16" i="4"/>
  <c r="D25" i="16" s="1"/>
  <c r="I25" i="16" s="1"/>
  <c r="E17" i="4"/>
  <c r="D5" i="16" s="1"/>
  <c r="I5" i="16" s="1"/>
  <c r="E18" i="4"/>
  <c r="D11" i="16" s="1"/>
  <c r="I11" i="16" s="1"/>
  <c r="E19" i="4"/>
  <c r="D6" i="16" s="1"/>
  <c r="I6" i="16" s="1"/>
  <c r="E20" i="4"/>
  <c r="D14" i="16" s="1"/>
  <c r="I14" i="16" s="1"/>
  <c r="E21" i="4"/>
  <c r="D27" i="16" s="1"/>
  <c r="I27" i="16" s="1"/>
  <c r="E22" i="4"/>
  <c r="D10" i="16" s="1"/>
  <c r="I10" i="16" s="1"/>
  <c r="E23" i="4"/>
  <c r="D16" i="16" s="1"/>
  <c r="I16" i="16" s="1"/>
  <c r="E24" i="4"/>
  <c r="D15" i="16" s="1"/>
  <c r="I15" i="16" s="1"/>
  <c r="E25" i="4"/>
  <c r="D17" i="16" s="1"/>
  <c r="I17" i="16" s="1"/>
  <c r="E26" i="4"/>
  <c r="D3" i="16" s="1"/>
  <c r="I3" i="16" s="1"/>
  <c r="E27" i="4"/>
  <c r="D7" i="16" s="1"/>
  <c r="I7" i="16" s="1"/>
  <c r="E28" i="4"/>
  <c r="D32" i="16" s="1"/>
  <c r="I32" i="16" s="1"/>
  <c r="E29" i="4"/>
  <c r="D19" i="16" s="1"/>
  <c r="I19" i="16" s="1"/>
  <c r="E30" i="4"/>
  <c r="D30" i="16" s="1"/>
  <c r="I30" i="16" s="1"/>
  <c r="E31" i="4"/>
  <c r="D31" i="16" s="1"/>
  <c r="I31" i="16" s="1"/>
  <c r="E2" i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H2" i="17" s="1"/>
  <c r="M2" i="17" s="1"/>
  <c r="C116" i="17" l="1"/>
  <c r="C117" i="17"/>
  <c r="C162" i="17"/>
  <c r="C139" i="17"/>
  <c r="C8" i="17"/>
  <c r="C99" i="17"/>
  <c r="C160" i="17"/>
  <c r="C145" i="17"/>
  <c r="C89" i="17"/>
  <c r="C131" i="17"/>
  <c r="C108" i="17"/>
  <c r="C113" i="17"/>
  <c r="C121" i="17"/>
  <c r="C22" i="17"/>
  <c r="C30" i="17"/>
  <c r="C84" i="17"/>
  <c r="C94" i="17"/>
  <c r="C119" i="17"/>
  <c r="C128" i="17"/>
  <c r="C153" i="17"/>
  <c r="C46" i="17"/>
  <c r="C110" i="17"/>
  <c r="C112" i="17"/>
  <c r="C137" i="17"/>
  <c r="C146" i="17"/>
  <c r="C123" i="17"/>
  <c r="C136" i="17"/>
  <c r="C105" i="17"/>
  <c r="C72" i="17"/>
  <c r="C120" i="17"/>
  <c r="C130" i="17"/>
  <c r="C20" i="17"/>
  <c r="C98" i="17"/>
  <c r="C19" i="17"/>
  <c r="C23" i="17"/>
  <c r="C38" i="17"/>
  <c r="C40" i="17"/>
  <c r="C55" i="17"/>
  <c r="C62" i="17"/>
  <c r="C74" i="17"/>
  <c r="C83" i="17"/>
  <c r="C85" i="17"/>
  <c r="C92" i="17"/>
  <c r="C114" i="17"/>
  <c r="C144" i="17"/>
  <c r="C7" i="17"/>
  <c r="C27" i="17"/>
  <c r="C31" i="17"/>
  <c r="C32" i="17"/>
  <c r="C53" i="17"/>
  <c r="C70" i="17"/>
  <c r="C129" i="17"/>
  <c r="C159" i="17"/>
  <c r="C9" i="17"/>
  <c r="C14" i="17"/>
  <c r="C37" i="17"/>
  <c r="C44" i="17"/>
  <c r="C47" i="17"/>
  <c r="C96" i="17"/>
  <c r="C167" i="17"/>
  <c r="C16" i="17"/>
  <c r="C4" i="17"/>
  <c r="C11" i="17"/>
  <c r="C13" i="17"/>
  <c r="C17" i="17"/>
  <c r="C15" i="17"/>
  <c r="C18" i="17"/>
  <c r="C3" i="17"/>
  <c r="C5" i="17"/>
  <c r="C6" i="17"/>
  <c r="C10" i="17"/>
  <c r="C12" i="17"/>
  <c r="C33" i="17"/>
  <c r="C42" i="17"/>
  <c r="C49" i="17"/>
  <c r="C82" i="17"/>
  <c r="C63" i="17"/>
  <c r="C71" i="17"/>
  <c r="C73" i="17"/>
  <c r="C77" i="17"/>
  <c r="C80" i="17"/>
  <c r="C26" i="17"/>
  <c r="C35" i="17"/>
  <c r="C51" i="17"/>
  <c r="C59" i="17"/>
  <c r="C61" i="17"/>
  <c r="C87" i="17"/>
  <c r="C91" i="17"/>
  <c r="C28" i="17"/>
  <c r="C48" i="17"/>
  <c r="C57" i="17"/>
  <c r="C58" i="17"/>
  <c r="C67" i="17"/>
  <c r="C69" i="17"/>
  <c r="C81" i="17"/>
  <c r="C86" i="17"/>
  <c r="C97" i="17"/>
  <c r="C34" i="17"/>
  <c r="C41" i="17"/>
  <c r="C50" i="17"/>
  <c r="C52" i="17"/>
  <c r="C56" i="17"/>
  <c r="C65" i="17"/>
  <c r="C66" i="17"/>
  <c r="C75" i="17"/>
  <c r="C76" i="17"/>
  <c r="C36" i="17"/>
  <c r="C39" i="17"/>
  <c r="C45" i="17"/>
  <c r="C54" i="17"/>
  <c r="C60" i="17"/>
  <c r="C64" i="17"/>
  <c r="C88" i="17"/>
  <c r="C90" i="17"/>
  <c r="C21" i="17"/>
  <c r="C25" i="17"/>
  <c r="C29" i="17"/>
  <c r="C43" i="17"/>
  <c r="C68" i="17"/>
  <c r="C79" i="17"/>
  <c r="C95" i="17"/>
  <c r="C107" i="17"/>
  <c r="C124" i="17"/>
  <c r="C133" i="17"/>
  <c r="C135" i="17"/>
  <c r="C140" i="17"/>
  <c r="C150" i="17"/>
  <c r="C163" i="17"/>
  <c r="C166" i="17"/>
  <c r="C102" i="17"/>
  <c r="C104" i="17"/>
  <c r="C109" i="17"/>
  <c r="C138" i="17"/>
  <c r="C147" i="17"/>
  <c r="C156" i="17"/>
  <c r="C101" i="17"/>
  <c r="C111" i="17"/>
  <c r="C126" i="17"/>
  <c r="C142" i="17"/>
  <c r="C149" i="17"/>
  <c r="C151" i="17"/>
  <c r="C158" i="17"/>
  <c r="C103" i="17"/>
  <c r="C125" i="17"/>
  <c r="C127" i="17"/>
  <c r="C132" i="17"/>
  <c r="C141" i="17"/>
  <c r="C143" i="17"/>
  <c r="C155" i="17"/>
  <c r="C78" i="17"/>
  <c r="C93" i="17"/>
  <c r="C118" i="17"/>
  <c r="C122" i="17"/>
  <c r="C152" i="17"/>
  <c r="C157" i="17"/>
  <c r="C161" i="17"/>
  <c r="C164" i="17"/>
  <c r="C100" i="17"/>
  <c r="C106" i="17"/>
  <c r="C115" i="17"/>
  <c r="C134" i="17"/>
  <c r="C148" i="17"/>
  <c r="C154" i="17"/>
  <c r="C38" i="11"/>
  <c r="C6" i="11"/>
  <c r="C8" i="14"/>
  <c r="C3" i="9"/>
  <c r="C5" i="11"/>
  <c r="C20" i="11"/>
  <c r="C35" i="11"/>
  <c r="C37" i="11"/>
  <c r="C48" i="11"/>
  <c r="C17" i="14"/>
  <c r="C7" i="14"/>
  <c r="C49" i="11"/>
  <c r="C4" i="9"/>
  <c r="C4" i="11"/>
  <c r="C18" i="11"/>
  <c r="C34" i="11"/>
  <c r="C36" i="11"/>
  <c r="C55" i="11"/>
  <c r="C16" i="14"/>
  <c r="C6" i="14"/>
  <c r="C10" i="11"/>
  <c r="C5" i="9"/>
  <c r="C26" i="11"/>
  <c r="C17" i="11"/>
  <c r="C33" i="11"/>
  <c r="C41" i="11"/>
  <c r="C54" i="11"/>
  <c r="C15" i="14"/>
  <c r="C5" i="14"/>
  <c r="C2" i="9"/>
  <c r="C21" i="11"/>
  <c r="C18" i="14"/>
  <c r="C6" i="9"/>
  <c r="C3" i="11"/>
  <c r="C25" i="11"/>
  <c r="C16" i="11"/>
  <c r="C32" i="11"/>
  <c r="C45" i="11"/>
  <c r="C53" i="11"/>
  <c r="C14" i="14"/>
  <c r="C8" i="9"/>
  <c r="C9" i="11"/>
  <c r="C24" i="11"/>
  <c r="C15" i="11"/>
  <c r="C31" i="11"/>
  <c r="C44" i="11"/>
  <c r="C52" i="11"/>
  <c r="C2" i="14"/>
  <c r="C13" i="14"/>
  <c r="C9" i="9"/>
  <c r="C8" i="11"/>
  <c r="C23" i="11"/>
  <c r="C14" i="11"/>
  <c r="C28" i="11"/>
  <c r="C43" i="11"/>
  <c r="C51" i="11"/>
  <c r="C22" i="14"/>
  <c r="C3" i="14"/>
  <c r="C11" i="14"/>
  <c r="C19" i="14"/>
  <c r="C56" i="11"/>
  <c r="C46" i="11"/>
  <c r="C29" i="11"/>
  <c r="C11" i="11"/>
  <c r="C19" i="11"/>
  <c r="C27" i="11"/>
  <c r="C2" i="11"/>
  <c r="C7" i="9"/>
  <c r="C47" i="11"/>
  <c r="C40" i="11"/>
  <c r="C30" i="11"/>
  <c r="C12" i="11"/>
  <c r="C4" i="14"/>
  <c r="C12" i="14"/>
  <c r="C20" i="14"/>
  <c r="C7" i="11"/>
  <c r="C22" i="11"/>
  <c r="C13" i="11"/>
  <c r="C39" i="11"/>
  <c r="C42" i="11"/>
  <c r="C50" i="11"/>
  <c r="C21" i="14"/>
  <c r="C9" i="14"/>
  <c r="B27" i="16"/>
  <c r="B24" i="16"/>
  <c r="B32" i="16"/>
  <c r="B4" i="16"/>
  <c r="B6" i="16"/>
  <c r="B8" i="16"/>
  <c r="B10" i="16"/>
  <c r="B12" i="16"/>
  <c r="B14" i="16"/>
  <c r="B16" i="16"/>
  <c r="B18" i="16"/>
  <c r="B20" i="16"/>
  <c r="B25" i="16"/>
  <c r="B22" i="16"/>
  <c r="B30" i="16"/>
  <c r="C2" i="17"/>
  <c r="B5" i="16"/>
  <c r="B7" i="16"/>
  <c r="B9" i="16"/>
  <c r="B11" i="16"/>
  <c r="B13" i="16"/>
  <c r="B15" i="16"/>
  <c r="B17" i="16"/>
  <c r="B19" i="16"/>
  <c r="B21" i="16"/>
  <c r="B29" i="16"/>
  <c r="B3" i="16"/>
  <c r="B26" i="16"/>
  <c r="B23" i="16"/>
  <c r="B31" i="16"/>
  <c r="B28" i="16"/>
  <c r="B2" i="16"/>
  <c r="O53" i="12"/>
  <c r="O54" i="12"/>
  <c r="O55" i="12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<sst xmlns="http://schemas.openxmlformats.org/spreadsheetml/2006/main" count="2496" uniqueCount="568">
  <si>
    <t>DraftKings</t>
  </si>
  <si>
    <t>BetMGM</t>
  </si>
  <si>
    <t>PointsBet</t>
  </si>
  <si>
    <t>George Kittle</t>
  </si>
  <si>
    <t>Christian Watson</t>
  </si>
  <si>
    <t>Christian Kirk</t>
  </si>
  <si>
    <t>Brandin Cooks</t>
  </si>
  <si>
    <t>DeAndre Hopkins</t>
  </si>
  <si>
    <t>Chris Godwin</t>
  </si>
  <si>
    <t>Tyler Higbee</t>
  </si>
  <si>
    <t>DJ Moore</t>
  </si>
  <si>
    <t>Allen Lazard</t>
  </si>
  <si>
    <t>George Pickens</t>
  </si>
  <si>
    <t>Kyle Pitts</t>
  </si>
  <si>
    <t>Drake London</t>
  </si>
  <si>
    <t>Jahan Dotson</t>
  </si>
  <si>
    <t>Michael Gallup</t>
  </si>
  <si>
    <t>Deebo Samuel</t>
  </si>
  <si>
    <t>Adam Thielen</t>
  </si>
  <si>
    <t>Marquise Brown</t>
  </si>
  <si>
    <t>Darren Waller</t>
  </si>
  <si>
    <t>Michael Pittman</t>
  </si>
  <si>
    <t>Dawson Knox</t>
  </si>
  <si>
    <t>David Njoku</t>
  </si>
  <si>
    <t>Dallas Goedert</t>
  </si>
  <si>
    <t>Evan Engram</t>
  </si>
  <si>
    <t>Van Jefferson</t>
  </si>
  <si>
    <t>Marquez Valdes-Scantling</t>
  </si>
  <si>
    <t>Justin Jefferson</t>
  </si>
  <si>
    <t>Tyreek Hill</t>
  </si>
  <si>
    <t>Travis Kelce</t>
  </si>
  <si>
    <t>Garrett Wilson</t>
  </si>
  <si>
    <t>Stefon Diggs</t>
  </si>
  <si>
    <t>CeeDee Lamb</t>
  </si>
  <si>
    <t>Jaylen Waddle</t>
  </si>
  <si>
    <t>Chris Olave</t>
  </si>
  <si>
    <t>Tee Higgins</t>
  </si>
  <si>
    <t>DeVonta Smith</t>
  </si>
  <si>
    <t>Amari Cooper</t>
  </si>
  <si>
    <t>DK Metcalf</t>
  </si>
  <si>
    <t>Calvin Ridley</t>
  </si>
  <si>
    <t>Keenan Allen</t>
  </si>
  <si>
    <t>Mike Evans</t>
  </si>
  <si>
    <t>Tyler Lockett</t>
  </si>
  <si>
    <t>Mark Andrews</t>
  </si>
  <si>
    <t>Diontae Johnson</t>
  </si>
  <si>
    <t>Nick Chubb</t>
  </si>
  <si>
    <t>Derrick Henry</t>
  </si>
  <si>
    <t>Bijan Robinson</t>
  </si>
  <si>
    <t>Saquon Barkley</t>
  </si>
  <si>
    <t>Josh Jacobs</t>
  </si>
  <si>
    <t>Tony Pollard</t>
  </si>
  <si>
    <t>Travis Etienne</t>
  </si>
  <si>
    <t>Najee Harris</t>
  </si>
  <si>
    <t>Miles Sanders</t>
  </si>
  <si>
    <t>Rhamondre Stevenson</t>
  </si>
  <si>
    <t>Christian McCaffrey</t>
  </si>
  <si>
    <t>Dameon Pierce</t>
  </si>
  <si>
    <t>Aaron Jones</t>
  </si>
  <si>
    <t>Alexander Mattison</t>
  </si>
  <si>
    <t>Joe Mixon</t>
  </si>
  <si>
    <t>Justin Fields</t>
  </si>
  <si>
    <t>Cam Akers</t>
  </si>
  <si>
    <t>Lamar Jackson</t>
  </si>
  <si>
    <t>Isiah Pacheco</t>
  </si>
  <si>
    <t>Austin Ekeler</t>
  </si>
  <si>
    <t>Brian Robinson</t>
  </si>
  <si>
    <t>Jalen Hurts</t>
  </si>
  <si>
    <t>David Montgomery</t>
  </si>
  <si>
    <t>James Conner</t>
  </si>
  <si>
    <t>Dalvin Cook</t>
  </si>
  <si>
    <t>AJ Dillon</t>
  </si>
  <si>
    <t>Jahmyr Gibbs</t>
  </si>
  <si>
    <t>Josh Allen</t>
  </si>
  <si>
    <t>Daniel Jones</t>
  </si>
  <si>
    <t>D'Andre Swift</t>
  </si>
  <si>
    <t>Ezekiel Elliott</t>
  </si>
  <si>
    <t>Player</t>
  </si>
  <si>
    <t>Fanduel</t>
  </si>
  <si>
    <t>Ceasars</t>
  </si>
  <si>
    <t>Average</t>
  </si>
  <si>
    <t>Deshaun Watson</t>
  </si>
  <si>
    <t>Matthew Stafford</t>
  </si>
  <si>
    <t>Kenny Pickett</t>
  </si>
  <si>
    <t>Trevor Lawrence</t>
  </si>
  <si>
    <t>Brock Purdy</t>
  </si>
  <si>
    <t>Justin Herbert</t>
  </si>
  <si>
    <t>Baker Mayfield</t>
  </si>
  <si>
    <t>Bryce Young</t>
  </si>
  <si>
    <t>Ryan Tannehill</t>
  </si>
  <si>
    <t>Tua Tagovailoa</t>
  </si>
  <si>
    <t>Desmond Ridder</t>
  </si>
  <si>
    <t>Geno Smith</t>
  </si>
  <si>
    <t>Derek Carr</t>
  </si>
  <si>
    <t>Jared Goff</t>
  </si>
  <si>
    <t>Joe Burrow</t>
  </si>
  <si>
    <t>Patrick Mahomes</t>
  </si>
  <si>
    <t>Aaron Rodgers</t>
  </si>
  <si>
    <t>Kirk Cousins</t>
  </si>
  <si>
    <t>Mac Jones</t>
  </si>
  <si>
    <t>Sam Howell</t>
  </si>
  <si>
    <t>Anthony Richardson</t>
  </si>
  <si>
    <t>Dak Prescott</t>
  </si>
  <si>
    <t>Jimmy Garoppolo</t>
  </si>
  <si>
    <t>Russell Wilson</t>
  </si>
  <si>
    <t>Jordan Love</t>
  </si>
  <si>
    <t>Isaiah Hodgins</t>
  </si>
  <si>
    <t>Gabe Davis</t>
  </si>
  <si>
    <t>Michael Thomas</t>
  </si>
  <si>
    <t>Rashod Bateman</t>
  </si>
  <si>
    <t>Tyler Boyd</t>
  </si>
  <si>
    <t>Nico Collins</t>
  </si>
  <si>
    <t>Elijah Moore</t>
  </si>
  <si>
    <t>Brandon Aiyuk</t>
  </si>
  <si>
    <t>Donovan Peoples-Jones</t>
  </si>
  <si>
    <t>Skyy Moore</t>
  </si>
  <si>
    <t>Alec Pierce</t>
  </si>
  <si>
    <t>Romeo Doubs</t>
  </si>
  <si>
    <t>Dalton Schultz</t>
  </si>
  <si>
    <t>Pat Freiermuth</t>
  </si>
  <si>
    <t>Mike Williams</t>
  </si>
  <si>
    <t>Jordan Addison</t>
  </si>
  <si>
    <t>Zay Flowers</t>
  </si>
  <si>
    <t>Robert Woods</t>
  </si>
  <si>
    <t>JuJu Smith-Schuster</t>
  </si>
  <si>
    <t>Quentin Johnston</t>
  </si>
  <si>
    <t>Rachaad White</t>
  </si>
  <si>
    <t>Samaje Perine</t>
  </si>
  <si>
    <t>Khalil Herbert</t>
  </si>
  <si>
    <t>Alvin Kamara</t>
  </si>
  <si>
    <t>Damien Harris</t>
  </si>
  <si>
    <t>James Cook</t>
  </si>
  <si>
    <t>Tyler Allgeier</t>
  </si>
  <si>
    <t>Breece Hall</t>
  </si>
  <si>
    <t>Raheem Mostert</t>
  </si>
  <si>
    <t>Rashaad Penny</t>
  </si>
  <si>
    <t>OK</t>
  </si>
  <si>
    <t>Passing</t>
  </si>
  <si>
    <t>Rushing</t>
  </si>
  <si>
    <t>Fantasy</t>
  </si>
  <si>
    <t>Team</t>
  </si>
  <si>
    <t>G</t>
  </si>
  <si>
    <t>Comp</t>
  </si>
  <si>
    <t>Att</t>
  </si>
  <si>
    <t>Yard</t>
  </si>
  <si>
    <t>TD</t>
  </si>
  <si>
    <t>INT</t>
  </si>
  <si>
    <t>FPts</t>
  </si>
  <si>
    <t>FPts/G</t>
  </si>
  <si>
    <t>KC</t>
  </si>
  <si>
    <t>BUF</t>
  </si>
  <si>
    <t>PHI</t>
  </si>
  <si>
    <t>CIN</t>
  </si>
  <si>
    <t>SEA</t>
  </si>
  <si>
    <t>MIN</t>
  </si>
  <si>
    <t>JAC</t>
  </si>
  <si>
    <t>LAC</t>
  </si>
  <si>
    <t>DET</t>
  </si>
  <si>
    <t>CHI</t>
  </si>
  <si>
    <t>TB</t>
  </si>
  <si>
    <t>NYG</t>
  </si>
  <si>
    <t>GB</t>
  </si>
  <si>
    <t>DEN</t>
  </si>
  <si>
    <t>MIA</t>
  </si>
  <si>
    <t>LV</t>
  </si>
  <si>
    <t>BAL</t>
  </si>
  <si>
    <t>DAL</t>
  </si>
  <si>
    <t>HOU</t>
  </si>
  <si>
    <t>ATL</t>
  </si>
  <si>
    <t>ARI</t>
  </si>
  <si>
    <t>NE</t>
  </si>
  <si>
    <t>IND</t>
  </si>
  <si>
    <t>NO</t>
  </si>
  <si>
    <t>CLE</t>
  </si>
  <si>
    <t>SF</t>
  </si>
  <si>
    <t>TEN</t>
  </si>
  <si>
    <t>PIT</t>
  </si>
  <si>
    <t>CAR</t>
  </si>
  <si>
    <t>WAS</t>
  </si>
  <si>
    <t>LAR</t>
  </si>
  <si>
    <t>NYJ</t>
  </si>
  <si>
    <t>Rush Yards extrapolated</t>
  </si>
  <si>
    <t>Rush TDs extrapolated</t>
  </si>
  <si>
    <t>Spelling Check</t>
  </si>
  <si>
    <t>AJ Brown</t>
  </si>
  <si>
    <t>D.J. Moore</t>
  </si>
  <si>
    <t>Rec</t>
  </si>
  <si>
    <t>Rush Att</t>
  </si>
  <si>
    <t>Rush Yards</t>
  </si>
  <si>
    <t>Rush TD</t>
  </si>
  <si>
    <t>Rec Target</t>
  </si>
  <si>
    <t>Rec Yards</t>
  </si>
  <si>
    <t>Rec TD</t>
  </si>
  <si>
    <t>Rush Yards Extrapolated</t>
  </si>
  <si>
    <t>Rush TD Extrapolated</t>
  </si>
  <si>
    <t>Rec Exrapolated</t>
  </si>
  <si>
    <t>Rec TD Extraploated</t>
  </si>
  <si>
    <t>Rec Yards Extrapolated</t>
  </si>
  <si>
    <t>Stat</t>
  </si>
  <si>
    <t>Pass TD</t>
  </si>
  <si>
    <t>Pts</t>
  </si>
  <si>
    <t>Pass Yards</t>
  </si>
  <si>
    <t>Int</t>
  </si>
  <si>
    <t>Pass Yards - Source</t>
  </si>
  <si>
    <t>Pass TD Extrapolated</t>
  </si>
  <si>
    <t>Tom Brady</t>
  </si>
  <si>
    <t>Davis Mills</t>
  </si>
  <si>
    <t>Marcus Mariota</t>
  </si>
  <si>
    <t>Kyler Murray</t>
  </si>
  <si>
    <t>Matt Ryan</t>
  </si>
  <si>
    <t>Andy Dalton</t>
  </si>
  <si>
    <t>Jacoby Brissett</t>
  </si>
  <si>
    <t>Taylor Heinicke</t>
  </si>
  <si>
    <t>Carson Wentz</t>
  </si>
  <si>
    <t>Zach Wilson</t>
  </si>
  <si>
    <t>Sam Darnold</t>
  </si>
  <si>
    <t>Mitchell Trubisky</t>
  </si>
  <si>
    <t>Mike White</t>
  </si>
  <si>
    <t>Joe Flacco</t>
  </si>
  <si>
    <t>Cooper Rush</t>
  </si>
  <si>
    <t>Tyler Huntley</t>
  </si>
  <si>
    <t>Jameis Winston</t>
  </si>
  <si>
    <t>Bailey Zappe</t>
  </si>
  <si>
    <t>Jarrett Stidham</t>
  </si>
  <si>
    <t>Teddy Bridgewater</t>
  </si>
  <si>
    <t>P.J. Walker</t>
  </si>
  <si>
    <t>Gardner Minshew</t>
  </si>
  <si>
    <t>Sam Ehlinger</t>
  </si>
  <si>
    <t>Colt McCoy</t>
  </si>
  <si>
    <t>Pass TD - Source</t>
  </si>
  <si>
    <t>Rush TD - Source</t>
  </si>
  <si>
    <t>Interceptions Extrapolated</t>
  </si>
  <si>
    <t>Rush Yards - Source</t>
  </si>
  <si>
    <t>Interceptions - Source</t>
  </si>
  <si>
    <t>Pass Yards - Pts</t>
  </si>
  <si>
    <t>Pass TD - Pts</t>
  </si>
  <si>
    <t>Rush Yards - Pts</t>
  </si>
  <si>
    <t>Rush TD - Pts</t>
  </si>
  <si>
    <t>Interceptions - Pts</t>
  </si>
  <si>
    <t>Total Pts</t>
  </si>
  <si>
    <t>Taysom Hill</t>
  </si>
  <si>
    <t>Cole Kmet</t>
  </si>
  <si>
    <t>Juwan Johnson</t>
  </si>
  <si>
    <t>Jordan Akins</t>
  </si>
  <si>
    <t>Gerald Everett</t>
  </si>
  <si>
    <t>Tyler Conklin</t>
  </si>
  <si>
    <t>Noah Fant</t>
  </si>
  <si>
    <t>Mike Gesicki</t>
  </si>
  <si>
    <t>Zach Ertz</t>
  </si>
  <si>
    <t>Chigoziem Okonkwo</t>
  </si>
  <si>
    <t>Hunter Henry</t>
  </si>
  <si>
    <t>Robert Tonyan</t>
  </si>
  <si>
    <t>Austin Hooper</t>
  </si>
  <si>
    <t>Isaiah Likely</t>
  </si>
  <si>
    <t>Foster Moreau</t>
  </si>
  <si>
    <t>Hayden Hurst</t>
  </si>
  <si>
    <t>Greg Dulcich</t>
  </si>
  <si>
    <t>Will Dissly</t>
  </si>
  <si>
    <t>Cade Otton</t>
  </si>
  <si>
    <t>Jelani Woods</t>
  </si>
  <si>
    <t>Brock Wright</t>
  </si>
  <si>
    <t>Daniel Bellinger</t>
  </si>
  <si>
    <t>Colby Parkinson</t>
  </si>
  <si>
    <t>Noah Gray</t>
  </si>
  <si>
    <t>MyCole Pruitt</t>
  </si>
  <si>
    <t>Logan Thomas</t>
  </si>
  <si>
    <t>Mo Alie-Cox</t>
  </si>
  <si>
    <t>Tommy Tremble</t>
  </si>
  <si>
    <t>Trey McBride</t>
  </si>
  <si>
    <t>Harrison Bryant</t>
  </si>
  <si>
    <t>Kylen Granson</t>
  </si>
  <si>
    <t>Irv Smith</t>
  </si>
  <si>
    <t>Shane Zylstra</t>
  </si>
  <si>
    <t>Jake Ferguson</t>
  </si>
  <si>
    <t>Peyton Hendershot</t>
  </si>
  <si>
    <t>Josh Oliver</t>
  </si>
  <si>
    <t>Terry McLaurin</t>
  </si>
  <si>
    <t>Jerry Jeudy</t>
  </si>
  <si>
    <t>Cooper Kupp</t>
  </si>
  <si>
    <t>Jakobi Meyers</t>
  </si>
  <si>
    <t>Curtis Samuel</t>
  </si>
  <si>
    <t>Zay Jones</t>
  </si>
  <si>
    <t>Mack Hollins</t>
  </si>
  <si>
    <t>Courtland Sutton</t>
  </si>
  <si>
    <t>Josh Palmer</t>
  </si>
  <si>
    <t>Parris Campbell</t>
  </si>
  <si>
    <t>Kenneth Walker</t>
  </si>
  <si>
    <t>Leonard Fournette</t>
  </si>
  <si>
    <t>Devin Singletary</t>
  </si>
  <si>
    <t>Jeff Wilson</t>
  </si>
  <si>
    <t>Jerick McKinnon</t>
  </si>
  <si>
    <t>Cordarrelle Patterson</t>
  </si>
  <si>
    <t>Latavius Murray</t>
  </si>
  <si>
    <t>Jonathan Taylor</t>
  </si>
  <si>
    <t>Antonio Gibson</t>
  </si>
  <si>
    <t>Kareem Hunt</t>
  </si>
  <si>
    <t>Kenyan Drake</t>
  </si>
  <si>
    <t>Michael Carter</t>
  </si>
  <si>
    <t>Clyde Edwards-Helaire</t>
  </si>
  <si>
    <t>James Robinson</t>
  </si>
  <si>
    <t>Chuba Hubbard</t>
  </si>
  <si>
    <t>Davante Adams</t>
  </si>
  <si>
    <t>Jamaal Williams</t>
  </si>
  <si>
    <t>TJ Hockenson</t>
  </si>
  <si>
    <t>CJ Uzomah</t>
  </si>
  <si>
    <t>Amon-Ra St Brown</t>
  </si>
  <si>
    <t>KJ Osborn</t>
  </si>
  <si>
    <t>JK Dobbins</t>
  </si>
  <si>
    <t>CJ Stroud</t>
  </si>
  <si>
    <t>PJ Walker</t>
  </si>
  <si>
    <t>JaMarr Chase</t>
  </si>
  <si>
    <t>Valid Sources</t>
  </si>
  <si>
    <t>Melvin Gordon</t>
  </si>
  <si>
    <t>Jaylen Warren</t>
  </si>
  <si>
    <t>Kenneth Gainwell</t>
  </si>
  <si>
    <t>Eno Benjamin</t>
  </si>
  <si>
    <t>Gus Edwards</t>
  </si>
  <si>
    <t>Chase Edmonds</t>
  </si>
  <si>
    <t>Darrell Henderson</t>
  </si>
  <si>
    <t>Deon Jackson</t>
  </si>
  <si>
    <t>Dontrell Hilliard</t>
  </si>
  <si>
    <t>Zack Moss</t>
  </si>
  <si>
    <t>Joshua Kelley</t>
  </si>
  <si>
    <t>JaMycal Hasty</t>
  </si>
  <si>
    <t>Zonovan Knight</t>
  </si>
  <si>
    <t>Caleb Huntley</t>
  </si>
  <si>
    <t>Boston Scott</t>
  </si>
  <si>
    <t>Elijah Mitchell</t>
  </si>
  <si>
    <t>Matt Breida</t>
  </si>
  <si>
    <t>Nyheim Hines</t>
  </si>
  <si>
    <t>Justin Jackson</t>
  </si>
  <si>
    <t>Mark Ingram</t>
  </si>
  <si>
    <t>Raheem Blackshear</t>
  </si>
  <si>
    <t>Kyle Juszczyk</t>
  </si>
  <si>
    <t>Rex Burkhead</t>
  </si>
  <si>
    <t>Justice Hill</t>
  </si>
  <si>
    <t>Jordan Mason</t>
  </si>
  <si>
    <t>DeeJay Dallas</t>
  </si>
  <si>
    <t>Ty Johnson</t>
  </si>
  <si>
    <t>Marlon Mack</t>
  </si>
  <si>
    <t>Ameer Abdullah</t>
  </si>
  <si>
    <t>Travis Homer</t>
  </si>
  <si>
    <t>Dare Ogunbowale</t>
  </si>
  <si>
    <t>Malik Davis</t>
  </si>
  <si>
    <t>Javonte Williams</t>
  </si>
  <si>
    <t>J.D. McKissic</t>
  </si>
  <si>
    <t>Gary Brightwell</t>
  </si>
  <si>
    <t>Alec Ingold</t>
  </si>
  <si>
    <t>Avery Williams</t>
  </si>
  <si>
    <t>Craig Reynolds</t>
  </si>
  <si>
    <t>Kyren Williams</t>
  </si>
  <si>
    <t>C.J. Ham</t>
  </si>
  <si>
    <t>Mike Boone</t>
  </si>
  <si>
    <t>Jonathan Williams</t>
  </si>
  <si>
    <t>Tevin Coleman</t>
  </si>
  <si>
    <t>Brandon Bolden</t>
  </si>
  <si>
    <t>Malcolm Brown</t>
  </si>
  <si>
    <t>Darrel Williams</t>
  </si>
  <si>
    <t>Corey Clement</t>
  </si>
  <si>
    <t xml:space="preserve">Odell Beckham </t>
  </si>
  <si>
    <t xml:space="preserve">Travis Etienne </t>
  </si>
  <si>
    <t xml:space="preserve">Marvin Jones </t>
  </si>
  <si>
    <t xml:space="preserve">Traiv Etienne </t>
  </si>
  <si>
    <t>Pierre Strong</t>
  </si>
  <si>
    <t>Darius Slayton</t>
  </si>
  <si>
    <t>Richie James</t>
  </si>
  <si>
    <t>Isaiah McKenzie</t>
  </si>
  <si>
    <t>Noah Brown</t>
  </si>
  <si>
    <t>Devin Duvernay</t>
  </si>
  <si>
    <t>Russell Gage</t>
  </si>
  <si>
    <t>Rashid Shaheed</t>
  </si>
  <si>
    <t>Olamide Zaccheaus</t>
  </si>
  <si>
    <t>DeVante Parker</t>
  </si>
  <si>
    <t>Marvin Jones</t>
  </si>
  <si>
    <t>DeAndre Carter</t>
  </si>
  <si>
    <t>Mecole Hardman</t>
  </si>
  <si>
    <t>D.J. Chark</t>
  </si>
  <si>
    <t>Chris Moore</t>
  </si>
  <si>
    <t>Josh Reynolds</t>
  </si>
  <si>
    <t>Corey Davis</t>
  </si>
  <si>
    <t>Kalif Raymond</t>
  </si>
  <si>
    <t>Marquise Goodwin</t>
  </si>
  <si>
    <t>Greg Dortch</t>
  </si>
  <si>
    <t>Darnell Mooney</t>
  </si>
  <si>
    <t>Demarcus Robinson</t>
  </si>
  <si>
    <t>Nick Westbrook-Ikhine</t>
  </si>
  <si>
    <t>Chase Claypool</t>
  </si>
  <si>
    <t>Treylon Burks</t>
  </si>
  <si>
    <t>Terrace Marshall Jr.</t>
  </si>
  <si>
    <t>Trent Sherfield</t>
  </si>
  <si>
    <t>Quez Watkins</t>
  </si>
  <si>
    <t>Kendrick Bourne</t>
  </si>
  <si>
    <t>Allen Robinson</t>
  </si>
  <si>
    <t>Nelson Agholor</t>
  </si>
  <si>
    <t>Trenton Irwin</t>
  </si>
  <si>
    <t>Randall Cobb</t>
  </si>
  <si>
    <t>Jauan Jennings</t>
  </si>
  <si>
    <t>Rondale Moore</t>
  </si>
  <si>
    <t>Julio Jones</t>
  </si>
  <si>
    <t>Dante Pettis</t>
  </si>
  <si>
    <t>Laviska Shenault</t>
  </si>
  <si>
    <t>Jamal Agnew</t>
  </si>
  <si>
    <t>Ben Skowronek</t>
  </si>
  <si>
    <t>Tutu Atwell</t>
  </si>
  <si>
    <t>Hunter Renfrow</t>
  </si>
  <si>
    <t>Positional Rank</t>
  </si>
  <si>
    <t>Bye Week</t>
  </si>
  <si>
    <t>Consensus Points</t>
  </si>
  <si>
    <t>Pos</t>
  </si>
  <si>
    <t>WR</t>
  </si>
  <si>
    <t>RB</t>
  </si>
  <si>
    <t>TE</t>
  </si>
  <si>
    <t>QB</t>
  </si>
  <si>
    <t>Jaxon Smith-Njigba</t>
  </si>
  <si>
    <t>Zach Charbonnet</t>
  </si>
  <si>
    <t>Kadarius Toney</t>
  </si>
  <si>
    <t>De'Von Achane</t>
  </si>
  <si>
    <t>Dalton Kincaid</t>
  </si>
  <si>
    <t>Jameson Williams</t>
  </si>
  <si>
    <t>Tank Bigsby</t>
  </si>
  <si>
    <t>Roschon Johnson</t>
  </si>
  <si>
    <t>Sam LaPorta</t>
  </si>
  <si>
    <t>Kendre Miller</t>
  </si>
  <si>
    <t>Jalin Hyatt</t>
  </si>
  <si>
    <t>Tyjae Spears</t>
  </si>
  <si>
    <t>Rashee Rice</t>
  </si>
  <si>
    <t>Deuce Vaughn</t>
  </si>
  <si>
    <t>Michael Mayer</t>
  </si>
  <si>
    <t>Jonathan Mingo</t>
  </si>
  <si>
    <t>Zamir White</t>
  </si>
  <si>
    <t>Luke Musgrave</t>
  </si>
  <si>
    <t>Jerome Ford</t>
  </si>
  <si>
    <t>Ty Chandler</t>
  </si>
  <si>
    <t>Jayden Reed</t>
  </si>
  <si>
    <t xml:space="preserve">Nathaniel Tank Dell </t>
  </si>
  <si>
    <t>Justyn Ross</t>
  </si>
  <si>
    <t>Wan'Dale Robinson</t>
  </si>
  <si>
    <t>Terrace Marshall</t>
  </si>
  <si>
    <t>John Metchie</t>
  </si>
  <si>
    <t>Chase Brown</t>
  </si>
  <si>
    <t>Zach Evans</t>
  </si>
  <si>
    <t>Josh Downs</t>
  </si>
  <si>
    <t>Evan Hull</t>
  </si>
  <si>
    <t>Tyquan Thornton</t>
  </si>
  <si>
    <t>Khalil Shakir</t>
  </si>
  <si>
    <t>Jerreth Sterns</t>
  </si>
  <si>
    <t>Isaiah Spiller</t>
  </si>
  <si>
    <t>DeWayne McBride</t>
  </si>
  <si>
    <t>Will Levis</t>
  </si>
  <si>
    <t>Darnell Washington</t>
  </si>
  <si>
    <t>Trey Lance</t>
  </si>
  <si>
    <t>Keaontay Ingram</t>
  </si>
  <si>
    <t>Rico Dowdle</t>
  </si>
  <si>
    <t>Chris Evans</t>
  </si>
  <si>
    <t>Ty Montgomery</t>
  </si>
  <si>
    <t>Michael Wilson</t>
  </si>
  <si>
    <t>Hassan Haskins</t>
  </si>
  <si>
    <t>Trayveon Williams</t>
  </si>
  <si>
    <t>Trey Palmer</t>
  </si>
  <si>
    <t>Puka Nacua</t>
  </si>
  <si>
    <t>Ronald Jones</t>
  </si>
  <si>
    <t>David Bell</t>
  </si>
  <si>
    <t>Jaylen Samuels</t>
  </si>
  <si>
    <t>Israel Abanikanda</t>
  </si>
  <si>
    <t>Cedric Tillman</t>
  </si>
  <si>
    <t>Kayshon Boutte</t>
  </si>
  <si>
    <t>Kylin Hill</t>
  </si>
  <si>
    <t>Skylar Thompson</t>
  </si>
  <si>
    <t>Patrick Taylor</t>
  </si>
  <si>
    <t>D'Wayne Eskridge</t>
  </si>
  <si>
    <t>James Proche</t>
  </si>
  <si>
    <t>Phillip Dorsett</t>
  </si>
  <si>
    <t>Breshad Perriman</t>
  </si>
  <si>
    <t>Erik Ezukanma</t>
  </si>
  <si>
    <t>Ray-Ray McCloud</t>
  </si>
  <si>
    <t>Collin Johnson</t>
  </si>
  <si>
    <t>Laquon Treadwell</t>
  </si>
  <si>
    <t>Brian Hoyer</t>
  </si>
  <si>
    <t>Connor Heyward</t>
  </si>
  <si>
    <t>Ronnie Bell</t>
  </si>
  <si>
    <t>Carson Strong</t>
  </si>
  <si>
    <t>Ross Dwelley</t>
  </si>
  <si>
    <t>Jaret Patterson</t>
  </si>
  <si>
    <t>Easton Stick</t>
  </si>
  <si>
    <t>Jalen Reagor</t>
  </si>
  <si>
    <t>Jalen Moreno-Cropper</t>
  </si>
  <si>
    <t>Trevor Siemian</t>
  </si>
  <si>
    <t>Lance McCutcheon</t>
  </si>
  <si>
    <t>Demetric Felton</t>
  </si>
  <si>
    <t>Myles Gaskin</t>
  </si>
  <si>
    <t>Hunter Long</t>
  </si>
  <si>
    <t>Jake Haener</t>
  </si>
  <si>
    <t>Nate Sudfeld</t>
  </si>
  <si>
    <t>D'Ernest Johnson</t>
  </si>
  <si>
    <t>Jeremy Ruckert</t>
  </si>
  <si>
    <t>Grant DuBose</t>
  </si>
  <si>
    <t>Case Keenum</t>
  </si>
  <si>
    <t>Zach Pascal</t>
  </si>
  <si>
    <t>Joshua Dobbs</t>
  </si>
  <si>
    <t>Sammy Watkins</t>
  </si>
  <si>
    <t>Tyrod Taylor</t>
  </si>
  <si>
    <t>Tanner McKee</t>
  </si>
  <si>
    <t>Jody Fortson</t>
  </si>
  <si>
    <t>Will Mallory</t>
  </si>
  <si>
    <t>Brett Rypien</t>
  </si>
  <si>
    <t>Clayton Tune</t>
  </si>
  <si>
    <t>Brenton Strange</t>
  </si>
  <si>
    <t>Tyler Kroft</t>
  </si>
  <si>
    <t>Rakim Jarrett</t>
  </si>
  <si>
    <t>Charlie Kolar</t>
  </si>
  <si>
    <t>Salvon Ahmed</t>
  </si>
  <si>
    <t>Trestan Ebner</t>
  </si>
  <si>
    <t>ZaQuandre White</t>
  </si>
  <si>
    <t>Dyami Brown</t>
  </si>
  <si>
    <t>Tre Tucker</t>
  </si>
  <si>
    <t>Ty Fryfogle</t>
  </si>
  <si>
    <t>Brandon Allen</t>
  </si>
  <si>
    <t>Jarvis Landry</t>
  </si>
  <si>
    <t>Bryan Edwards</t>
  </si>
  <si>
    <t>Shane Buechele</t>
  </si>
  <si>
    <t>Cole Turner</t>
  </si>
  <si>
    <t>Blaine Gabbert</t>
  </si>
  <si>
    <t>Jake Funk</t>
  </si>
  <si>
    <t>Zander Horvath</t>
  </si>
  <si>
    <t>Adam Prentice</t>
  </si>
  <si>
    <t>Demario Douglas</t>
  </si>
  <si>
    <t>Kenny McIntosh</t>
  </si>
  <si>
    <t>Eric Gray</t>
  </si>
  <si>
    <t>Chase Garbers</t>
  </si>
  <si>
    <t>Dan Arnold</t>
  </si>
  <si>
    <t>Zack Kuntz</t>
  </si>
  <si>
    <t>Josiah Deguara</t>
  </si>
  <si>
    <t>Stetson Bennett</t>
  </si>
  <si>
    <t>Scott Miller</t>
  </si>
  <si>
    <t>Hassan Hall</t>
  </si>
  <si>
    <t>Drew Lock</t>
  </si>
  <si>
    <t>Charlie Jones</t>
  </si>
  <si>
    <t>Austin Allen</t>
  </si>
  <si>
    <t>Shi Smith</t>
  </si>
  <si>
    <t>Snoop Conner</t>
  </si>
  <si>
    <t>Nick Mullens</t>
  </si>
  <si>
    <t>Trace McSorley</t>
  </si>
  <si>
    <t>Jalen Nailor</t>
  </si>
  <si>
    <t>Tarik Cohen</t>
  </si>
  <si>
    <t>Denzel Mims</t>
  </si>
  <si>
    <t>Payne Durham</t>
  </si>
  <si>
    <t>Xazavian Valladay</t>
  </si>
  <si>
    <t>Brycen Hopkins</t>
  </si>
  <si>
    <t>Keith Smith</t>
  </si>
  <si>
    <t>Kene Nwangwu</t>
  </si>
  <si>
    <t>Kyle Allen</t>
  </si>
  <si>
    <t>Ashton Dulin</t>
  </si>
  <si>
    <t>Tory Carter</t>
  </si>
  <si>
    <t>Cedrick Wilson</t>
  </si>
  <si>
    <t>Amari Rodgers</t>
  </si>
  <si>
    <t>John Bates</t>
  </si>
  <si>
    <t>Chosen Anderson</t>
  </si>
  <si>
    <t>Teams</t>
  </si>
  <si>
    <t>DJ Chark</t>
  </si>
  <si>
    <t>CJ Beathard</t>
  </si>
  <si>
    <t>Equanimeous St Brown</t>
  </si>
  <si>
    <t>Donta Foreman</t>
  </si>
  <si>
    <t>Vegas Projections</t>
  </si>
  <si>
    <t>Reliable</t>
  </si>
  <si>
    <t>Difference</t>
  </si>
  <si>
    <t>Unreliable Data</t>
  </si>
  <si>
    <t>All Purpose Yards</t>
  </si>
  <si>
    <t>Draft Position Raw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</si>
</sst>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(* #,##0_);_(* \(#,##0\);_(* &quot;-&quot;_);_(@_)"/>
    <numFmt numFmtId="43" formatCode="_(* #,##0.00_);_(* \(#,##0.00\);_(* &quot;-&quot;??_);_(@_)"/>
    <numFmt numFmtId="169" formatCode="_(* #,##0_);_(* \(#,##0\);_(* &quot;-&quot;??_);_(@_)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7F7F7"/>
      <name val="Verdana"/>
      <family val="2"/>
    </font>
  </fonts>
  <fills count="7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4" tint="0.79995117038483843"/>
        <bgColor indexed="64"/>
      </patternFill>
    </fill>
    <fill>
      <patternFill patternType="solid">
        <fgColor rgb="FF336699"/>
        <bgColor indexed="64"/>
      </patternFill>
    </fill>
    <fill>
      <patternFill patternType="solid">
        <fgColor rgb="FF666666"/>
        <bgColor indexed="64"/>
      </patternFill>
    </fill>
    <fill>
      <patternFill patternType="solid">
        <fgColor rgb="FFFFFFCC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11">
    <xf numFmtId="0" fontId="0" fillId="0" borderId="0" xfId="0"/>
    <xf numFmtId="41" fontId="0" fillId="0" borderId="0" xfId="0" applyNumberFormat="1"/>
    <xf numFmtId="41" fontId="0" fillId="3" borderId="0" xfId="0" applyNumberFormat="1" applyFill="1"/>
    <xf numFmtId="0" fontId="3" fillId="4" borderId="0" xfId="0" applyFont="1" applyFill="1" applyAlignment="1">
      <alignment vertical="center"/>
    </xf>
    <xf numFmtId="0" fontId="3" fillId="5" borderId="0" xfId="0" applyFont="1" applyFill="1" applyAlignment="1">
      <alignment vertical="center"/>
    </xf>
    <xf numFmtId="169" fontId="0" fillId="2" borderId="0" xfId="1" applyNumberFormat="1" applyFont="1" applyFill="1"/>
    <xf numFmtId="0" fontId="2" fillId="0" borderId="0" xfId="0" applyFont="1"/>
    <xf numFmtId="169" fontId="0" fillId="0" borderId="0" xfId="1" applyNumberFormat="1" applyFont="1"/>
    <xf numFmtId="169" fontId="0" fillId="0" borderId="0" xfId="0" applyNumberFormat="1"/>
    <xf numFmtId="169" fontId="0" fillId="6" borderId="0" xfId="0" applyNumberFormat="1" applyFill="1"/>
    <xf numFmtId="0" fontId="0" fillId="6" borderId="0" xfId="0" applyFill="1"/>
  </cellXfs>
  <cellStyles count="2">
    <cellStyle name="Comma" xfId="1" builtinId="3"/>
    <cellStyle name="Normal" xfId="0" builtinId="0"/>
  </cellStyles>
  <dxfs count="9">
    <dxf>
      <font>
        <b/>
        <i val="0"/>
        <color rgb="FF003300"/>
      </font>
      <fill>
        <patternFill>
          <bgColor rgb="FFCCFFCC"/>
        </patternFill>
      </fill>
    </dxf>
    <dxf>
      <font>
        <b/>
        <i val="0"/>
        <color rgb="FF660033"/>
      </font>
      <fill>
        <patternFill>
          <bgColor rgb="FFFFCCCC"/>
        </patternFill>
      </fill>
    </dxf>
    <dxf>
      <font>
        <b/>
        <i val="0"/>
        <color rgb="FF003300"/>
      </font>
      <fill>
        <patternFill>
          <bgColor rgb="FFCCFFCC"/>
        </patternFill>
      </fill>
    </dxf>
    <dxf>
      <font>
        <b/>
        <i val="0"/>
        <color rgb="FF660033"/>
      </font>
      <fill>
        <patternFill>
          <bgColor rgb="FFFFCCCC"/>
        </patternFill>
      </fill>
    </dxf>
    <dxf>
      <font>
        <b/>
        <i val="0"/>
        <color rgb="FF003300"/>
      </font>
      <fill>
        <patternFill>
          <bgColor rgb="FFCCFFCC"/>
        </patternFill>
      </fill>
    </dxf>
    <dxf>
      <font>
        <b/>
        <i val="0"/>
        <color rgb="FF660033"/>
      </font>
      <fill>
        <patternFill>
          <bgColor rgb="FFFFCCCC"/>
        </patternFill>
      </fill>
    </dxf>
    <dxf>
      <font>
        <b/>
        <i val="0"/>
        <color rgb="FF003300"/>
      </font>
      <fill>
        <patternFill>
          <bgColor rgb="FFCCFFCC"/>
        </patternFill>
      </fill>
    </dxf>
    <dxf>
      <font>
        <b/>
        <i val="0"/>
        <color rgb="FF660033"/>
      </font>
      <fill>
        <patternFill>
          <bgColor rgb="FFFFCCCC"/>
        </patternFill>
      </fill>
    </dxf>
    <dxf>
      <font>
        <b/>
        <i val="0"/>
        <color rgb="FF660033"/>
      </font>
      <fill>
        <patternFill>
          <bgColor rgb="FFFFCCCC"/>
        </patternFill>
      </fill>
    </dxf>
  </dxfs>
  <tableStyles count="0" defaultTableStyle="TableStyleMedium2" defaultPivotStyle="PivotStyleLight16"/>
  <colors>
    <mruColors>
      <color rgb="FF660033"/>
      <color rgb="FFFFCCCC"/>
      <color rgb="FFFFFFCC"/>
      <color rgb="FF003300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8FD1844-F652-4933-B719-6A0E13359A96}" name="Pt_System" displayName="Pt_System" ref="A1:B9" totalsRowShown="0">
  <autoFilter ref="A1:B9" xr:uid="{18FD1844-F652-4933-B719-6A0E13359A96}"/>
  <tableColumns count="2">
    <tableColumn id="1" xr3:uid="{035DCAA6-8F71-4F7D-A5AB-3E694FC7A4CE}" name="Stat"/>
    <tableColumn id="2" xr3:uid="{55769A55-F1AD-48BB-BA91-844B36E3F32C}" name="Pts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B1AFA-9165-4B58-993A-6B3F667140D8}">
  <sheetPr codeName="Sheet15"/>
  <dimension ref="A1:E9"/>
  <sheetViews>
    <sheetView tabSelected="1" workbookViewId="0"/>
  </sheetViews>
  <sheetFormatPr defaultRowHeight="15" x14ac:dyDescent="0.25"/>
  <cols>
    <col min="1" max="1" width="10.42578125" bestFit="1" customWidth="1"/>
  </cols>
  <sheetData>
    <row r="1" spans="1:5" x14ac:dyDescent="0.25">
      <c r="A1" t="s">
        <v>198</v>
      </c>
      <c r="B1" t="s">
        <v>200</v>
      </c>
    </row>
    <row r="2" spans="1:5" x14ac:dyDescent="0.25">
      <c r="A2" t="s">
        <v>199</v>
      </c>
      <c r="B2">
        <v>6</v>
      </c>
      <c r="D2" t="s">
        <v>557</v>
      </c>
      <c r="E2" s="10">
        <v>14</v>
      </c>
    </row>
    <row r="3" spans="1:5" x14ac:dyDescent="0.25">
      <c r="A3" t="s">
        <v>201</v>
      </c>
      <c r="B3">
        <v>0.04</v>
      </c>
    </row>
    <row r="4" spans="1:5" x14ac:dyDescent="0.25">
      <c r="A4" t="s">
        <v>202</v>
      </c>
      <c r="B4">
        <v>-2</v>
      </c>
    </row>
    <row r="5" spans="1:5" x14ac:dyDescent="0.25">
      <c r="A5" t="s">
        <v>192</v>
      </c>
      <c r="B5">
        <v>6</v>
      </c>
    </row>
    <row r="6" spans="1:5" x14ac:dyDescent="0.25">
      <c r="A6" t="s">
        <v>191</v>
      </c>
      <c r="B6">
        <v>0.1</v>
      </c>
    </row>
    <row r="7" spans="1:5" x14ac:dyDescent="0.25">
      <c r="A7" t="s">
        <v>186</v>
      </c>
      <c r="B7">
        <v>1</v>
      </c>
    </row>
    <row r="8" spans="1:5" x14ac:dyDescent="0.25">
      <c r="A8" t="s">
        <v>188</v>
      </c>
      <c r="B8">
        <v>0.1</v>
      </c>
    </row>
    <row r="9" spans="1:5" x14ac:dyDescent="0.25">
      <c r="A9" t="s">
        <v>189</v>
      </c>
      <c r="B9">
        <v>6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5BB148-8B64-4F94-B8EB-5049945383C2}">
  <sheetPr filterMode="1"/>
  <dimension ref="A1:H402"/>
  <sheetViews>
    <sheetView workbookViewId="0"/>
  </sheetViews>
  <sheetFormatPr defaultRowHeight="15" x14ac:dyDescent="0.25"/>
  <cols>
    <col min="1" max="1" width="31.7109375" bestFit="1" customWidth="1"/>
    <col min="4" max="4" width="12.28515625" bestFit="1" customWidth="1"/>
    <col min="5" max="5" width="18.85546875" bestFit="1" customWidth="1"/>
    <col min="6" max="6" width="16.85546875" bestFit="1" customWidth="1"/>
    <col min="7" max="7" width="16.85546875" customWidth="1"/>
    <col min="8" max="8" width="15" bestFit="1" customWidth="1"/>
  </cols>
  <sheetData>
    <row r="1" spans="1:8" x14ac:dyDescent="0.25">
      <c r="A1" t="s">
        <v>405</v>
      </c>
      <c r="B1" t="s">
        <v>408</v>
      </c>
      <c r="C1" t="s">
        <v>567</v>
      </c>
      <c r="D1" t="s">
        <v>406</v>
      </c>
      <c r="E1" t="s">
        <v>407</v>
      </c>
      <c r="F1" t="s">
        <v>562</v>
      </c>
      <c r="G1" t="s">
        <v>564</v>
      </c>
      <c r="H1" t="s">
        <v>563</v>
      </c>
    </row>
    <row r="2" spans="1:8" hidden="1" x14ac:dyDescent="0.25">
      <c r="A2" t="s">
        <v>96</v>
      </c>
      <c r="B2" t="s">
        <v>412</v>
      </c>
      <c r="C2">
        <v>2.0499999999999998</v>
      </c>
      <c r="D2">
        <v>10</v>
      </c>
      <c r="E2" s="7">
        <v>379</v>
      </c>
      <c r="F2" s="7">
        <v>445.81</v>
      </c>
      <c r="G2" s="7">
        <v>66.81</v>
      </c>
      <c r="H2" t="s">
        <v>136</v>
      </c>
    </row>
    <row r="3" spans="1:8" hidden="1" x14ac:dyDescent="0.25">
      <c r="A3" t="s">
        <v>73</v>
      </c>
      <c r="B3" t="s">
        <v>412</v>
      </c>
      <c r="C3">
        <v>2.0699999999999998</v>
      </c>
      <c r="D3">
        <v>13</v>
      </c>
      <c r="E3" s="7">
        <v>379</v>
      </c>
      <c r="F3" s="7">
        <v>432.22666666666669</v>
      </c>
      <c r="G3" s="7">
        <v>53.226666666666688</v>
      </c>
      <c r="H3" t="s">
        <v>136</v>
      </c>
    </row>
    <row r="4" spans="1:8" hidden="1" x14ac:dyDescent="0.25">
      <c r="A4" t="s">
        <v>308</v>
      </c>
      <c r="B4" t="s">
        <v>412</v>
      </c>
      <c r="C4">
        <v>14.11</v>
      </c>
      <c r="D4">
        <v>7</v>
      </c>
      <c r="E4" s="7">
        <v>237</v>
      </c>
      <c r="F4" s="7">
        <v>290.77</v>
      </c>
      <c r="G4" s="7">
        <v>53.769999999999982</v>
      </c>
      <c r="H4" t="s">
        <v>565</v>
      </c>
    </row>
    <row r="5" spans="1:8" hidden="1" x14ac:dyDescent="0.25">
      <c r="A5" t="s">
        <v>67</v>
      </c>
      <c r="B5" t="s">
        <v>412</v>
      </c>
      <c r="C5">
        <v>2.1</v>
      </c>
      <c r="D5">
        <v>10</v>
      </c>
      <c r="E5" s="7">
        <v>388</v>
      </c>
      <c r="F5" s="7">
        <v>389.86</v>
      </c>
      <c r="G5" s="7">
        <v>1.8600000000000136</v>
      </c>
      <c r="H5" t="s">
        <v>136</v>
      </c>
    </row>
    <row r="6" spans="1:8" hidden="1" x14ac:dyDescent="0.25">
      <c r="A6" t="s">
        <v>63</v>
      </c>
      <c r="B6" t="s">
        <v>412</v>
      </c>
      <c r="C6">
        <v>3.07</v>
      </c>
      <c r="D6">
        <v>13</v>
      </c>
      <c r="E6" s="7">
        <v>363</v>
      </c>
      <c r="F6" s="7">
        <v>366.11</v>
      </c>
      <c r="G6" s="7">
        <v>3.1100000000000136</v>
      </c>
      <c r="H6" t="s">
        <v>136</v>
      </c>
    </row>
    <row r="7" spans="1:8" hidden="1" x14ac:dyDescent="0.25">
      <c r="A7" t="s">
        <v>95</v>
      </c>
      <c r="B7" t="s">
        <v>412</v>
      </c>
      <c r="C7">
        <v>3.13</v>
      </c>
      <c r="D7">
        <v>7</v>
      </c>
      <c r="E7" s="7">
        <v>348</v>
      </c>
      <c r="F7" s="7">
        <v>405.19124999999997</v>
      </c>
      <c r="G7" s="7">
        <v>57.191249999999968</v>
      </c>
      <c r="H7" t="s">
        <v>136</v>
      </c>
    </row>
    <row r="8" spans="1:8" hidden="1" x14ac:dyDescent="0.25">
      <c r="A8" t="s">
        <v>278</v>
      </c>
      <c r="B8" t="s">
        <v>409</v>
      </c>
      <c r="C8">
        <v>1.07</v>
      </c>
      <c r="D8">
        <v>10</v>
      </c>
      <c r="E8" s="7">
        <v>310</v>
      </c>
      <c r="F8" s="7">
        <v>384.20000000000005</v>
      </c>
      <c r="G8" s="7">
        <v>74.200000000000045</v>
      </c>
      <c r="H8" t="s">
        <v>565</v>
      </c>
    </row>
    <row r="9" spans="1:8" hidden="1" x14ac:dyDescent="0.25">
      <c r="A9" t="s">
        <v>48</v>
      </c>
      <c r="B9" t="s">
        <v>410</v>
      </c>
      <c r="C9">
        <v>1.08</v>
      </c>
      <c r="D9">
        <v>11</v>
      </c>
      <c r="E9" s="7">
        <v>262</v>
      </c>
      <c r="F9" s="7">
        <v>159.35000000000002</v>
      </c>
      <c r="G9" s="7">
        <v>-102.64999999999998</v>
      </c>
      <c r="H9" t="s">
        <v>565</v>
      </c>
    </row>
    <row r="10" spans="1:8" hidden="1" x14ac:dyDescent="0.25">
      <c r="A10" t="s">
        <v>49</v>
      </c>
      <c r="B10" t="s">
        <v>410</v>
      </c>
      <c r="C10">
        <v>1.0900000000000001</v>
      </c>
      <c r="D10">
        <v>13</v>
      </c>
      <c r="E10" s="7">
        <v>266</v>
      </c>
      <c r="F10" s="7">
        <v>245.22499999999999</v>
      </c>
      <c r="G10" s="7">
        <v>-20.775000000000006</v>
      </c>
      <c r="H10" t="s">
        <v>565</v>
      </c>
    </row>
    <row r="11" spans="1:8" hidden="1" x14ac:dyDescent="0.25">
      <c r="A11" t="s">
        <v>86</v>
      </c>
      <c r="B11" t="s">
        <v>412</v>
      </c>
      <c r="C11">
        <v>4.03</v>
      </c>
      <c r="D11">
        <v>5</v>
      </c>
      <c r="E11" s="7">
        <v>328</v>
      </c>
      <c r="F11" s="7">
        <v>352.96</v>
      </c>
      <c r="G11" s="7">
        <v>24.95999999999998</v>
      </c>
      <c r="H11" t="s">
        <v>136</v>
      </c>
    </row>
    <row r="12" spans="1:8" hidden="1" x14ac:dyDescent="0.25">
      <c r="A12" t="s">
        <v>61</v>
      </c>
      <c r="B12" t="s">
        <v>412</v>
      </c>
      <c r="C12">
        <v>4.04</v>
      </c>
      <c r="D12">
        <v>13</v>
      </c>
      <c r="E12" s="7">
        <v>341</v>
      </c>
      <c r="F12" s="7">
        <v>319.94333333333333</v>
      </c>
      <c r="G12" s="7">
        <v>-21.056666666666672</v>
      </c>
      <c r="H12" t="s">
        <v>136</v>
      </c>
    </row>
    <row r="13" spans="1:8" hidden="1" x14ac:dyDescent="0.25">
      <c r="A13" t="s">
        <v>46</v>
      </c>
      <c r="B13" t="s">
        <v>410</v>
      </c>
      <c r="C13">
        <v>1.1200000000000001</v>
      </c>
      <c r="D13">
        <v>5</v>
      </c>
      <c r="E13" s="7">
        <v>263</v>
      </c>
      <c r="F13" s="7">
        <v>228.75000000000003</v>
      </c>
      <c r="G13" s="7">
        <v>-34.249999999999972</v>
      </c>
      <c r="H13" t="s">
        <v>565</v>
      </c>
    </row>
    <row r="14" spans="1:8" hidden="1" x14ac:dyDescent="0.25">
      <c r="A14" t="s">
        <v>84</v>
      </c>
      <c r="B14" t="s">
        <v>412</v>
      </c>
      <c r="C14">
        <v>4.13</v>
      </c>
      <c r="D14">
        <v>9</v>
      </c>
      <c r="E14" s="7">
        <v>315</v>
      </c>
      <c r="F14" s="7">
        <v>356.78666666666669</v>
      </c>
      <c r="G14" s="7">
        <v>41.78666666666669</v>
      </c>
      <c r="H14" t="s">
        <v>136</v>
      </c>
    </row>
    <row r="15" spans="1:8" hidden="1" x14ac:dyDescent="0.25">
      <c r="A15" t="s">
        <v>301</v>
      </c>
      <c r="B15" t="s">
        <v>409</v>
      </c>
      <c r="C15">
        <v>1.1400000000000001</v>
      </c>
      <c r="D15">
        <v>13</v>
      </c>
      <c r="E15" s="7">
        <v>281</v>
      </c>
      <c r="F15" s="7">
        <v>335.5</v>
      </c>
      <c r="G15" s="7">
        <v>54.5</v>
      </c>
      <c r="H15" t="s">
        <v>565</v>
      </c>
    </row>
    <row r="16" spans="1:8" hidden="1" x14ac:dyDescent="0.25">
      <c r="A16" t="s">
        <v>51</v>
      </c>
      <c r="B16" t="s">
        <v>410</v>
      </c>
      <c r="C16">
        <v>2.0099999999999998</v>
      </c>
      <c r="D16">
        <v>7</v>
      </c>
      <c r="E16" s="7">
        <v>247</v>
      </c>
      <c r="F16" s="7">
        <v>251.03125</v>
      </c>
      <c r="G16" s="7">
        <v>4.03125</v>
      </c>
      <c r="H16" t="s">
        <v>565</v>
      </c>
    </row>
    <row r="17" spans="1:8" hidden="1" x14ac:dyDescent="0.25">
      <c r="A17" t="s">
        <v>102</v>
      </c>
      <c r="B17" t="s">
        <v>412</v>
      </c>
      <c r="C17">
        <v>6.13</v>
      </c>
      <c r="D17">
        <v>7</v>
      </c>
      <c r="E17" s="7">
        <v>310</v>
      </c>
      <c r="F17" s="7">
        <v>326.25333333333339</v>
      </c>
      <c r="G17" s="7">
        <v>16.253333333333387</v>
      </c>
      <c r="H17" t="s">
        <v>136</v>
      </c>
    </row>
    <row r="18" spans="1:8" hidden="1" x14ac:dyDescent="0.25">
      <c r="A18" t="s">
        <v>81</v>
      </c>
      <c r="B18" t="s">
        <v>412</v>
      </c>
      <c r="C18">
        <v>7.03</v>
      </c>
      <c r="D18">
        <v>5</v>
      </c>
      <c r="E18" s="7">
        <v>314</v>
      </c>
      <c r="F18" s="7">
        <v>338.34333333333336</v>
      </c>
      <c r="G18" s="7">
        <v>24.343333333333362</v>
      </c>
      <c r="H18" t="s">
        <v>136</v>
      </c>
    </row>
    <row r="19" spans="1:8" hidden="1" x14ac:dyDescent="0.25">
      <c r="A19" t="s">
        <v>47</v>
      </c>
      <c r="B19" t="s">
        <v>410</v>
      </c>
      <c r="C19">
        <v>2.04</v>
      </c>
      <c r="D19">
        <v>7</v>
      </c>
      <c r="E19" s="7">
        <v>253</v>
      </c>
      <c r="F19" s="7">
        <v>249.4</v>
      </c>
      <c r="G19" s="7">
        <v>-3.5999999999999943</v>
      </c>
      <c r="H19" t="s">
        <v>565</v>
      </c>
    </row>
    <row r="20" spans="1:8" hidden="1" x14ac:dyDescent="0.25">
      <c r="A20" t="s">
        <v>90</v>
      </c>
      <c r="B20" t="s">
        <v>412</v>
      </c>
      <c r="C20">
        <v>7.05</v>
      </c>
      <c r="D20">
        <v>10</v>
      </c>
      <c r="E20" s="7">
        <v>306</v>
      </c>
      <c r="F20" s="7">
        <v>296.17384615384611</v>
      </c>
      <c r="G20" s="7">
        <v>-9.8261538461538862</v>
      </c>
      <c r="H20" t="s">
        <v>136</v>
      </c>
    </row>
    <row r="21" spans="1:8" hidden="1" x14ac:dyDescent="0.25">
      <c r="A21" t="s">
        <v>50</v>
      </c>
      <c r="B21" t="s">
        <v>410</v>
      </c>
      <c r="C21">
        <v>2.06</v>
      </c>
      <c r="D21">
        <v>13</v>
      </c>
      <c r="E21" s="7">
        <v>257</v>
      </c>
      <c r="F21" s="7">
        <v>245.3</v>
      </c>
      <c r="G21" s="7">
        <v>-11.699999999999989</v>
      </c>
      <c r="H21" t="s">
        <v>565</v>
      </c>
    </row>
    <row r="22" spans="1:8" hidden="1" x14ac:dyDescent="0.25">
      <c r="A22" t="s">
        <v>65</v>
      </c>
      <c r="B22" t="s">
        <v>410</v>
      </c>
      <c r="C22">
        <v>1.04</v>
      </c>
      <c r="D22">
        <v>5</v>
      </c>
      <c r="E22" s="7">
        <v>302</v>
      </c>
      <c r="F22" s="7">
        <v>323.06666666666666</v>
      </c>
      <c r="G22" s="7">
        <v>21.066666666666663</v>
      </c>
      <c r="H22" t="s">
        <v>136</v>
      </c>
    </row>
    <row r="23" spans="1:8" hidden="1" x14ac:dyDescent="0.25">
      <c r="A23" t="s">
        <v>97</v>
      </c>
      <c r="B23" t="s">
        <v>412</v>
      </c>
      <c r="C23">
        <v>8.0399999999999991</v>
      </c>
      <c r="D23">
        <v>7</v>
      </c>
      <c r="E23" s="7">
        <v>291</v>
      </c>
      <c r="F23" s="7">
        <v>329.15999999999997</v>
      </c>
      <c r="G23" s="7">
        <v>38.159999999999968</v>
      </c>
      <c r="H23" t="s">
        <v>136</v>
      </c>
    </row>
    <row r="24" spans="1:8" hidden="1" x14ac:dyDescent="0.25">
      <c r="A24" t="s">
        <v>74</v>
      </c>
      <c r="B24" t="s">
        <v>412</v>
      </c>
      <c r="C24">
        <v>8.06</v>
      </c>
      <c r="D24">
        <v>13</v>
      </c>
      <c r="E24" s="7">
        <v>307</v>
      </c>
      <c r="F24" s="7">
        <v>318.435</v>
      </c>
      <c r="G24" s="7">
        <v>11.435000000000002</v>
      </c>
      <c r="H24" t="s">
        <v>136</v>
      </c>
    </row>
    <row r="25" spans="1:8" hidden="1" x14ac:dyDescent="0.25">
      <c r="A25" t="s">
        <v>98</v>
      </c>
      <c r="B25" t="s">
        <v>412</v>
      </c>
      <c r="C25">
        <v>8.07</v>
      </c>
      <c r="D25">
        <v>13</v>
      </c>
      <c r="E25" s="7">
        <v>298</v>
      </c>
      <c r="F25" s="7">
        <v>342.96</v>
      </c>
      <c r="G25" s="7">
        <v>44.95999999999998</v>
      </c>
      <c r="H25" t="s">
        <v>136</v>
      </c>
    </row>
    <row r="26" spans="1:8" hidden="1" x14ac:dyDescent="0.25">
      <c r="A26" t="s">
        <v>92</v>
      </c>
      <c r="B26" t="s">
        <v>412</v>
      </c>
      <c r="C26">
        <v>8.14</v>
      </c>
      <c r="D26">
        <v>5</v>
      </c>
      <c r="E26" s="7">
        <v>299</v>
      </c>
      <c r="F26" s="7">
        <v>331.86</v>
      </c>
      <c r="G26" s="7">
        <v>32.860000000000014</v>
      </c>
      <c r="H26" t="s">
        <v>136</v>
      </c>
    </row>
    <row r="27" spans="1:8" hidden="1" x14ac:dyDescent="0.25">
      <c r="A27" t="s">
        <v>55</v>
      </c>
      <c r="B27" t="s">
        <v>410</v>
      </c>
      <c r="C27">
        <v>2.12</v>
      </c>
      <c r="D27">
        <v>11</v>
      </c>
      <c r="E27" s="7">
        <v>233</v>
      </c>
      <c r="F27" s="7">
        <v>235.95000000000002</v>
      </c>
      <c r="G27" s="7">
        <v>2.9500000000000171</v>
      </c>
      <c r="H27" t="s">
        <v>565</v>
      </c>
    </row>
    <row r="28" spans="1:8" hidden="1" x14ac:dyDescent="0.25">
      <c r="A28" t="s">
        <v>53</v>
      </c>
      <c r="B28" t="s">
        <v>410</v>
      </c>
      <c r="C28">
        <v>2.13</v>
      </c>
      <c r="D28">
        <v>6</v>
      </c>
      <c r="E28" s="7">
        <v>215</v>
      </c>
      <c r="F28" s="7">
        <v>216.78333333333333</v>
      </c>
      <c r="G28" s="7">
        <v>1.7833333333333314</v>
      </c>
      <c r="H28" t="s">
        <v>565</v>
      </c>
    </row>
    <row r="29" spans="1:8" hidden="1" x14ac:dyDescent="0.25">
      <c r="A29" t="s">
        <v>44</v>
      </c>
      <c r="B29" t="s">
        <v>411</v>
      </c>
      <c r="C29">
        <v>2.14</v>
      </c>
      <c r="D29">
        <v>13</v>
      </c>
      <c r="E29" s="7">
        <v>214</v>
      </c>
      <c r="F29" s="7">
        <v>203.41666666666669</v>
      </c>
      <c r="G29" s="7">
        <v>-10.583333333333314</v>
      </c>
      <c r="H29" t="s">
        <v>565</v>
      </c>
    </row>
    <row r="30" spans="1:8" x14ac:dyDescent="0.25">
      <c r="A30" t="s">
        <v>30</v>
      </c>
      <c r="B30" t="s">
        <v>411</v>
      </c>
      <c r="C30">
        <v>1.06</v>
      </c>
      <c r="D30">
        <v>10</v>
      </c>
      <c r="E30" s="7">
        <v>268</v>
      </c>
      <c r="F30" s="7">
        <v>263.35000000000002</v>
      </c>
      <c r="G30" s="7">
        <v>-4.6499999999999773</v>
      </c>
      <c r="H30" t="s">
        <v>136</v>
      </c>
    </row>
    <row r="31" spans="1:8" hidden="1" x14ac:dyDescent="0.25">
      <c r="A31" t="s">
        <v>52</v>
      </c>
      <c r="B31" t="s">
        <v>410</v>
      </c>
      <c r="C31">
        <v>3.02</v>
      </c>
      <c r="D31">
        <v>9</v>
      </c>
      <c r="E31" s="7">
        <v>221</v>
      </c>
      <c r="F31" s="7">
        <v>209.1</v>
      </c>
      <c r="G31" s="7">
        <v>-11.900000000000006</v>
      </c>
      <c r="H31" t="s">
        <v>565</v>
      </c>
    </row>
    <row r="32" spans="1:8" hidden="1" x14ac:dyDescent="0.25">
      <c r="A32" t="s">
        <v>56</v>
      </c>
      <c r="B32" t="s">
        <v>410</v>
      </c>
      <c r="C32">
        <v>1.02</v>
      </c>
      <c r="D32">
        <v>9</v>
      </c>
      <c r="E32" s="7">
        <v>301</v>
      </c>
      <c r="F32" s="7">
        <v>307.56666666666666</v>
      </c>
      <c r="G32" s="7">
        <v>6.5666666666666629</v>
      </c>
      <c r="H32" t="s">
        <v>136</v>
      </c>
    </row>
    <row r="33" spans="1:8" hidden="1" x14ac:dyDescent="0.25">
      <c r="A33" t="s">
        <v>60</v>
      </c>
      <c r="B33" t="s">
        <v>410</v>
      </c>
      <c r="C33">
        <v>3.04</v>
      </c>
      <c r="D33">
        <v>7</v>
      </c>
      <c r="E33" s="7">
        <v>234</v>
      </c>
      <c r="F33" s="7">
        <v>267.27857142857141</v>
      </c>
      <c r="G33" s="7">
        <v>33.278571428571411</v>
      </c>
      <c r="H33" t="s">
        <v>565</v>
      </c>
    </row>
    <row r="34" spans="1:8" hidden="1" x14ac:dyDescent="0.25">
      <c r="A34" t="s">
        <v>101</v>
      </c>
      <c r="B34" t="s">
        <v>412</v>
      </c>
      <c r="C34">
        <v>9.0399999999999991</v>
      </c>
      <c r="D34">
        <v>11</v>
      </c>
      <c r="E34" s="7">
        <v>300</v>
      </c>
      <c r="F34" s="7">
        <v>271.51</v>
      </c>
      <c r="G34" s="7">
        <v>-28.490000000000009</v>
      </c>
      <c r="H34" t="s">
        <v>136</v>
      </c>
    </row>
    <row r="35" spans="1:8" hidden="1" x14ac:dyDescent="0.25">
      <c r="A35" t="s">
        <v>72</v>
      </c>
      <c r="B35" t="s">
        <v>410</v>
      </c>
      <c r="C35">
        <v>3.06</v>
      </c>
      <c r="D35">
        <v>9</v>
      </c>
      <c r="E35" s="7">
        <v>217</v>
      </c>
      <c r="F35" s="7">
        <v>102.10000000000001</v>
      </c>
      <c r="G35" s="7">
        <v>-114.89999999999999</v>
      </c>
      <c r="H35" t="s">
        <v>565</v>
      </c>
    </row>
    <row r="36" spans="1:8" hidden="1" x14ac:dyDescent="0.25">
      <c r="A36" t="s">
        <v>94</v>
      </c>
      <c r="B36" t="s">
        <v>412</v>
      </c>
      <c r="C36">
        <v>10.01</v>
      </c>
      <c r="D36">
        <v>9</v>
      </c>
      <c r="E36" s="7">
        <v>283</v>
      </c>
      <c r="F36" s="7">
        <v>291.06</v>
      </c>
      <c r="G36" s="7">
        <v>8.0600000000000023</v>
      </c>
      <c r="H36" t="s">
        <v>136</v>
      </c>
    </row>
    <row r="37" spans="1:8" hidden="1" x14ac:dyDescent="0.25">
      <c r="A37" t="s">
        <v>104</v>
      </c>
      <c r="B37" t="s">
        <v>412</v>
      </c>
      <c r="C37">
        <v>10.06</v>
      </c>
      <c r="D37">
        <v>9</v>
      </c>
      <c r="E37" s="7">
        <v>287</v>
      </c>
      <c r="F37" s="7">
        <v>313.81333333333328</v>
      </c>
      <c r="G37" s="7">
        <v>26.813333333333276</v>
      </c>
      <c r="H37" t="s">
        <v>136</v>
      </c>
    </row>
    <row r="38" spans="1:8" hidden="1" x14ac:dyDescent="0.25">
      <c r="A38" t="s">
        <v>83</v>
      </c>
      <c r="B38" t="s">
        <v>412</v>
      </c>
      <c r="C38">
        <v>11.08</v>
      </c>
      <c r="D38">
        <v>6</v>
      </c>
      <c r="E38" s="7">
        <v>265</v>
      </c>
      <c r="F38" s="7">
        <v>275.29076923076923</v>
      </c>
      <c r="G38" s="7">
        <v>10.290769230769229</v>
      </c>
      <c r="H38" t="s">
        <v>136</v>
      </c>
    </row>
    <row r="39" spans="1:8" hidden="1" x14ac:dyDescent="0.25">
      <c r="A39" t="s">
        <v>58</v>
      </c>
      <c r="B39" t="s">
        <v>410</v>
      </c>
      <c r="C39">
        <v>3.1</v>
      </c>
      <c r="D39">
        <v>6</v>
      </c>
      <c r="E39" s="7">
        <v>224</v>
      </c>
      <c r="F39" s="7">
        <v>247.18333333333334</v>
      </c>
      <c r="G39" s="7">
        <v>23.183333333333337</v>
      </c>
      <c r="H39" t="s">
        <v>565</v>
      </c>
    </row>
    <row r="40" spans="1:8" hidden="1" x14ac:dyDescent="0.25">
      <c r="A40" t="s">
        <v>28</v>
      </c>
      <c r="B40" t="s">
        <v>409</v>
      </c>
      <c r="C40">
        <v>1.01</v>
      </c>
      <c r="D40">
        <v>13</v>
      </c>
      <c r="E40" s="7">
        <v>324</v>
      </c>
      <c r="F40" s="7">
        <v>284.91666666666669</v>
      </c>
      <c r="G40" s="7">
        <v>-39.083333333333314</v>
      </c>
      <c r="H40" t="s">
        <v>136</v>
      </c>
    </row>
    <row r="41" spans="1:8" hidden="1" x14ac:dyDescent="0.25">
      <c r="A41" t="s">
        <v>133</v>
      </c>
      <c r="B41" t="s">
        <v>410</v>
      </c>
      <c r="C41">
        <v>3.12</v>
      </c>
      <c r="D41">
        <v>7</v>
      </c>
      <c r="E41" s="7">
        <v>204</v>
      </c>
      <c r="F41" s="7">
        <v>239.49285714285708</v>
      </c>
      <c r="G41" s="7">
        <v>35.492857142857076</v>
      </c>
      <c r="H41" t="s">
        <v>565</v>
      </c>
    </row>
    <row r="42" spans="1:8" hidden="1" x14ac:dyDescent="0.25">
      <c r="A42" t="s">
        <v>310</v>
      </c>
      <c r="B42" t="s">
        <v>409</v>
      </c>
      <c r="C42">
        <v>1.03</v>
      </c>
      <c r="D42">
        <v>7</v>
      </c>
      <c r="E42" s="7">
        <v>309</v>
      </c>
      <c r="F42" s="7">
        <v>287.18333333333334</v>
      </c>
      <c r="G42" s="7">
        <v>-21.816666666666663</v>
      </c>
      <c r="H42" t="s">
        <v>136</v>
      </c>
    </row>
    <row r="43" spans="1:8" hidden="1" x14ac:dyDescent="0.25">
      <c r="A43" t="s">
        <v>286</v>
      </c>
      <c r="B43" t="s">
        <v>410</v>
      </c>
      <c r="C43">
        <v>3.14</v>
      </c>
      <c r="D43">
        <v>5</v>
      </c>
      <c r="E43" s="7">
        <v>208</v>
      </c>
      <c r="F43" s="7">
        <v>229.49999999999997</v>
      </c>
      <c r="G43" s="7">
        <v>21.499999999999972</v>
      </c>
      <c r="H43" t="s">
        <v>565</v>
      </c>
    </row>
    <row r="44" spans="1:8" hidden="1" x14ac:dyDescent="0.25">
      <c r="A44" t="s">
        <v>293</v>
      </c>
      <c r="B44" t="s">
        <v>410</v>
      </c>
      <c r="C44">
        <v>4.01</v>
      </c>
      <c r="D44">
        <v>11</v>
      </c>
      <c r="E44" s="7">
        <v>198</v>
      </c>
      <c r="F44" s="7">
        <v>235.52727272727273</v>
      </c>
      <c r="G44" s="7">
        <v>37.527272727272731</v>
      </c>
      <c r="H44" t="s">
        <v>565</v>
      </c>
    </row>
    <row r="45" spans="1:8" hidden="1" x14ac:dyDescent="0.25">
      <c r="A45" t="s">
        <v>303</v>
      </c>
      <c r="B45" t="s">
        <v>411</v>
      </c>
      <c r="C45">
        <v>4.0199999999999996</v>
      </c>
      <c r="D45">
        <v>13</v>
      </c>
      <c r="E45" s="7">
        <v>199</v>
      </c>
      <c r="F45" s="7">
        <v>195.3</v>
      </c>
      <c r="G45" s="7">
        <v>-3.6999999999999886</v>
      </c>
      <c r="H45" t="s">
        <v>565</v>
      </c>
    </row>
    <row r="46" spans="1:8" hidden="1" x14ac:dyDescent="0.25">
      <c r="A46" t="s">
        <v>29</v>
      </c>
      <c r="B46" t="s">
        <v>409</v>
      </c>
      <c r="C46">
        <v>1.05</v>
      </c>
      <c r="D46">
        <v>10</v>
      </c>
      <c r="E46" s="7">
        <v>295</v>
      </c>
      <c r="F46" s="7">
        <v>286.7166666666667</v>
      </c>
      <c r="G46" s="7">
        <v>-8.283333333333303</v>
      </c>
      <c r="H46" t="s">
        <v>136</v>
      </c>
    </row>
    <row r="47" spans="1:8" hidden="1" x14ac:dyDescent="0.25">
      <c r="A47" t="s">
        <v>93</v>
      </c>
      <c r="B47" t="s">
        <v>412</v>
      </c>
      <c r="C47">
        <v>11.1</v>
      </c>
      <c r="D47">
        <v>11</v>
      </c>
      <c r="E47" s="7">
        <v>242</v>
      </c>
      <c r="F47" s="7">
        <v>269.07</v>
      </c>
      <c r="G47" s="7">
        <v>27.069999999999993</v>
      </c>
      <c r="H47" t="s">
        <v>136</v>
      </c>
    </row>
    <row r="48" spans="1:8" hidden="1" x14ac:dyDescent="0.25">
      <c r="A48" t="s">
        <v>57</v>
      </c>
      <c r="B48" t="s">
        <v>410</v>
      </c>
      <c r="C48">
        <v>4.05</v>
      </c>
      <c r="D48">
        <v>7</v>
      </c>
      <c r="E48" s="7">
        <v>212</v>
      </c>
      <c r="F48" s="7">
        <v>188.3371794871795</v>
      </c>
      <c r="G48" s="7">
        <v>-23.662820512820502</v>
      </c>
      <c r="H48" t="s">
        <v>565</v>
      </c>
    </row>
    <row r="49" spans="1:8" x14ac:dyDescent="0.25">
      <c r="A49" t="s">
        <v>3</v>
      </c>
      <c r="B49" t="s">
        <v>411</v>
      </c>
      <c r="C49">
        <v>4.1100000000000003</v>
      </c>
      <c r="D49">
        <v>9</v>
      </c>
      <c r="E49" s="7">
        <v>179</v>
      </c>
      <c r="F49" s="7">
        <v>160.51666666666665</v>
      </c>
      <c r="G49" s="7">
        <v>-18.483333333333348</v>
      </c>
      <c r="H49" t="s">
        <v>136</v>
      </c>
    </row>
    <row r="50" spans="1:8" hidden="1" x14ac:dyDescent="0.25">
      <c r="A50" t="s">
        <v>7</v>
      </c>
      <c r="B50" t="s">
        <v>409</v>
      </c>
      <c r="C50">
        <v>4.07</v>
      </c>
      <c r="D50">
        <v>7</v>
      </c>
      <c r="E50" s="7">
        <v>222</v>
      </c>
      <c r="F50" s="7">
        <v>233.1888888888889</v>
      </c>
      <c r="G50" s="7">
        <v>11.188888888888897</v>
      </c>
      <c r="H50" t="s">
        <v>565</v>
      </c>
    </row>
    <row r="51" spans="1:8" hidden="1" x14ac:dyDescent="0.25">
      <c r="A51" t="s">
        <v>54</v>
      </c>
      <c r="B51" t="s">
        <v>410</v>
      </c>
      <c r="C51">
        <v>4.08</v>
      </c>
      <c r="D51">
        <v>7</v>
      </c>
      <c r="E51" s="7">
        <v>205</v>
      </c>
      <c r="F51" s="7">
        <v>154.35000000000002</v>
      </c>
      <c r="G51" s="7">
        <v>-50.649999999999977</v>
      </c>
      <c r="H51" t="s">
        <v>565</v>
      </c>
    </row>
    <row r="52" spans="1:8" hidden="1" x14ac:dyDescent="0.25">
      <c r="A52" t="s">
        <v>276</v>
      </c>
      <c r="B52" t="s">
        <v>409</v>
      </c>
      <c r="C52">
        <v>4.09</v>
      </c>
      <c r="D52">
        <v>14</v>
      </c>
      <c r="E52" s="7">
        <v>210</v>
      </c>
      <c r="F52" s="7">
        <v>229</v>
      </c>
      <c r="G52" s="7">
        <v>19</v>
      </c>
      <c r="H52" t="s">
        <v>565</v>
      </c>
    </row>
    <row r="53" spans="1:8" x14ac:dyDescent="0.25">
      <c r="A53" t="s">
        <v>20</v>
      </c>
      <c r="B53" t="s">
        <v>411</v>
      </c>
      <c r="C53">
        <v>5.04</v>
      </c>
      <c r="D53">
        <v>13</v>
      </c>
      <c r="E53" s="7">
        <v>191</v>
      </c>
      <c r="F53" s="7">
        <v>155.85000000000002</v>
      </c>
      <c r="G53" s="7">
        <v>-35.149999999999977</v>
      </c>
      <c r="H53" t="s">
        <v>136</v>
      </c>
    </row>
    <row r="54" spans="1:8" hidden="1" x14ac:dyDescent="0.25">
      <c r="A54" t="s">
        <v>32</v>
      </c>
      <c r="B54" t="s">
        <v>409</v>
      </c>
      <c r="C54">
        <v>1.1000000000000001</v>
      </c>
      <c r="D54">
        <v>13</v>
      </c>
      <c r="E54" s="7">
        <v>280</v>
      </c>
      <c r="F54" s="7">
        <v>264.36458333333337</v>
      </c>
      <c r="G54" s="7">
        <v>-15.635416666666629</v>
      </c>
      <c r="H54" t="s">
        <v>136</v>
      </c>
    </row>
    <row r="55" spans="1:8" hidden="1" x14ac:dyDescent="0.25">
      <c r="A55" t="s">
        <v>307</v>
      </c>
      <c r="B55" t="s">
        <v>410</v>
      </c>
      <c r="C55">
        <v>4.12</v>
      </c>
      <c r="D55">
        <v>13</v>
      </c>
      <c r="E55" s="7">
        <v>192</v>
      </c>
      <c r="F55" s="7">
        <v>148.1</v>
      </c>
      <c r="G55" s="7">
        <v>-43.900000000000006</v>
      </c>
      <c r="H55" t="s">
        <v>565</v>
      </c>
    </row>
    <row r="56" spans="1:8" hidden="1" x14ac:dyDescent="0.25">
      <c r="A56" t="s">
        <v>33</v>
      </c>
      <c r="B56" t="s">
        <v>409</v>
      </c>
      <c r="C56">
        <v>1.1100000000000001</v>
      </c>
      <c r="D56">
        <v>7</v>
      </c>
      <c r="E56" s="7">
        <v>275</v>
      </c>
      <c r="F56" s="7">
        <v>253.2166666666667</v>
      </c>
      <c r="G56" s="7">
        <v>-21.783333333333303</v>
      </c>
      <c r="H56" t="s">
        <v>136</v>
      </c>
    </row>
    <row r="57" spans="1:8" hidden="1" x14ac:dyDescent="0.25">
      <c r="A57" t="s">
        <v>59</v>
      </c>
      <c r="B57" t="s">
        <v>410</v>
      </c>
      <c r="C57">
        <v>4.1399999999999997</v>
      </c>
      <c r="D57">
        <v>13</v>
      </c>
      <c r="E57" s="7">
        <v>202</v>
      </c>
      <c r="F57" s="7">
        <v>152.85</v>
      </c>
      <c r="G57" s="7">
        <v>-49.150000000000006</v>
      </c>
      <c r="H57" t="s">
        <v>565</v>
      </c>
    </row>
    <row r="58" spans="1:8" hidden="1" x14ac:dyDescent="0.25">
      <c r="A58" t="s">
        <v>184</v>
      </c>
      <c r="B58" t="s">
        <v>409</v>
      </c>
      <c r="C58">
        <v>1.1299999999999999</v>
      </c>
      <c r="D58">
        <v>10</v>
      </c>
      <c r="E58" s="7">
        <v>268</v>
      </c>
      <c r="F58" s="7">
        <v>227.55</v>
      </c>
      <c r="G58" s="7">
        <v>-40.449999999999989</v>
      </c>
      <c r="H58" t="s">
        <v>136</v>
      </c>
    </row>
    <row r="59" spans="1:8" hidden="1" x14ac:dyDescent="0.25">
      <c r="A59" t="s">
        <v>305</v>
      </c>
      <c r="B59" t="s">
        <v>409</v>
      </c>
      <c r="C59">
        <v>2.02</v>
      </c>
      <c r="D59">
        <v>9</v>
      </c>
      <c r="E59" s="7">
        <v>260</v>
      </c>
      <c r="F59" s="7">
        <v>241.14375000000001</v>
      </c>
      <c r="G59" s="7">
        <v>-18.856249999999989</v>
      </c>
      <c r="H59" t="s">
        <v>136</v>
      </c>
    </row>
    <row r="60" spans="1:8" hidden="1" x14ac:dyDescent="0.25">
      <c r="A60" t="s">
        <v>62</v>
      </c>
      <c r="B60" t="s">
        <v>410</v>
      </c>
      <c r="C60">
        <v>5.03</v>
      </c>
      <c r="D60">
        <v>10</v>
      </c>
      <c r="E60" s="7">
        <v>187</v>
      </c>
      <c r="F60" s="7">
        <v>143.74333333333331</v>
      </c>
      <c r="G60" s="7">
        <v>-43.256666666666689</v>
      </c>
      <c r="H60" t="s">
        <v>565</v>
      </c>
    </row>
    <row r="61" spans="1:8" hidden="1" x14ac:dyDescent="0.25">
      <c r="A61" t="s">
        <v>31</v>
      </c>
      <c r="B61" t="s">
        <v>409</v>
      </c>
      <c r="C61">
        <v>2.0299999999999998</v>
      </c>
      <c r="D61">
        <v>7</v>
      </c>
      <c r="E61" s="7">
        <v>248</v>
      </c>
      <c r="F61" s="7">
        <v>249.28333333333333</v>
      </c>
      <c r="G61" s="7">
        <v>1.2833333333333314</v>
      </c>
      <c r="H61" t="s">
        <v>136</v>
      </c>
    </row>
    <row r="62" spans="1:8" hidden="1" x14ac:dyDescent="0.25">
      <c r="A62" t="s">
        <v>34</v>
      </c>
      <c r="B62" t="s">
        <v>409</v>
      </c>
      <c r="C62">
        <v>2.08</v>
      </c>
      <c r="D62">
        <v>10</v>
      </c>
      <c r="E62" s="7">
        <v>238</v>
      </c>
      <c r="F62" s="7">
        <v>203.78333333333333</v>
      </c>
      <c r="G62" s="7">
        <v>-34.216666666666669</v>
      </c>
      <c r="H62" t="s">
        <v>136</v>
      </c>
    </row>
    <row r="63" spans="1:8" hidden="1" x14ac:dyDescent="0.25">
      <c r="A63" t="s">
        <v>277</v>
      </c>
      <c r="B63" t="s">
        <v>409</v>
      </c>
      <c r="C63">
        <v>5.0599999999999996</v>
      </c>
      <c r="D63">
        <v>9</v>
      </c>
      <c r="E63" s="7">
        <v>198</v>
      </c>
      <c r="F63" s="7">
        <v>231.42666666666668</v>
      </c>
      <c r="G63" s="7">
        <v>33.426666666666677</v>
      </c>
      <c r="H63" t="s">
        <v>565</v>
      </c>
    </row>
    <row r="64" spans="1:8" hidden="1" x14ac:dyDescent="0.25">
      <c r="A64" t="s">
        <v>126</v>
      </c>
      <c r="B64" t="s">
        <v>410</v>
      </c>
      <c r="C64">
        <v>5.07</v>
      </c>
      <c r="D64">
        <v>5</v>
      </c>
      <c r="E64" s="7">
        <v>199</v>
      </c>
      <c r="F64" s="7">
        <v>191.13749999999999</v>
      </c>
      <c r="G64" s="7">
        <v>-7.8625000000000114</v>
      </c>
      <c r="H64" t="s">
        <v>565</v>
      </c>
    </row>
    <row r="65" spans="1:8" hidden="1" x14ac:dyDescent="0.25">
      <c r="A65" t="s">
        <v>70</v>
      </c>
      <c r="B65" t="s">
        <v>410</v>
      </c>
      <c r="C65">
        <v>5.08</v>
      </c>
      <c r="D65">
        <v>7</v>
      </c>
      <c r="E65" s="7">
        <v>168</v>
      </c>
      <c r="F65" s="7">
        <v>177.3</v>
      </c>
      <c r="G65" s="7">
        <v>9.3000000000000114</v>
      </c>
      <c r="H65" t="s">
        <v>565</v>
      </c>
    </row>
    <row r="66" spans="1:8" hidden="1" x14ac:dyDescent="0.25">
      <c r="A66" t="s">
        <v>35</v>
      </c>
      <c r="B66" t="s">
        <v>409</v>
      </c>
      <c r="C66">
        <v>2.09</v>
      </c>
      <c r="D66">
        <v>11</v>
      </c>
      <c r="E66" s="7">
        <v>234</v>
      </c>
      <c r="F66" s="7">
        <v>212.3</v>
      </c>
      <c r="G66" s="7">
        <v>-21.699999999999989</v>
      </c>
      <c r="H66" t="s">
        <v>136</v>
      </c>
    </row>
    <row r="67" spans="1:8" hidden="1" x14ac:dyDescent="0.25">
      <c r="A67" t="s">
        <v>82</v>
      </c>
      <c r="B67" t="s">
        <v>412</v>
      </c>
      <c r="C67">
        <v>11.14</v>
      </c>
      <c r="D67">
        <v>10</v>
      </c>
      <c r="E67" s="7">
        <v>261</v>
      </c>
      <c r="F67" s="7">
        <v>247.32111111111107</v>
      </c>
      <c r="G67" s="7">
        <v>-13.678888888888935</v>
      </c>
      <c r="H67" t="s">
        <v>136</v>
      </c>
    </row>
    <row r="68" spans="1:8" hidden="1" x14ac:dyDescent="0.25">
      <c r="A68" t="s">
        <v>69</v>
      </c>
      <c r="B68" t="s">
        <v>410</v>
      </c>
      <c r="C68">
        <v>5.1100000000000003</v>
      </c>
      <c r="D68">
        <v>14</v>
      </c>
      <c r="E68" s="7">
        <v>218</v>
      </c>
      <c r="F68" s="7">
        <v>217.11410256410255</v>
      </c>
      <c r="G68" s="7">
        <v>-0.88589743589744785</v>
      </c>
      <c r="H68" t="s">
        <v>565</v>
      </c>
    </row>
    <row r="69" spans="1:8" x14ac:dyDescent="0.25">
      <c r="A69" t="s">
        <v>24</v>
      </c>
      <c r="B69" t="s">
        <v>411</v>
      </c>
      <c r="C69">
        <v>6.01</v>
      </c>
      <c r="D69">
        <v>10</v>
      </c>
      <c r="E69" s="7">
        <v>174</v>
      </c>
      <c r="F69" s="7">
        <v>146.88333333333333</v>
      </c>
      <c r="G69" s="7">
        <v>-27.116666666666674</v>
      </c>
      <c r="H69" t="s">
        <v>136</v>
      </c>
    </row>
    <row r="70" spans="1:8" hidden="1" x14ac:dyDescent="0.25">
      <c r="A70" t="s">
        <v>129</v>
      </c>
      <c r="B70" t="s">
        <v>410</v>
      </c>
      <c r="C70">
        <v>5.13</v>
      </c>
      <c r="D70">
        <v>11</v>
      </c>
      <c r="E70" s="7">
        <v>207</v>
      </c>
      <c r="F70" s="7">
        <v>206.88333333333333</v>
      </c>
      <c r="G70" s="7">
        <v>-0.11666666666667425</v>
      </c>
      <c r="H70" t="s">
        <v>565</v>
      </c>
    </row>
    <row r="71" spans="1:8" hidden="1" x14ac:dyDescent="0.25">
      <c r="A71" t="s">
        <v>344</v>
      </c>
      <c r="B71" t="s">
        <v>410</v>
      </c>
      <c r="C71">
        <v>5.14</v>
      </c>
      <c r="D71">
        <v>9</v>
      </c>
      <c r="E71" s="7">
        <v>200</v>
      </c>
      <c r="F71" s="7">
        <v>0</v>
      </c>
      <c r="G71" s="7">
        <v>-200</v>
      </c>
      <c r="H71" t="s">
        <v>565</v>
      </c>
    </row>
    <row r="72" spans="1:8" x14ac:dyDescent="0.25">
      <c r="A72" t="s">
        <v>13</v>
      </c>
      <c r="B72" t="s">
        <v>411</v>
      </c>
      <c r="C72">
        <v>6.03</v>
      </c>
      <c r="D72">
        <v>11</v>
      </c>
      <c r="E72" s="7">
        <v>175</v>
      </c>
      <c r="F72" s="7">
        <v>181.71666666666667</v>
      </c>
      <c r="G72" s="7">
        <v>6.7166666666666686</v>
      </c>
      <c r="H72" t="s">
        <v>136</v>
      </c>
    </row>
    <row r="73" spans="1:8" hidden="1" x14ac:dyDescent="0.25">
      <c r="A73" t="s">
        <v>45</v>
      </c>
      <c r="B73" t="s">
        <v>409</v>
      </c>
      <c r="C73">
        <v>6.02</v>
      </c>
      <c r="D73">
        <v>6</v>
      </c>
      <c r="E73" s="7">
        <v>201</v>
      </c>
      <c r="F73" s="7">
        <v>178.85000000000002</v>
      </c>
      <c r="G73" s="7">
        <v>-22.149999999999977</v>
      </c>
      <c r="H73" t="s">
        <v>565</v>
      </c>
    </row>
    <row r="74" spans="1:8" hidden="1" x14ac:dyDescent="0.25">
      <c r="A74" t="s">
        <v>37</v>
      </c>
      <c r="B74" t="s">
        <v>409</v>
      </c>
      <c r="C74">
        <v>2.11</v>
      </c>
      <c r="D74">
        <v>10</v>
      </c>
      <c r="E74" s="7">
        <v>234</v>
      </c>
      <c r="F74" s="7">
        <v>213.18333333333334</v>
      </c>
      <c r="G74" s="7">
        <v>-20.816666666666663</v>
      </c>
      <c r="H74" t="s">
        <v>136</v>
      </c>
    </row>
    <row r="75" spans="1:8" hidden="1" x14ac:dyDescent="0.25">
      <c r="A75" t="s">
        <v>75</v>
      </c>
      <c r="B75" t="s">
        <v>410</v>
      </c>
      <c r="C75">
        <v>6.04</v>
      </c>
      <c r="D75">
        <v>10</v>
      </c>
      <c r="E75" s="7">
        <v>176</v>
      </c>
      <c r="F75" s="7">
        <v>213.85714285714286</v>
      </c>
      <c r="G75" s="7">
        <v>37.857142857142861</v>
      </c>
      <c r="H75" t="s">
        <v>565</v>
      </c>
    </row>
    <row r="76" spans="1:8" hidden="1" x14ac:dyDescent="0.25">
      <c r="A76" t="s">
        <v>131</v>
      </c>
      <c r="B76" t="s">
        <v>410</v>
      </c>
      <c r="C76">
        <v>6.05</v>
      </c>
      <c r="D76">
        <v>13</v>
      </c>
      <c r="E76" s="7">
        <v>182</v>
      </c>
      <c r="F76" s="7">
        <v>136.36250000000001</v>
      </c>
      <c r="G76" s="7">
        <v>-45.637499999999989</v>
      </c>
      <c r="H76" t="s">
        <v>565</v>
      </c>
    </row>
    <row r="77" spans="1:8" hidden="1" x14ac:dyDescent="0.25">
      <c r="A77" t="s">
        <v>36</v>
      </c>
      <c r="B77" t="s">
        <v>409</v>
      </c>
      <c r="C77">
        <v>3.01</v>
      </c>
      <c r="D77">
        <v>7</v>
      </c>
      <c r="E77" s="7">
        <v>234</v>
      </c>
      <c r="F77" s="7">
        <v>209.55</v>
      </c>
      <c r="G77" s="7">
        <v>-24.449999999999989</v>
      </c>
      <c r="H77" t="s">
        <v>136</v>
      </c>
    </row>
    <row r="78" spans="1:8" hidden="1" x14ac:dyDescent="0.25">
      <c r="A78" t="s">
        <v>64</v>
      </c>
      <c r="B78" t="s">
        <v>410</v>
      </c>
      <c r="C78">
        <v>6.07</v>
      </c>
      <c r="D78">
        <v>10</v>
      </c>
      <c r="E78" s="7">
        <v>187</v>
      </c>
      <c r="F78" s="7">
        <v>136.51666666666665</v>
      </c>
      <c r="G78" s="7">
        <v>-50.483333333333348</v>
      </c>
      <c r="H78" t="s">
        <v>565</v>
      </c>
    </row>
    <row r="79" spans="1:8" hidden="1" x14ac:dyDescent="0.25">
      <c r="A79" t="s">
        <v>88</v>
      </c>
      <c r="B79" t="s">
        <v>412</v>
      </c>
      <c r="C79">
        <v>12.11</v>
      </c>
      <c r="D79">
        <v>7</v>
      </c>
      <c r="E79" s="7">
        <v>261</v>
      </c>
      <c r="F79" s="7">
        <v>258.76</v>
      </c>
      <c r="G79" s="7">
        <v>-2.2400000000000091</v>
      </c>
      <c r="H79" t="s">
        <v>136</v>
      </c>
    </row>
    <row r="80" spans="1:8" hidden="1" x14ac:dyDescent="0.25">
      <c r="A80" t="s">
        <v>85</v>
      </c>
      <c r="B80" t="s">
        <v>412</v>
      </c>
      <c r="C80">
        <v>12.12</v>
      </c>
      <c r="D80">
        <v>9</v>
      </c>
      <c r="E80" s="7">
        <v>264</v>
      </c>
      <c r="F80" s="7">
        <v>265.69777777777779</v>
      </c>
      <c r="G80" s="7">
        <v>1.6977777777777874</v>
      </c>
      <c r="H80" t="s">
        <v>136</v>
      </c>
    </row>
    <row r="81" spans="1:8" hidden="1" x14ac:dyDescent="0.25">
      <c r="A81" t="s">
        <v>68</v>
      </c>
      <c r="B81" t="s">
        <v>410</v>
      </c>
      <c r="C81">
        <v>6.1</v>
      </c>
      <c r="D81">
        <v>9</v>
      </c>
      <c r="E81" s="7">
        <v>192</v>
      </c>
      <c r="F81" s="7">
        <v>188.75833333333333</v>
      </c>
      <c r="G81" s="7">
        <v>-3.2416666666666742</v>
      </c>
      <c r="H81" t="s">
        <v>565</v>
      </c>
    </row>
    <row r="82" spans="1:8" hidden="1" x14ac:dyDescent="0.25">
      <c r="A82" t="s">
        <v>39</v>
      </c>
      <c r="B82" t="s">
        <v>409</v>
      </c>
      <c r="C82">
        <v>3.03</v>
      </c>
      <c r="D82">
        <v>5</v>
      </c>
      <c r="E82" s="7">
        <v>222</v>
      </c>
      <c r="F82" s="7">
        <v>216.3</v>
      </c>
      <c r="G82" s="7">
        <v>-5.6999999999999886</v>
      </c>
      <c r="H82" t="s">
        <v>136</v>
      </c>
    </row>
    <row r="83" spans="1:8" hidden="1" x14ac:dyDescent="0.25">
      <c r="A83" t="s">
        <v>15</v>
      </c>
      <c r="B83" t="s">
        <v>409</v>
      </c>
      <c r="C83">
        <v>6.12</v>
      </c>
      <c r="D83">
        <v>14</v>
      </c>
      <c r="E83" s="7">
        <v>190</v>
      </c>
      <c r="F83" s="7">
        <v>150.64166666666665</v>
      </c>
      <c r="G83" s="7">
        <v>-39.358333333333348</v>
      </c>
      <c r="H83" t="s">
        <v>565</v>
      </c>
    </row>
    <row r="84" spans="1:8" hidden="1" x14ac:dyDescent="0.25">
      <c r="A84" t="s">
        <v>40</v>
      </c>
      <c r="B84" t="s">
        <v>409</v>
      </c>
      <c r="C84">
        <v>3.05</v>
      </c>
      <c r="D84">
        <v>9</v>
      </c>
      <c r="E84" s="7">
        <v>218</v>
      </c>
      <c r="F84" s="7">
        <v>199.88333333333333</v>
      </c>
      <c r="G84" s="7">
        <v>-18.116666666666674</v>
      </c>
      <c r="H84" t="s">
        <v>136</v>
      </c>
    </row>
    <row r="85" spans="1:8" hidden="1" x14ac:dyDescent="0.25">
      <c r="A85" t="s">
        <v>121</v>
      </c>
      <c r="B85" t="s">
        <v>409</v>
      </c>
      <c r="C85">
        <v>6.14</v>
      </c>
      <c r="D85">
        <v>13</v>
      </c>
      <c r="E85" s="7">
        <v>174</v>
      </c>
      <c r="F85" s="7">
        <v>0</v>
      </c>
      <c r="G85" s="7">
        <v>-174</v>
      </c>
      <c r="H85" t="s">
        <v>565</v>
      </c>
    </row>
    <row r="86" spans="1:8" hidden="1" x14ac:dyDescent="0.25">
      <c r="A86" t="s">
        <v>17</v>
      </c>
      <c r="B86" t="s">
        <v>409</v>
      </c>
      <c r="C86">
        <v>3.08</v>
      </c>
      <c r="D86">
        <v>9</v>
      </c>
      <c r="E86" s="7">
        <v>221</v>
      </c>
      <c r="F86" s="7">
        <v>215.42692307692306</v>
      </c>
      <c r="G86" s="7">
        <v>-5.5730769230769397</v>
      </c>
      <c r="H86" t="s">
        <v>136</v>
      </c>
    </row>
    <row r="87" spans="1:8" hidden="1" x14ac:dyDescent="0.25">
      <c r="A87" t="s">
        <v>71</v>
      </c>
      <c r="B87" t="s">
        <v>410</v>
      </c>
      <c r="C87">
        <v>7.02</v>
      </c>
      <c r="D87">
        <v>6</v>
      </c>
      <c r="E87" s="7">
        <v>162</v>
      </c>
      <c r="F87" s="7">
        <v>150.15</v>
      </c>
      <c r="G87" s="7">
        <v>-11.849999999999994</v>
      </c>
      <c r="H87" t="s">
        <v>565</v>
      </c>
    </row>
    <row r="88" spans="1:8" hidden="1" x14ac:dyDescent="0.25">
      <c r="A88" t="s">
        <v>41</v>
      </c>
      <c r="B88" t="s">
        <v>409</v>
      </c>
      <c r="C88">
        <v>3.09</v>
      </c>
      <c r="D88">
        <v>5</v>
      </c>
      <c r="E88" s="7">
        <v>229</v>
      </c>
      <c r="F88" s="7">
        <v>229.07666666666665</v>
      </c>
      <c r="G88" s="7">
        <v>7.6666666666653782E-2</v>
      </c>
      <c r="H88" t="s">
        <v>136</v>
      </c>
    </row>
    <row r="89" spans="1:8" hidden="1" x14ac:dyDescent="0.25">
      <c r="A89" t="s">
        <v>38</v>
      </c>
      <c r="B89" t="s">
        <v>409</v>
      </c>
      <c r="C89">
        <v>3.11</v>
      </c>
      <c r="D89">
        <v>5</v>
      </c>
      <c r="E89" s="7">
        <v>225</v>
      </c>
      <c r="F89" s="7">
        <v>204.85000000000002</v>
      </c>
      <c r="G89" s="7">
        <v>-20.149999999999977</v>
      </c>
      <c r="H89" t="s">
        <v>136</v>
      </c>
    </row>
    <row r="90" spans="1:8" hidden="1" x14ac:dyDescent="0.25">
      <c r="A90" t="s">
        <v>10</v>
      </c>
      <c r="B90" t="s">
        <v>409</v>
      </c>
      <c r="C90">
        <v>4.0599999999999996</v>
      </c>
      <c r="D90">
        <v>13</v>
      </c>
      <c r="E90" s="7">
        <v>206</v>
      </c>
      <c r="F90" s="7">
        <v>174.85000000000002</v>
      </c>
      <c r="G90" s="7">
        <v>-31.149999999999977</v>
      </c>
      <c r="H90" t="s">
        <v>136</v>
      </c>
    </row>
    <row r="91" spans="1:8" hidden="1" x14ac:dyDescent="0.25">
      <c r="A91" t="s">
        <v>283</v>
      </c>
      <c r="B91" t="s">
        <v>409</v>
      </c>
      <c r="C91">
        <v>7.06</v>
      </c>
      <c r="D91">
        <v>9</v>
      </c>
      <c r="E91" s="7">
        <v>182</v>
      </c>
      <c r="F91" s="7">
        <v>180.65333333333334</v>
      </c>
      <c r="G91" s="7">
        <v>-1.346666666666664</v>
      </c>
      <c r="H91" t="s">
        <v>565</v>
      </c>
    </row>
    <row r="92" spans="1:8" hidden="1" x14ac:dyDescent="0.25">
      <c r="A92" t="s">
        <v>413</v>
      </c>
      <c r="B92" t="s">
        <v>409</v>
      </c>
      <c r="C92">
        <v>7.07</v>
      </c>
      <c r="D92">
        <v>5</v>
      </c>
      <c r="E92" s="7">
        <v>176</v>
      </c>
      <c r="F92" s="7">
        <v>0</v>
      </c>
      <c r="G92" s="7">
        <v>-176</v>
      </c>
      <c r="H92" t="s">
        <v>565</v>
      </c>
    </row>
    <row r="93" spans="1:8" hidden="1" x14ac:dyDescent="0.25">
      <c r="A93" t="s">
        <v>128</v>
      </c>
      <c r="B93" t="s">
        <v>410</v>
      </c>
      <c r="C93">
        <v>7.08</v>
      </c>
      <c r="D93">
        <v>13</v>
      </c>
      <c r="E93" s="7">
        <v>168</v>
      </c>
      <c r="F93" s="7">
        <v>126.00384615384615</v>
      </c>
      <c r="G93" s="7">
        <v>-41.996153846153845</v>
      </c>
      <c r="H93" t="s">
        <v>565</v>
      </c>
    </row>
    <row r="94" spans="1:8" hidden="1" x14ac:dyDescent="0.25">
      <c r="A94" t="s">
        <v>119</v>
      </c>
      <c r="B94" t="s">
        <v>411</v>
      </c>
      <c r="C94">
        <v>7.09</v>
      </c>
      <c r="D94">
        <v>6</v>
      </c>
      <c r="E94" s="7">
        <v>167</v>
      </c>
      <c r="F94" s="7">
        <v>134.4</v>
      </c>
      <c r="G94" s="7">
        <v>-32.599999999999994</v>
      </c>
      <c r="H94" t="s">
        <v>565</v>
      </c>
    </row>
    <row r="95" spans="1:8" hidden="1" x14ac:dyDescent="0.25">
      <c r="A95" t="s">
        <v>66</v>
      </c>
      <c r="B95" t="s">
        <v>410</v>
      </c>
      <c r="C95">
        <v>7.1</v>
      </c>
      <c r="D95">
        <v>14</v>
      </c>
      <c r="E95" s="7">
        <v>157</v>
      </c>
      <c r="F95" s="7">
        <v>147.93333333333334</v>
      </c>
      <c r="G95" s="7">
        <v>-9.0666666666666629</v>
      </c>
      <c r="H95" t="s">
        <v>565</v>
      </c>
    </row>
    <row r="96" spans="1:8" hidden="1" x14ac:dyDescent="0.25">
      <c r="A96" t="s">
        <v>294</v>
      </c>
      <c r="B96" t="s">
        <v>410</v>
      </c>
      <c r="C96">
        <v>7.11</v>
      </c>
      <c r="D96">
        <v>14</v>
      </c>
      <c r="E96" s="7">
        <v>157</v>
      </c>
      <c r="F96" s="7">
        <v>188.01999999999998</v>
      </c>
      <c r="G96" s="7">
        <v>31.019999999999982</v>
      </c>
      <c r="H96" t="s">
        <v>565</v>
      </c>
    </row>
    <row r="97" spans="1:8" x14ac:dyDescent="0.25">
      <c r="A97" t="s">
        <v>25</v>
      </c>
      <c r="B97" t="s">
        <v>411</v>
      </c>
      <c r="C97">
        <v>7.01</v>
      </c>
      <c r="D97">
        <v>9</v>
      </c>
      <c r="E97" s="7">
        <v>157</v>
      </c>
      <c r="F97" s="7">
        <v>145.35</v>
      </c>
      <c r="G97" s="7">
        <v>-11.650000000000006</v>
      </c>
      <c r="H97" t="s">
        <v>136</v>
      </c>
    </row>
    <row r="98" spans="1:8" hidden="1" x14ac:dyDescent="0.25">
      <c r="A98" t="s">
        <v>108</v>
      </c>
      <c r="B98" t="s">
        <v>409</v>
      </c>
      <c r="C98">
        <v>7.13</v>
      </c>
      <c r="D98">
        <v>11</v>
      </c>
      <c r="E98" s="7">
        <v>181</v>
      </c>
      <c r="F98" s="7">
        <v>0</v>
      </c>
      <c r="G98" s="7">
        <v>-181</v>
      </c>
      <c r="H98" t="s">
        <v>565</v>
      </c>
    </row>
    <row r="99" spans="1:8" hidden="1" x14ac:dyDescent="0.25">
      <c r="A99" t="s">
        <v>4</v>
      </c>
      <c r="B99" t="s">
        <v>409</v>
      </c>
      <c r="C99">
        <v>4.0999999999999996</v>
      </c>
      <c r="D99">
        <v>6</v>
      </c>
      <c r="E99" s="7">
        <v>207</v>
      </c>
      <c r="F99" s="7">
        <v>201.96904761904761</v>
      </c>
      <c r="G99" s="7">
        <v>-5.0309523809523853</v>
      </c>
      <c r="H99" t="s">
        <v>136</v>
      </c>
    </row>
    <row r="100" spans="1:8" hidden="1" x14ac:dyDescent="0.25">
      <c r="A100" t="s">
        <v>302</v>
      </c>
      <c r="B100" t="s">
        <v>410</v>
      </c>
      <c r="C100">
        <v>8.01</v>
      </c>
      <c r="D100">
        <v>11</v>
      </c>
      <c r="E100" s="7">
        <v>135</v>
      </c>
      <c r="F100" s="7">
        <v>227.90000000000003</v>
      </c>
      <c r="G100" s="7">
        <v>92.900000000000034</v>
      </c>
      <c r="H100" t="s">
        <v>565</v>
      </c>
    </row>
    <row r="101" spans="1:8" hidden="1" x14ac:dyDescent="0.25">
      <c r="A101" t="s">
        <v>124</v>
      </c>
      <c r="B101" t="s">
        <v>409</v>
      </c>
      <c r="C101">
        <v>8.02</v>
      </c>
      <c r="D101">
        <v>11</v>
      </c>
      <c r="E101" s="7">
        <v>185</v>
      </c>
      <c r="F101" s="7">
        <v>170.75</v>
      </c>
      <c r="G101" s="7">
        <v>-14.25</v>
      </c>
      <c r="H101" t="s">
        <v>565</v>
      </c>
    </row>
    <row r="102" spans="1:8" hidden="1" x14ac:dyDescent="0.25">
      <c r="A102" t="s">
        <v>414</v>
      </c>
      <c r="B102" t="s">
        <v>410</v>
      </c>
      <c r="C102">
        <v>8.0299999999999994</v>
      </c>
      <c r="D102">
        <v>5</v>
      </c>
      <c r="E102" s="7">
        <v>141</v>
      </c>
      <c r="F102" s="7">
        <v>0</v>
      </c>
      <c r="G102" s="7">
        <v>-141</v>
      </c>
      <c r="H102" t="s">
        <v>565</v>
      </c>
    </row>
    <row r="103" spans="1:8" hidden="1" x14ac:dyDescent="0.25">
      <c r="A103" t="s">
        <v>14</v>
      </c>
      <c r="B103" t="s">
        <v>409</v>
      </c>
      <c r="C103">
        <v>5.01</v>
      </c>
      <c r="D103">
        <v>11</v>
      </c>
      <c r="E103" s="7">
        <v>208</v>
      </c>
      <c r="F103" s="7">
        <v>180.01666666666665</v>
      </c>
      <c r="G103" s="7">
        <v>-27.983333333333348</v>
      </c>
      <c r="H103" t="s">
        <v>136</v>
      </c>
    </row>
    <row r="104" spans="1:8" hidden="1" x14ac:dyDescent="0.25">
      <c r="A104" t="s">
        <v>127</v>
      </c>
      <c r="B104" t="s">
        <v>410</v>
      </c>
      <c r="C104">
        <v>8.0500000000000007</v>
      </c>
      <c r="D104">
        <v>9</v>
      </c>
      <c r="E104" s="7">
        <v>153</v>
      </c>
      <c r="F104" s="7">
        <v>166.66875000000002</v>
      </c>
      <c r="G104" s="7">
        <v>13.668750000000017</v>
      </c>
      <c r="H104" t="s">
        <v>565</v>
      </c>
    </row>
    <row r="105" spans="1:8" hidden="1" x14ac:dyDescent="0.25">
      <c r="A105" t="s">
        <v>120</v>
      </c>
      <c r="B105" t="s">
        <v>409</v>
      </c>
      <c r="C105">
        <v>5.0199999999999996</v>
      </c>
      <c r="D105">
        <v>5</v>
      </c>
      <c r="E105" s="7">
        <v>214</v>
      </c>
      <c r="F105" s="7">
        <v>173.85000000000002</v>
      </c>
      <c r="G105" s="7">
        <v>-40.149999999999977</v>
      </c>
      <c r="H105" t="s">
        <v>136</v>
      </c>
    </row>
    <row r="106" spans="1:8" hidden="1" x14ac:dyDescent="0.25">
      <c r="A106" t="s">
        <v>105</v>
      </c>
      <c r="B106" t="s">
        <v>412</v>
      </c>
      <c r="C106">
        <v>13.04</v>
      </c>
      <c r="D106">
        <v>6</v>
      </c>
      <c r="E106" s="7">
        <v>259</v>
      </c>
      <c r="F106" s="7">
        <v>237.26</v>
      </c>
      <c r="G106" s="7">
        <v>-21.740000000000009</v>
      </c>
      <c r="H106" t="s">
        <v>136</v>
      </c>
    </row>
    <row r="107" spans="1:8" hidden="1" x14ac:dyDescent="0.25">
      <c r="A107" t="s">
        <v>122</v>
      </c>
      <c r="B107" t="s">
        <v>409</v>
      </c>
      <c r="C107">
        <v>8.08</v>
      </c>
      <c r="D107">
        <v>13</v>
      </c>
      <c r="E107" s="7">
        <v>168</v>
      </c>
      <c r="F107" s="7">
        <v>0</v>
      </c>
      <c r="G107" s="7">
        <v>-168</v>
      </c>
      <c r="H107" t="s">
        <v>565</v>
      </c>
    </row>
    <row r="108" spans="1:8" hidden="1" x14ac:dyDescent="0.25">
      <c r="A108" t="s">
        <v>387</v>
      </c>
      <c r="B108" t="s">
        <v>409</v>
      </c>
      <c r="C108">
        <v>8.09</v>
      </c>
      <c r="D108">
        <v>7</v>
      </c>
      <c r="E108" s="7">
        <v>170</v>
      </c>
      <c r="F108" s="7">
        <v>0</v>
      </c>
      <c r="G108" s="7">
        <v>-170</v>
      </c>
      <c r="H108" t="s">
        <v>565</v>
      </c>
    </row>
    <row r="109" spans="1:8" hidden="1" x14ac:dyDescent="0.25">
      <c r="A109" t="s">
        <v>100</v>
      </c>
      <c r="B109" t="s">
        <v>412</v>
      </c>
      <c r="C109">
        <v>14.06</v>
      </c>
      <c r="D109">
        <v>14</v>
      </c>
      <c r="E109" s="7">
        <v>275</v>
      </c>
      <c r="F109" s="7">
        <v>235.35333333333335</v>
      </c>
      <c r="G109" s="7">
        <v>-39.646666666666647</v>
      </c>
      <c r="H109" t="s">
        <v>136</v>
      </c>
    </row>
    <row r="110" spans="1:8" hidden="1" x14ac:dyDescent="0.25">
      <c r="A110" t="s">
        <v>415</v>
      </c>
      <c r="B110" t="s">
        <v>409</v>
      </c>
      <c r="C110">
        <v>8.11</v>
      </c>
      <c r="D110">
        <v>10</v>
      </c>
      <c r="E110" s="7">
        <v>150</v>
      </c>
      <c r="F110" s="7">
        <v>0</v>
      </c>
      <c r="G110" s="7">
        <v>-150</v>
      </c>
      <c r="H110" t="s">
        <v>565</v>
      </c>
    </row>
    <row r="111" spans="1:8" hidden="1" x14ac:dyDescent="0.25">
      <c r="A111" t="s">
        <v>135</v>
      </c>
      <c r="B111" t="s">
        <v>410</v>
      </c>
      <c r="C111">
        <v>8.1199999999999992</v>
      </c>
      <c r="D111">
        <v>10</v>
      </c>
      <c r="E111" s="7">
        <v>141</v>
      </c>
      <c r="F111" s="7">
        <v>118.63999999999999</v>
      </c>
      <c r="G111" s="7">
        <v>-22.360000000000014</v>
      </c>
      <c r="H111" t="s">
        <v>565</v>
      </c>
    </row>
    <row r="112" spans="1:8" hidden="1" x14ac:dyDescent="0.25">
      <c r="A112" t="s">
        <v>125</v>
      </c>
      <c r="B112" t="s">
        <v>409</v>
      </c>
      <c r="C112">
        <v>8.1300000000000008</v>
      </c>
      <c r="D112">
        <v>5</v>
      </c>
      <c r="E112" s="7">
        <v>156</v>
      </c>
      <c r="F112" s="7">
        <v>56.25</v>
      </c>
      <c r="G112" s="7">
        <v>-99.75</v>
      </c>
      <c r="H112" t="s">
        <v>565</v>
      </c>
    </row>
    <row r="113" spans="1:8" hidden="1" x14ac:dyDescent="0.25">
      <c r="A113" t="s">
        <v>8</v>
      </c>
      <c r="B113" t="s">
        <v>409</v>
      </c>
      <c r="C113">
        <v>5.05</v>
      </c>
      <c r="D113">
        <v>5</v>
      </c>
      <c r="E113" s="7">
        <v>218</v>
      </c>
      <c r="F113" s="7">
        <v>189.36666666666667</v>
      </c>
      <c r="G113" s="7">
        <v>-28.633333333333326</v>
      </c>
      <c r="H113" t="s">
        <v>136</v>
      </c>
    </row>
    <row r="114" spans="1:8" hidden="1" x14ac:dyDescent="0.25">
      <c r="A114" t="s">
        <v>115</v>
      </c>
      <c r="B114" t="s">
        <v>409</v>
      </c>
      <c r="C114">
        <v>9.01</v>
      </c>
      <c r="D114">
        <v>10</v>
      </c>
      <c r="E114" s="7">
        <v>166</v>
      </c>
      <c r="F114" s="7">
        <v>0</v>
      </c>
      <c r="G114" s="7">
        <v>-166</v>
      </c>
      <c r="H114" t="s">
        <v>565</v>
      </c>
    </row>
    <row r="115" spans="1:8" hidden="1" x14ac:dyDescent="0.25">
      <c r="A115" t="s">
        <v>290</v>
      </c>
      <c r="B115" t="s">
        <v>410</v>
      </c>
      <c r="C115">
        <v>9.02</v>
      </c>
      <c r="D115">
        <v>10</v>
      </c>
      <c r="E115" s="7">
        <v>131</v>
      </c>
      <c r="F115" s="7">
        <v>187.65</v>
      </c>
      <c r="G115" s="7">
        <v>56.650000000000006</v>
      </c>
      <c r="H115" t="s">
        <v>565</v>
      </c>
    </row>
    <row r="116" spans="1:8" hidden="1" x14ac:dyDescent="0.25">
      <c r="A116" t="s">
        <v>112</v>
      </c>
      <c r="B116" t="s">
        <v>409</v>
      </c>
      <c r="C116">
        <v>9.0299999999999994</v>
      </c>
      <c r="D116">
        <v>5</v>
      </c>
      <c r="E116" s="7">
        <v>153</v>
      </c>
      <c r="F116" s="7">
        <v>110.94285714285715</v>
      </c>
      <c r="G116" s="7">
        <v>-42.05714285714285</v>
      </c>
      <c r="H116" t="s">
        <v>565</v>
      </c>
    </row>
    <row r="117" spans="1:8" hidden="1" x14ac:dyDescent="0.25">
      <c r="A117" t="s">
        <v>103</v>
      </c>
      <c r="B117" t="s">
        <v>412</v>
      </c>
      <c r="C117">
        <v>14.14</v>
      </c>
      <c r="D117">
        <v>13</v>
      </c>
      <c r="E117" s="7">
        <v>247</v>
      </c>
      <c r="F117" s="7">
        <v>143.30181818181819</v>
      </c>
      <c r="G117" s="7">
        <v>-103.69818181818181</v>
      </c>
      <c r="H117" t="s">
        <v>136</v>
      </c>
    </row>
    <row r="118" spans="1:8" hidden="1" x14ac:dyDescent="0.25">
      <c r="A118" t="s">
        <v>118</v>
      </c>
      <c r="B118" t="s">
        <v>411</v>
      </c>
      <c r="C118">
        <v>9.0500000000000007</v>
      </c>
      <c r="D118">
        <v>7</v>
      </c>
      <c r="E118" s="7">
        <v>139</v>
      </c>
      <c r="F118" s="7">
        <v>137.80000000000001</v>
      </c>
      <c r="G118" s="7">
        <v>-1.1999999999999886</v>
      </c>
      <c r="H118" t="s">
        <v>565</v>
      </c>
    </row>
    <row r="119" spans="1:8" hidden="1" x14ac:dyDescent="0.25">
      <c r="A119" t="s">
        <v>416</v>
      </c>
      <c r="B119" t="s">
        <v>410</v>
      </c>
      <c r="C119">
        <v>9.06</v>
      </c>
      <c r="D119">
        <v>10</v>
      </c>
      <c r="E119" s="7">
        <v>117</v>
      </c>
      <c r="F119" s="7">
        <v>0</v>
      </c>
      <c r="G119" s="7">
        <v>-117</v>
      </c>
      <c r="H119" t="s">
        <v>565</v>
      </c>
    </row>
    <row r="120" spans="1:8" hidden="1" x14ac:dyDescent="0.25">
      <c r="A120" t="s">
        <v>327</v>
      </c>
      <c r="B120" t="s">
        <v>410</v>
      </c>
      <c r="C120">
        <v>9.07</v>
      </c>
      <c r="D120">
        <v>9</v>
      </c>
      <c r="E120" s="7">
        <v>134</v>
      </c>
      <c r="F120" s="7">
        <v>0</v>
      </c>
      <c r="G120" s="7">
        <v>-134</v>
      </c>
      <c r="H120" t="s">
        <v>565</v>
      </c>
    </row>
    <row r="121" spans="1:8" hidden="1" x14ac:dyDescent="0.25">
      <c r="A121" t="s">
        <v>130</v>
      </c>
      <c r="B121" t="s">
        <v>410</v>
      </c>
      <c r="C121">
        <v>9.08</v>
      </c>
      <c r="D121">
        <v>13</v>
      </c>
      <c r="E121" s="7">
        <v>127</v>
      </c>
      <c r="F121" s="7">
        <v>121.6318181818182</v>
      </c>
      <c r="G121" s="7">
        <v>-5.368181818181796</v>
      </c>
      <c r="H121" t="s">
        <v>565</v>
      </c>
    </row>
    <row r="122" spans="1:8" hidden="1" x14ac:dyDescent="0.25">
      <c r="A122" t="s">
        <v>43</v>
      </c>
      <c r="B122" t="s">
        <v>409</v>
      </c>
      <c r="C122">
        <v>5.09</v>
      </c>
      <c r="D122">
        <v>5</v>
      </c>
      <c r="E122" s="7">
        <v>209</v>
      </c>
      <c r="F122" s="7">
        <v>193.01666666666665</v>
      </c>
      <c r="G122" s="7">
        <v>-15.983333333333348</v>
      </c>
      <c r="H122" t="s">
        <v>136</v>
      </c>
    </row>
    <row r="123" spans="1:8" hidden="1" x14ac:dyDescent="0.25">
      <c r="A123" t="s">
        <v>113</v>
      </c>
      <c r="B123" t="s">
        <v>409</v>
      </c>
      <c r="C123">
        <v>5.0999999999999996</v>
      </c>
      <c r="D123">
        <v>9</v>
      </c>
      <c r="E123" s="7">
        <v>199</v>
      </c>
      <c r="F123" s="7">
        <v>171.85000000000002</v>
      </c>
      <c r="G123" s="7">
        <v>-27.149999999999977</v>
      </c>
      <c r="H123" t="s">
        <v>136</v>
      </c>
    </row>
    <row r="124" spans="1:8" hidden="1" x14ac:dyDescent="0.25">
      <c r="A124" t="s">
        <v>76</v>
      </c>
      <c r="B124" t="s">
        <v>410</v>
      </c>
      <c r="C124">
        <v>9.11</v>
      </c>
      <c r="D124">
        <v>11</v>
      </c>
      <c r="E124" s="7">
        <v>124</v>
      </c>
      <c r="F124" s="7">
        <v>94.243333333333339</v>
      </c>
      <c r="G124" s="7">
        <v>-29.756666666666661</v>
      </c>
      <c r="H124" t="s">
        <v>565</v>
      </c>
    </row>
    <row r="125" spans="1:8" hidden="1" x14ac:dyDescent="0.25">
      <c r="A125" t="s">
        <v>313</v>
      </c>
      <c r="B125" t="s">
        <v>410</v>
      </c>
      <c r="C125">
        <v>9.1199999999999992</v>
      </c>
      <c r="D125">
        <v>6</v>
      </c>
      <c r="E125" s="7">
        <v>132</v>
      </c>
      <c r="F125" s="7">
        <v>0</v>
      </c>
      <c r="G125" s="7">
        <v>-132</v>
      </c>
      <c r="H125" t="s">
        <v>565</v>
      </c>
    </row>
    <row r="126" spans="1:8" hidden="1" x14ac:dyDescent="0.25">
      <c r="A126" t="s">
        <v>279</v>
      </c>
      <c r="B126" t="s">
        <v>409</v>
      </c>
      <c r="C126">
        <v>9.1300000000000008</v>
      </c>
      <c r="D126">
        <v>13</v>
      </c>
      <c r="E126" s="7">
        <v>171</v>
      </c>
      <c r="F126" s="7">
        <v>221.3642857142857</v>
      </c>
      <c r="G126" s="7">
        <v>50.3642857142857</v>
      </c>
      <c r="H126" t="s">
        <v>565</v>
      </c>
    </row>
    <row r="127" spans="1:8" hidden="1" x14ac:dyDescent="0.25">
      <c r="A127" t="s">
        <v>109</v>
      </c>
      <c r="B127" t="s">
        <v>409</v>
      </c>
      <c r="C127">
        <v>9.14</v>
      </c>
      <c r="D127">
        <v>13</v>
      </c>
      <c r="E127" s="7">
        <v>159</v>
      </c>
      <c r="F127" s="7">
        <v>0</v>
      </c>
      <c r="G127" s="7">
        <v>-159</v>
      </c>
      <c r="H127" t="s">
        <v>565</v>
      </c>
    </row>
    <row r="128" spans="1:8" hidden="1" x14ac:dyDescent="0.25">
      <c r="A128" t="s">
        <v>5</v>
      </c>
      <c r="B128" t="s">
        <v>409</v>
      </c>
      <c r="C128">
        <v>5.12</v>
      </c>
      <c r="D128">
        <v>9</v>
      </c>
      <c r="E128" s="7">
        <v>197</v>
      </c>
      <c r="F128" s="7">
        <v>182.28333333333333</v>
      </c>
      <c r="G128" s="7">
        <v>-14.716666666666669</v>
      </c>
      <c r="H128" t="s">
        <v>136</v>
      </c>
    </row>
    <row r="129" spans="1:8" hidden="1" x14ac:dyDescent="0.25">
      <c r="A129" t="s">
        <v>132</v>
      </c>
      <c r="B129" t="s">
        <v>410</v>
      </c>
      <c r="C129">
        <v>10.02</v>
      </c>
      <c r="D129">
        <v>11</v>
      </c>
      <c r="E129" s="7">
        <v>117</v>
      </c>
      <c r="F129" s="7">
        <v>107.31875000000001</v>
      </c>
      <c r="G129" s="7">
        <v>-9.6812499999999915</v>
      </c>
      <c r="H129" t="s">
        <v>565</v>
      </c>
    </row>
    <row r="130" spans="1:8" hidden="1" x14ac:dyDescent="0.25">
      <c r="A130" t="s">
        <v>134</v>
      </c>
      <c r="B130" t="s">
        <v>410</v>
      </c>
      <c r="C130">
        <v>10.029999999999999</v>
      </c>
      <c r="D130">
        <v>10</v>
      </c>
      <c r="E130" s="7">
        <v>151</v>
      </c>
      <c r="F130" s="7">
        <v>151.32499999999999</v>
      </c>
      <c r="G130" s="7">
        <v>0.32499999999998863</v>
      </c>
      <c r="H130" t="s">
        <v>565</v>
      </c>
    </row>
    <row r="131" spans="1:8" hidden="1" x14ac:dyDescent="0.25">
      <c r="A131" t="s">
        <v>417</v>
      </c>
      <c r="B131" t="s">
        <v>411</v>
      </c>
      <c r="C131">
        <v>10.039999999999999</v>
      </c>
      <c r="D131">
        <v>13</v>
      </c>
      <c r="E131" s="7">
        <v>129</v>
      </c>
      <c r="F131" s="7">
        <v>0</v>
      </c>
      <c r="G131" s="7">
        <v>-129</v>
      </c>
      <c r="H131" t="s">
        <v>565</v>
      </c>
    </row>
    <row r="132" spans="1:8" hidden="1" x14ac:dyDescent="0.25">
      <c r="A132" t="s">
        <v>21</v>
      </c>
      <c r="B132" t="s">
        <v>409</v>
      </c>
      <c r="C132">
        <v>6.06</v>
      </c>
      <c r="D132">
        <v>11</v>
      </c>
      <c r="E132" s="7">
        <v>187</v>
      </c>
      <c r="F132" s="7">
        <v>185.53750000000002</v>
      </c>
      <c r="G132" s="7">
        <v>-1.4624999999999773</v>
      </c>
      <c r="H132" t="s">
        <v>136</v>
      </c>
    </row>
    <row r="133" spans="1:8" x14ac:dyDescent="0.25">
      <c r="A133" t="s">
        <v>23</v>
      </c>
      <c r="B133" t="s">
        <v>411</v>
      </c>
      <c r="C133">
        <v>7.14</v>
      </c>
      <c r="D133">
        <v>5</v>
      </c>
      <c r="E133" s="7">
        <v>157</v>
      </c>
      <c r="F133" s="7">
        <v>124.05000000000001</v>
      </c>
      <c r="G133" s="7">
        <v>-32.949999999999989</v>
      </c>
      <c r="H133" t="s">
        <v>136</v>
      </c>
    </row>
    <row r="134" spans="1:8" hidden="1" x14ac:dyDescent="0.25">
      <c r="A134" t="s">
        <v>418</v>
      </c>
      <c r="B134" t="s">
        <v>409</v>
      </c>
      <c r="C134">
        <v>10.07</v>
      </c>
      <c r="D134">
        <v>9</v>
      </c>
      <c r="E134" s="7">
        <v>159</v>
      </c>
      <c r="F134" s="7">
        <v>0</v>
      </c>
      <c r="G134" s="7">
        <v>-159</v>
      </c>
      <c r="H134" t="s">
        <v>565</v>
      </c>
    </row>
    <row r="135" spans="1:8" hidden="1" x14ac:dyDescent="0.25">
      <c r="A135" t="s">
        <v>419</v>
      </c>
      <c r="B135" t="s">
        <v>410</v>
      </c>
      <c r="C135">
        <v>10.08</v>
      </c>
      <c r="D135">
        <v>9</v>
      </c>
      <c r="E135" s="7">
        <v>100</v>
      </c>
      <c r="F135" s="7">
        <v>0</v>
      </c>
      <c r="G135" s="7">
        <v>-100</v>
      </c>
      <c r="H135" t="s">
        <v>565</v>
      </c>
    </row>
    <row r="136" spans="1:8" hidden="1" x14ac:dyDescent="0.25">
      <c r="A136" t="s">
        <v>241</v>
      </c>
      <c r="B136" t="s">
        <v>411</v>
      </c>
      <c r="C136">
        <v>10.09</v>
      </c>
      <c r="D136">
        <v>13</v>
      </c>
      <c r="E136" s="7">
        <v>127</v>
      </c>
      <c r="F136" s="7">
        <v>146.4</v>
      </c>
      <c r="G136" s="7">
        <v>19.400000000000006</v>
      </c>
      <c r="H136" t="s">
        <v>565</v>
      </c>
    </row>
    <row r="137" spans="1:8" hidden="1" x14ac:dyDescent="0.25">
      <c r="A137" t="s">
        <v>242</v>
      </c>
      <c r="B137" t="s">
        <v>411</v>
      </c>
      <c r="C137">
        <v>10.1</v>
      </c>
      <c r="D137">
        <v>11</v>
      </c>
      <c r="E137" s="7">
        <v>114</v>
      </c>
      <c r="F137" s="7">
        <v>143.22499999999999</v>
      </c>
      <c r="G137" s="7">
        <v>29.224999999999994</v>
      </c>
      <c r="H137" t="s">
        <v>565</v>
      </c>
    </row>
    <row r="138" spans="1:8" hidden="1" x14ac:dyDescent="0.25">
      <c r="A138" t="s">
        <v>111</v>
      </c>
      <c r="B138" t="s">
        <v>409</v>
      </c>
      <c r="C138">
        <v>10.11</v>
      </c>
      <c r="D138">
        <v>7</v>
      </c>
      <c r="E138" s="7">
        <v>170</v>
      </c>
      <c r="F138" s="7">
        <v>128.45000000000002</v>
      </c>
      <c r="G138" s="7">
        <v>-41.549999999999983</v>
      </c>
      <c r="H138" t="s">
        <v>565</v>
      </c>
    </row>
    <row r="139" spans="1:8" hidden="1" x14ac:dyDescent="0.25">
      <c r="A139" t="s">
        <v>117</v>
      </c>
      <c r="B139" t="s">
        <v>409</v>
      </c>
      <c r="C139">
        <v>10.119999999999999</v>
      </c>
      <c r="D139">
        <v>6</v>
      </c>
      <c r="E139" s="7">
        <v>153</v>
      </c>
      <c r="F139" s="7">
        <v>130.02692307692308</v>
      </c>
      <c r="G139" s="7">
        <v>-22.973076923076917</v>
      </c>
      <c r="H139" t="s">
        <v>565</v>
      </c>
    </row>
    <row r="140" spans="1:8" hidden="1" x14ac:dyDescent="0.25">
      <c r="A140" t="s">
        <v>249</v>
      </c>
      <c r="B140" t="s">
        <v>411</v>
      </c>
      <c r="C140">
        <v>10.130000000000001</v>
      </c>
      <c r="D140">
        <v>7</v>
      </c>
      <c r="E140" s="7">
        <v>128</v>
      </c>
      <c r="F140" s="7">
        <v>107.66666666666666</v>
      </c>
      <c r="G140" s="7">
        <v>-20.333333333333343</v>
      </c>
      <c r="H140" t="s">
        <v>565</v>
      </c>
    </row>
    <row r="141" spans="1:8" hidden="1" x14ac:dyDescent="0.25">
      <c r="A141" t="s">
        <v>288</v>
      </c>
      <c r="B141" t="s">
        <v>410</v>
      </c>
      <c r="C141">
        <v>10.14</v>
      </c>
      <c r="D141">
        <v>7</v>
      </c>
      <c r="E141" s="7">
        <v>117</v>
      </c>
      <c r="F141" s="7">
        <v>195.39375000000001</v>
      </c>
      <c r="G141" s="7">
        <v>78.393750000000011</v>
      </c>
      <c r="H141" t="s">
        <v>565</v>
      </c>
    </row>
    <row r="142" spans="1:8" hidden="1" x14ac:dyDescent="0.25">
      <c r="A142" t="s">
        <v>289</v>
      </c>
      <c r="B142" t="s">
        <v>410</v>
      </c>
      <c r="C142">
        <v>11.01</v>
      </c>
      <c r="D142">
        <v>10</v>
      </c>
      <c r="E142" s="7">
        <v>124</v>
      </c>
      <c r="F142" s="7">
        <v>172.65625</v>
      </c>
      <c r="G142" s="7">
        <v>48.65625</v>
      </c>
      <c r="H142" t="s">
        <v>565</v>
      </c>
    </row>
    <row r="143" spans="1:8" hidden="1" x14ac:dyDescent="0.25">
      <c r="A143" t="s">
        <v>110</v>
      </c>
      <c r="B143" t="s">
        <v>409</v>
      </c>
      <c r="C143">
        <v>11.02</v>
      </c>
      <c r="D143">
        <v>7</v>
      </c>
      <c r="E143" s="7">
        <v>159</v>
      </c>
      <c r="F143" s="7">
        <v>151.92500000000001</v>
      </c>
      <c r="G143" s="7">
        <v>-7.0749999999999886</v>
      </c>
      <c r="H143" t="s">
        <v>565</v>
      </c>
    </row>
    <row r="144" spans="1:8" hidden="1" x14ac:dyDescent="0.25">
      <c r="A144" t="s">
        <v>314</v>
      </c>
      <c r="B144" t="s">
        <v>410</v>
      </c>
      <c r="C144">
        <v>11.03</v>
      </c>
      <c r="D144">
        <v>10</v>
      </c>
      <c r="E144" s="7">
        <v>107</v>
      </c>
      <c r="F144" s="7">
        <v>0</v>
      </c>
      <c r="G144" s="7">
        <v>-107</v>
      </c>
      <c r="H144" t="s">
        <v>565</v>
      </c>
    </row>
    <row r="145" spans="1:8" hidden="1" x14ac:dyDescent="0.25">
      <c r="A145" t="s">
        <v>256</v>
      </c>
      <c r="B145" t="s">
        <v>411</v>
      </c>
      <c r="C145">
        <v>11.04</v>
      </c>
      <c r="D145">
        <v>9</v>
      </c>
      <c r="E145" s="7">
        <v>128</v>
      </c>
      <c r="F145" s="7">
        <v>146.37</v>
      </c>
      <c r="G145" s="7">
        <v>18.370000000000005</v>
      </c>
      <c r="H145" t="s">
        <v>565</v>
      </c>
    </row>
    <row r="146" spans="1:8" hidden="1" x14ac:dyDescent="0.25">
      <c r="A146" t="s">
        <v>397</v>
      </c>
      <c r="B146" t="s">
        <v>409</v>
      </c>
      <c r="C146">
        <v>11.05</v>
      </c>
      <c r="D146">
        <v>14</v>
      </c>
      <c r="E146" s="7">
        <v>167</v>
      </c>
      <c r="F146" s="7">
        <v>0</v>
      </c>
      <c r="G146" s="7">
        <v>-167</v>
      </c>
      <c r="H146" t="s">
        <v>565</v>
      </c>
    </row>
    <row r="147" spans="1:8" hidden="1" x14ac:dyDescent="0.25">
      <c r="A147" t="s">
        <v>561</v>
      </c>
      <c r="B147" t="s">
        <v>410</v>
      </c>
      <c r="C147">
        <v>11.06</v>
      </c>
      <c r="D147">
        <v>13</v>
      </c>
      <c r="E147" s="7">
        <v>101</v>
      </c>
      <c r="F147" s="7">
        <v>137.0625</v>
      </c>
      <c r="G147" s="7">
        <v>36.0625</v>
      </c>
      <c r="H147" t="s">
        <v>565</v>
      </c>
    </row>
    <row r="148" spans="1:8" hidden="1" x14ac:dyDescent="0.25">
      <c r="A148" t="s">
        <v>281</v>
      </c>
      <c r="B148" t="s">
        <v>409</v>
      </c>
      <c r="C148">
        <v>11.07</v>
      </c>
      <c r="D148">
        <v>9</v>
      </c>
      <c r="E148" s="7">
        <v>154</v>
      </c>
      <c r="F148" s="7">
        <v>208.35624999999999</v>
      </c>
      <c r="G148" s="7">
        <v>54.356249999999989</v>
      </c>
      <c r="H148" t="s">
        <v>565</v>
      </c>
    </row>
    <row r="149" spans="1:8" hidden="1" x14ac:dyDescent="0.25">
      <c r="A149" t="s">
        <v>42</v>
      </c>
      <c r="B149" t="s">
        <v>409</v>
      </c>
      <c r="C149">
        <v>6.08</v>
      </c>
      <c r="D149">
        <v>5</v>
      </c>
      <c r="E149" s="7">
        <v>211</v>
      </c>
      <c r="F149" s="7">
        <v>185.21666666666667</v>
      </c>
      <c r="G149" s="7">
        <v>-25.783333333333331</v>
      </c>
      <c r="H149" t="s">
        <v>136</v>
      </c>
    </row>
    <row r="150" spans="1:8" hidden="1" x14ac:dyDescent="0.25">
      <c r="A150" t="s">
        <v>383</v>
      </c>
      <c r="B150" t="s">
        <v>409</v>
      </c>
      <c r="C150">
        <v>11.09</v>
      </c>
      <c r="D150">
        <v>13</v>
      </c>
      <c r="E150" s="7">
        <v>155</v>
      </c>
      <c r="F150" s="7">
        <v>0</v>
      </c>
      <c r="G150" s="7">
        <v>-155</v>
      </c>
      <c r="H150" t="s">
        <v>565</v>
      </c>
    </row>
    <row r="151" spans="1:8" hidden="1" x14ac:dyDescent="0.25">
      <c r="A151" t="s">
        <v>12</v>
      </c>
      <c r="B151" t="s">
        <v>409</v>
      </c>
      <c r="C151">
        <v>6.09</v>
      </c>
      <c r="D151">
        <v>6</v>
      </c>
      <c r="E151" s="7">
        <v>176</v>
      </c>
      <c r="F151" s="7">
        <v>170.95000000000002</v>
      </c>
      <c r="G151" s="7">
        <v>-5.0499999999999829</v>
      </c>
      <c r="H151" t="s">
        <v>136</v>
      </c>
    </row>
    <row r="152" spans="1:8" hidden="1" x14ac:dyDescent="0.25">
      <c r="A152" t="s">
        <v>420</v>
      </c>
      <c r="B152" t="s">
        <v>410</v>
      </c>
      <c r="C152">
        <v>11.11</v>
      </c>
      <c r="D152">
        <v>13</v>
      </c>
      <c r="E152" s="7">
        <v>79</v>
      </c>
      <c r="F152" s="7">
        <v>0</v>
      </c>
      <c r="G152" s="7">
        <v>-79</v>
      </c>
      <c r="H152" t="s">
        <v>565</v>
      </c>
    </row>
    <row r="153" spans="1:8" hidden="1" x14ac:dyDescent="0.25">
      <c r="A153" t="s">
        <v>421</v>
      </c>
      <c r="B153" t="s">
        <v>411</v>
      </c>
      <c r="C153">
        <v>11.12</v>
      </c>
      <c r="D153">
        <v>9</v>
      </c>
      <c r="E153" s="7">
        <v>126</v>
      </c>
      <c r="F153" s="7">
        <v>0</v>
      </c>
      <c r="G153" s="7">
        <v>-126</v>
      </c>
      <c r="H153" t="s">
        <v>565</v>
      </c>
    </row>
    <row r="154" spans="1:8" hidden="1" x14ac:dyDescent="0.25">
      <c r="A154" t="s">
        <v>99</v>
      </c>
      <c r="B154" t="s">
        <v>412</v>
      </c>
      <c r="C154">
        <v>15.12</v>
      </c>
      <c r="D154">
        <v>11</v>
      </c>
      <c r="E154" s="7">
        <v>238</v>
      </c>
      <c r="F154" s="7">
        <v>243.17142857142858</v>
      </c>
      <c r="G154" s="7">
        <v>5.1714285714285779</v>
      </c>
      <c r="H154" t="s">
        <v>136</v>
      </c>
    </row>
    <row r="155" spans="1:8" hidden="1" x14ac:dyDescent="0.25">
      <c r="A155" t="s">
        <v>19</v>
      </c>
      <c r="B155" t="s">
        <v>409</v>
      </c>
      <c r="C155">
        <v>6.11</v>
      </c>
      <c r="D155">
        <v>14</v>
      </c>
      <c r="E155" s="7">
        <v>205</v>
      </c>
      <c r="F155" s="7">
        <v>162.14166666666665</v>
      </c>
      <c r="G155" s="7">
        <v>-42.858333333333348</v>
      </c>
      <c r="H155" t="s">
        <v>136</v>
      </c>
    </row>
    <row r="156" spans="1:8" hidden="1" x14ac:dyDescent="0.25">
      <c r="A156" t="s">
        <v>306</v>
      </c>
      <c r="B156" t="s">
        <v>409</v>
      </c>
      <c r="C156">
        <v>12.01</v>
      </c>
      <c r="D156">
        <v>13</v>
      </c>
      <c r="E156" s="7">
        <v>139</v>
      </c>
      <c r="F156" s="7">
        <v>155.6</v>
      </c>
      <c r="G156" s="7">
        <v>16.599999999999994</v>
      </c>
      <c r="H156" t="s">
        <v>565</v>
      </c>
    </row>
    <row r="157" spans="1:8" hidden="1" x14ac:dyDescent="0.25">
      <c r="A157" t="s">
        <v>422</v>
      </c>
      <c r="B157" t="s">
        <v>410</v>
      </c>
      <c r="C157">
        <v>12.02</v>
      </c>
      <c r="D157">
        <v>11</v>
      </c>
      <c r="E157" s="7">
        <v>77</v>
      </c>
      <c r="F157" s="7">
        <v>0</v>
      </c>
      <c r="G157" s="7">
        <v>-77</v>
      </c>
      <c r="H157" t="s">
        <v>565</v>
      </c>
    </row>
    <row r="158" spans="1:8" hidden="1" x14ac:dyDescent="0.25">
      <c r="A158" t="s">
        <v>423</v>
      </c>
      <c r="B158" t="s">
        <v>409</v>
      </c>
      <c r="C158">
        <v>12.03</v>
      </c>
      <c r="D158">
        <v>13</v>
      </c>
      <c r="E158" s="7">
        <v>93</v>
      </c>
      <c r="F158" s="7">
        <v>0</v>
      </c>
      <c r="G158" s="7">
        <v>-93</v>
      </c>
      <c r="H158" t="s">
        <v>565</v>
      </c>
    </row>
    <row r="159" spans="1:8" hidden="1" x14ac:dyDescent="0.25">
      <c r="A159" t="s">
        <v>244</v>
      </c>
      <c r="B159" t="s">
        <v>411</v>
      </c>
      <c r="C159">
        <v>12.04</v>
      </c>
      <c r="D159">
        <v>5</v>
      </c>
      <c r="E159" s="7">
        <v>120</v>
      </c>
      <c r="F159" s="7">
        <v>155.83333333333331</v>
      </c>
      <c r="G159" s="7">
        <v>35.833333333333314</v>
      </c>
      <c r="H159" t="s">
        <v>565</v>
      </c>
    </row>
    <row r="160" spans="1:8" hidden="1" x14ac:dyDescent="0.25">
      <c r="A160" t="s">
        <v>114</v>
      </c>
      <c r="B160" t="s">
        <v>409</v>
      </c>
      <c r="C160">
        <v>12.05</v>
      </c>
      <c r="D160">
        <v>5</v>
      </c>
      <c r="E160" s="7">
        <v>136</v>
      </c>
      <c r="F160" s="7">
        <v>108.75</v>
      </c>
      <c r="G160" s="7">
        <v>-27.25</v>
      </c>
      <c r="H160" t="s">
        <v>565</v>
      </c>
    </row>
    <row r="161" spans="1:8" hidden="1" x14ac:dyDescent="0.25">
      <c r="A161" t="s">
        <v>424</v>
      </c>
      <c r="B161" t="s">
        <v>410</v>
      </c>
      <c r="C161">
        <v>12.06</v>
      </c>
      <c r="D161">
        <v>7</v>
      </c>
      <c r="E161" s="7">
        <v>89</v>
      </c>
      <c r="F161" s="7">
        <v>0</v>
      </c>
      <c r="G161" s="7">
        <v>-89</v>
      </c>
      <c r="H161" t="s">
        <v>565</v>
      </c>
    </row>
    <row r="162" spans="1:8" hidden="1" x14ac:dyDescent="0.25">
      <c r="A162" t="s">
        <v>425</v>
      </c>
      <c r="B162" t="s">
        <v>409</v>
      </c>
      <c r="C162">
        <v>12.07</v>
      </c>
      <c r="D162">
        <v>10</v>
      </c>
      <c r="E162" s="7">
        <v>110</v>
      </c>
      <c r="F162" s="7">
        <v>0</v>
      </c>
      <c r="G162" s="7">
        <v>-110</v>
      </c>
      <c r="H162" t="s">
        <v>565</v>
      </c>
    </row>
    <row r="163" spans="1:8" hidden="1" x14ac:dyDescent="0.25">
      <c r="A163" t="s">
        <v>89</v>
      </c>
      <c r="B163" t="s">
        <v>412</v>
      </c>
      <c r="C163">
        <v>16.04</v>
      </c>
      <c r="D163">
        <v>7</v>
      </c>
      <c r="E163" s="7">
        <v>251</v>
      </c>
      <c r="F163" s="7">
        <v>237.57</v>
      </c>
      <c r="G163" s="7">
        <v>-13.430000000000007</v>
      </c>
      <c r="H163" t="s">
        <v>136</v>
      </c>
    </row>
    <row r="164" spans="1:8" hidden="1" x14ac:dyDescent="0.25">
      <c r="A164" t="s">
        <v>558</v>
      </c>
      <c r="B164" t="s">
        <v>409</v>
      </c>
      <c r="C164">
        <v>12.09</v>
      </c>
      <c r="D164">
        <v>7</v>
      </c>
      <c r="E164" s="7">
        <v>148</v>
      </c>
      <c r="F164" s="7">
        <v>0</v>
      </c>
      <c r="G164" s="7">
        <v>-148</v>
      </c>
      <c r="H164" t="s">
        <v>565</v>
      </c>
    </row>
    <row r="165" spans="1:8" hidden="1" x14ac:dyDescent="0.25">
      <c r="A165" t="s">
        <v>291</v>
      </c>
      <c r="B165" t="s">
        <v>410</v>
      </c>
      <c r="C165">
        <v>12.1</v>
      </c>
      <c r="D165">
        <v>11</v>
      </c>
      <c r="E165" s="7">
        <v>87</v>
      </c>
      <c r="F165" s="7">
        <v>197.06923076923076</v>
      </c>
      <c r="G165" s="7">
        <v>110.06923076923076</v>
      </c>
      <c r="H165" t="s">
        <v>565</v>
      </c>
    </row>
    <row r="166" spans="1:8" hidden="1" x14ac:dyDescent="0.25">
      <c r="A166" t="s">
        <v>6</v>
      </c>
      <c r="B166" t="s">
        <v>409</v>
      </c>
      <c r="C166">
        <v>7.04</v>
      </c>
      <c r="D166">
        <v>7</v>
      </c>
      <c r="E166" s="7">
        <v>183</v>
      </c>
      <c r="F166" s="7">
        <v>165.46538461538461</v>
      </c>
      <c r="G166" s="7">
        <v>-17.534615384615392</v>
      </c>
      <c r="H166" t="s">
        <v>136</v>
      </c>
    </row>
    <row r="167" spans="1:8" x14ac:dyDescent="0.25">
      <c r="A167" t="s">
        <v>9</v>
      </c>
      <c r="B167" t="s">
        <v>411</v>
      </c>
      <c r="C167">
        <v>10.050000000000001</v>
      </c>
      <c r="D167">
        <v>10</v>
      </c>
      <c r="E167" s="7">
        <v>137</v>
      </c>
      <c r="F167" s="7">
        <v>134.55000000000001</v>
      </c>
      <c r="G167" s="7">
        <v>-2.4499999999999886</v>
      </c>
      <c r="H167" t="s">
        <v>136</v>
      </c>
    </row>
    <row r="168" spans="1:8" hidden="1" x14ac:dyDescent="0.25">
      <c r="A168" t="s">
        <v>426</v>
      </c>
      <c r="B168" t="s">
        <v>410</v>
      </c>
      <c r="C168">
        <v>12.13</v>
      </c>
      <c r="D168">
        <v>7</v>
      </c>
      <c r="E168" s="7">
        <v>67</v>
      </c>
      <c r="F168" s="7">
        <v>0</v>
      </c>
      <c r="G168" s="7">
        <v>-67</v>
      </c>
      <c r="H168" t="s">
        <v>565</v>
      </c>
    </row>
    <row r="169" spans="1:8" hidden="1" x14ac:dyDescent="0.25">
      <c r="A169" t="s">
        <v>107</v>
      </c>
      <c r="B169" t="s">
        <v>409</v>
      </c>
      <c r="C169">
        <v>7.12</v>
      </c>
      <c r="D169">
        <v>13</v>
      </c>
      <c r="E169" s="7">
        <v>172</v>
      </c>
      <c r="F169" s="7">
        <v>162.9</v>
      </c>
      <c r="G169" s="7">
        <v>-9.0999999999999943</v>
      </c>
      <c r="H169" t="s">
        <v>136</v>
      </c>
    </row>
    <row r="170" spans="1:8" hidden="1" x14ac:dyDescent="0.25">
      <c r="A170" t="s">
        <v>427</v>
      </c>
      <c r="B170" t="s">
        <v>411</v>
      </c>
      <c r="C170">
        <v>13.01</v>
      </c>
      <c r="D170">
        <v>13</v>
      </c>
      <c r="E170" s="7">
        <v>104</v>
      </c>
      <c r="F170" s="7">
        <v>0</v>
      </c>
      <c r="G170" s="7">
        <v>-104</v>
      </c>
      <c r="H170" t="s">
        <v>565</v>
      </c>
    </row>
    <row r="171" spans="1:8" hidden="1" x14ac:dyDescent="0.25">
      <c r="A171" t="s">
        <v>428</v>
      </c>
      <c r="B171" t="s">
        <v>409</v>
      </c>
      <c r="C171">
        <v>13.02</v>
      </c>
      <c r="D171">
        <v>7</v>
      </c>
      <c r="E171" s="7">
        <v>140</v>
      </c>
      <c r="F171" s="7">
        <v>0</v>
      </c>
      <c r="G171" s="7">
        <v>-140</v>
      </c>
      <c r="H171" t="s">
        <v>565</v>
      </c>
    </row>
    <row r="172" spans="1:8" hidden="1" x14ac:dyDescent="0.25">
      <c r="A172" t="s">
        <v>300</v>
      </c>
      <c r="B172" t="s">
        <v>410</v>
      </c>
      <c r="C172">
        <v>13.03</v>
      </c>
      <c r="D172">
        <v>7</v>
      </c>
      <c r="E172" s="7">
        <v>109</v>
      </c>
      <c r="F172" s="7">
        <v>117.3</v>
      </c>
      <c r="G172" s="7">
        <v>8.2999999999999972</v>
      </c>
      <c r="H172" t="s">
        <v>565</v>
      </c>
    </row>
    <row r="173" spans="1:8" x14ac:dyDescent="0.25">
      <c r="A173" t="s">
        <v>22</v>
      </c>
      <c r="B173" t="s">
        <v>411</v>
      </c>
      <c r="C173">
        <v>11.13</v>
      </c>
      <c r="D173">
        <v>13</v>
      </c>
      <c r="E173" s="7">
        <v>114</v>
      </c>
      <c r="F173" s="7">
        <v>104.05000000000001</v>
      </c>
      <c r="G173" s="7">
        <v>-9.9499999999999886</v>
      </c>
      <c r="H173" t="s">
        <v>136</v>
      </c>
    </row>
    <row r="174" spans="1:8" hidden="1" x14ac:dyDescent="0.25">
      <c r="A174" t="s">
        <v>316</v>
      </c>
      <c r="B174" t="s">
        <v>410</v>
      </c>
      <c r="C174">
        <v>13.05</v>
      </c>
      <c r="D174">
        <v>13</v>
      </c>
      <c r="E174" s="7">
        <v>97</v>
      </c>
      <c r="F174" s="7">
        <v>0</v>
      </c>
      <c r="G174" s="7">
        <v>-97</v>
      </c>
      <c r="H174" t="s">
        <v>565</v>
      </c>
    </row>
    <row r="175" spans="1:8" hidden="1" x14ac:dyDescent="0.25">
      <c r="A175" t="s">
        <v>359</v>
      </c>
      <c r="B175" t="s">
        <v>409</v>
      </c>
      <c r="C175">
        <v>8.1</v>
      </c>
      <c r="D175">
        <v>13</v>
      </c>
      <c r="E175" s="7">
        <v>164</v>
      </c>
      <c r="F175" s="7">
        <v>123.01666666666667</v>
      </c>
      <c r="G175" s="7">
        <v>-40.983333333333334</v>
      </c>
      <c r="H175" t="s">
        <v>136</v>
      </c>
    </row>
    <row r="176" spans="1:8" hidden="1" x14ac:dyDescent="0.25">
      <c r="A176" t="s">
        <v>429</v>
      </c>
      <c r="B176" t="s">
        <v>410</v>
      </c>
      <c r="C176">
        <v>13.07</v>
      </c>
      <c r="D176">
        <v>13</v>
      </c>
      <c r="E176" s="7">
        <v>64</v>
      </c>
      <c r="F176" s="7">
        <v>0</v>
      </c>
      <c r="G176" s="7">
        <v>-64</v>
      </c>
      <c r="H176" t="s">
        <v>565</v>
      </c>
    </row>
    <row r="177" spans="1:8" hidden="1" x14ac:dyDescent="0.25">
      <c r="A177" t="s">
        <v>298</v>
      </c>
      <c r="B177" t="s">
        <v>410</v>
      </c>
      <c r="C177">
        <v>13.08</v>
      </c>
      <c r="D177">
        <v>10</v>
      </c>
      <c r="E177" s="7">
        <v>84</v>
      </c>
      <c r="F177" s="7">
        <v>167.10999999999999</v>
      </c>
      <c r="G177" s="7">
        <v>83.109999999999985</v>
      </c>
      <c r="H177" t="s">
        <v>565</v>
      </c>
    </row>
    <row r="178" spans="1:8" hidden="1" x14ac:dyDescent="0.25">
      <c r="A178" t="s">
        <v>271</v>
      </c>
      <c r="B178" t="s">
        <v>411</v>
      </c>
      <c r="C178">
        <v>13.09</v>
      </c>
      <c r="D178">
        <v>7</v>
      </c>
      <c r="E178" s="7">
        <v>123</v>
      </c>
      <c r="F178" s="7">
        <v>117.30000000000001</v>
      </c>
      <c r="G178" s="7">
        <v>-5.6999999999999886</v>
      </c>
      <c r="H178" t="s">
        <v>565</v>
      </c>
    </row>
    <row r="179" spans="1:8" hidden="1" x14ac:dyDescent="0.25">
      <c r="A179" t="s">
        <v>240</v>
      </c>
      <c r="B179" t="s">
        <v>411</v>
      </c>
      <c r="C179">
        <v>13.1</v>
      </c>
      <c r="D179">
        <v>11</v>
      </c>
      <c r="E179" s="7">
        <v>95</v>
      </c>
      <c r="F179" s="7">
        <v>30.493749999999999</v>
      </c>
      <c r="G179" s="7">
        <v>-64.506249999999994</v>
      </c>
      <c r="H179" t="s">
        <v>565</v>
      </c>
    </row>
    <row r="180" spans="1:8" hidden="1" x14ac:dyDescent="0.25">
      <c r="A180" t="s">
        <v>430</v>
      </c>
      <c r="B180" t="s">
        <v>411</v>
      </c>
      <c r="C180">
        <v>13.11</v>
      </c>
      <c r="D180">
        <v>6</v>
      </c>
      <c r="E180" s="7">
        <v>110</v>
      </c>
      <c r="F180" s="7">
        <v>0</v>
      </c>
      <c r="G180" s="7">
        <v>-110</v>
      </c>
      <c r="H180" t="s">
        <v>565</v>
      </c>
    </row>
    <row r="181" spans="1:8" hidden="1" x14ac:dyDescent="0.25">
      <c r="A181" t="s">
        <v>247</v>
      </c>
      <c r="B181" t="s">
        <v>411</v>
      </c>
      <c r="C181">
        <v>13.12</v>
      </c>
      <c r="D181">
        <v>11</v>
      </c>
      <c r="E181" s="7">
        <v>99</v>
      </c>
      <c r="F181" s="7">
        <v>98.2</v>
      </c>
      <c r="G181" s="7">
        <v>-0.79999999999999716</v>
      </c>
      <c r="H181" t="s">
        <v>565</v>
      </c>
    </row>
    <row r="182" spans="1:8" hidden="1" x14ac:dyDescent="0.25">
      <c r="A182" t="s">
        <v>273</v>
      </c>
      <c r="B182" t="s">
        <v>411</v>
      </c>
      <c r="C182">
        <v>13.13</v>
      </c>
      <c r="D182">
        <v>7</v>
      </c>
      <c r="E182" s="7">
        <v>103</v>
      </c>
      <c r="F182" s="7">
        <v>74.8</v>
      </c>
      <c r="G182" s="7">
        <v>-28.200000000000003</v>
      </c>
      <c r="H182" t="s">
        <v>565</v>
      </c>
    </row>
    <row r="183" spans="1:8" hidden="1" x14ac:dyDescent="0.25">
      <c r="A183" t="s">
        <v>404</v>
      </c>
      <c r="B183" t="s">
        <v>409</v>
      </c>
      <c r="C183">
        <v>13.14</v>
      </c>
      <c r="D183">
        <v>13</v>
      </c>
      <c r="E183" s="7">
        <v>145</v>
      </c>
      <c r="F183" s="7">
        <v>0</v>
      </c>
      <c r="G183" s="7">
        <v>-145</v>
      </c>
      <c r="H183" t="s">
        <v>565</v>
      </c>
    </row>
    <row r="184" spans="1:8" hidden="1" x14ac:dyDescent="0.25">
      <c r="A184" t="s">
        <v>431</v>
      </c>
      <c r="B184" t="s">
        <v>410</v>
      </c>
      <c r="C184">
        <v>14.01</v>
      </c>
      <c r="D184">
        <v>5</v>
      </c>
      <c r="E184" s="7">
        <v>85</v>
      </c>
      <c r="F184" s="7">
        <v>0</v>
      </c>
      <c r="G184" s="7">
        <v>-85</v>
      </c>
      <c r="H184" t="s">
        <v>565</v>
      </c>
    </row>
    <row r="185" spans="1:8" hidden="1" x14ac:dyDescent="0.25">
      <c r="A185" t="s">
        <v>116</v>
      </c>
      <c r="B185" t="s">
        <v>409</v>
      </c>
      <c r="C185">
        <v>14.02</v>
      </c>
      <c r="D185">
        <v>11</v>
      </c>
      <c r="E185" s="7">
        <v>122</v>
      </c>
      <c r="F185" s="7">
        <v>110.30000000000001</v>
      </c>
      <c r="G185" s="7">
        <v>-11.699999999999989</v>
      </c>
      <c r="H185" t="s">
        <v>565</v>
      </c>
    </row>
    <row r="186" spans="1:8" hidden="1" x14ac:dyDescent="0.25">
      <c r="A186" t="s">
        <v>295</v>
      </c>
      <c r="B186" t="s">
        <v>410</v>
      </c>
      <c r="C186">
        <v>14.03</v>
      </c>
      <c r="D186">
        <v>1</v>
      </c>
      <c r="E186" s="7">
        <v>64</v>
      </c>
      <c r="F186" s="7">
        <v>126.80000000000001</v>
      </c>
      <c r="G186" s="7">
        <v>62.800000000000011</v>
      </c>
      <c r="H186" t="s">
        <v>565</v>
      </c>
    </row>
    <row r="187" spans="1:8" hidden="1" x14ac:dyDescent="0.25">
      <c r="A187" t="s">
        <v>285</v>
      </c>
      <c r="B187" t="s">
        <v>409</v>
      </c>
      <c r="C187">
        <v>14.04</v>
      </c>
      <c r="D187">
        <v>13</v>
      </c>
      <c r="E187" s="7">
        <v>105</v>
      </c>
      <c r="F187" s="7">
        <v>149.1</v>
      </c>
      <c r="G187" s="7">
        <v>44.099999999999994</v>
      </c>
      <c r="H187" t="s">
        <v>565</v>
      </c>
    </row>
    <row r="188" spans="1:8" hidden="1" x14ac:dyDescent="0.25">
      <c r="A188" t="s">
        <v>432</v>
      </c>
      <c r="B188" t="s">
        <v>410</v>
      </c>
      <c r="C188">
        <v>14.05</v>
      </c>
      <c r="D188">
        <v>13</v>
      </c>
      <c r="E188" s="7">
        <v>73</v>
      </c>
      <c r="F188" s="7">
        <v>0</v>
      </c>
      <c r="G188" s="7">
        <v>-73</v>
      </c>
      <c r="H188" t="s">
        <v>565</v>
      </c>
    </row>
    <row r="189" spans="1:8" hidden="1" x14ac:dyDescent="0.25">
      <c r="A189" t="s">
        <v>87</v>
      </c>
      <c r="B189" t="s">
        <v>412</v>
      </c>
      <c r="C189">
        <v>16.13</v>
      </c>
      <c r="D189">
        <v>5</v>
      </c>
      <c r="E189" s="7">
        <v>230</v>
      </c>
      <c r="F189" s="7">
        <v>208.44166666666669</v>
      </c>
      <c r="G189" s="7">
        <v>-21.558333333333309</v>
      </c>
      <c r="H189" t="s">
        <v>136</v>
      </c>
    </row>
    <row r="190" spans="1:8" hidden="1" x14ac:dyDescent="0.25">
      <c r="A190" t="s">
        <v>106</v>
      </c>
      <c r="B190" t="s">
        <v>409</v>
      </c>
      <c r="C190">
        <v>14.07</v>
      </c>
      <c r="D190">
        <v>13</v>
      </c>
      <c r="E190" s="7">
        <v>137</v>
      </c>
      <c r="F190" s="7">
        <v>0</v>
      </c>
      <c r="G190" s="7">
        <v>-137</v>
      </c>
      <c r="H190" t="s">
        <v>565</v>
      </c>
    </row>
    <row r="191" spans="1:8" hidden="1" x14ac:dyDescent="0.25">
      <c r="A191" t="s">
        <v>287</v>
      </c>
      <c r="B191" t="s">
        <v>410</v>
      </c>
      <c r="C191">
        <v>14.08</v>
      </c>
      <c r="D191">
        <v>1</v>
      </c>
      <c r="E191" s="7">
        <v>85</v>
      </c>
      <c r="F191" s="7">
        <v>242.35625000000002</v>
      </c>
      <c r="G191" s="7">
        <v>157.35625000000002</v>
      </c>
      <c r="H191" t="s">
        <v>565</v>
      </c>
    </row>
    <row r="192" spans="1:8" hidden="1" x14ac:dyDescent="0.25">
      <c r="A192" t="s">
        <v>248</v>
      </c>
      <c r="B192" t="s">
        <v>411</v>
      </c>
      <c r="C192">
        <v>14.09</v>
      </c>
      <c r="D192">
        <v>14</v>
      </c>
      <c r="E192" s="7">
        <v>121</v>
      </c>
      <c r="F192" s="7">
        <v>189.71999999999997</v>
      </c>
      <c r="G192" s="7">
        <v>68.71999999999997</v>
      </c>
      <c r="H192" t="s">
        <v>565</v>
      </c>
    </row>
    <row r="193" spans="1:8" hidden="1" x14ac:dyDescent="0.25">
      <c r="A193" t="s">
        <v>322</v>
      </c>
      <c r="B193" t="s">
        <v>410</v>
      </c>
      <c r="C193">
        <v>14.1</v>
      </c>
      <c r="D193">
        <v>5</v>
      </c>
      <c r="E193" s="7">
        <v>89</v>
      </c>
      <c r="F193" s="7">
        <v>0</v>
      </c>
      <c r="G193" s="7">
        <v>-89</v>
      </c>
      <c r="H193" t="s">
        <v>565</v>
      </c>
    </row>
    <row r="194" spans="1:8" hidden="1" x14ac:dyDescent="0.25">
      <c r="A194" t="s">
        <v>18</v>
      </c>
      <c r="B194" t="s">
        <v>409</v>
      </c>
      <c r="C194">
        <v>9.09</v>
      </c>
      <c r="D194">
        <v>7</v>
      </c>
      <c r="E194" s="7">
        <v>154</v>
      </c>
      <c r="F194" s="7">
        <v>137.9</v>
      </c>
      <c r="G194" s="7">
        <v>-16.099999999999994</v>
      </c>
      <c r="H194" t="s">
        <v>136</v>
      </c>
    </row>
    <row r="195" spans="1:8" hidden="1" x14ac:dyDescent="0.25">
      <c r="A195" t="s">
        <v>280</v>
      </c>
      <c r="B195" t="s">
        <v>409</v>
      </c>
      <c r="C195">
        <v>14.12</v>
      </c>
      <c r="D195">
        <v>14</v>
      </c>
      <c r="E195" s="7">
        <v>145</v>
      </c>
      <c r="F195" s="7">
        <v>178.3</v>
      </c>
      <c r="G195" s="7">
        <v>33.300000000000011</v>
      </c>
      <c r="H195" t="s">
        <v>565</v>
      </c>
    </row>
    <row r="196" spans="1:8" hidden="1" x14ac:dyDescent="0.25">
      <c r="A196" t="s">
        <v>433</v>
      </c>
      <c r="B196" t="s">
        <v>409</v>
      </c>
      <c r="C196">
        <v>14.13</v>
      </c>
      <c r="D196">
        <v>6</v>
      </c>
      <c r="E196" s="7">
        <v>140</v>
      </c>
      <c r="F196" s="7">
        <v>0</v>
      </c>
      <c r="G196" s="7">
        <v>-140</v>
      </c>
      <c r="H196" t="s">
        <v>565</v>
      </c>
    </row>
    <row r="197" spans="1:8" hidden="1" x14ac:dyDescent="0.25">
      <c r="A197" t="s">
        <v>11</v>
      </c>
      <c r="B197" t="s">
        <v>409</v>
      </c>
      <c r="C197">
        <v>9.1</v>
      </c>
      <c r="D197">
        <v>7</v>
      </c>
      <c r="E197" s="7">
        <v>157</v>
      </c>
      <c r="F197" s="7">
        <v>144.5</v>
      </c>
      <c r="G197" s="7">
        <v>-12.5</v>
      </c>
      <c r="H197" t="s">
        <v>136</v>
      </c>
    </row>
    <row r="198" spans="1:8" hidden="1" x14ac:dyDescent="0.25">
      <c r="A198" t="s">
        <v>255</v>
      </c>
      <c r="B198" t="s">
        <v>411</v>
      </c>
      <c r="C198">
        <v>15.01</v>
      </c>
      <c r="D198">
        <v>7</v>
      </c>
      <c r="E198" s="7">
        <v>122</v>
      </c>
      <c r="F198" s="7">
        <v>137.83076923076925</v>
      </c>
      <c r="G198" s="7">
        <v>15.830769230769249</v>
      </c>
      <c r="H198" t="s">
        <v>565</v>
      </c>
    </row>
    <row r="199" spans="1:8" hidden="1" x14ac:dyDescent="0.25">
      <c r="A199" t="s">
        <v>434</v>
      </c>
      <c r="B199" t="s">
        <v>409</v>
      </c>
      <c r="C199">
        <v>15.02</v>
      </c>
      <c r="D199">
        <v>7</v>
      </c>
      <c r="E199" s="7">
        <v>110</v>
      </c>
      <c r="F199" s="7">
        <v>0</v>
      </c>
      <c r="G199" s="7">
        <v>-110</v>
      </c>
      <c r="H199" t="s">
        <v>565</v>
      </c>
    </row>
    <row r="200" spans="1:8" hidden="1" x14ac:dyDescent="0.25">
      <c r="A200" t="s">
        <v>319</v>
      </c>
      <c r="B200" t="s">
        <v>410</v>
      </c>
      <c r="C200">
        <v>15.03</v>
      </c>
      <c r="D200">
        <v>11</v>
      </c>
      <c r="E200" s="7">
        <v>84</v>
      </c>
      <c r="F200" s="7">
        <v>0</v>
      </c>
      <c r="G200" s="7">
        <v>-84</v>
      </c>
      <c r="H200" t="s">
        <v>565</v>
      </c>
    </row>
    <row r="201" spans="1:8" hidden="1" x14ac:dyDescent="0.25">
      <c r="A201" t="s">
        <v>26</v>
      </c>
      <c r="B201" t="s">
        <v>409</v>
      </c>
      <c r="C201">
        <v>15.04</v>
      </c>
      <c r="D201">
        <v>10</v>
      </c>
      <c r="E201" s="7">
        <v>141</v>
      </c>
      <c r="F201" s="7">
        <v>124.53</v>
      </c>
      <c r="G201" s="7">
        <v>-16.47</v>
      </c>
      <c r="H201" t="s">
        <v>565</v>
      </c>
    </row>
    <row r="202" spans="1:8" hidden="1" x14ac:dyDescent="0.25">
      <c r="A202" t="s">
        <v>435</v>
      </c>
      <c r="B202" t="s">
        <v>409</v>
      </c>
      <c r="C202">
        <v>15.05</v>
      </c>
      <c r="D202">
        <v>10</v>
      </c>
      <c r="E202" s="7">
        <v>58</v>
      </c>
      <c r="F202" s="7">
        <v>0</v>
      </c>
      <c r="G202" s="7">
        <v>-58</v>
      </c>
      <c r="H202" t="s">
        <v>565</v>
      </c>
    </row>
    <row r="203" spans="1:8" hidden="1" x14ac:dyDescent="0.25">
      <c r="A203" t="s">
        <v>436</v>
      </c>
      <c r="B203" t="s">
        <v>409</v>
      </c>
      <c r="C203">
        <v>15.06</v>
      </c>
      <c r="D203">
        <v>13</v>
      </c>
      <c r="E203" s="7">
        <v>105</v>
      </c>
      <c r="F203" s="7">
        <v>0</v>
      </c>
      <c r="G203" s="7">
        <v>-105</v>
      </c>
      <c r="H203" t="s">
        <v>565</v>
      </c>
    </row>
    <row r="204" spans="1:8" hidden="1" x14ac:dyDescent="0.25">
      <c r="A204" t="s">
        <v>245</v>
      </c>
      <c r="B204" t="s">
        <v>411</v>
      </c>
      <c r="C204">
        <v>15.07</v>
      </c>
      <c r="D204">
        <v>7</v>
      </c>
      <c r="E204" s="7">
        <v>111</v>
      </c>
      <c r="F204" s="7">
        <v>131.19999999999999</v>
      </c>
      <c r="G204" s="7">
        <v>20.199999999999989</v>
      </c>
      <c r="H204" t="s">
        <v>565</v>
      </c>
    </row>
    <row r="205" spans="1:8" hidden="1" x14ac:dyDescent="0.25">
      <c r="A205" t="s">
        <v>250</v>
      </c>
      <c r="B205" t="s">
        <v>411</v>
      </c>
      <c r="C205">
        <v>15.08</v>
      </c>
      <c r="D205">
        <v>11</v>
      </c>
      <c r="E205" s="7">
        <v>113</v>
      </c>
      <c r="F205" s="7">
        <v>110.39375000000001</v>
      </c>
      <c r="G205" s="7">
        <v>-2.6062499999999886</v>
      </c>
      <c r="H205" t="s">
        <v>565</v>
      </c>
    </row>
    <row r="206" spans="1:8" hidden="1" x14ac:dyDescent="0.25">
      <c r="A206" t="s">
        <v>386</v>
      </c>
      <c r="B206" t="s">
        <v>409</v>
      </c>
      <c r="C206">
        <v>15.09</v>
      </c>
      <c r="D206">
        <v>13</v>
      </c>
      <c r="E206" s="7">
        <v>108</v>
      </c>
      <c r="F206" s="7">
        <v>0</v>
      </c>
      <c r="G206" s="7">
        <v>-108</v>
      </c>
      <c r="H206" t="s">
        <v>565</v>
      </c>
    </row>
    <row r="207" spans="1:8" hidden="1" x14ac:dyDescent="0.25">
      <c r="A207" t="s">
        <v>437</v>
      </c>
      <c r="B207" t="s">
        <v>409</v>
      </c>
      <c r="C207">
        <v>15.1</v>
      </c>
      <c r="D207">
        <v>7</v>
      </c>
      <c r="E207" s="7">
        <v>97</v>
      </c>
      <c r="F207" s="7">
        <v>0</v>
      </c>
      <c r="G207" s="7">
        <v>-97</v>
      </c>
      <c r="H207" t="s">
        <v>565</v>
      </c>
    </row>
    <row r="208" spans="1:8" hidden="1" x14ac:dyDescent="0.25">
      <c r="A208" t="s">
        <v>370</v>
      </c>
      <c r="B208" t="s">
        <v>409</v>
      </c>
      <c r="C208">
        <v>15.11</v>
      </c>
      <c r="D208">
        <v>11</v>
      </c>
      <c r="E208" s="7">
        <v>116</v>
      </c>
      <c r="F208" s="7">
        <v>0</v>
      </c>
      <c r="G208" s="7">
        <v>-116</v>
      </c>
      <c r="H208" t="s">
        <v>565</v>
      </c>
    </row>
    <row r="209" spans="1:8" hidden="1" x14ac:dyDescent="0.25">
      <c r="A209" t="s">
        <v>16</v>
      </c>
      <c r="B209" t="s">
        <v>409</v>
      </c>
      <c r="C209">
        <v>12.08</v>
      </c>
      <c r="D209">
        <v>7</v>
      </c>
      <c r="E209" s="7">
        <v>145</v>
      </c>
      <c r="F209" s="7">
        <v>136.55000000000001</v>
      </c>
      <c r="G209" s="7">
        <v>-8.4499999999999886</v>
      </c>
      <c r="H209" t="s">
        <v>136</v>
      </c>
    </row>
    <row r="210" spans="1:8" hidden="1" x14ac:dyDescent="0.25">
      <c r="A210" t="s">
        <v>317</v>
      </c>
      <c r="B210" t="s">
        <v>410</v>
      </c>
      <c r="C210">
        <v>15.13</v>
      </c>
      <c r="D210">
        <v>5</v>
      </c>
      <c r="E210" s="7">
        <v>79</v>
      </c>
      <c r="F210" s="7">
        <v>0</v>
      </c>
      <c r="G210" s="7">
        <v>-79</v>
      </c>
      <c r="H210" t="s">
        <v>565</v>
      </c>
    </row>
    <row r="211" spans="1:8" hidden="1" x14ac:dyDescent="0.25">
      <c r="A211" t="s">
        <v>364</v>
      </c>
      <c r="B211" t="s">
        <v>409</v>
      </c>
      <c r="C211">
        <v>15.14</v>
      </c>
      <c r="D211">
        <v>13</v>
      </c>
      <c r="E211" s="7">
        <v>129</v>
      </c>
      <c r="F211" s="7">
        <v>0</v>
      </c>
      <c r="G211" s="7">
        <v>-129</v>
      </c>
      <c r="H211" t="s">
        <v>565</v>
      </c>
    </row>
    <row r="212" spans="1:8" hidden="1" x14ac:dyDescent="0.25">
      <c r="A212" t="s">
        <v>321</v>
      </c>
      <c r="B212" t="s">
        <v>410</v>
      </c>
      <c r="C212">
        <v>16.010000000000002</v>
      </c>
      <c r="D212">
        <v>11</v>
      </c>
      <c r="E212" s="7">
        <v>77</v>
      </c>
      <c r="F212" s="7">
        <v>0</v>
      </c>
      <c r="G212" s="7">
        <v>-77</v>
      </c>
      <c r="H212" t="s">
        <v>565</v>
      </c>
    </row>
    <row r="213" spans="1:8" hidden="1" x14ac:dyDescent="0.25">
      <c r="A213" t="s">
        <v>246</v>
      </c>
      <c r="B213" t="s">
        <v>411</v>
      </c>
      <c r="C213">
        <v>16.02</v>
      </c>
      <c r="D213">
        <v>5</v>
      </c>
      <c r="E213" s="7">
        <v>110</v>
      </c>
      <c r="F213" s="7">
        <v>122.6</v>
      </c>
      <c r="G213" s="7">
        <v>12.599999999999994</v>
      </c>
      <c r="H213" t="s">
        <v>565</v>
      </c>
    </row>
    <row r="214" spans="1:8" hidden="1" x14ac:dyDescent="0.25">
      <c r="A214" t="s">
        <v>363</v>
      </c>
      <c r="B214" t="s">
        <v>410</v>
      </c>
      <c r="C214">
        <v>16.03</v>
      </c>
      <c r="D214">
        <v>5</v>
      </c>
      <c r="E214" s="7">
        <v>46</v>
      </c>
      <c r="F214" s="7">
        <v>0</v>
      </c>
      <c r="G214" s="7">
        <v>-46</v>
      </c>
      <c r="H214" t="s">
        <v>565</v>
      </c>
    </row>
    <row r="215" spans="1:8" hidden="1" x14ac:dyDescent="0.25">
      <c r="A215" t="s">
        <v>27</v>
      </c>
      <c r="B215" t="s">
        <v>409</v>
      </c>
      <c r="C215">
        <v>13.06</v>
      </c>
      <c r="D215">
        <v>10</v>
      </c>
      <c r="E215" s="7">
        <v>134</v>
      </c>
      <c r="F215" s="7">
        <v>121.75</v>
      </c>
      <c r="G215" s="7">
        <v>-12.25</v>
      </c>
      <c r="H215" t="s">
        <v>136</v>
      </c>
    </row>
    <row r="216" spans="1:8" hidden="1" x14ac:dyDescent="0.25">
      <c r="A216" t="s">
        <v>438</v>
      </c>
      <c r="B216" t="s">
        <v>409</v>
      </c>
      <c r="C216">
        <v>16.05</v>
      </c>
      <c r="D216">
        <v>7</v>
      </c>
      <c r="E216" s="7">
        <v>94</v>
      </c>
      <c r="F216" s="7">
        <v>0</v>
      </c>
      <c r="G216" s="7">
        <v>-94</v>
      </c>
      <c r="H216" t="s">
        <v>565</v>
      </c>
    </row>
    <row r="217" spans="1:8" hidden="1" x14ac:dyDescent="0.25">
      <c r="A217" t="s">
        <v>350</v>
      </c>
      <c r="B217" t="s">
        <v>410</v>
      </c>
      <c r="C217">
        <v>16.059999999999999</v>
      </c>
      <c r="D217">
        <v>10</v>
      </c>
      <c r="E217" s="7">
        <v>77</v>
      </c>
      <c r="F217" s="7">
        <v>0</v>
      </c>
      <c r="G217" s="7">
        <v>-77</v>
      </c>
      <c r="H217" t="s">
        <v>565</v>
      </c>
    </row>
    <row r="218" spans="1:8" hidden="1" x14ac:dyDescent="0.25">
      <c r="A218" t="s">
        <v>439</v>
      </c>
      <c r="B218" t="s">
        <v>410</v>
      </c>
      <c r="C218">
        <v>16.07</v>
      </c>
      <c r="D218">
        <v>7</v>
      </c>
      <c r="E218" s="7">
        <v>70</v>
      </c>
      <c r="F218" s="7">
        <v>0</v>
      </c>
      <c r="G218" s="7">
        <v>-70</v>
      </c>
      <c r="H218" t="s">
        <v>565</v>
      </c>
    </row>
    <row r="219" spans="1:8" hidden="1" x14ac:dyDescent="0.25">
      <c r="A219" t="s">
        <v>440</v>
      </c>
      <c r="B219" t="s">
        <v>410</v>
      </c>
      <c r="C219">
        <v>16.079999999999998</v>
      </c>
      <c r="D219">
        <v>10</v>
      </c>
      <c r="E219" s="7">
        <v>53</v>
      </c>
      <c r="F219" s="7">
        <v>0</v>
      </c>
      <c r="G219" s="7">
        <v>-53</v>
      </c>
      <c r="H219" t="s">
        <v>565</v>
      </c>
    </row>
    <row r="220" spans="1:8" hidden="1" x14ac:dyDescent="0.25">
      <c r="A220" t="s">
        <v>441</v>
      </c>
      <c r="B220" t="s">
        <v>409</v>
      </c>
      <c r="C220">
        <v>16.09</v>
      </c>
      <c r="D220">
        <v>11</v>
      </c>
      <c r="E220" s="7">
        <v>100</v>
      </c>
      <c r="F220" s="7">
        <v>0</v>
      </c>
      <c r="G220" s="7">
        <v>-100</v>
      </c>
      <c r="H220" t="s">
        <v>565</v>
      </c>
    </row>
    <row r="221" spans="1:8" hidden="1" x14ac:dyDescent="0.25">
      <c r="A221" t="s">
        <v>284</v>
      </c>
      <c r="B221" t="s">
        <v>409</v>
      </c>
      <c r="C221">
        <v>16.100000000000001</v>
      </c>
      <c r="D221">
        <v>5</v>
      </c>
      <c r="E221" s="7">
        <v>105</v>
      </c>
      <c r="F221" s="7">
        <v>177.75625000000002</v>
      </c>
      <c r="G221" s="7">
        <v>72.756250000000023</v>
      </c>
      <c r="H221" t="s">
        <v>565</v>
      </c>
    </row>
    <row r="222" spans="1:8" hidden="1" x14ac:dyDescent="0.25">
      <c r="A222" t="s">
        <v>253</v>
      </c>
      <c r="B222" t="s">
        <v>411</v>
      </c>
      <c r="C222">
        <v>16.11</v>
      </c>
      <c r="D222">
        <v>13</v>
      </c>
      <c r="E222" s="7">
        <v>70</v>
      </c>
      <c r="F222" s="7">
        <v>110.8642857142857</v>
      </c>
      <c r="G222" s="7">
        <v>40.8642857142857</v>
      </c>
      <c r="H222" t="s">
        <v>565</v>
      </c>
    </row>
    <row r="223" spans="1:8" hidden="1" x14ac:dyDescent="0.25">
      <c r="A223" t="s">
        <v>365</v>
      </c>
      <c r="B223" t="s">
        <v>409</v>
      </c>
      <c r="C223">
        <v>16.12</v>
      </c>
      <c r="D223">
        <v>10</v>
      </c>
      <c r="E223" s="7">
        <v>75</v>
      </c>
      <c r="F223" s="7">
        <v>0</v>
      </c>
      <c r="G223" s="7">
        <v>-75</v>
      </c>
      <c r="H223" t="s">
        <v>565</v>
      </c>
    </row>
    <row r="224" spans="1:8" hidden="1" x14ac:dyDescent="0.25">
      <c r="A224" t="s">
        <v>91</v>
      </c>
      <c r="B224" t="s">
        <v>412</v>
      </c>
      <c r="C224">
        <v>18.04</v>
      </c>
      <c r="D224">
        <v>11</v>
      </c>
      <c r="E224" s="7">
        <v>227</v>
      </c>
      <c r="F224" s="7">
        <v>196.23000000000002</v>
      </c>
      <c r="G224" s="7">
        <v>-30.769999999999982</v>
      </c>
      <c r="H224" t="s">
        <v>136</v>
      </c>
    </row>
    <row r="225" spans="1:8" hidden="1" x14ac:dyDescent="0.25">
      <c r="A225" t="s">
        <v>297</v>
      </c>
      <c r="B225" t="s">
        <v>410</v>
      </c>
      <c r="C225">
        <v>16.14</v>
      </c>
      <c r="D225">
        <v>7</v>
      </c>
      <c r="E225" s="7">
        <v>43</v>
      </c>
      <c r="F225" s="7">
        <v>136</v>
      </c>
      <c r="G225" s="7">
        <v>93</v>
      </c>
      <c r="H225" t="s">
        <v>565</v>
      </c>
    </row>
    <row r="226" spans="1:8" hidden="1" x14ac:dyDescent="0.25">
      <c r="A226" t="s">
        <v>442</v>
      </c>
      <c r="B226" t="s">
        <v>410</v>
      </c>
      <c r="C226">
        <v>17.010000000000002</v>
      </c>
      <c r="D226">
        <v>11</v>
      </c>
      <c r="E226" s="7">
        <v>62</v>
      </c>
      <c r="F226" s="7">
        <v>0</v>
      </c>
      <c r="G226" s="7">
        <v>-62</v>
      </c>
      <c r="H226" t="s">
        <v>565</v>
      </c>
    </row>
    <row r="227" spans="1:8" hidden="1" x14ac:dyDescent="0.25">
      <c r="A227" t="s">
        <v>375</v>
      </c>
      <c r="B227" t="s">
        <v>409</v>
      </c>
      <c r="C227">
        <v>17.02</v>
      </c>
      <c r="D227">
        <v>7</v>
      </c>
      <c r="E227" s="7">
        <v>126</v>
      </c>
      <c r="F227" s="7">
        <v>0</v>
      </c>
      <c r="G227" s="7">
        <v>-126</v>
      </c>
      <c r="H227" t="s">
        <v>565</v>
      </c>
    </row>
    <row r="228" spans="1:8" hidden="1" x14ac:dyDescent="0.25">
      <c r="A228" t="s">
        <v>443</v>
      </c>
      <c r="B228" t="s">
        <v>409</v>
      </c>
      <c r="C228">
        <v>17.03</v>
      </c>
      <c r="D228">
        <v>11</v>
      </c>
      <c r="E228" s="7">
        <v>107</v>
      </c>
      <c r="F228" s="7">
        <v>0</v>
      </c>
      <c r="G228" s="7">
        <v>-107</v>
      </c>
      <c r="H228" t="s">
        <v>565</v>
      </c>
    </row>
    <row r="229" spans="1:8" hidden="1" x14ac:dyDescent="0.25">
      <c r="A229" t="s">
        <v>444</v>
      </c>
      <c r="B229" t="s">
        <v>409</v>
      </c>
      <c r="C229">
        <v>17.04</v>
      </c>
      <c r="D229">
        <v>13</v>
      </c>
      <c r="E229" s="7">
        <v>78</v>
      </c>
      <c r="F229" s="7">
        <v>0</v>
      </c>
      <c r="G229" s="7">
        <v>-78</v>
      </c>
      <c r="H229" t="s">
        <v>565</v>
      </c>
    </row>
    <row r="230" spans="1:8" hidden="1" x14ac:dyDescent="0.25">
      <c r="A230" t="s">
        <v>123</v>
      </c>
      <c r="B230" t="s">
        <v>409</v>
      </c>
      <c r="C230">
        <v>17.05</v>
      </c>
      <c r="D230">
        <v>7</v>
      </c>
      <c r="E230" s="7">
        <v>128</v>
      </c>
      <c r="F230" s="7">
        <v>117.45</v>
      </c>
      <c r="G230" s="7">
        <v>-10.549999999999997</v>
      </c>
      <c r="H230" t="s">
        <v>565</v>
      </c>
    </row>
    <row r="231" spans="1:8" hidden="1" x14ac:dyDescent="0.25">
      <c r="A231" t="s">
        <v>445</v>
      </c>
      <c r="B231" t="s">
        <v>409</v>
      </c>
      <c r="C231">
        <v>17.059999999999999</v>
      </c>
      <c r="D231">
        <v>1</v>
      </c>
      <c r="E231" s="7">
        <v>0</v>
      </c>
      <c r="F231" s="7">
        <v>0</v>
      </c>
      <c r="G231" s="7">
        <v>0</v>
      </c>
      <c r="H231" t="s">
        <v>565</v>
      </c>
    </row>
    <row r="232" spans="1:8" hidden="1" x14ac:dyDescent="0.25">
      <c r="A232" t="s">
        <v>268</v>
      </c>
      <c r="B232" t="s">
        <v>411</v>
      </c>
      <c r="C232">
        <v>17.07</v>
      </c>
      <c r="D232">
        <v>14</v>
      </c>
      <c r="E232" s="7">
        <v>107</v>
      </c>
      <c r="F232" s="7">
        <v>116.16666666666667</v>
      </c>
      <c r="G232" s="7">
        <v>9.1666666666666714</v>
      </c>
      <c r="H232" t="s">
        <v>565</v>
      </c>
    </row>
    <row r="233" spans="1:8" hidden="1" x14ac:dyDescent="0.25">
      <c r="A233" t="s">
        <v>372</v>
      </c>
      <c r="B233" t="s">
        <v>409</v>
      </c>
      <c r="C233">
        <v>17.079999999999998</v>
      </c>
      <c r="D233">
        <v>11</v>
      </c>
      <c r="E233" s="7">
        <v>140</v>
      </c>
      <c r="F233" s="7">
        <v>0</v>
      </c>
      <c r="G233" s="7">
        <v>-140</v>
      </c>
      <c r="H233" t="s">
        <v>565</v>
      </c>
    </row>
    <row r="234" spans="1:8" hidden="1" x14ac:dyDescent="0.25">
      <c r="A234" t="s">
        <v>400</v>
      </c>
      <c r="B234" t="s">
        <v>409</v>
      </c>
      <c r="C234">
        <v>17.09</v>
      </c>
      <c r="D234">
        <v>7</v>
      </c>
      <c r="E234" s="7">
        <v>60</v>
      </c>
      <c r="F234" s="7">
        <v>0</v>
      </c>
      <c r="G234" s="7">
        <v>-60</v>
      </c>
      <c r="H234" t="s">
        <v>565</v>
      </c>
    </row>
    <row r="235" spans="1:8" hidden="1" x14ac:dyDescent="0.25">
      <c r="A235" t="s">
        <v>292</v>
      </c>
      <c r="B235" t="s">
        <v>410</v>
      </c>
      <c r="C235">
        <v>17.100000000000001</v>
      </c>
      <c r="D235">
        <v>13</v>
      </c>
      <c r="E235" s="7">
        <v>52</v>
      </c>
      <c r="F235" s="7">
        <v>199.03076923076924</v>
      </c>
      <c r="G235" s="7">
        <v>147.03076923076924</v>
      </c>
      <c r="H235" t="s">
        <v>565</v>
      </c>
    </row>
    <row r="236" spans="1:8" hidden="1" x14ac:dyDescent="0.25">
      <c r="A236" t="s">
        <v>392</v>
      </c>
      <c r="B236" t="s">
        <v>409</v>
      </c>
      <c r="C236">
        <v>17.11</v>
      </c>
      <c r="D236">
        <v>6</v>
      </c>
      <c r="E236" s="7">
        <v>115</v>
      </c>
      <c r="F236" s="7">
        <v>0</v>
      </c>
      <c r="G236" s="7">
        <v>-115</v>
      </c>
      <c r="H236" t="s">
        <v>565</v>
      </c>
    </row>
    <row r="237" spans="1:8" hidden="1" x14ac:dyDescent="0.25">
      <c r="A237" t="s">
        <v>446</v>
      </c>
      <c r="B237" t="s">
        <v>410</v>
      </c>
      <c r="C237">
        <v>17.12</v>
      </c>
      <c r="D237">
        <v>5</v>
      </c>
      <c r="E237" s="7">
        <v>51</v>
      </c>
      <c r="F237" s="7">
        <v>0</v>
      </c>
      <c r="G237" s="7">
        <v>-51</v>
      </c>
      <c r="H237" t="s">
        <v>565</v>
      </c>
    </row>
    <row r="238" spans="1:8" hidden="1" x14ac:dyDescent="0.25">
      <c r="A238" t="s">
        <v>447</v>
      </c>
      <c r="B238" t="s">
        <v>410</v>
      </c>
      <c r="C238">
        <v>17.13</v>
      </c>
      <c r="D238">
        <v>1</v>
      </c>
      <c r="E238" s="7">
        <v>18</v>
      </c>
      <c r="F238" s="7">
        <v>0</v>
      </c>
      <c r="G238" s="7">
        <v>-18</v>
      </c>
      <c r="H238" t="s">
        <v>565</v>
      </c>
    </row>
    <row r="239" spans="1:8" hidden="1" x14ac:dyDescent="0.25">
      <c r="A239" t="s">
        <v>208</v>
      </c>
      <c r="B239" t="s">
        <v>412</v>
      </c>
      <c r="C239">
        <v>12.14</v>
      </c>
      <c r="D239">
        <v>14</v>
      </c>
      <c r="E239" s="7">
        <v>258</v>
      </c>
      <c r="F239" s="7">
        <v>0</v>
      </c>
      <c r="G239" s="7">
        <v>-258</v>
      </c>
      <c r="H239" t="s">
        <v>565</v>
      </c>
    </row>
    <row r="240" spans="1:8" hidden="1" x14ac:dyDescent="0.25">
      <c r="A240" t="s">
        <v>328</v>
      </c>
      <c r="B240" t="s">
        <v>410</v>
      </c>
      <c r="C240">
        <v>18.010000000000002</v>
      </c>
      <c r="D240">
        <v>13</v>
      </c>
      <c r="E240" s="7">
        <v>58</v>
      </c>
      <c r="F240" s="7">
        <v>0</v>
      </c>
      <c r="G240" s="7">
        <v>-58</v>
      </c>
      <c r="H240" t="s">
        <v>565</v>
      </c>
    </row>
    <row r="241" spans="1:8" hidden="1" x14ac:dyDescent="0.25">
      <c r="A241" t="s">
        <v>449</v>
      </c>
      <c r="B241" t="s">
        <v>411</v>
      </c>
      <c r="C241">
        <v>18.02</v>
      </c>
      <c r="D241">
        <v>6</v>
      </c>
      <c r="E241" s="7">
        <v>49</v>
      </c>
      <c r="F241" s="7">
        <v>0</v>
      </c>
      <c r="G241" s="7">
        <v>-49</v>
      </c>
      <c r="H241" t="s">
        <v>565</v>
      </c>
    </row>
    <row r="242" spans="1:8" hidden="1" x14ac:dyDescent="0.25">
      <c r="A242" t="s">
        <v>343</v>
      </c>
      <c r="B242" t="s">
        <v>410</v>
      </c>
      <c r="C242">
        <v>18.03</v>
      </c>
      <c r="D242">
        <v>1</v>
      </c>
      <c r="E242" s="7">
        <v>25</v>
      </c>
      <c r="F242" s="7">
        <v>0</v>
      </c>
      <c r="G242" s="7">
        <v>-25</v>
      </c>
      <c r="H242" t="s">
        <v>565</v>
      </c>
    </row>
    <row r="243" spans="1:8" hidden="1" x14ac:dyDescent="0.25">
      <c r="A243" t="s">
        <v>448</v>
      </c>
      <c r="B243" t="s">
        <v>412</v>
      </c>
      <c r="C243">
        <v>17.14</v>
      </c>
      <c r="D243">
        <v>7</v>
      </c>
      <c r="E243" s="7">
        <v>24</v>
      </c>
      <c r="F243" s="7">
        <v>0</v>
      </c>
      <c r="G243" s="7">
        <v>-24</v>
      </c>
      <c r="H243" t="s">
        <v>565</v>
      </c>
    </row>
    <row r="244" spans="1:8" hidden="1" x14ac:dyDescent="0.25">
      <c r="A244" t="s">
        <v>299</v>
      </c>
      <c r="B244" t="s">
        <v>410</v>
      </c>
      <c r="C244">
        <v>18.05</v>
      </c>
      <c r="D244">
        <v>1</v>
      </c>
      <c r="E244" s="7">
        <v>45</v>
      </c>
      <c r="F244" s="7">
        <v>136.92727272727274</v>
      </c>
      <c r="G244" s="7">
        <v>91.927272727272737</v>
      </c>
      <c r="H244" t="s">
        <v>565</v>
      </c>
    </row>
    <row r="245" spans="1:8" hidden="1" x14ac:dyDescent="0.25">
      <c r="A245" t="s">
        <v>282</v>
      </c>
      <c r="B245" t="s">
        <v>409</v>
      </c>
      <c r="C245">
        <v>18.059999999999999</v>
      </c>
      <c r="D245">
        <v>11</v>
      </c>
      <c r="E245" s="7">
        <v>95</v>
      </c>
      <c r="F245" s="7">
        <v>154</v>
      </c>
      <c r="G245" s="7">
        <v>59</v>
      </c>
      <c r="H245" t="s">
        <v>565</v>
      </c>
    </row>
    <row r="246" spans="1:8" hidden="1" x14ac:dyDescent="0.25">
      <c r="A246" t="s">
        <v>450</v>
      </c>
      <c r="B246" t="s">
        <v>412</v>
      </c>
      <c r="C246">
        <v>18.07</v>
      </c>
      <c r="D246">
        <v>7</v>
      </c>
      <c r="E246" s="7">
        <v>16</v>
      </c>
      <c r="F246" s="7">
        <v>0</v>
      </c>
      <c r="G246" s="7">
        <v>-16</v>
      </c>
      <c r="H246" t="s">
        <v>565</v>
      </c>
    </row>
    <row r="247" spans="1:8" hidden="1" x14ac:dyDescent="0.25">
      <c r="A247" t="s">
        <v>382</v>
      </c>
      <c r="B247" t="s">
        <v>409</v>
      </c>
      <c r="C247">
        <v>18.079999999999998</v>
      </c>
      <c r="D247">
        <v>14</v>
      </c>
      <c r="E247" s="7">
        <v>107</v>
      </c>
      <c r="F247" s="7">
        <v>0</v>
      </c>
      <c r="G247" s="7">
        <v>-107</v>
      </c>
      <c r="H247" t="s">
        <v>565</v>
      </c>
    </row>
    <row r="248" spans="1:8" hidden="1" x14ac:dyDescent="0.25">
      <c r="A248" t="s">
        <v>333</v>
      </c>
      <c r="B248" t="s">
        <v>410</v>
      </c>
      <c r="C248">
        <v>18.09</v>
      </c>
      <c r="D248">
        <v>9</v>
      </c>
      <c r="E248" s="7">
        <v>35</v>
      </c>
      <c r="F248" s="7">
        <v>0</v>
      </c>
      <c r="G248" s="7">
        <v>-35</v>
      </c>
      <c r="H248" t="s">
        <v>565</v>
      </c>
    </row>
    <row r="249" spans="1:8" hidden="1" x14ac:dyDescent="0.25">
      <c r="A249" t="s">
        <v>259</v>
      </c>
      <c r="B249" t="s">
        <v>411</v>
      </c>
      <c r="C249">
        <v>18.100000000000001</v>
      </c>
      <c r="D249">
        <v>11</v>
      </c>
      <c r="E249" s="7">
        <v>96</v>
      </c>
      <c r="F249" s="7">
        <v>105.11666666666667</v>
      </c>
      <c r="G249" s="7">
        <v>9.1166666666666742</v>
      </c>
      <c r="H249" t="s">
        <v>565</v>
      </c>
    </row>
    <row r="250" spans="1:8" hidden="1" x14ac:dyDescent="0.25">
      <c r="A250" t="s">
        <v>217</v>
      </c>
      <c r="B250" t="s">
        <v>412</v>
      </c>
      <c r="C250">
        <v>18.11</v>
      </c>
      <c r="D250">
        <v>10</v>
      </c>
      <c r="E250" s="7">
        <v>26</v>
      </c>
      <c r="F250" s="7">
        <v>0</v>
      </c>
      <c r="G250" s="7">
        <v>-26</v>
      </c>
      <c r="H250" t="s">
        <v>565</v>
      </c>
    </row>
    <row r="251" spans="1:8" hidden="1" x14ac:dyDescent="0.25">
      <c r="A251" t="s">
        <v>210</v>
      </c>
      <c r="B251" t="s">
        <v>412</v>
      </c>
      <c r="C251">
        <v>18.12</v>
      </c>
      <c r="D251">
        <v>7</v>
      </c>
      <c r="E251" s="7">
        <v>22</v>
      </c>
      <c r="F251" s="7">
        <v>0</v>
      </c>
      <c r="G251" s="7">
        <v>-22</v>
      </c>
      <c r="H251" t="s">
        <v>565</v>
      </c>
    </row>
    <row r="252" spans="1:8" hidden="1" x14ac:dyDescent="0.25">
      <c r="A252" t="s">
        <v>451</v>
      </c>
      <c r="B252" t="s">
        <v>410</v>
      </c>
      <c r="C252">
        <v>18.13</v>
      </c>
      <c r="D252">
        <v>14</v>
      </c>
      <c r="E252" s="7">
        <v>75</v>
      </c>
      <c r="F252" s="7">
        <v>0</v>
      </c>
      <c r="G252" s="7">
        <v>-75</v>
      </c>
      <c r="H252" t="s">
        <v>565</v>
      </c>
    </row>
    <row r="253" spans="1:8" hidden="1" x14ac:dyDescent="0.25">
      <c r="A253" t="s">
        <v>258</v>
      </c>
      <c r="B253" t="s">
        <v>411</v>
      </c>
      <c r="C253">
        <v>18.14</v>
      </c>
      <c r="D253">
        <v>5</v>
      </c>
      <c r="E253" s="7">
        <v>107</v>
      </c>
      <c r="F253" s="7">
        <v>113.05</v>
      </c>
      <c r="G253" s="7">
        <v>6.0499999999999972</v>
      </c>
      <c r="H253" t="s">
        <v>565</v>
      </c>
    </row>
    <row r="254" spans="1:8" hidden="1" x14ac:dyDescent="0.25">
      <c r="A254" t="s">
        <v>391</v>
      </c>
      <c r="B254" t="s">
        <v>409</v>
      </c>
      <c r="C254">
        <v>19.010000000000002</v>
      </c>
      <c r="D254">
        <v>11</v>
      </c>
      <c r="E254" s="7">
        <v>90</v>
      </c>
      <c r="F254" s="7">
        <v>0</v>
      </c>
      <c r="G254" s="7">
        <v>-90</v>
      </c>
      <c r="H254" t="s">
        <v>565</v>
      </c>
    </row>
    <row r="255" spans="1:8" hidden="1" x14ac:dyDescent="0.25">
      <c r="A255" t="s">
        <v>323</v>
      </c>
      <c r="B255" t="s">
        <v>410</v>
      </c>
      <c r="C255">
        <v>19.02</v>
      </c>
      <c r="D255">
        <v>9</v>
      </c>
      <c r="E255" s="7">
        <v>52</v>
      </c>
      <c r="F255" s="7">
        <v>0</v>
      </c>
      <c r="G255" s="7">
        <v>-52</v>
      </c>
      <c r="H255" t="s">
        <v>565</v>
      </c>
    </row>
    <row r="256" spans="1:8" hidden="1" x14ac:dyDescent="0.25">
      <c r="A256" t="s">
        <v>324</v>
      </c>
      <c r="B256" t="s">
        <v>410</v>
      </c>
      <c r="C256">
        <v>19.03</v>
      </c>
      <c r="D256">
        <v>1</v>
      </c>
      <c r="E256" s="7">
        <v>14</v>
      </c>
      <c r="F256" s="7">
        <v>0</v>
      </c>
      <c r="G256" s="7">
        <v>-14</v>
      </c>
      <c r="H256" t="s">
        <v>565</v>
      </c>
    </row>
    <row r="257" spans="1:8" hidden="1" x14ac:dyDescent="0.25">
      <c r="A257" t="s">
        <v>452</v>
      </c>
      <c r="B257" t="s">
        <v>410</v>
      </c>
      <c r="C257">
        <v>19.04</v>
      </c>
      <c r="D257">
        <v>7</v>
      </c>
      <c r="E257" s="7">
        <v>58</v>
      </c>
      <c r="F257" s="7">
        <v>0</v>
      </c>
      <c r="G257" s="7">
        <v>-58</v>
      </c>
      <c r="H257" t="s">
        <v>565</v>
      </c>
    </row>
    <row r="258" spans="1:8" hidden="1" x14ac:dyDescent="0.25">
      <c r="A258" t="s">
        <v>206</v>
      </c>
      <c r="B258" t="s">
        <v>412</v>
      </c>
      <c r="C258">
        <v>19.05</v>
      </c>
      <c r="D258">
        <v>7</v>
      </c>
      <c r="E258" s="7">
        <v>15</v>
      </c>
      <c r="F258" s="7">
        <v>0</v>
      </c>
      <c r="G258" s="7">
        <v>-15</v>
      </c>
      <c r="H258" t="s">
        <v>565</v>
      </c>
    </row>
    <row r="259" spans="1:8" hidden="1" x14ac:dyDescent="0.25">
      <c r="A259" t="s">
        <v>453</v>
      </c>
      <c r="B259" t="s">
        <v>410</v>
      </c>
      <c r="C259">
        <v>19.059999999999999</v>
      </c>
      <c r="D259">
        <v>7</v>
      </c>
      <c r="E259" s="7">
        <v>43</v>
      </c>
      <c r="F259" s="7">
        <v>0</v>
      </c>
      <c r="G259" s="7">
        <v>-43</v>
      </c>
      <c r="H259" t="s">
        <v>565</v>
      </c>
    </row>
    <row r="260" spans="1:8" hidden="1" x14ac:dyDescent="0.25">
      <c r="A260" t="s">
        <v>326</v>
      </c>
      <c r="B260" t="s">
        <v>410</v>
      </c>
      <c r="C260">
        <v>19.07</v>
      </c>
      <c r="D260">
        <v>10</v>
      </c>
      <c r="E260" s="7">
        <v>35</v>
      </c>
      <c r="F260" s="7">
        <v>0</v>
      </c>
      <c r="G260" s="7">
        <v>-35</v>
      </c>
      <c r="H260" t="s">
        <v>565</v>
      </c>
    </row>
    <row r="261" spans="1:8" hidden="1" x14ac:dyDescent="0.25">
      <c r="A261" t="s">
        <v>454</v>
      </c>
      <c r="B261" t="s">
        <v>410</v>
      </c>
      <c r="C261">
        <v>19.079999999999998</v>
      </c>
      <c r="D261">
        <v>1</v>
      </c>
      <c r="E261" s="7">
        <v>40</v>
      </c>
      <c r="F261" s="7">
        <v>0</v>
      </c>
      <c r="G261" s="7">
        <v>-40</v>
      </c>
      <c r="H261" t="s">
        <v>565</v>
      </c>
    </row>
    <row r="262" spans="1:8" hidden="1" x14ac:dyDescent="0.25">
      <c r="A262" t="s">
        <v>455</v>
      </c>
      <c r="B262" t="s">
        <v>409</v>
      </c>
      <c r="C262">
        <v>19.09</v>
      </c>
      <c r="D262">
        <v>14</v>
      </c>
      <c r="E262" s="7">
        <v>104</v>
      </c>
      <c r="F262" s="7">
        <v>0</v>
      </c>
      <c r="G262" s="7">
        <v>-104</v>
      </c>
      <c r="H262" t="s">
        <v>565</v>
      </c>
    </row>
    <row r="263" spans="1:8" hidden="1" x14ac:dyDescent="0.25">
      <c r="A263" t="s">
        <v>373</v>
      </c>
      <c r="B263" t="s">
        <v>409</v>
      </c>
      <c r="C263">
        <v>19.100000000000001</v>
      </c>
      <c r="D263">
        <v>9</v>
      </c>
      <c r="E263" s="7">
        <v>119</v>
      </c>
      <c r="F263" s="7">
        <v>0</v>
      </c>
      <c r="G263" s="7">
        <v>-119</v>
      </c>
      <c r="H263" t="s">
        <v>565</v>
      </c>
    </row>
    <row r="264" spans="1:8" hidden="1" x14ac:dyDescent="0.25">
      <c r="A264" t="s">
        <v>456</v>
      </c>
      <c r="B264" t="s">
        <v>410</v>
      </c>
      <c r="C264">
        <v>19.11</v>
      </c>
      <c r="D264">
        <v>7</v>
      </c>
      <c r="E264" s="7">
        <v>19</v>
      </c>
      <c r="F264" s="7">
        <v>0</v>
      </c>
      <c r="G264" s="7">
        <v>-19</v>
      </c>
      <c r="H264" t="s">
        <v>565</v>
      </c>
    </row>
    <row r="265" spans="1:8" hidden="1" x14ac:dyDescent="0.25">
      <c r="A265" t="s">
        <v>261</v>
      </c>
      <c r="B265" t="s">
        <v>411</v>
      </c>
      <c r="C265">
        <v>19.12</v>
      </c>
      <c r="D265">
        <v>13</v>
      </c>
      <c r="E265" s="7">
        <v>46</v>
      </c>
      <c r="F265" s="7">
        <v>106.32727272727273</v>
      </c>
      <c r="G265" s="7">
        <v>60.327272727272728</v>
      </c>
      <c r="H265" t="s">
        <v>565</v>
      </c>
    </row>
    <row r="266" spans="1:8" hidden="1" x14ac:dyDescent="0.25">
      <c r="A266" t="s">
        <v>312</v>
      </c>
      <c r="B266" t="s">
        <v>410</v>
      </c>
      <c r="C266">
        <v>19.13</v>
      </c>
      <c r="D266">
        <v>1</v>
      </c>
      <c r="E266" s="7">
        <v>24</v>
      </c>
      <c r="F266" s="7">
        <v>0</v>
      </c>
      <c r="G266" s="7">
        <v>-24</v>
      </c>
      <c r="H266" t="s">
        <v>565</v>
      </c>
    </row>
    <row r="267" spans="1:8" hidden="1" x14ac:dyDescent="0.25">
      <c r="A267" t="s">
        <v>457</v>
      </c>
      <c r="B267" t="s">
        <v>410</v>
      </c>
      <c r="C267">
        <v>19.14</v>
      </c>
      <c r="D267">
        <v>7</v>
      </c>
      <c r="E267" s="7">
        <v>54</v>
      </c>
      <c r="F267" s="7">
        <v>0</v>
      </c>
      <c r="G267" s="7">
        <v>-54</v>
      </c>
      <c r="H267" t="s">
        <v>565</v>
      </c>
    </row>
    <row r="268" spans="1:8" hidden="1" x14ac:dyDescent="0.25">
      <c r="A268" t="s">
        <v>458</v>
      </c>
      <c r="B268" t="s">
        <v>409</v>
      </c>
      <c r="C268">
        <v>20.010000000000002</v>
      </c>
      <c r="D268">
        <v>5</v>
      </c>
      <c r="E268" s="7">
        <v>81</v>
      </c>
      <c r="F268" s="7">
        <v>0</v>
      </c>
      <c r="G268" s="7">
        <v>-81</v>
      </c>
      <c r="H268" t="s">
        <v>565</v>
      </c>
    </row>
    <row r="269" spans="1:8" hidden="1" x14ac:dyDescent="0.25">
      <c r="A269" t="s">
        <v>459</v>
      </c>
      <c r="B269" t="s">
        <v>409</v>
      </c>
      <c r="C269">
        <v>20.02</v>
      </c>
      <c r="D269">
        <v>10</v>
      </c>
      <c r="E269" s="7">
        <v>67</v>
      </c>
      <c r="F269" s="7">
        <v>0</v>
      </c>
      <c r="G269" s="7">
        <v>-67</v>
      </c>
      <c r="H269" t="s">
        <v>565</v>
      </c>
    </row>
    <row r="270" spans="1:8" hidden="1" x14ac:dyDescent="0.25">
      <c r="A270" t="s">
        <v>251</v>
      </c>
      <c r="B270" t="s">
        <v>411</v>
      </c>
      <c r="C270">
        <v>20.03</v>
      </c>
      <c r="D270">
        <v>13</v>
      </c>
      <c r="E270" s="7">
        <v>44</v>
      </c>
      <c r="F270" s="7">
        <v>112</v>
      </c>
      <c r="G270" s="7">
        <v>68</v>
      </c>
      <c r="H270" t="s">
        <v>565</v>
      </c>
    </row>
    <row r="271" spans="1:8" hidden="1" x14ac:dyDescent="0.25">
      <c r="A271" t="s">
        <v>265</v>
      </c>
      <c r="B271" t="s">
        <v>411</v>
      </c>
      <c r="C271">
        <v>20.04</v>
      </c>
      <c r="D271">
        <v>14</v>
      </c>
      <c r="E271" s="7">
        <v>103</v>
      </c>
      <c r="F271" s="7">
        <v>101.08461538461538</v>
      </c>
      <c r="G271" s="7">
        <v>-1.9153846153846246</v>
      </c>
      <c r="H271" t="s">
        <v>565</v>
      </c>
    </row>
    <row r="272" spans="1:8" hidden="1" x14ac:dyDescent="0.25">
      <c r="A272" t="s">
        <v>460</v>
      </c>
      <c r="B272" t="s">
        <v>410</v>
      </c>
      <c r="C272">
        <v>20.05</v>
      </c>
      <c r="D272">
        <v>7</v>
      </c>
      <c r="E272" s="7">
        <v>54</v>
      </c>
      <c r="F272" s="7">
        <v>0</v>
      </c>
      <c r="G272" s="7">
        <v>-54</v>
      </c>
      <c r="H272" t="s">
        <v>565</v>
      </c>
    </row>
    <row r="273" spans="1:8" hidden="1" x14ac:dyDescent="0.25">
      <c r="A273" t="s">
        <v>211</v>
      </c>
      <c r="B273" t="s">
        <v>412</v>
      </c>
      <c r="C273">
        <v>20.059999999999999</v>
      </c>
      <c r="D273">
        <v>14</v>
      </c>
      <c r="E273" s="7">
        <v>37</v>
      </c>
      <c r="F273" s="7">
        <v>0</v>
      </c>
      <c r="G273" s="7">
        <v>-37</v>
      </c>
      <c r="H273" t="s">
        <v>565</v>
      </c>
    </row>
    <row r="274" spans="1:8" hidden="1" x14ac:dyDescent="0.25">
      <c r="A274" t="s">
        <v>228</v>
      </c>
      <c r="B274" t="s">
        <v>412</v>
      </c>
      <c r="C274">
        <v>20.07</v>
      </c>
      <c r="D274">
        <v>14</v>
      </c>
      <c r="E274" s="7">
        <v>12</v>
      </c>
      <c r="F274" s="7">
        <v>0</v>
      </c>
      <c r="G274" s="7">
        <v>-12</v>
      </c>
      <c r="H274" t="s">
        <v>565</v>
      </c>
    </row>
    <row r="275" spans="1:8" hidden="1" x14ac:dyDescent="0.25">
      <c r="A275" t="s">
        <v>461</v>
      </c>
      <c r="B275" t="s">
        <v>409</v>
      </c>
      <c r="C275">
        <v>20.079999999999998</v>
      </c>
      <c r="D275">
        <v>5</v>
      </c>
      <c r="E275" s="7">
        <v>26</v>
      </c>
      <c r="F275" s="7">
        <v>0</v>
      </c>
      <c r="G275" s="7">
        <v>-26</v>
      </c>
      <c r="H275" t="s">
        <v>565</v>
      </c>
    </row>
    <row r="276" spans="1:8" hidden="1" x14ac:dyDescent="0.25">
      <c r="A276" t="s">
        <v>462</v>
      </c>
      <c r="B276" t="s">
        <v>410</v>
      </c>
      <c r="C276">
        <v>20.09</v>
      </c>
      <c r="D276">
        <v>1</v>
      </c>
      <c r="E276" s="7">
        <v>0</v>
      </c>
      <c r="F276" s="7">
        <v>0</v>
      </c>
      <c r="G276" s="7">
        <v>0</v>
      </c>
      <c r="H276" t="s">
        <v>565</v>
      </c>
    </row>
    <row r="277" spans="1:8" hidden="1" x14ac:dyDescent="0.25">
      <c r="A277" t="s">
        <v>385</v>
      </c>
      <c r="B277" t="s">
        <v>409</v>
      </c>
      <c r="C277">
        <v>20.100000000000001</v>
      </c>
      <c r="D277">
        <v>7</v>
      </c>
      <c r="E277" s="7">
        <v>75</v>
      </c>
      <c r="F277" s="7">
        <v>0</v>
      </c>
      <c r="G277" s="7">
        <v>-75</v>
      </c>
      <c r="H277" t="s">
        <v>565</v>
      </c>
    </row>
    <row r="278" spans="1:8" hidden="1" x14ac:dyDescent="0.25">
      <c r="A278" t="s">
        <v>463</v>
      </c>
      <c r="B278" t="s">
        <v>410</v>
      </c>
      <c r="C278">
        <v>20.11</v>
      </c>
      <c r="D278">
        <v>7</v>
      </c>
      <c r="E278" s="7">
        <v>28</v>
      </c>
      <c r="F278" s="7">
        <v>0</v>
      </c>
      <c r="G278" s="7">
        <v>-28</v>
      </c>
      <c r="H278" t="s">
        <v>565</v>
      </c>
    </row>
    <row r="279" spans="1:8" hidden="1" x14ac:dyDescent="0.25">
      <c r="A279" t="s">
        <v>464</v>
      </c>
      <c r="B279" t="s">
        <v>409</v>
      </c>
      <c r="C279">
        <v>20.12</v>
      </c>
      <c r="D279">
        <v>5</v>
      </c>
      <c r="E279" s="7">
        <v>68</v>
      </c>
      <c r="F279" s="7">
        <v>0</v>
      </c>
      <c r="G279" s="7">
        <v>-68</v>
      </c>
      <c r="H279" t="s">
        <v>565</v>
      </c>
    </row>
    <row r="280" spans="1:8" hidden="1" x14ac:dyDescent="0.25">
      <c r="A280" t="s">
        <v>465</v>
      </c>
      <c r="B280" t="s">
        <v>409</v>
      </c>
      <c r="C280">
        <v>20.13</v>
      </c>
      <c r="D280">
        <v>11</v>
      </c>
      <c r="E280" s="7">
        <v>35</v>
      </c>
      <c r="F280" s="7">
        <v>0</v>
      </c>
      <c r="G280" s="7">
        <v>-35</v>
      </c>
      <c r="H280" t="s">
        <v>565</v>
      </c>
    </row>
    <row r="281" spans="1:8" hidden="1" x14ac:dyDescent="0.25">
      <c r="A281" t="s">
        <v>331</v>
      </c>
      <c r="B281" t="s">
        <v>410</v>
      </c>
      <c r="C281">
        <v>20.14</v>
      </c>
      <c r="D281">
        <v>1</v>
      </c>
      <c r="E281" s="7">
        <v>18</v>
      </c>
      <c r="F281" s="7">
        <v>0</v>
      </c>
      <c r="G281" s="7">
        <v>-18</v>
      </c>
      <c r="H281" t="s">
        <v>565</v>
      </c>
    </row>
    <row r="282" spans="1:8" hidden="1" x14ac:dyDescent="0.25">
      <c r="A282" t="s">
        <v>466</v>
      </c>
      <c r="B282" t="s">
        <v>410</v>
      </c>
      <c r="C282">
        <v>21.01</v>
      </c>
      <c r="D282">
        <v>1</v>
      </c>
      <c r="E282" s="7">
        <v>0</v>
      </c>
      <c r="F282" s="7">
        <v>0</v>
      </c>
      <c r="G282" s="7">
        <v>0</v>
      </c>
      <c r="H282" t="s">
        <v>565</v>
      </c>
    </row>
    <row r="283" spans="1:8" hidden="1" x14ac:dyDescent="0.25">
      <c r="A283" t="s">
        <v>467</v>
      </c>
      <c r="B283" t="s">
        <v>412</v>
      </c>
      <c r="C283">
        <v>21.02</v>
      </c>
      <c r="D283">
        <v>10</v>
      </c>
      <c r="E283" s="7">
        <v>7</v>
      </c>
      <c r="F283" s="7">
        <v>0</v>
      </c>
      <c r="G283" s="7">
        <v>-7</v>
      </c>
      <c r="H283" t="s">
        <v>565</v>
      </c>
    </row>
    <row r="284" spans="1:8" hidden="1" x14ac:dyDescent="0.25">
      <c r="A284" t="s">
        <v>468</v>
      </c>
      <c r="B284" t="s">
        <v>410</v>
      </c>
      <c r="C284">
        <v>21.03</v>
      </c>
      <c r="D284">
        <v>6</v>
      </c>
      <c r="E284" s="7">
        <v>4</v>
      </c>
      <c r="F284" s="7">
        <v>0</v>
      </c>
      <c r="G284" s="7">
        <v>-4</v>
      </c>
      <c r="H284" t="s">
        <v>565</v>
      </c>
    </row>
    <row r="285" spans="1:8" hidden="1" x14ac:dyDescent="0.25">
      <c r="A285" t="s">
        <v>469</v>
      </c>
      <c r="B285" t="s">
        <v>409</v>
      </c>
      <c r="C285">
        <v>21.04</v>
      </c>
      <c r="D285">
        <v>5</v>
      </c>
      <c r="E285" s="7">
        <v>58</v>
      </c>
      <c r="F285" s="7">
        <v>0</v>
      </c>
      <c r="G285" s="7">
        <v>-58</v>
      </c>
      <c r="H285" t="s">
        <v>565</v>
      </c>
    </row>
    <row r="286" spans="1:8" hidden="1" x14ac:dyDescent="0.25">
      <c r="A286" t="s">
        <v>470</v>
      </c>
      <c r="B286" t="s">
        <v>409</v>
      </c>
      <c r="C286">
        <v>21.05</v>
      </c>
      <c r="D286">
        <v>1</v>
      </c>
      <c r="E286" s="7">
        <v>3</v>
      </c>
      <c r="F286" s="7">
        <v>0</v>
      </c>
      <c r="G286" s="7">
        <v>-3</v>
      </c>
      <c r="H286" t="s">
        <v>565</v>
      </c>
    </row>
    <row r="287" spans="1:8" hidden="1" x14ac:dyDescent="0.25">
      <c r="A287" t="s">
        <v>471</v>
      </c>
      <c r="B287" t="s">
        <v>409</v>
      </c>
      <c r="C287">
        <v>21.06</v>
      </c>
      <c r="D287">
        <v>9</v>
      </c>
      <c r="E287" s="7">
        <v>12</v>
      </c>
      <c r="F287" s="7">
        <v>0</v>
      </c>
      <c r="G287" s="7">
        <v>-12</v>
      </c>
      <c r="H287" t="s">
        <v>565</v>
      </c>
    </row>
    <row r="288" spans="1:8" hidden="1" x14ac:dyDescent="0.25">
      <c r="A288" t="s">
        <v>472</v>
      </c>
      <c r="B288" t="s">
        <v>409</v>
      </c>
      <c r="C288">
        <v>21.07</v>
      </c>
      <c r="D288">
        <v>1</v>
      </c>
      <c r="E288" s="7">
        <v>5</v>
      </c>
      <c r="F288" s="7">
        <v>0</v>
      </c>
      <c r="G288" s="7">
        <v>-5</v>
      </c>
      <c r="H288" t="s">
        <v>565</v>
      </c>
    </row>
    <row r="289" spans="1:8" hidden="1" x14ac:dyDescent="0.25">
      <c r="A289" t="s">
        <v>473</v>
      </c>
      <c r="B289" t="s">
        <v>409</v>
      </c>
      <c r="C289">
        <v>21.08</v>
      </c>
      <c r="D289">
        <v>10</v>
      </c>
      <c r="E289" s="7">
        <v>20</v>
      </c>
      <c r="F289" s="7">
        <v>0</v>
      </c>
      <c r="G289" s="7">
        <v>-20</v>
      </c>
      <c r="H289" t="s">
        <v>565</v>
      </c>
    </row>
    <row r="290" spans="1:8" hidden="1" x14ac:dyDescent="0.25">
      <c r="A290" t="s">
        <v>325</v>
      </c>
      <c r="B290" t="s">
        <v>410</v>
      </c>
      <c r="C290">
        <v>21.09</v>
      </c>
      <c r="D290">
        <v>1</v>
      </c>
      <c r="E290" s="7">
        <v>6</v>
      </c>
      <c r="F290" s="7">
        <v>0</v>
      </c>
      <c r="G290" s="7">
        <v>-6</v>
      </c>
      <c r="H290" t="s">
        <v>565</v>
      </c>
    </row>
    <row r="291" spans="1:8" hidden="1" x14ac:dyDescent="0.25">
      <c r="A291" t="s">
        <v>474</v>
      </c>
      <c r="B291" t="s">
        <v>409</v>
      </c>
      <c r="C291">
        <v>21.1</v>
      </c>
      <c r="D291">
        <v>9</v>
      </c>
      <c r="E291" s="7">
        <v>26</v>
      </c>
      <c r="F291" s="7">
        <v>0</v>
      </c>
      <c r="G291" s="7">
        <v>-26</v>
      </c>
      <c r="H291" t="s">
        <v>565</v>
      </c>
    </row>
    <row r="292" spans="1:8" hidden="1" x14ac:dyDescent="0.25">
      <c r="A292" t="s">
        <v>342</v>
      </c>
      <c r="B292" t="s">
        <v>410</v>
      </c>
      <c r="C292">
        <v>21.11</v>
      </c>
      <c r="D292">
        <v>7</v>
      </c>
      <c r="E292" s="7">
        <v>17</v>
      </c>
      <c r="F292" s="7">
        <v>0</v>
      </c>
      <c r="G292" s="7">
        <v>-17</v>
      </c>
      <c r="H292" t="s">
        <v>565</v>
      </c>
    </row>
    <row r="293" spans="1:8" hidden="1" x14ac:dyDescent="0.25">
      <c r="A293" t="s">
        <v>475</v>
      </c>
      <c r="B293" t="s">
        <v>409</v>
      </c>
      <c r="C293">
        <v>21.12</v>
      </c>
      <c r="D293">
        <v>1</v>
      </c>
      <c r="E293" s="7">
        <v>0</v>
      </c>
      <c r="F293" s="7">
        <v>0</v>
      </c>
      <c r="G293" s="7">
        <v>0</v>
      </c>
      <c r="H293" t="s">
        <v>565</v>
      </c>
    </row>
    <row r="294" spans="1:8" hidden="1" x14ac:dyDescent="0.25">
      <c r="A294" t="s">
        <v>339</v>
      </c>
      <c r="B294" t="s">
        <v>410</v>
      </c>
      <c r="C294">
        <v>21.13</v>
      </c>
      <c r="D294">
        <v>14</v>
      </c>
      <c r="E294" s="7">
        <v>16</v>
      </c>
      <c r="F294" s="7">
        <v>0</v>
      </c>
      <c r="G294" s="7">
        <v>-16</v>
      </c>
      <c r="H294" t="s">
        <v>565</v>
      </c>
    </row>
    <row r="295" spans="1:8" hidden="1" x14ac:dyDescent="0.25">
      <c r="A295" t="s">
        <v>476</v>
      </c>
      <c r="B295" t="s">
        <v>409</v>
      </c>
      <c r="C295">
        <v>21.14</v>
      </c>
      <c r="D295">
        <v>1</v>
      </c>
      <c r="E295" s="7">
        <v>7</v>
      </c>
      <c r="F295" s="7">
        <v>0</v>
      </c>
      <c r="G295" s="7">
        <v>-7</v>
      </c>
      <c r="H295" t="s">
        <v>565</v>
      </c>
    </row>
    <row r="296" spans="1:8" hidden="1" x14ac:dyDescent="0.25">
      <c r="A296" t="s">
        <v>477</v>
      </c>
      <c r="B296" t="s">
        <v>412</v>
      </c>
      <c r="C296">
        <v>22.01</v>
      </c>
      <c r="D296">
        <v>13</v>
      </c>
      <c r="E296" s="7">
        <v>33</v>
      </c>
      <c r="F296" s="7">
        <v>0</v>
      </c>
      <c r="G296" s="7">
        <v>-33</v>
      </c>
      <c r="H296" t="s">
        <v>565</v>
      </c>
    </row>
    <row r="297" spans="1:8" hidden="1" x14ac:dyDescent="0.25">
      <c r="A297" t="s">
        <v>478</v>
      </c>
      <c r="B297" t="s">
        <v>411</v>
      </c>
      <c r="C297">
        <v>22.02</v>
      </c>
      <c r="D297">
        <v>6</v>
      </c>
      <c r="E297" s="7">
        <v>16</v>
      </c>
      <c r="F297" s="7">
        <v>0</v>
      </c>
      <c r="G297" s="7">
        <v>-16</v>
      </c>
      <c r="H297" t="s">
        <v>565</v>
      </c>
    </row>
    <row r="298" spans="1:8" hidden="1" x14ac:dyDescent="0.25">
      <c r="A298" t="s">
        <v>479</v>
      </c>
      <c r="B298" t="s">
        <v>409</v>
      </c>
      <c r="C298">
        <v>22.03</v>
      </c>
      <c r="D298">
        <v>9</v>
      </c>
      <c r="E298" s="7">
        <v>15</v>
      </c>
      <c r="F298" s="7">
        <v>0</v>
      </c>
      <c r="G298" s="7">
        <v>-15</v>
      </c>
      <c r="H298" t="s">
        <v>565</v>
      </c>
    </row>
    <row r="299" spans="1:8" hidden="1" x14ac:dyDescent="0.25">
      <c r="A299" t="s">
        <v>358</v>
      </c>
      <c r="B299" t="s">
        <v>410</v>
      </c>
      <c r="C299">
        <v>22.04</v>
      </c>
      <c r="D299">
        <v>1</v>
      </c>
      <c r="E299" s="7">
        <v>17</v>
      </c>
      <c r="F299" s="7">
        <v>0</v>
      </c>
      <c r="G299" s="7">
        <v>-17</v>
      </c>
      <c r="H299" t="s">
        <v>565</v>
      </c>
    </row>
    <row r="300" spans="1:8" hidden="1" x14ac:dyDescent="0.25">
      <c r="A300" t="s">
        <v>480</v>
      </c>
      <c r="B300" t="s">
        <v>412</v>
      </c>
      <c r="C300">
        <v>22.05</v>
      </c>
      <c r="D300">
        <v>1</v>
      </c>
      <c r="E300" s="7">
        <v>0</v>
      </c>
      <c r="F300" s="7">
        <v>0</v>
      </c>
      <c r="G300" s="7">
        <v>0</v>
      </c>
      <c r="H300" t="s">
        <v>565</v>
      </c>
    </row>
    <row r="301" spans="1:8" hidden="1" x14ac:dyDescent="0.25">
      <c r="A301" t="s">
        <v>481</v>
      </c>
      <c r="B301" t="s">
        <v>411</v>
      </c>
      <c r="C301">
        <v>22.06</v>
      </c>
      <c r="D301">
        <v>9</v>
      </c>
      <c r="E301" s="7">
        <v>14</v>
      </c>
      <c r="F301" s="7">
        <v>0</v>
      </c>
      <c r="G301" s="7">
        <v>-14</v>
      </c>
      <c r="H301" t="s">
        <v>565</v>
      </c>
    </row>
    <row r="302" spans="1:8" hidden="1" x14ac:dyDescent="0.25">
      <c r="A302" t="s">
        <v>482</v>
      </c>
      <c r="B302" t="s">
        <v>410</v>
      </c>
      <c r="C302">
        <v>22.07</v>
      </c>
      <c r="D302">
        <v>1</v>
      </c>
      <c r="E302" s="7">
        <v>24</v>
      </c>
      <c r="F302" s="7">
        <v>0</v>
      </c>
      <c r="G302" s="7">
        <v>-24</v>
      </c>
      <c r="H302" t="s">
        <v>565</v>
      </c>
    </row>
    <row r="303" spans="1:8" hidden="1" x14ac:dyDescent="0.25">
      <c r="A303" t="s">
        <v>483</v>
      </c>
      <c r="B303" t="s">
        <v>412</v>
      </c>
      <c r="C303">
        <v>22.08</v>
      </c>
      <c r="D303">
        <v>5</v>
      </c>
      <c r="E303" s="7">
        <v>14</v>
      </c>
      <c r="F303" s="7">
        <v>0</v>
      </c>
      <c r="G303" s="7">
        <v>-14</v>
      </c>
      <c r="H303" t="s">
        <v>565</v>
      </c>
    </row>
    <row r="304" spans="1:8" hidden="1" x14ac:dyDescent="0.25">
      <c r="A304" t="s">
        <v>484</v>
      </c>
      <c r="B304" t="s">
        <v>409</v>
      </c>
      <c r="C304">
        <v>22.09</v>
      </c>
      <c r="D304">
        <v>1</v>
      </c>
      <c r="E304" s="7">
        <v>40</v>
      </c>
      <c r="F304" s="7">
        <v>0</v>
      </c>
      <c r="G304" s="7">
        <v>-40</v>
      </c>
      <c r="H304" t="s">
        <v>565</v>
      </c>
    </row>
    <row r="305" spans="1:8" hidden="1" x14ac:dyDescent="0.25">
      <c r="A305" t="s">
        <v>485</v>
      </c>
      <c r="B305" t="s">
        <v>409</v>
      </c>
      <c r="C305">
        <v>22.1</v>
      </c>
      <c r="D305">
        <v>7</v>
      </c>
      <c r="E305" s="7">
        <v>10</v>
      </c>
      <c r="F305" s="7">
        <v>0</v>
      </c>
      <c r="G305" s="7">
        <v>-10</v>
      </c>
      <c r="H305" t="s">
        <v>565</v>
      </c>
    </row>
    <row r="306" spans="1:8" hidden="1" x14ac:dyDescent="0.25">
      <c r="A306" t="s">
        <v>486</v>
      </c>
      <c r="B306" t="s">
        <v>412</v>
      </c>
      <c r="C306">
        <v>22.11</v>
      </c>
      <c r="D306">
        <v>7</v>
      </c>
      <c r="E306" s="7">
        <v>7</v>
      </c>
      <c r="F306" s="7">
        <v>0</v>
      </c>
      <c r="G306" s="7">
        <v>-7</v>
      </c>
      <c r="H306" t="s">
        <v>565</v>
      </c>
    </row>
    <row r="307" spans="1:8" hidden="1" x14ac:dyDescent="0.25">
      <c r="A307" t="s">
        <v>355</v>
      </c>
      <c r="B307" t="s">
        <v>410</v>
      </c>
      <c r="C307">
        <v>22.12</v>
      </c>
      <c r="D307">
        <v>13</v>
      </c>
      <c r="E307" s="7">
        <v>30</v>
      </c>
      <c r="F307" s="7">
        <v>0</v>
      </c>
      <c r="G307" s="7">
        <v>-30</v>
      </c>
      <c r="H307" t="s">
        <v>565</v>
      </c>
    </row>
    <row r="308" spans="1:8" hidden="1" x14ac:dyDescent="0.25">
      <c r="A308" t="s">
        <v>487</v>
      </c>
      <c r="B308" t="s">
        <v>409</v>
      </c>
      <c r="C308">
        <v>22.13</v>
      </c>
      <c r="D308">
        <v>1</v>
      </c>
      <c r="E308" s="7">
        <v>4</v>
      </c>
      <c r="F308" s="7">
        <v>0</v>
      </c>
      <c r="G308" s="7">
        <v>-4</v>
      </c>
      <c r="H308" t="s">
        <v>565</v>
      </c>
    </row>
    <row r="309" spans="1:8" hidden="1" x14ac:dyDescent="0.25">
      <c r="A309" t="s">
        <v>488</v>
      </c>
      <c r="B309" t="s">
        <v>409</v>
      </c>
      <c r="C309">
        <v>22.14</v>
      </c>
      <c r="D309">
        <v>1</v>
      </c>
      <c r="E309" s="7">
        <v>27</v>
      </c>
      <c r="F309" s="7">
        <v>0</v>
      </c>
      <c r="G309" s="7">
        <v>-27</v>
      </c>
      <c r="H309" t="s">
        <v>565</v>
      </c>
    </row>
    <row r="310" spans="1:8" hidden="1" x14ac:dyDescent="0.25">
      <c r="A310" t="s">
        <v>489</v>
      </c>
      <c r="B310" t="s">
        <v>410</v>
      </c>
      <c r="C310">
        <v>23.01</v>
      </c>
      <c r="D310">
        <v>13</v>
      </c>
      <c r="E310" s="7">
        <v>60</v>
      </c>
      <c r="F310" s="7">
        <v>0</v>
      </c>
      <c r="G310" s="7">
        <v>-60</v>
      </c>
      <c r="H310" t="s">
        <v>565</v>
      </c>
    </row>
    <row r="311" spans="1:8" hidden="1" x14ac:dyDescent="0.25">
      <c r="A311" t="s">
        <v>490</v>
      </c>
      <c r="B311" t="s">
        <v>411</v>
      </c>
      <c r="C311">
        <v>23.02</v>
      </c>
      <c r="D311">
        <v>10</v>
      </c>
      <c r="E311" s="7">
        <v>27</v>
      </c>
      <c r="F311" s="7">
        <v>0</v>
      </c>
      <c r="G311" s="7">
        <v>-27</v>
      </c>
      <c r="H311" t="s">
        <v>565</v>
      </c>
    </row>
    <row r="312" spans="1:8" hidden="1" x14ac:dyDescent="0.25">
      <c r="A312" t="s">
        <v>491</v>
      </c>
      <c r="B312" t="s">
        <v>412</v>
      </c>
      <c r="C312">
        <v>23.03</v>
      </c>
      <c r="D312">
        <v>11</v>
      </c>
      <c r="E312" s="7">
        <v>3</v>
      </c>
      <c r="F312" s="7">
        <v>0</v>
      </c>
      <c r="G312" s="7">
        <v>-3</v>
      </c>
      <c r="H312" t="s">
        <v>565</v>
      </c>
    </row>
    <row r="313" spans="1:8" hidden="1" x14ac:dyDescent="0.25">
      <c r="A313" t="s">
        <v>492</v>
      </c>
      <c r="B313" t="s">
        <v>412</v>
      </c>
      <c r="C313">
        <v>23.04</v>
      </c>
      <c r="D313">
        <v>9</v>
      </c>
      <c r="E313" s="7">
        <v>1</v>
      </c>
      <c r="F313" s="7">
        <v>0</v>
      </c>
      <c r="G313" s="7">
        <v>-1</v>
      </c>
      <c r="H313" t="s">
        <v>565</v>
      </c>
    </row>
    <row r="314" spans="1:8" hidden="1" x14ac:dyDescent="0.25">
      <c r="A314" t="s">
        <v>493</v>
      </c>
      <c r="B314" t="s">
        <v>410</v>
      </c>
      <c r="C314">
        <v>23.05</v>
      </c>
      <c r="D314">
        <v>9</v>
      </c>
      <c r="E314" s="7">
        <v>36</v>
      </c>
      <c r="F314" s="7">
        <v>0</v>
      </c>
      <c r="G314" s="7">
        <v>-36</v>
      </c>
      <c r="H314" t="s">
        <v>565</v>
      </c>
    </row>
    <row r="315" spans="1:8" hidden="1" x14ac:dyDescent="0.25">
      <c r="A315" t="s">
        <v>494</v>
      </c>
      <c r="B315" t="s">
        <v>411</v>
      </c>
      <c r="C315">
        <v>23.06</v>
      </c>
      <c r="D315">
        <v>7</v>
      </c>
      <c r="E315" s="7">
        <v>27</v>
      </c>
      <c r="F315" s="7">
        <v>0</v>
      </c>
      <c r="G315" s="7">
        <v>-27</v>
      </c>
      <c r="H315" t="s">
        <v>565</v>
      </c>
    </row>
    <row r="316" spans="1:8" hidden="1" x14ac:dyDescent="0.25">
      <c r="A316" t="s">
        <v>495</v>
      </c>
      <c r="B316" t="s">
        <v>409</v>
      </c>
      <c r="C316">
        <v>23.07</v>
      </c>
      <c r="D316">
        <v>6</v>
      </c>
      <c r="E316" s="7">
        <v>3</v>
      </c>
      <c r="F316" s="7">
        <v>0</v>
      </c>
      <c r="G316" s="7">
        <v>-3</v>
      </c>
      <c r="H316" t="s">
        <v>565</v>
      </c>
    </row>
    <row r="317" spans="1:8" hidden="1" x14ac:dyDescent="0.25">
      <c r="A317" t="s">
        <v>496</v>
      </c>
      <c r="B317" t="s">
        <v>412</v>
      </c>
      <c r="C317">
        <v>23.08</v>
      </c>
      <c r="D317">
        <v>7</v>
      </c>
      <c r="E317" s="7">
        <v>7</v>
      </c>
      <c r="F317" s="7">
        <v>0</v>
      </c>
      <c r="G317" s="7">
        <v>-7</v>
      </c>
      <c r="H317" t="s">
        <v>565</v>
      </c>
    </row>
    <row r="318" spans="1:8" hidden="1" x14ac:dyDescent="0.25">
      <c r="A318" t="s">
        <v>497</v>
      </c>
      <c r="B318" t="s">
        <v>409</v>
      </c>
      <c r="C318">
        <v>23.09</v>
      </c>
      <c r="D318">
        <v>14</v>
      </c>
      <c r="E318" s="7">
        <v>42</v>
      </c>
      <c r="F318" s="7">
        <v>0</v>
      </c>
      <c r="G318" s="7">
        <v>-42</v>
      </c>
      <c r="H318" t="s">
        <v>565</v>
      </c>
    </row>
    <row r="319" spans="1:8" hidden="1" x14ac:dyDescent="0.25">
      <c r="A319" t="s">
        <v>357</v>
      </c>
      <c r="B319" t="s">
        <v>410</v>
      </c>
      <c r="C319">
        <v>23.1</v>
      </c>
      <c r="D319">
        <v>11</v>
      </c>
      <c r="E319" s="7">
        <v>26</v>
      </c>
      <c r="F319" s="7">
        <v>0</v>
      </c>
      <c r="G319" s="7">
        <v>-26</v>
      </c>
      <c r="H319" t="s">
        <v>565</v>
      </c>
    </row>
    <row r="320" spans="1:8" hidden="1" x14ac:dyDescent="0.25">
      <c r="A320" t="s">
        <v>498</v>
      </c>
      <c r="B320" t="s">
        <v>412</v>
      </c>
      <c r="C320">
        <v>23.11</v>
      </c>
      <c r="D320">
        <v>14</v>
      </c>
      <c r="E320" s="7">
        <v>40</v>
      </c>
      <c r="F320" s="7">
        <v>0</v>
      </c>
      <c r="G320" s="7">
        <v>-40</v>
      </c>
      <c r="H320" t="s">
        <v>565</v>
      </c>
    </row>
    <row r="321" spans="1:8" hidden="1" x14ac:dyDescent="0.25">
      <c r="A321" t="s">
        <v>499</v>
      </c>
      <c r="B321" t="s">
        <v>409</v>
      </c>
      <c r="C321">
        <v>23.12</v>
      </c>
      <c r="D321">
        <v>1</v>
      </c>
      <c r="E321" s="7">
        <v>13</v>
      </c>
      <c r="F321" s="7">
        <v>0</v>
      </c>
      <c r="G321" s="7">
        <v>-13</v>
      </c>
      <c r="H321" t="s">
        <v>565</v>
      </c>
    </row>
    <row r="322" spans="1:8" hidden="1" x14ac:dyDescent="0.25">
      <c r="A322" t="s">
        <v>500</v>
      </c>
      <c r="B322" t="s">
        <v>412</v>
      </c>
      <c r="C322">
        <v>23.13</v>
      </c>
      <c r="D322">
        <v>13</v>
      </c>
      <c r="E322" s="7">
        <v>20</v>
      </c>
      <c r="F322" s="7">
        <v>0</v>
      </c>
      <c r="G322" s="7">
        <v>-20</v>
      </c>
      <c r="H322" t="s">
        <v>565</v>
      </c>
    </row>
    <row r="323" spans="1:8" hidden="1" x14ac:dyDescent="0.25">
      <c r="A323" t="s">
        <v>559</v>
      </c>
      <c r="B323" t="s">
        <v>412</v>
      </c>
      <c r="C323">
        <v>23.14</v>
      </c>
      <c r="D323">
        <v>9</v>
      </c>
      <c r="E323" s="7">
        <v>14</v>
      </c>
      <c r="F323" s="7">
        <v>0</v>
      </c>
      <c r="G323" s="7">
        <v>-14</v>
      </c>
      <c r="H323" t="s">
        <v>565</v>
      </c>
    </row>
    <row r="324" spans="1:8" hidden="1" x14ac:dyDescent="0.25">
      <c r="A324" t="s">
        <v>501</v>
      </c>
      <c r="B324" t="s">
        <v>412</v>
      </c>
      <c r="C324">
        <v>24.01</v>
      </c>
      <c r="D324">
        <v>10</v>
      </c>
      <c r="E324" s="7">
        <v>4</v>
      </c>
      <c r="F324" s="7">
        <v>0</v>
      </c>
      <c r="G324" s="7">
        <v>-4</v>
      </c>
      <c r="H324" t="s">
        <v>565</v>
      </c>
    </row>
    <row r="325" spans="1:8" hidden="1" x14ac:dyDescent="0.25">
      <c r="A325" t="s">
        <v>502</v>
      </c>
      <c r="B325" t="s">
        <v>411</v>
      </c>
      <c r="C325">
        <v>24.02</v>
      </c>
      <c r="D325">
        <v>10</v>
      </c>
      <c r="E325" s="7">
        <v>30</v>
      </c>
      <c r="F325" s="7">
        <v>0</v>
      </c>
      <c r="G325" s="7">
        <v>-30</v>
      </c>
      <c r="H325" t="s">
        <v>565</v>
      </c>
    </row>
    <row r="326" spans="1:8" hidden="1" x14ac:dyDescent="0.25">
      <c r="A326" t="s">
        <v>252</v>
      </c>
      <c r="B326" t="s">
        <v>411</v>
      </c>
      <c r="C326">
        <v>24.03</v>
      </c>
      <c r="D326">
        <v>13</v>
      </c>
      <c r="E326" s="7">
        <v>66</v>
      </c>
      <c r="F326" s="7">
        <v>97.4</v>
      </c>
      <c r="G326" s="7">
        <v>31.400000000000006</v>
      </c>
      <c r="H326" t="s">
        <v>565</v>
      </c>
    </row>
    <row r="327" spans="1:8" hidden="1" x14ac:dyDescent="0.25">
      <c r="A327" t="s">
        <v>503</v>
      </c>
      <c r="B327" t="s">
        <v>411</v>
      </c>
      <c r="C327">
        <v>24.04</v>
      </c>
      <c r="D327">
        <v>11</v>
      </c>
      <c r="E327" s="7">
        <v>21</v>
      </c>
      <c r="F327" s="7">
        <v>0</v>
      </c>
      <c r="G327" s="7">
        <v>-21</v>
      </c>
      <c r="H327" t="s">
        <v>565</v>
      </c>
    </row>
    <row r="328" spans="1:8" hidden="1" x14ac:dyDescent="0.25">
      <c r="A328" t="s">
        <v>504</v>
      </c>
      <c r="B328" t="s">
        <v>412</v>
      </c>
      <c r="C328">
        <v>24.05</v>
      </c>
      <c r="D328">
        <v>10</v>
      </c>
      <c r="E328" s="7">
        <v>10</v>
      </c>
      <c r="F328" s="7">
        <v>0</v>
      </c>
      <c r="G328" s="7">
        <v>-10</v>
      </c>
      <c r="H328" t="s">
        <v>565</v>
      </c>
    </row>
    <row r="329" spans="1:8" hidden="1" x14ac:dyDescent="0.25">
      <c r="A329" t="s">
        <v>505</v>
      </c>
      <c r="B329" t="s">
        <v>412</v>
      </c>
      <c r="C329">
        <v>24.06</v>
      </c>
      <c r="D329">
        <v>14</v>
      </c>
      <c r="E329" s="7">
        <v>29</v>
      </c>
      <c r="F329" s="7">
        <v>0</v>
      </c>
      <c r="G329" s="7">
        <v>-29</v>
      </c>
      <c r="H329" t="s">
        <v>565</v>
      </c>
    </row>
    <row r="330" spans="1:8" hidden="1" x14ac:dyDescent="0.25">
      <c r="A330" t="s">
        <v>506</v>
      </c>
      <c r="B330" t="s">
        <v>411</v>
      </c>
      <c r="C330">
        <v>24.07</v>
      </c>
      <c r="D330">
        <v>9</v>
      </c>
      <c r="E330" s="7">
        <v>44</v>
      </c>
      <c r="F330" s="7">
        <v>0</v>
      </c>
      <c r="G330" s="7">
        <v>-44</v>
      </c>
      <c r="H330" t="s">
        <v>565</v>
      </c>
    </row>
    <row r="331" spans="1:8" hidden="1" x14ac:dyDescent="0.25">
      <c r="A331" t="s">
        <v>507</v>
      </c>
      <c r="B331" t="s">
        <v>411</v>
      </c>
      <c r="C331">
        <v>24.08</v>
      </c>
      <c r="D331">
        <v>10</v>
      </c>
      <c r="E331" s="7">
        <v>22</v>
      </c>
      <c r="F331" s="7">
        <v>0</v>
      </c>
      <c r="G331" s="7">
        <v>-22</v>
      </c>
      <c r="H331" t="s">
        <v>565</v>
      </c>
    </row>
    <row r="332" spans="1:8" hidden="1" x14ac:dyDescent="0.25">
      <c r="A332" t="s">
        <v>508</v>
      </c>
      <c r="B332" t="s">
        <v>409</v>
      </c>
      <c r="C332">
        <v>24.09</v>
      </c>
      <c r="D332">
        <v>5</v>
      </c>
      <c r="E332" s="7">
        <v>36</v>
      </c>
      <c r="F332" s="7">
        <v>0</v>
      </c>
      <c r="G332" s="7">
        <v>-36</v>
      </c>
      <c r="H332" t="s">
        <v>565</v>
      </c>
    </row>
    <row r="333" spans="1:8" hidden="1" x14ac:dyDescent="0.25">
      <c r="A333" t="s">
        <v>509</v>
      </c>
      <c r="B333" t="s">
        <v>411</v>
      </c>
      <c r="C333">
        <v>24.1</v>
      </c>
      <c r="D333">
        <v>13</v>
      </c>
      <c r="E333" s="7">
        <v>23</v>
      </c>
      <c r="F333" s="7">
        <v>0</v>
      </c>
      <c r="G333" s="7">
        <v>-23</v>
      </c>
      <c r="H333" t="s">
        <v>565</v>
      </c>
    </row>
    <row r="334" spans="1:8" hidden="1" x14ac:dyDescent="0.25">
      <c r="A334" t="s">
        <v>209</v>
      </c>
      <c r="B334" t="s">
        <v>412</v>
      </c>
      <c r="C334">
        <v>24.11</v>
      </c>
      <c r="D334">
        <v>1</v>
      </c>
      <c r="E334" s="7">
        <v>2</v>
      </c>
      <c r="F334" s="7">
        <v>0</v>
      </c>
      <c r="G334" s="7">
        <v>-2</v>
      </c>
      <c r="H334" t="s">
        <v>565</v>
      </c>
    </row>
    <row r="335" spans="1:8" hidden="1" x14ac:dyDescent="0.25">
      <c r="A335" t="s">
        <v>510</v>
      </c>
      <c r="B335" t="s">
        <v>410</v>
      </c>
      <c r="C335">
        <v>24.12</v>
      </c>
      <c r="D335">
        <v>10</v>
      </c>
      <c r="E335" s="7">
        <v>35</v>
      </c>
      <c r="F335" s="7">
        <v>0</v>
      </c>
      <c r="G335" s="7">
        <v>-35</v>
      </c>
      <c r="H335" t="s">
        <v>565</v>
      </c>
    </row>
    <row r="336" spans="1:8" hidden="1" x14ac:dyDescent="0.25">
      <c r="A336" t="s">
        <v>511</v>
      </c>
      <c r="B336" t="s">
        <v>410</v>
      </c>
      <c r="C336">
        <v>24.13</v>
      </c>
      <c r="D336">
        <v>1</v>
      </c>
      <c r="E336" s="7">
        <v>9</v>
      </c>
      <c r="F336" s="7">
        <v>0</v>
      </c>
      <c r="G336" s="7">
        <v>-9</v>
      </c>
      <c r="H336" t="s">
        <v>565</v>
      </c>
    </row>
    <row r="337" spans="1:8" hidden="1" x14ac:dyDescent="0.25">
      <c r="A337" t="s">
        <v>318</v>
      </c>
      <c r="B337" t="s">
        <v>410</v>
      </c>
      <c r="C337">
        <v>24.14</v>
      </c>
      <c r="D337">
        <v>1</v>
      </c>
      <c r="E337" s="7">
        <v>20</v>
      </c>
      <c r="F337" s="7">
        <v>0</v>
      </c>
      <c r="G337" s="7">
        <v>-20</v>
      </c>
      <c r="H337" t="s">
        <v>565</v>
      </c>
    </row>
    <row r="338" spans="1:8" hidden="1" x14ac:dyDescent="0.25">
      <c r="A338" t="s">
        <v>346</v>
      </c>
      <c r="B338" t="s">
        <v>410</v>
      </c>
      <c r="C338">
        <v>25.01</v>
      </c>
      <c r="D338">
        <v>13</v>
      </c>
      <c r="E338" s="7">
        <v>27</v>
      </c>
      <c r="F338" s="7">
        <v>0</v>
      </c>
      <c r="G338" s="7">
        <v>-27</v>
      </c>
      <c r="H338" t="s">
        <v>565</v>
      </c>
    </row>
    <row r="339" spans="1:8" hidden="1" x14ac:dyDescent="0.25">
      <c r="A339" t="s">
        <v>338</v>
      </c>
      <c r="B339" t="s">
        <v>410</v>
      </c>
      <c r="C339">
        <v>25.02</v>
      </c>
      <c r="D339">
        <v>13</v>
      </c>
      <c r="E339" s="7">
        <v>17</v>
      </c>
      <c r="F339" s="7">
        <v>0</v>
      </c>
      <c r="G339" s="7">
        <v>-17</v>
      </c>
      <c r="H339" t="s">
        <v>565</v>
      </c>
    </row>
    <row r="340" spans="1:8" hidden="1" x14ac:dyDescent="0.25">
      <c r="A340" t="s">
        <v>379</v>
      </c>
      <c r="B340" t="s">
        <v>409</v>
      </c>
      <c r="C340">
        <v>25.03</v>
      </c>
      <c r="D340">
        <v>7</v>
      </c>
      <c r="E340" s="7">
        <v>105</v>
      </c>
      <c r="F340" s="7">
        <v>0</v>
      </c>
      <c r="G340" s="7">
        <v>-105</v>
      </c>
      <c r="H340" t="s">
        <v>565</v>
      </c>
    </row>
    <row r="341" spans="1:8" hidden="1" x14ac:dyDescent="0.25">
      <c r="A341" t="s">
        <v>512</v>
      </c>
      <c r="B341" t="s">
        <v>410</v>
      </c>
      <c r="C341">
        <v>25.04</v>
      </c>
      <c r="D341">
        <v>1</v>
      </c>
      <c r="E341" s="7">
        <v>0</v>
      </c>
      <c r="F341" s="7">
        <v>0</v>
      </c>
      <c r="G341" s="7">
        <v>0</v>
      </c>
      <c r="H341" t="s">
        <v>565</v>
      </c>
    </row>
    <row r="342" spans="1:8" hidden="1" x14ac:dyDescent="0.25">
      <c r="A342" t="s">
        <v>513</v>
      </c>
      <c r="B342" t="s">
        <v>409</v>
      </c>
      <c r="C342">
        <v>25.05</v>
      </c>
      <c r="D342">
        <v>14</v>
      </c>
      <c r="E342" s="7">
        <v>59</v>
      </c>
      <c r="F342" s="7">
        <v>0</v>
      </c>
      <c r="G342" s="7">
        <v>-59</v>
      </c>
      <c r="H342" t="s">
        <v>565</v>
      </c>
    </row>
    <row r="343" spans="1:8" hidden="1" x14ac:dyDescent="0.25">
      <c r="A343" t="s">
        <v>514</v>
      </c>
      <c r="B343" t="s">
        <v>409</v>
      </c>
      <c r="C343">
        <v>25.06</v>
      </c>
      <c r="D343">
        <v>13</v>
      </c>
      <c r="E343" s="7">
        <v>31</v>
      </c>
      <c r="F343" s="7">
        <v>0</v>
      </c>
      <c r="G343" s="7">
        <v>-31</v>
      </c>
      <c r="H343" t="s">
        <v>565</v>
      </c>
    </row>
    <row r="344" spans="1:8" hidden="1" x14ac:dyDescent="0.25">
      <c r="A344" t="s">
        <v>515</v>
      </c>
      <c r="B344" t="s">
        <v>409</v>
      </c>
      <c r="C344">
        <v>25.07</v>
      </c>
      <c r="D344">
        <v>10</v>
      </c>
      <c r="E344" s="7">
        <v>0</v>
      </c>
      <c r="F344" s="7">
        <v>0</v>
      </c>
      <c r="G344" s="7">
        <v>0</v>
      </c>
      <c r="H344" t="s">
        <v>565</v>
      </c>
    </row>
    <row r="345" spans="1:8" hidden="1" x14ac:dyDescent="0.25">
      <c r="A345" t="s">
        <v>516</v>
      </c>
      <c r="B345" t="s">
        <v>412</v>
      </c>
      <c r="C345">
        <v>25.08</v>
      </c>
      <c r="D345">
        <v>9</v>
      </c>
      <c r="E345" s="7">
        <v>7</v>
      </c>
      <c r="F345" s="7">
        <v>0</v>
      </c>
      <c r="G345" s="7">
        <v>-7</v>
      </c>
      <c r="H345" t="s">
        <v>565</v>
      </c>
    </row>
    <row r="346" spans="1:8" hidden="1" x14ac:dyDescent="0.25">
      <c r="A346" t="s">
        <v>517</v>
      </c>
      <c r="B346" t="s">
        <v>409</v>
      </c>
      <c r="C346">
        <v>25.09</v>
      </c>
      <c r="D346">
        <v>1</v>
      </c>
      <c r="E346" s="7">
        <v>54</v>
      </c>
      <c r="F346" s="7">
        <v>0</v>
      </c>
      <c r="G346" s="7">
        <v>-54</v>
      </c>
      <c r="H346" t="s">
        <v>565</v>
      </c>
    </row>
    <row r="347" spans="1:8" hidden="1" x14ac:dyDescent="0.25">
      <c r="A347" t="s">
        <v>518</v>
      </c>
      <c r="B347" t="s">
        <v>409</v>
      </c>
      <c r="C347">
        <v>25.1</v>
      </c>
      <c r="D347">
        <v>1</v>
      </c>
      <c r="E347" s="7">
        <v>4</v>
      </c>
      <c r="F347" s="7">
        <v>0</v>
      </c>
      <c r="G347" s="7">
        <v>-4</v>
      </c>
      <c r="H347" t="s">
        <v>565</v>
      </c>
    </row>
    <row r="348" spans="1:8" hidden="1" x14ac:dyDescent="0.25">
      <c r="A348" t="s">
        <v>519</v>
      </c>
      <c r="B348" t="s">
        <v>412</v>
      </c>
      <c r="C348">
        <v>25.11</v>
      </c>
      <c r="D348">
        <v>1</v>
      </c>
      <c r="E348" s="7">
        <v>0</v>
      </c>
      <c r="F348" s="7">
        <v>0</v>
      </c>
      <c r="G348" s="7">
        <v>0</v>
      </c>
      <c r="H348" t="s">
        <v>565</v>
      </c>
    </row>
    <row r="349" spans="1:8" hidden="1" x14ac:dyDescent="0.25">
      <c r="A349" t="s">
        <v>272</v>
      </c>
      <c r="B349" t="s">
        <v>411</v>
      </c>
      <c r="C349">
        <v>25.12</v>
      </c>
      <c r="D349">
        <v>1</v>
      </c>
      <c r="E349" s="7">
        <v>7</v>
      </c>
      <c r="F349" s="7">
        <v>87.125</v>
      </c>
      <c r="G349" s="7">
        <v>80.125</v>
      </c>
      <c r="H349" t="s">
        <v>565</v>
      </c>
    </row>
    <row r="350" spans="1:8" hidden="1" x14ac:dyDescent="0.25">
      <c r="A350" t="s">
        <v>520</v>
      </c>
      <c r="B350" t="s">
        <v>411</v>
      </c>
      <c r="C350">
        <v>25.13</v>
      </c>
      <c r="D350">
        <v>14</v>
      </c>
      <c r="E350" s="7">
        <v>47</v>
      </c>
      <c r="F350" s="7">
        <v>0</v>
      </c>
      <c r="G350" s="7">
        <v>-47</v>
      </c>
      <c r="H350" t="s">
        <v>565</v>
      </c>
    </row>
    <row r="351" spans="1:8" hidden="1" x14ac:dyDescent="0.25">
      <c r="A351" t="s">
        <v>521</v>
      </c>
      <c r="B351" t="s">
        <v>412</v>
      </c>
      <c r="C351">
        <v>25.14</v>
      </c>
      <c r="D351">
        <v>10</v>
      </c>
      <c r="E351" s="7">
        <v>14</v>
      </c>
      <c r="F351" s="7">
        <v>0</v>
      </c>
      <c r="G351" s="7">
        <v>-14</v>
      </c>
      <c r="H351" t="s">
        <v>565</v>
      </c>
    </row>
    <row r="352" spans="1:8" hidden="1" x14ac:dyDescent="0.25">
      <c r="A352" t="s">
        <v>522</v>
      </c>
      <c r="B352" t="s">
        <v>410</v>
      </c>
      <c r="C352">
        <v>26.01</v>
      </c>
      <c r="D352">
        <v>11</v>
      </c>
      <c r="E352" s="7">
        <v>11</v>
      </c>
      <c r="F352" s="7">
        <v>0</v>
      </c>
      <c r="G352" s="7">
        <v>-11</v>
      </c>
      <c r="H352" t="s">
        <v>565</v>
      </c>
    </row>
    <row r="353" spans="1:8" hidden="1" x14ac:dyDescent="0.25">
      <c r="A353" t="s">
        <v>523</v>
      </c>
      <c r="B353" t="s">
        <v>410</v>
      </c>
      <c r="C353">
        <v>26.02</v>
      </c>
      <c r="D353">
        <v>5</v>
      </c>
      <c r="E353" s="7">
        <v>13</v>
      </c>
      <c r="F353" s="7">
        <v>0</v>
      </c>
      <c r="G353" s="7">
        <v>-13</v>
      </c>
      <c r="H353" t="s">
        <v>565</v>
      </c>
    </row>
    <row r="354" spans="1:8" hidden="1" x14ac:dyDescent="0.25">
      <c r="A354" t="s">
        <v>309</v>
      </c>
      <c r="B354" t="s">
        <v>412</v>
      </c>
      <c r="C354">
        <v>26.03</v>
      </c>
      <c r="D354">
        <v>1</v>
      </c>
      <c r="E354" s="7">
        <v>5</v>
      </c>
      <c r="F354" s="7">
        <v>0</v>
      </c>
      <c r="G354" s="7">
        <v>-5</v>
      </c>
      <c r="H354" t="s">
        <v>565</v>
      </c>
    </row>
    <row r="355" spans="1:8" hidden="1" x14ac:dyDescent="0.25">
      <c r="A355" t="s">
        <v>212</v>
      </c>
      <c r="B355" t="s">
        <v>412</v>
      </c>
      <c r="C355">
        <v>26.04</v>
      </c>
      <c r="D355">
        <v>11</v>
      </c>
      <c r="E355" s="7">
        <v>30</v>
      </c>
      <c r="F355" s="7">
        <v>0</v>
      </c>
      <c r="G355" s="7">
        <v>-30</v>
      </c>
      <c r="H355" t="s">
        <v>565</v>
      </c>
    </row>
    <row r="356" spans="1:8" hidden="1" x14ac:dyDescent="0.25">
      <c r="A356" t="s">
        <v>524</v>
      </c>
      <c r="B356" t="s">
        <v>410</v>
      </c>
      <c r="C356">
        <v>26.05</v>
      </c>
      <c r="D356">
        <v>11</v>
      </c>
      <c r="E356" s="7">
        <v>6</v>
      </c>
      <c r="F356" s="7">
        <v>0</v>
      </c>
      <c r="G356" s="7">
        <v>-6</v>
      </c>
      <c r="H356" t="s">
        <v>565</v>
      </c>
    </row>
    <row r="357" spans="1:8" hidden="1" x14ac:dyDescent="0.25">
      <c r="A357" t="s">
        <v>525</v>
      </c>
      <c r="B357" t="s">
        <v>409</v>
      </c>
      <c r="C357">
        <v>26.06</v>
      </c>
      <c r="D357">
        <v>11</v>
      </c>
      <c r="E357" s="7">
        <v>58</v>
      </c>
      <c r="F357" s="7">
        <v>0</v>
      </c>
      <c r="G357" s="7">
        <v>-58</v>
      </c>
      <c r="H357" t="s">
        <v>565</v>
      </c>
    </row>
    <row r="358" spans="1:8" hidden="1" x14ac:dyDescent="0.25">
      <c r="A358" t="s">
        <v>366</v>
      </c>
      <c r="B358" t="s">
        <v>409</v>
      </c>
      <c r="C358">
        <v>26.07</v>
      </c>
      <c r="D358">
        <v>11</v>
      </c>
      <c r="E358" s="7">
        <v>61</v>
      </c>
      <c r="F358" s="7">
        <v>0</v>
      </c>
      <c r="G358" s="7">
        <v>-61</v>
      </c>
      <c r="H358" t="s">
        <v>565</v>
      </c>
    </row>
    <row r="359" spans="1:8" hidden="1" x14ac:dyDescent="0.25">
      <c r="A359" t="s">
        <v>526</v>
      </c>
      <c r="B359" t="s">
        <v>410</v>
      </c>
      <c r="C359">
        <v>26.08</v>
      </c>
      <c r="D359">
        <v>5</v>
      </c>
      <c r="E359" s="7">
        <v>25</v>
      </c>
      <c r="F359" s="7">
        <v>0</v>
      </c>
      <c r="G359" s="7">
        <v>-25</v>
      </c>
      <c r="H359" t="s">
        <v>565</v>
      </c>
    </row>
    <row r="360" spans="1:8" hidden="1" x14ac:dyDescent="0.25">
      <c r="A360" t="s">
        <v>527</v>
      </c>
      <c r="B360" t="s">
        <v>410</v>
      </c>
      <c r="C360">
        <v>26.09</v>
      </c>
      <c r="D360">
        <v>13</v>
      </c>
      <c r="E360" s="7">
        <v>48</v>
      </c>
      <c r="F360" s="7">
        <v>0</v>
      </c>
      <c r="G360" s="7">
        <v>-48</v>
      </c>
      <c r="H360" t="s">
        <v>565</v>
      </c>
    </row>
    <row r="361" spans="1:8" hidden="1" x14ac:dyDescent="0.25">
      <c r="A361" t="s">
        <v>528</v>
      </c>
      <c r="B361" t="s">
        <v>412</v>
      </c>
      <c r="C361">
        <v>26.1</v>
      </c>
      <c r="D361">
        <v>1</v>
      </c>
      <c r="E361" s="7">
        <v>0</v>
      </c>
      <c r="F361" s="7">
        <v>0</v>
      </c>
      <c r="G361" s="7">
        <v>0</v>
      </c>
      <c r="H361" t="s">
        <v>565</v>
      </c>
    </row>
    <row r="362" spans="1:8" hidden="1" x14ac:dyDescent="0.25">
      <c r="A362" t="s">
        <v>529</v>
      </c>
      <c r="B362" t="s">
        <v>411</v>
      </c>
      <c r="C362">
        <v>26.11</v>
      </c>
      <c r="D362">
        <v>1</v>
      </c>
      <c r="E362" s="7">
        <v>15</v>
      </c>
      <c r="F362" s="7">
        <v>0</v>
      </c>
      <c r="G362" s="7">
        <v>-15</v>
      </c>
      <c r="H362" t="s">
        <v>565</v>
      </c>
    </row>
    <row r="363" spans="1:8" hidden="1" x14ac:dyDescent="0.25">
      <c r="A363" t="s">
        <v>530</v>
      </c>
      <c r="B363" t="s">
        <v>411</v>
      </c>
      <c r="C363">
        <v>26.12</v>
      </c>
      <c r="D363">
        <v>7</v>
      </c>
      <c r="E363" s="7">
        <v>13</v>
      </c>
      <c r="F363" s="7">
        <v>0</v>
      </c>
      <c r="G363" s="7">
        <v>-13</v>
      </c>
      <c r="H363" t="s">
        <v>565</v>
      </c>
    </row>
    <row r="364" spans="1:8" hidden="1" x14ac:dyDescent="0.25">
      <c r="A364" t="s">
        <v>531</v>
      </c>
      <c r="B364" t="s">
        <v>411</v>
      </c>
      <c r="C364">
        <v>26.13</v>
      </c>
      <c r="D364">
        <v>6</v>
      </c>
      <c r="E364" s="7">
        <v>43</v>
      </c>
      <c r="F364" s="7">
        <v>0</v>
      </c>
      <c r="G364" s="7">
        <v>-43</v>
      </c>
      <c r="H364" t="s">
        <v>565</v>
      </c>
    </row>
    <row r="365" spans="1:8" hidden="1" x14ac:dyDescent="0.25">
      <c r="A365" t="s">
        <v>532</v>
      </c>
      <c r="B365" t="s">
        <v>412</v>
      </c>
      <c r="C365">
        <v>26.14</v>
      </c>
      <c r="D365">
        <v>10</v>
      </c>
      <c r="E365" s="7">
        <v>18</v>
      </c>
      <c r="F365" s="7">
        <v>0</v>
      </c>
      <c r="G365" s="7">
        <v>-18</v>
      </c>
      <c r="H365" t="s">
        <v>565</v>
      </c>
    </row>
    <row r="366" spans="1:8" hidden="1" x14ac:dyDescent="0.25">
      <c r="A366" t="s">
        <v>533</v>
      </c>
      <c r="B366" t="s">
        <v>409</v>
      </c>
      <c r="C366">
        <v>27.01</v>
      </c>
      <c r="D366">
        <v>11</v>
      </c>
      <c r="E366" s="7">
        <v>31</v>
      </c>
      <c r="F366" s="7">
        <v>0</v>
      </c>
      <c r="G366" s="7">
        <v>-31</v>
      </c>
      <c r="H366" t="s">
        <v>565</v>
      </c>
    </row>
    <row r="367" spans="1:8" hidden="1" x14ac:dyDescent="0.25">
      <c r="A367" t="s">
        <v>534</v>
      </c>
      <c r="B367" t="s">
        <v>410</v>
      </c>
      <c r="C367">
        <v>27.02</v>
      </c>
      <c r="D367">
        <v>5</v>
      </c>
      <c r="E367" s="7">
        <v>0</v>
      </c>
      <c r="F367" s="7">
        <v>0</v>
      </c>
      <c r="G367" s="7">
        <v>0</v>
      </c>
      <c r="H367" t="s">
        <v>565</v>
      </c>
    </row>
    <row r="368" spans="1:8" hidden="1" x14ac:dyDescent="0.25">
      <c r="A368" t="s">
        <v>329</v>
      </c>
      <c r="B368" t="s">
        <v>410</v>
      </c>
      <c r="C368">
        <v>27.03</v>
      </c>
      <c r="D368">
        <v>13</v>
      </c>
      <c r="E368" s="7">
        <v>56</v>
      </c>
      <c r="F368" s="7">
        <v>0</v>
      </c>
      <c r="G368" s="7">
        <v>-56</v>
      </c>
      <c r="H368" t="s">
        <v>565</v>
      </c>
    </row>
    <row r="369" spans="1:8" hidden="1" x14ac:dyDescent="0.25">
      <c r="A369" t="s">
        <v>535</v>
      </c>
      <c r="B369" t="s">
        <v>412</v>
      </c>
      <c r="C369">
        <v>27.04</v>
      </c>
      <c r="D369">
        <v>5</v>
      </c>
      <c r="E369" s="7">
        <v>13</v>
      </c>
      <c r="F369" s="7">
        <v>0</v>
      </c>
      <c r="G369" s="7">
        <v>-13</v>
      </c>
      <c r="H369" t="s">
        <v>565</v>
      </c>
    </row>
    <row r="370" spans="1:8" hidden="1" x14ac:dyDescent="0.25">
      <c r="A370" t="s">
        <v>536</v>
      </c>
      <c r="B370" t="s">
        <v>409</v>
      </c>
      <c r="C370">
        <v>27.05</v>
      </c>
      <c r="D370">
        <v>7</v>
      </c>
      <c r="E370" s="7">
        <v>57</v>
      </c>
      <c r="F370" s="7">
        <v>0</v>
      </c>
      <c r="G370" s="7">
        <v>-57</v>
      </c>
      <c r="H370" t="s">
        <v>565</v>
      </c>
    </row>
    <row r="371" spans="1:8" hidden="1" x14ac:dyDescent="0.25">
      <c r="A371" t="s">
        <v>537</v>
      </c>
      <c r="B371" t="s">
        <v>411</v>
      </c>
      <c r="C371">
        <v>27.06</v>
      </c>
      <c r="D371">
        <v>1</v>
      </c>
      <c r="E371" s="7">
        <v>0</v>
      </c>
      <c r="F371" s="7">
        <v>0</v>
      </c>
      <c r="G371" s="7">
        <v>0</v>
      </c>
      <c r="H371" t="s">
        <v>565</v>
      </c>
    </row>
    <row r="372" spans="1:8" hidden="1" x14ac:dyDescent="0.25">
      <c r="A372" t="s">
        <v>377</v>
      </c>
      <c r="B372" t="s">
        <v>409</v>
      </c>
      <c r="C372">
        <v>27.07</v>
      </c>
      <c r="D372">
        <v>7</v>
      </c>
      <c r="E372" s="7">
        <v>51</v>
      </c>
      <c r="F372" s="7">
        <v>0</v>
      </c>
      <c r="G372" s="7">
        <v>-51</v>
      </c>
      <c r="H372" t="s">
        <v>565</v>
      </c>
    </row>
    <row r="373" spans="1:8" hidden="1" x14ac:dyDescent="0.25">
      <c r="A373" t="s">
        <v>396</v>
      </c>
      <c r="B373" t="s">
        <v>409</v>
      </c>
      <c r="C373">
        <v>27.08</v>
      </c>
      <c r="D373">
        <v>9</v>
      </c>
      <c r="E373" s="7">
        <v>70</v>
      </c>
      <c r="F373" s="7">
        <v>0</v>
      </c>
      <c r="G373" s="7">
        <v>-70</v>
      </c>
      <c r="H373" t="s">
        <v>565</v>
      </c>
    </row>
    <row r="374" spans="1:8" hidden="1" x14ac:dyDescent="0.25">
      <c r="A374" t="s">
        <v>538</v>
      </c>
      <c r="B374" t="s">
        <v>409</v>
      </c>
      <c r="C374">
        <v>27.09</v>
      </c>
      <c r="D374">
        <v>1</v>
      </c>
      <c r="E374" s="7">
        <v>17</v>
      </c>
      <c r="F374" s="7">
        <v>0</v>
      </c>
      <c r="G374" s="7">
        <v>-17</v>
      </c>
      <c r="H374" t="s">
        <v>565</v>
      </c>
    </row>
    <row r="375" spans="1:8" hidden="1" x14ac:dyDescent="0.25">
      <c r="A375" t="s">
        <v>539</v>
      </c>
      <c r="B375" t="s">
        <v>410</v>
      </c>
      <c r="C375">
        <v>27.1</v>
      </c>
      <c r="D375">
        <v>1</v>
      </c>
      <c r="E375" s="7">
        <v>18</v>
      </c>
      <c r="F375" s="7">
        <v>0</v>
      </c>
      <c r="G375" s="7">
        <v>-18</v>
      </c>
      <c r="H375" t="s">
        <v>565</v>
      </c>
    </row>
    <row r="376" spans="1:8" hidden="1" x14ac:dyDescent="0.25">
      <c r="A376" t="s">
        <v>540</v>
      </c>
      <c r="B376" t="s">
        <v>412</v>
      </c>
      <c r="C376">
        <v>27.11</v>
      </c>
      <c r="D376">
        <v>13</v>
      </c>
      <c r="E376" s="7">
        <v>15</v>
      </c>
      <c r="F376" s="7">
        <v>0</v>
      </c>
      <c r="G376" s="7">
        <v>-15</v>
      </c>
      <c r="H376" t="s">
        <v>565</v>
      </c>
    </row>
    <row r="377" spans="1:8" hidden="1" x14ac:dyDescent="0.25">
      <c r="A377" t="s">
        <v>541</v>
      </c>
      <c r="B377" t="s">
        <v>412</v>
      </c>
      <c r="C377">
        <v>27.12</v>
      </c>
      <c r="D377">
        <v>1</v>
      </c>
      <c r="E377" s="7">
        <v>0</v>
      </c>
      <c r="F377" s="7">
        <v>0</v>
      </c>
      <c r="G377" s="7">
        <v>0</v>
      </c>
      <c r="H377" t="s">
        <v>565</v>
      </c>
    </row>
    <row r="378" spans="1:8" hidden="1" x14ac:dyDescent="0.25">
      <c r="A378" t="s">
        <v>542</v>
      </c>
      <c r="B378" t="s">
        <v>409</v>
      </c>
      <c r="C378">
        <v>27.13</v>
      </c>
      <c r="D378">
        <v>13</v>
      </c>
      <c r="E378" s="7">
        <v>24</v>
      </c>
      <c r="F378" s="7">
        <v>0</v>
      </c>
      <c r="G378" s="7">
        <v>-24</v>
      </c>
      <c r="H378" t="s">
        <v>565</v>
      </c>
    </row>
    <row r="379" spans="1:8" hidden="1" x14ac:dyDescent="0.25">
      <c r="A379" t="s">
        <v>369</v>
      </c>
      <c r="B379" t="s">
        <v>409</v>
      </c>
      <c r="C379">
        <v>27.14</v>
      </c>
      <c r="D379">
        <v>5</v>
      </c>
      <c r="E379" s="7">
        <v>120</v>
      </c>
      <c r="F379" s="7">
        <v>0</v>
      </c>
      <c r="G379" s="7">
        <v>-120</v>
      </c>
      <c r="H379" t="s">
        <v>565</v>
      </c>
    </row>
    <row r="380" spans="1:8" hidden="1" x14ac:dyDescent="0.25">
      <c r="A380" t="s">
        <v>213</v>
      </c>
      <c r="B380" t="s">
        <v>412</v>
      </c>
      <c r="C380">
        <v>28.01</v>
      </c>
      <c r="D380">
        <v>1</v>
      </c>
      <c r="E380" s="7">
        <v>26</v>
      </c>
      <c r="F380" s="7">
        <v>0</v>
      </c>
      <c r="G380" s="7">
        <v>-26</v>
      </c>
      <c r="H380" t="s">
        <v>565</v>
      </c>
    </row>
    <row r="381" spans="1:8" hidden="1" x14ac:dyDescent="0.25">
      <c r="A381" t="s">
        <v>543</v>
      </c>
      <c r="B381" t="s">
        <v>410</v>
      </c>
      <c r="C381">
        <v>28.02</v>
      </c>
      <c r="D381">
        <v>1</v>
      </c>
      <c r="E381" s="7">
        <v>0</v>
      </c>
      <c r="F381" s="7">
        <v>0</v>
      </c>
      <c r="G381" s="7">
        <v>0</v>
      </c>
      <c r="H381" t="s">
        <v>565</v>
      </c>
    </row>
    <row r="382" spans="1:8" hidden="1" x14ac:dyDescent="0.25">
      <c r="A382" t="s">
        <v>544</v>
      </c>
      <c r="B382" t="s">
        <v>409</v>
      </c>
      <c r="C382">
        <v>28.03</v>
      </c>
      <c r="D382">
        <v>1</v>
      </c>
      <c r="E382" s="7">
        <v>17</v>
      </c>
      <c r="F382" s="7">
        <v>0</v>
      </c>
      <c r="G382" s="7">
        <v>-17</v>
      </c>
      <c r="H382" t="s">
        <v>565</v>
      </c>
    </row>
    <row r="383" spans="1:8" hidden="1" x14ac:dyDescent="0.25">
      <c r="A383" t="s">
        <v>545</v>
      </c>
      <c r="B383" t="s">
        <v>411</v>
      </c>
      <c r="C383">
        <v>28.04</v>
      </c>
      <c r="D383">
        <v>5</v>
      </c>
      <c r="E383" s="7">
        <v>19</v>
      </c>
      <c r="F383" s="7">
        <v>0</v>
      </c>
      <c r="G383" s="7">
        <v>-19</v>
      </c>
      <c r="H383" t="s">
        <v>565</v>
      </c>
    </row>
    <row r="384" spans="1:8" hidden="1" x14ac:dyDescent="0.25">
      <c r="A384" t="s">
        <v>336</v>
      </c>
      <c r="B384" t="s">
        <v>410</v>
      </c>
      <c r="C384">
        <v>28.05</v>
      </c>
      <c r="D384">
        <v>9</v>
      </c>
      <c r="E384" s="7">
        <v>43</v>
      </c>
      <c r="F384" s="7">
        <v>0</v>
      </c>
      <c r="G384" s="7">
        <v>-43</v>
      </c>
      <c r="H384" t="s">
        <v>565</v>
      </c>
    </row>
    <row r="385" spans="1:8" hidden="1" x14ac:dyDescent="0.25">
      <c r="A385" t="s">
        <v>224</v>
      </c>
      <c r="B385" t="s">
        <v>412</v>
      </c>
      <c r="C385">
        <v>28.06</v>
      </c>
      <c r="D385">
        <v>9</v>
      </c>
      <c r="E385" s="7">
        <v>15</v>
      </c>
      <c r="F385" s="7">
        <v>0</v>
      </c>
      <c r="G385" s="7">
        <v>-15</v>
      </c>
      <c r="H385" t="s">
        <v>565</v>
      </c>
    </row>
    <row r="386" spans="1:8" hidden="1" x14ac:dyDescent="0.25">
      <c r="A386" t="s">
        <v>546</v>
      </c>
      <c r="B386" t="s">
        <v>410</v>
      </c>
      <c r="C386">
        <v>28.07</v>
      </c>
      <c r="D386">
        <v>6</v>
      </c>
      <c r="E386" s="7">
        <v>0</v>
      </c>
      <c r="F386" s="7">
        <v>0</v>
      </c>
      <c r="G386" s="7">
        <v>0</v>
      </c>
      <c r="H386" t="s">
        <v>565</v>
      </c>
    </row>
    <row r="387" spans="1:8" hidden="1" x14ac:dyDescent="0.25">
      <c r="A387" t="s">
        <v>401</v>
      </c>
      <c r="B387" t="s">
        <v>409</v>
      </c>
      <c r="C387">
        <v>28.08</v>
      </c>
      <c r="D387">
        <v>9</v>
      </c>
      <c r="E387" s="7">
        <v>64</v>
      </c>
      <c r="F387" s="7">
        <v>0</v>
      </c>
      <c r="G387" s="7">
        <v>-64</v>
      </c>
      <c r="H387" t="s">
        <v>565</v>
      </c>
    </row>
    <row r="388" spans="1:8" hidden="1" x14ac:dyDescent="0.25">
      <c r="A388" t="s">
        <v>547</v>
      </c>
      <c r="B388" t="s">
        <v>411</v>
      </c>
      <c r="C388">
        <v>28.09</v>
      </c>
      <c r="D388">
        <v>10</v>
      </c>
      <c r="E388" s="7">
        <v>25</v>
      </c>
      <c r="F388" s="7">
        <v>0</v>
      </c>
      <c r="G388" s="7">
        <v>-25</v>
      </c>
      <c r="H388" t="s">
        <v>565</v>
      </c>
    </row>
    <row r="389" spans="1:8" hidden="1" x14ac:dyDescent="0.25">
      <c r="A389" t="s">
        <v>349</v>
      </c>
      <c r="B389" t="s">
        <v>410</v>
      </c>
      <c r="C389">
        <v>28.1</v>
      </c>
      <c r="D389">
        <v>1</v>
      </c>
      <c r="E389" s="7">
        <v>42</v>
      </c>
      <c r="F389" s="7">
        <v>0</v>
      </c>
      <c r="G389" s="7">
        <v>-42</v>
      </c>
      <c r="H389" t="s">
        <v>565</v>
      </c>
    </row>
    <row r="390" spans="1:8" hidden="1" x14ac:dyDescent="0.25">
      <c r="A390" t="s">
        <v>548</v>
      </c>
      <c r="B390" t="s">
        <v>410</v>
      </c>
      <c r="C390">
        <v>28.11</v>
      </c>
      <c r="D390">
        <v>11</v>
      </c>
      <c r="E390" s="7">
        <v>4</v>
      </c>
      <c r="F390" s="7">
        <v>0</v>
      </c>
      <c r="G390" s="7">
        <v>-4</v>
      </c>
      <c r="H390" t="s">
        <v>565</v>
      </c>
    </row>
    <row r="391" spans="1:8" hidden="1" x14ac:dyDescent="0.25">
      <c r="A391" t="s">
        <v>549</v>
      </c>
      <c r="B391" t="s">
        <v>410</v>
      </c>
      <c r="C391">
        <v>28.12</v>
      </c>
      <c r="D391">
        <v>13</v>
      </c>
      <c r="E391" s="7">
        <v>53</v>
      </c>
      <c r="F391" s="7">
        <v>0</v>
      </c>
      <c r="G391" s="7">
        <v>-53</v>
      </c>
      <c r="H391" t="s">
        <v>565</v>
      </c>
    </row>
    <row r="392" spans="1:8" hidden="1" x14ac:dyDescent="0.25">
      <c r="A392" t="s">
        <v>220</v>
      </c>
      <c r="B392" t="s">
        <v>412</v>
      </c>
      <c r="C392">
        <v>28.13</v>
      </c>
      <c r="D392">
        <v>13</v>
      </c>
      <c r="E392" s="7">
        <v>22</v>
      </c>
      <c r="F392" s="7">
        <v>0</v>
      </c>
      <c r="G392" s="7">
        <v>-22</v>
      </c>
      <c r="H392" t="s">
        <v>565</v>
      </c>
    </row>
    <row r="393" spans="1:8" hidden="1" x14ac:dyDescent="0.25">
      <c r="A393" t="s">
        <v>550</v>
      </c>
      <c r="B393" t="s">
        <v>412</v>
      </c>
      <c r="C393">
        <v>28.14</v>
      </c>
      <c r="D393">
        <v>13</v>
      </c>
      <c r="E393" s="7">
        <v>13</v>
      </c>
      <c r="F393" s="7">
        <v>0</v>
      </c>
      <c r="G393" s="7">
        <v>-13</v>
      </c>
      <c r="H393" t="s">
        <v>565</v>
      </c>
    </row>
    <row r="394" spans="1:8" hidden="1" x14ac:dyDescent="0.25">
      <c r="A394" t="s">
        <v>551</v>
      </c>
      <c r="B394" t="s">
        <v>409</v>
      </c>
      <c r="C394">
        <v>29.01</v>
      </c>
      <c r="D394">
        <v>11</v>
      </c>
      <c r="E394" s="7">
        <v>7</v>
      </c>
      <c r="F394" s="7">
        <v>0</v>
      </c>
      <c r="G394" s="7">
        <v>-7</v>
      </c>
      <c r="H394" t="s">
        <v>565</v>
      </c>
    </row>
    <row r="395" spans="1:8" hidden="1" x14ac:dyDescent="0.25">
      <c r="A395" t="s">
        <v>560</v>
      </c>
      <c r="B395" t="s">
        <v>409</v>
      </c>
      <c r="C395">
        <v>29.02</v>
      </c>
      <c r="D395">
        <v>13</v>
      </c>
      <c r="E395" s="7">
        <v>31</v>
      </c>
      <c r="F395" s="7">
        <v>0</v>
      </c>
      <c r="G395" s="7">
        <v>-31</v>
      </c>
      <c r="H395" t="s">
        <v>565</v>
      </c>
    </row>
    <row r="396" spans="1:8" hidden="1" x14ac:dyDescent="0.25">
      <c r="A396" t="s">
        <v>552</v>
      </c>
      <c r="B396" t="s">
        <v>410</v>
      </c>
      <c r="C396">
        <v>29.03</v>
      </c>
      <c r="D396">
        <v>7</v>
      </c>
      <c r="E396" s="7">
        <v>0</v>
      </c>
      <c r="F396" s="7">
        <v>0</v>
      </c>
      <c r="G396" s="7">
        <v>0</v>
      </c>
      <c r="H396" t="s">
        <v>565</v>
      </c>
    </row>
    <row r="397" spans="1:8" hidden="1" x14ac:dyDescent="0.25">
      <c r="A397" t="s">
        <v>553</v>
      </c>
      <c r="B397" t="s">
        <v>409</v>
      </c>
      <c r="C397">
        <v>29.04</v>
      </c>
      <c r="D397">
        <v>10</v>
      </c>
      <c r="E397" s="7">
        <v>54</v>
      </c>
      <c r="F397" s="7">
        <v>0</v>
      </c>
      <c r="G397" s="7">
        <v>-54</v>
      </c>
      <c r="H397" t="s">
        <v>565</v>
      </c>
    </row>
    <row r="398" spans="1:8" hidden="1" x14ac:dyDescent="0.25">
      <c r="A398" t="s">
        <v>554</v>
      </c>
      <c r="B398" t="s">
        <v>409</v>
      </c>
      <c r="C398">
        <v>29.05</v>
      </c>
      <c r="D398">
        <v>11</v>
      </c>
      <c r="E398" s="7">
        <v>20</v>
      </c>
      <c r="F398" s="7">
        <v>0</v>
      </c>
      <c r="G398" s="7">
        <v>-20</v>
      </c>
      <c r="H398" t="s">
        <v>565</v>
      </c>
    </row>
    <row r="399" spans="1:8" hidden="1" x14ac:dyDescent="0.25">
      <c r="A399" t="s">
        <v>332</v>
      </c>
      <c r="B399" t="s">
        <v>410</v>
      </c>
      <c r="C399">
        <v>29.06</v>
      </c>
      <c r="D399">
        <v>7</v>
      </c>
      <c r="E399" s="7">
        <v>50</v>
      </c>
      <c r="F399" s="7">
        <v>0</v>
      </c>
      <c r="G399" s="7">
        <v>-50</v>
      </c>
      <c r="H399" t="s">
        <v>565</v>
      </c>
    </row>
    <row r="400" spans="1:8" hidden="1" x14ac:dyDescent="0.25">
      <c r="A400" t="s">
        <v>555</v>
      </c>
      <c r="B400" t="s">
        <v>411</v>
      </c>
      <c r="C400">
        <v>29.07</v>
      </c>
      <c r="D400">
        <v>14</v>
      </c>
      <c r="E400" s="7">
        <v>24</v>
      </c>
      <c r="F400" s="7">
        <v>0</v>
      </c>
      <c r="G400" s="7">
        <v>-24</v>
      </c>
      <c r="H400" t="s">
        <v>565</v>
      </c>
    </row>
    <row r="401" spans="1:8" hidden="1" x14ac:dyDescent="0.25">
      <c r="A401" t="s">
        <v>395</v>
      </c>
      <c r="B401" t="s">
        <v>409</v>
      </c>
      <c r="C401">
        <v>29.08</v>
      </c>
      <c r="D401">
        <v>7</v>
      </c>
      <c r="E401" s="7">
        <v>97</v>
      </c>
      <c r="F401" s="7">
        <v>0</v>
      </c>
      <c r="G401" s="7">
        <v>-97</v>
      </c>
      <c r="H401" t="s">
        <v>565</v>
      </c>
    </row>
    <row r="402" spans="1:8" hidden="1" x14ac:dyDescent="0.25">
      <c r="A402" t="s">
        <v>556</v>
      </c>
      <c r="B402" t="s">
        <v>409</v>
      </c>
      <c r="C402">
        <v>29.09</v>
      </c>
      <c r="D402">
        <v>1</v>
      </c>
      <c r="E402" s="7">
        <v>18</v>
      </c>
      <c r="F402" s="7">
        <v>0</v>
      </c>
      <c r="G402" s="7">
        <v>-18</v>
      </c>
      <c r="H402" t="s">
        <v>565</v>
      </c>
    </row>
  </sheetData>
  <autoFilter ref="A1:H402" xr:uid="{FE5BB148-8B64-4F94-B8EB-5049945383C2}">
    <filterColumn colId="1">
      <filters>
        <filter val="TE"/>
      </filters>
    </filterColumn>
    <filterColumn colId="7">
      <filters>
        <filter val="OK"/>
      </filters>
    </filterColumn>
    <sortState xmlns:xlrd2="http://schemas.microsoft.com/office/spreadsheetml/2017/richdata2" ref="A30:H173">
      <sortCondition ref="C1:C402"/>
    </sortState>
  </autoFilter>
  <conditionalFormatting sqref="H2:H402">
    <cfRule type="containsText" dxfId="8" priority="1" operator="containsText" text="Unreliable">
      <formula>NOT(ISERROR(SEARCH("Unreliable",H2)))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5A6843-5487-462A-8A5C-8DC92B95D4D8}">
  <sheetPr codeName="Sheet17"/>
  <dimension ref="A1:T167"/>
  <sheetViews>
    <sheetView workbookViewId="0">
      <pane xSplit="1" ySplit="1" topLeftCell="C2" activePane="bottomRight" state="frozen"/>
      <selection pane="topRight" activeCell="B1" sqref="B1"/>
      <selection pane="bottomLeft" activeCell="A2" sqref="A2"/>
      <selection pane="bottomRight" activeCell="Q2" sqref="Q2"/>
    </sheetView>
  </sheetViews>
  <sheetFormatPr defaultRowHeight="15" x14ac:dyDescent="0.25"/>
  <cols>
    <col min="1" max="1" width="24.28515625" bestFit="1" customWidth="1"/>
    <col min="2" max="2" width="24.28515625" customWidth="1"/>
    <col min="3" max="3" width="8.5703125" bestFit="1" customWidth="1"/>
    <col min="4" max="4" width="8.5703125" customWidth="1"/>
    <col min="5" max="5" width="10.42578125" bestFit="1" customWidth="1"/>
    <col min="6" max="6" width="8" bestFit="1" customWidth="1"/>
    <col min="7" max="7" width="5.42578125" bestFit="1" customWidth="1"/>
    <col min="8" max="8" width="9.28515625" bestFit="1" customWidth="1"/>
    <col min="9" max="9" width="6.85546875" bestFit="1" customWidth="1"/>
    <col min="10" max="10" width="14.85546875" bestFit="1" customWidth="1"/>
    <col min="11" max="11" width="12.28515625" bestFit="1" customWidth="1"/>
    <col min="12" max="12" width="8.42578125" bestFit="1" customWidth="1"/>
    <col min="13" max="13" width="13.7109375" bestFit="1" customWidth="1"/>
    <col min="14" max="14" width="11.140625" bestFit="1" customWidth="1"/>
    <col min="15" max="15" width="20.85546875" customWidth="1"/>
    <col min="16" max="19" width="20.85546875" bestFit="1" customWidth="1"/>
    <col min="20" max="20" width="13.7109375" bestFit="1" customWidth="1"/>
  </cols>
  <sheetData>
    <row r="1" spans="1:20" x14ac:dyDescent="0.25">
      <c r="A1" t="s">
        <v>77</v>
      </c>
      <c r="B1" t="s">
        <v>408</v>
      </c>
      <c r="C1" t="s">
        <v>239</v>
      </c>
      <c r="D1" t="s">
        <v>566</v>
      </c>
      <c r="E1" t="s">
        <v>188</v>
      </c>
      <c r="F1" t="s">
        <v>189</v>
      </c>
      <c r="G1" t="s">
        <v>186</v>
      </c>
      <c r="H1" t="s">
        <v>191</v>
      </c>
      <c r="I1" t="s">
        <v>192</v>
      </c>
      <c r="J1" t="str">
        <f>+E1&amp;" - Pts"</f>
        <v>Rush Yards - Pts</v>
      </c>
      <c r="K1" t="str">
        <f t="shared" ref="K1:N1" si="0">+F1&amp;" - Pts"</f>
        <v>Rush TD - Pts</v>
      </c>
      <c r="L1" t="str">
        <f t="shared" si="0"/>
        <v>Rec - Pts</v>
      </c>
      <c r="M1" t="str">
        <f t="shared" si="0"/>
        <v>Rec Yards - Pts</v>
      </c>
      <c r="N1" t="str">
        <f t="shared" si="0"/>
        <v>Rec TD - Pts</v>
      </c>
      <c r="O1" t="str">
        <f>+E1&amp;" - Source"</f>
        <v>Rush Yards - Source</v>
      </c>
      <c r="P1" t="str">
        <f t="shared" ref="P1:S1" si="1">+F1&amp;" - Source"</f>
        <v>Rush TD - Source</v>
      </c>
      <c r="Q1" t="str">
        <f t="shared" si="1"/>
        <v>Rec - Source</v>
      </c>
      <c r="R1" t="str">
        <f t="shared" si="1"/>
        <v>Rec Yards - Source</v>
      </c>
      <c r="S1" t="str">
        <f t="shared" si="1"/>
        <v>Rec TD - Source</v>
      </c>
      <c r="T1" t="s">
        <v>311</v>
      </c>
    </row>
    <row r="2" spans="1:20" x14ac:dyDescent="0.25">
      <c r="A2" t="s">
        <v>30</v>
      </c>
      <c r="B2" t="str">
        <f>_xlfn.XLOOKUP(A2,ADP!A:A,ADP!B:B)</f>
        <v>TE</v>
      </c>
      <c r="C2" s="9">
        <f>SUM(J2:N2)</f>
        <v>263.35000000000002</v>
      </c>
      <c r="D2" s="9">
        <f>+E2+H2</f>
        <v>1108.5</v>
      </c>
      <c r="E2" s="7">
        <f>IF(SUMIFS('Total Rushing Yards'!E:E,'Total Rushing Yards'!A:A,'Skill Pos Compiled'!A2)=0,SUMIFS('2022 Skill Pos Stats'!M:M,'2022 Skill Pos Stats'!A:A,'Skill Pos Compiled'!A2),SUMIFS('Total Rushing Yards'!E:E,'Total Rushing Yards'!A:A,'Skill Pos Compiled'!A2))</f>
        <v>0</v>
      </c>
      <c r="F2" s="7">
        <f>IF(SUMIFS('Total Rushing Touchdowns'!B:B,'Total Rushing Touchdowns'!A:A,'Skill Pos Compiled'!A2)=0,SUMIFS('2022 Skill Pos Stats'!N:N,'2022 Skill Pos Stats'!A:A,'Skill Pos Compiled'!A2),SUMIFS('Total Rushing Touchdowns'!B:B,'Total Rushing Touchdowns'!A:A,'Skill Pos Compiled'!A2))</f>
        <v>0</v>
      </c>
      <c r="G2" s="7">
        <f>IF(SUMIFS('Total Receptions'!B:B,'Total Receptions'!A:A,'Skill Pos Compiled'!A2)=0,SUMIFS('2022 Skill Pos Stats'!O:O,'2022 Skill Pos Stats'!A:A,'Skill Pos Compiled'!A2),SUMIFS('Total Receptions'!B:B,'Total Receptions'!A:A,'Skill Pos Compiled'!A2))</f>
        <v>95.5</v>
      </c>
      <c r="H2" s="7">
        <f>IF(SUMIFS('Total Receiving Yards'!E:E,'Total Receiving Yards'!A:A,'Skill Pos Compiled'!A2)=0,SUMIFS('2022 Skill Pos Stats'!P:P,'2022 Skill Pos Stats'!A:A,'Skill Pos Compiled'!A2),SUMIFS('Total Receiving Yards'!E:E,'Total Receiving Yards'!A:A,'Skill Pos Compiled'!A2))</f>
        <v>1108.5</v>
      </c>
      <c r="I2" s="7">
        <f>IF(SUMIFS('Total Receiving Touchdowns'!E:E,'Total Receiving Touchdowns'!A:A,'Skill Pos Compiled'!A2)=0,SUMIFS('2022 Skill Pos Stats'!Q:Q,'2022 Skill Pos Stats'!A:A,'Skill Pos Compiled'!A2),SUMIFS('Total Receiving Touchdowns'!E:E,'Total Receiving Touchdowns'!A:A,'Skill Pos Compiled'!A2))</f>
        <v>9.5</v>
      </c>
      <c r="J2" s="5">
        <f>_xlfn.XLOOKUP(E$1,Pt_System[Stat],Pt_System[Pts])*E2</f>
        <v>0</v>
      </c>
      <c r="K2" s="5">
        <f>_xlfn.XLOOKUP(F$1,Pt_System[Stat],Pt_System[Pts])*F2</f>
        <v>0</v>
      </c>
      <c r="L2" s="5">
        <f>_xlfn.XLOOKUP(G$1,Pt_System[Stat],Pt_System[Pts])*G2</f>
        <v>95.5</v>
      </c>
      <c r="M2" s="5">
        <f>_xlfn.XLOOKUP(H$1,Pt_System[Stat],Pt_System[Pts])*H2</f>
        <v>110.85000000000001</v>
      </c>
      <c r="N2" s="5">
        <f>_xlfn.XLOOKUP(I$1,Pt_System[Stat],Pt_System[Pts])*I2</f>
        <v>57</v>
      </c>
      <c r="O2" t="str">
        <f>IF(COUNTIFS('Total Rushing Yards'!A:A,'Skill Pos Compiled'!$A2)=1,"Vegas Odds","2022 Stats / Prediction")</f>
        <v>2022 Stats / Prediction</v>
      </c>
      <c r="P2" t="str">
        <f>IF(COUNTIFS('Total Rushing Touchdowns'!A:A,'Skill Pos Compiled'!$A2)=1,"Vegas Odds","2022 Stats / Prediction")</f>
        <v>2022 Stats / Prediction</v>
      </c>
      <c r="Q2" t="str">
        <f>IF(COUNTIFS('Total Receptions'!A:A,'Skill Pos Compiled'!$A2)=1,"Vegas Odds","2022 Stats / Prediction")</f>
        <v>Vegas Odds</v>
      </c>
      <c r="R2" t="str">
        <f>IF(COUNTIFS('Total Receiving Yards'!A:A,'Skill Pos Compiled'!$A2)=1,"Vegas Odds","2022 Stats / Prediction")</f>
        <v>Vegas Odds</v>
      </c>
      <c r="S2" t="str">
        <f>IF(COUNTIFS('Total Receiving Touchdowns'!A:A,'Skill Pos Compiled'!$A2)=1,"Vegas Odds","2022 Stats / Prediction")</f>
        <v>Vegas Odds</v>
      </c>
      <c r="T2" s="10" t="str">
        <f>IF(COUNTIFS(O2:S2,"Vegas Odds")&gt;2,"OK","Unpredictable")</f>
        <v>OK</v>
      </c>
    </row>
    <row r="3" spans="1:20" x14ac:dyDescent="0.25">
      <c r="A3" t="s">
        <v>3</v>
      </c>
      <c r="B3" t="str">
        <f>_xlfn.XLOOKUP(A3,ADP!A:A,ADP!B:B)</f>
        <v>TE</v>
      </c>
      <c r="C3" s="9">
        <f t="shared" ref="C3:C66" si="2">SUM(J3:N3)</f>
        <v>160.51666666666665</v>
      </c>
      <c r="D3" s="9">
        <f t="shared" ref="D3:D66" si="3">+E3+H3</f>
        <v>700.16666666666663</v>
      </c>
      <c r="E3" s="7">
        <f>IF(SUMIFS('Total Rushing Yards'!E:E,'Total Rushing Yards'!A:A,'Skill Pos Compiled'!A3)=0,SUMIFS('2022 Skill Pos Stats'!M:M,'2022 Skill Pos Stats'!A:A,'Skill Pos Compiled'!A3),SUMIFS('Total Rushing Yards'!E:E,'Total Rushing Yards'!A:A,'Skill Pos Compiled'!A3))</f>
        <v>0</v>
      </c>
      <c r="F3" s="7">
        <f>IF(SUMIFS('Total Rushing Touchdowns'!B:B,'Total Rushing Touchdowns'!A:A,'Skill Pos Compiled'!A3)=0,SUMIFS('2022 Skill Pos Stats'!N:N,'2022 Skill Pos Stats'!A:A,'Skill Pos Compiled'!A3),SUMIFS('Total Rushing Touchdowns'!B:B,'Total Rushing Touchdowns'!A:A,'Skill Pos Compiled'!A3))</f>
        <v>0</v>
      </c>
      <c r="G3" s="7">
        <f>IF(SUMIFS('Total Receptions'!B:B,'Total Receptions'!A:A,'Skill Pos Compiled'!A3)=0,SUMIFS('2022 Skill Pos Stats'!O:O,'2022 Skill Pos Stats'!A:A,'Skill Pos Compiled'!A3),SUMIFS('Total Receptions'!B:B,'Total Receptions'!A:A,'Skill Pos Compiled'!A3))</f>
        <v>57.5</v>
      </c>
      <c r="H3" s="7">
        <f>IF(SUMIFS('Total Receiving Yards'!E:E,'Total Receiving Yards'!A:A,'Skill Pos Compiled'!A3)=0,SUMIFS('2022 Skill Pos Stats'!P:P,'2022 Skill Pos Stats'!A:A,'Skill Pos Compiled'!A3),SUMIFS('Total Receiving Yards'!E:E,'Total Receiving Yards'!A:A,'Skill Pos Compiled'!A3))</f>
        <v>700.16666666666663</v>
      </c>
      <c r="I3" s="7">
        <f>IF(SUMIFS('Total Receiving Touchdowns'!E:E,'Total Receiving Touchdowns'!A:A,'Skill Pos Compiled'!A3)=0,SUMIFS('2022 Skill Pos Stats'!Q:Q,'2022 Skill Pos Stats'!A:A,'Skill Pos Compiled'!A3),SUMIFS('Total Receiving Touchdowns'!E:E,'Total Receiving Touchdowns'!A:A,'Skill Pos Compiled'!A3))</f>
        <v>5.5</v>
      </c>
      <c r="J3" s="5">
        <f>_xlfn.XLOOKUP(E$1,Pt_System[Stat],Pt_System[Pts])*E3</f>
        <v>0</v>
      </c>
      <c r="K3" s="5">
        <f>_xlfn.XLOOKUP(F$1,Pt_System[Stat],Pt_System[Pts])*F3</f>
        <v>0</v>
      </c>
      <c r="L3" s="5">
        <f>_xlfn.XLOOKUP(G$1,Pt_System[Stat],Pt_System[Pts])*G3</f>
        <v>57.5</v>
      </c>
      <c r="M3" s="5">
        <f>_xlfn.XLOOKUP(H$1,Pt_System[Stat],Pt_System[Pts])*H3</f>
        <v>70.016666666666666</v>
      </c>
      <c r="N3" s="5">
        <f>_xlfn.XLOOKUP(I$1,Pt_System[Stat],Pt_System[Pts])*I3</f>
        <v>33</v>
      </c>
      <c r="O3" t="str">
        <f>IF(COUNTIFS('Total Rushing Yards'!A:A,'Skill Pos Compiled'!$A3)=1,"Vegas Odds","2022 Stats / Prediction")</f>
        <v>2022 Stats / Prediction</v>
      </c>
      <c r="P3" t="str">
        <f>IF(COUNTIFS('Total Rushing Touchdowns'!A:A,'Skill Pos Compiled'!$A3)=1,"Vegas Odds","2022 Stats / Prediction")</f>
        <v>2022 Stats / Prediction</v>
      </c>
      <c r="Q3" t="str">
        <f>IF(COUNTIFS('Total Receptions'!A:A,'Skill Pos Compiled'!$A3)=1,"Vegas Odds","2022 Stats / Prediction")</f>
        <v>Vegas Odds</v>
      </c>
      <c r="R3" t="str">
        <f>IF(COUNTIFS('Total Receiving Yards'!A:A,'Skill Pos Compiled'!$A3)=1,"Vegas Odds","2022 Stats / Prediction")</f>
        <v>Vegas Odds</v>
      </c>
      <c r="S3" t="str">
        <f>IF(COUNTIFS('Total Receiving Touchdowns'!A:A,'Skill Pos Compiled'!$A3)=1,"Vegas Odds","2022 Stats / Prediction")</f>
        <v>Vegas Odds</v>
      </c>
      <c r="T3" s="10" t="str">
        <f t="shared" ref="T3:T66" si="4">IF(COUNTIFS(O3:S3,"Vegas Odds")&gt;2,"OK","Unpredictable")</f>
        <v>OK</v>
      </c>
    </row>
    <row r="4" spans="1:20" x14ac:dyDescent="0.25">
      <c r="A4" t="s">
        <v>303</v>
      </c>
      <c r="B4" t="str">
        <f>_xlfn.XLOOKUP(A4,ADP!A:A,ADP!B:B)</f>
        <v>TE</v>
      </c>
      <c r="C4" s="9">
        <f t="shared" si="2"/>
        <v>195.3</v>
      </c>
      <c r="D4" s="9">
        <f t="shared" si="3"/>
        <v>763</v>
      </c>
      <c r="E4" s="7">
        <f>IF(SUMIFS('Total Rushing Yards'!E:E,'Total Rushing Yards'!A:A,'Skill Pos Compiled'!A4)=0,SUMIFS('2022 Skill Pos Stats'!M:M,'2022 Skill Pos Stats'!A:A,'Skill Pos Compiled'!A4),SUMIFS('Total Rushing Yards'!E:E,'Total Rushing Yards'!A:A,'Skill Pos Compiled'!A4))</f>
        <v>0</v>
      </c>
      <c r="F4" s="7">
        <f>IF(SUMIFS('Total Rushing Touchdowns'!B:B,'Total Rushing Touchdowns'!A:A,'Skill Pos Compiled'!A4)=0,SUMIFS('2022 Skill Pos Stats'!N:N,'2022 Skill Pos Stats'!A:A,'Skill Pos Compiled'!A4),SUMIFS('Total Rushing Touchdowns'!B:B,'Total Rushing Touchdowns'!A:A,'Skill Pos Compiled'!A4))</f>
        <v>0</v>
      </c>
      <c r="G4" s="7">
        <f>IF(SUMIFS('Total Receptions'!B:B,'Total Receptions'!A:A,'Skill Pos Compiled'!A4)=0,SUMIFS('2022 Skill Pos Stats'!O:O,'2022 Skill Pos Stats'!A:A,'Skill Pos Compiled'!A4),SUMIFS('Total Receptions'!B:B,'Total Receptions'!A:A,'Skill Pos Compiled'!A4))</f>
        <v>86</v>
      </c>
      <c r="H4" s="7">
        <f>IF(SUMIFS('Total Receiving Yards'!E:E,'Total Receiving Yards'!A:A,'Skill Pos Compiled'!A4)=0,SUMIFS('2022 Skill Pos Stats'!P:P,'2022 Skill Pos Stats'!A:A,'Skill Pos Compiled'!A4),SUMIFS('Total Receiving Yards'!E:E,'Total Receiving Yards'!A:A,'Skill Pos Compiled'!A4))</f>
        <v>763</v>
      </c>
      <c r="I4" s="7">
        <f>IF(SUMIFS('Total Receiving Touchdowns'!E:E,'Total Receiving Touchdowns'!A:A,'Skill Pos Compiled'!A4)=0,SUMIFS('2022 Skill Pos Stats'!Q:Q,'2022 Skill Pos Stats'!A:A,'Skill Pos Compiled'!A4),SUMIFS('Total Receiving Touchdowns'!E:E,'Total Receiving Touchdowns'!A:A,'Skill Pos Compiled'!A4))</f>
        <v>5.5</v>
      </c>
      <c r="J4" s="5">
        <f>_xlfn.XLOOKUP(E$1,Pt_System[Stat],Pt_System[Pts])*E4</f>
        <v>0</v>
      </c>
      <c r="K4" s="5">
        <f>_xlfn.XLOOKUP(F$1,Pt_System[Stat],Pt_System[Pts])*F4</f>
        <v>0</v>
      </c>
      <c r="L4" s="5">
        <f>_xlfn.XLOOKUP(G$1,Pt_System[Stat],Pt_System[Pts])*G4</f>
        <v>86</v>
      </c>
      <c r="M4" s="5">
        <f>_xlfn.XLOOKUP(H$1,Pt_System[Stat],Pt_System[Pts])*H4</f>
        <v>76.3</v>
      </c>
      <c r="N4" s="5">
        <f>_xlfn.XLOOKUP(I$1,Pt_System[Stat],Pt_System[Pts])*I4</f>
        <v>33</v>
      </c>
      <c r="O4" t="str">
        <f>IF(COUNTIFS('Total Rushing Yards'!A:A,'Skill Pos Compiled'!$A4)=1,"Vegas Odds","2022 Stats / Prediction")</f>
        <v>2022 Stats / Prediction</v>
      </c>
      <c r="P4" t="str">
        <f>IF(COUNTIFS('Total Rushing Touchdowns'!A:A,'Skill Pos Compiled'!$A4)=1,"Vegas Odds","2022 Stats / Prediction")</f>
        <v>2022 Stats / Prediction</v>
      </c>
      <c r="Q4" t="str">
        <f>IF(COUNTIFS('Total Receptions'!A:A,'Skill Pos Compiled'!$A4)=1,"Vegas Odds","2022 Stats / Prediction")</f>
        <v>2022 Stats / Prediction</v>
      </c>
      <c r="R4" t="str">
        <f>IF(COUNTIFS('Total Receiving Yards'!A:A,'Skill Pos Compiled'!$A4)=1,"Vegas Odds","2022 Stats / Prediction")</f>
        <v>Vegas Odds</v>
      </c>
      <c r="S4" t="str">
        <f>IF(COUNTIFS('Total Receiving Touchdowns'!A:A,'Skill Pos Compiled'!$A4)=1,"Vegas Odds","2022 Stats / Prediction")</f>
        <v>Vegas Odds</v>
      </c>
      <c r="T4" s="10" t="str">
        <f t="shared" si="4"/>
        <v>Unpredictable</v>
      </c>
    </row>
    <row r="5" spans="1:20" x14ac:dyDescent="0.25">
      <c r="A5" t="s">
        <v>240</v>
      </c>
      <c r="B5" t="str">
        <f>_xlfn.XLOOKUP(A5,ADP!A:A,ADP!B:B)</f>
        <v>TE</v>
      </c>
      <c r="C5" s="9">
        <f t="shared" si="2"/>
        <v>30.493749999999999</v>
      </c>
      <c r="D5" s="9">
        <f t="shared" si="3"/>
        <v>81.8125</v>
      </c>
      <c r="E5" s="7">
        <f>IF(SUMIFS('Total Rushing Yards'!E:E,'Total Rushing Yards'!A:A,'Skill Pos Compiled'!A5)=0,SUMIFS('2022 Skill Pos Stats'!M:M,'2022 Skill Pos Stats'!A:A,'Skill Pos Compiled'!A5),SUMIFS('Total Rushing Yards'!E:E,'Total Rushing Yards'!A:A,'Skill Pos Compiled'!A5))</f>
        <v>0</v>
      </c>
      <c r="F5" s="7">
        <f>IF(SUMIFS('Total Rushing Touchdowns'!B:B,'Total Rushing Touchdowns'!A:A,'Skill Pos Compiled'!A5)=0,SUMIFS('2022 Skill Pos Stats'!N:N,'2022 Skill Pos Stats'!A:A,'Skill Pos Compiled'!A5),SUMIFS('Total Rushing Touchdowns'!B:B,'Total Rushing Touchdowns'!A:A,'Skill Pos Compiled'!A5))</f>
        <v>0</v>
      </c>
      <c r="G5" s="7">
        <f>IF(SUMIFS('Total Receptions'!B:B,'Total Receptions'!A:A,'Skill Pos Compiled'!A5)=0,SUMIFS('2022 Skill Pos Stats'!O:O,'2022 Skill Pos Stats'!A:A,'Skill Pos Compiled'!A5),SUMIFS('Total Receptions'!B:B,'Total Receptions'!A:A,'Skill Pos Compiled'!A5))</f>
        <v>9.5625</v>
      </c>
      <c r="H5" s="7">
        <f>IF(SUMIFS('Total Receiving Yards'!E:E,'Total Receiving Yards'!A:A,'Skill Pos Compiled'!A5)=0,SUMIFS('2022 Skill Pos Stats'!P:P,'2022 Skill Pos Stats'!A:A,'Skill Pos Compiled'!A5),SUMIFS('Total Receiving Yards'!E:E,'Total Receiving Yards'!A:A,'Skill Pos Compiled'!A5))</f>
        <v>81.8125</v>
      </c>
      <c r="I5" s="7">
        <f>IF(SUMIFS('Total Receiving Touchdowns'!E:E,'Total Receiving Touchdowns'!A:A,'Skill Pos Compiled'!A5)=0,SUMIFS('2022 Skill Pos Stats'!Q:Q,'2022 Skill Pos Stats'!A:A,'Skill Pos Compiled'!A5),SUMIFS('Total Receiving Touchdowns'!E:E,'Total Receiving Touchdowns'!A:A,'Skill Pos Compiled'!A5))</f>
        <v>2.125</v>
      </c>
      <c r="J5" s="5">
        <f>_xlfn.XLOOKUP(E$1,Pt_System[Stat],Pt_System[Pts])*E5</f>
        <v>0</v>
      </c>
      <c r="K5" s="5">
        <f>_xlfn.XLOOKUP(F$1,Pt_System[Stat],Pt_System[Pts])*F5</f>
        <v>0</v>
      </c>
      <c r="L5" s="5">
        <f>_xlfn.XLOOKUP(G$1,Pt_System[Stat],Pt_System[Pts])*G5</f>
        <v>9.5625</v>
      </c>
      <c r="M5" s="5">
        <f>_xlfn.XLOOKUP(H$1,Pt_System[Stat],Pt_System[Pts])*H5</f>
        <v>8.1812500000000004</v>
      </c>
      <c r="N5" s="5">
        <f>_xlfn.XLOOKUP(I$1,Pt_System[Stat],Pt_System[Pts])*I5</f>
        <v>12.75</v>
      </c>
      <c r="O5" t="str">
        <f>IF(COUNTIFS('Total Rushing Yards'!A:A,'Skill Pos Compiled'!$A5)=1,"Vegas Odds","2022 Stats / Prediction")</f>
        <v>2022 Stats / Prediction</v>
      </c>
      <c r="P5" t="str">
        <f>IF(COUNTIFS('Total Rushing Touchdowns'!A:A,'Skill Pos Compiled'!$A5)=1,"Vegas Odds","2022 Stats / Prediction")</f>
        <v>2022 Stats / Prediction</v>
      </c>
      <c r="Q5" t="str">
        <f>IF(COUNTIFS('Total Receptions'!A:A,'Skill Pos Compiled'!$A5)=1,"Vegas Odds","2022 Stats / Prediction")</f>
        <v>2022 Stats / Prediction</v>
      </c>
      <c r="R5" t="str">
        <f>IF(COUNTIFS('Total Receiving Yards'!A:A,'Skill Pos Compiled'!$A5)=1,"Vegas Odds","2022 Stats / Prediction")</f>
        <v>2022 Stats / Prediction</v>
      </c>
      <c r="S5" t="str">
        <f>IF(COUNTIFS('Total Receiving Touchdowns'!A:A,'Skill Pos Compiled'!$A5)=1,"Vegas Odds","2022 Stats / Prediction")</f>
        <v>2022 Stats / Prediction</v>
      </c>
      <c r="T5" s="10" t="str">
        <f t="shared" si="4"/>
        <v>Unpredictable</v>
      </c>
    </row>
    <row r="6" spans="1:20" x14ac:dyDescent="0.25">
      <c r="A6" t="s">
        <v>44</v>
      </c>
      <c r="B6" t="str">
        <f>_xlfn.XLOOKUP(A6,ADP!A:A,ADP!B:B)</f>
        <v>TE</v>
      </c>
      <c r="C6" s="9">
        <f t="shared" si="2"/>
        <v>203.41666666666669</v>
      </c>
      <c r="D6" s="9">
        <f t="shared" si="3"/>
        <v>816.83333333333337</v>
      </c>
      <c r="E6" s="7">
        <f>IF(SUMIFS('Total Rushing Yards'!E:E,'Total Rushing Yards'!A:A,'Skill Pos Compiled'!A6)=0,SUMIFS('2022 Skill Pos Stats'!M:M,'2022 Skill Pos Stats'!A:A,'Skill Pos Compiled'!A6),SUMIFS('Total Rushing Yards'!E:E,'Total Rushing Yards'!A:A,'Skill Pos Compiled'!A6))</f>
        <v>0</v>
      </c>
      <c r="F6" s="7">
        <f>IF(SUMIFS('Total Rushing Touchdowns'!B:B,'Total Rushing Touchdowns'!A:A,'Skill Pos Compiled'!A6)=0,SUMIFS('2022 Skill Pos Stats'!N:N,'2022 Skill Pos Stats'!A:A,'Skill Pos Compiled'!A6),SUMIFS('Total Rushing Touchdowns'!B:B,'Total Rushing Touchdowns'!A:A,'Skill Pos Compiled'!A6))</f>
        <v>0</v>
      </c>
      <c r="G6" s="7">
        <f>IF(SUMIFS('Total Receptions'!B:B,'Total Receptions'!A:A,'Skill Pos Compiled'!A6)=0,SUMIFS('2022 Skill Pos Stats'!O:O,'2022 Skill Pos Stats'!A:A,'Skill Pos Compiled'!A6),SUMIFS('Total Receptions'!B:B,'Total Receptions'!A:A,'Skill Pos Compiled'!A6))</f>
        <v>82.733333333333334</v>
      </c>
      <c r="H6" s="7">
        <f>IF(SUMIFS('Total Receiving Yards'!E:E,'Total Receiving Yards'!A:A,'Skill Pos Compiled'!A6)=0,SUMIFS('2022 Skill Pos Stats'!P:P,'2022 Skill Pos Stats'!A:A,'Skill Pos Compiled'!A6),SUMIFS('Total Receiving Yards'!E:E,'Total Receiving Yards'!A:A,'Skill Pos Compiled'!A6))</f>
        <v>816.83333333333337</v>
      </c>
      <c r="I6" s="7">
        <f>IF(SUMIFS('Total Receiving Touchdowns'!E:E,'Total Receiving Touchdowns'!A:A,'Skill Pos Compiled'!A6)=0,SUMIFS('2022 Skill Pos Stats'!Q:Q,'2022 Skill Pos Stats'!A:A,'Skill Pos Compiled'!A6),SUMIFS('Total Receiving Touchdowns'!E:E,'Total Receiving Touchdowns'!A:A,'Skill Pos Compiled'!A6))</f>
        <v>6.5</v>
      </c>
      <c r="J6" s="5">
        <f>_xlfn.XLOOKUP(E$1,Pt_System[Stat],Pt_System[Pts])*E6</f>
        <v>0</v>
      </c>
      <c r="K6" s="5">
        <f>_xlfn.XLOOKUP(F$1,Pt_System[Stat],Pt_System[Pts])*F6</f>
        <v>0</v>
      </c>
      <c r="L6" s="5">
        <f>_xlfn.XLOOKUP(G$1,Pt_System[Stat],Pt_System[Pts])*G6</f>
        <v>82.733333333333334</v>
      </c>
      <c r="M6" s="5">
        <f>_xlfn.XLOOKUP(H$1,Pt_System[Stat],Pt_System[Pts])*H6</f>
        <v>81.683333333333337</v>
      </c>
      <c r="N6" s="5">
        <f>_xlfn.XLOOKUP(I$1,Pt_System[Stat],Pt_System[Pts])*I6</f>
        <v>39</v>
      </c>
      <c r="O6" t="str">
        <f>IF(COUNTIFS('Total Rushing Yards'!A:A,'Skill Pos Compiled'!$A6)=1,"Vegas Odds","2022 Stats / Prediction")</f>
        <v>2022 Stats / Prediction</v>
      </c>
      <c r="P6" t="str">
        <f>IF(COUNTIFS('Total Rushing Touchdowns'!A:A,'Skill Pos Compiled'!$A6)=1,"Vegas Odds","2022 Stats / Prediction")</f>
        <v>2022 Stats / Prediction</v>
      </c>
      <c r="Q6" t="str">
        <f>IF(COUNTIFS('Total Receptions'!A:A,'Skill Pos Compiled'!$A6)=1,"Vegas Odds","2022 Stats / Prediction")</f>
        <v>2022 Stats / Prediction</v>
      </c>
      <c r="R6" t="str">
        <f>IF(COUNTIFS('Total Receiving Yards'!A:A,'Skill Pos Compiled'!$A6)=1,"Vegas Odds","2022 Stats / Prediction")</f>
        <v>Vegas Odds</v>
      </c>
      <c r="S6" t="str">
        <f>IF(COUNTIFS('Total Receiving Touchdowns'!A:A,'Skill Pos Compiled'!$A6)=1,"Vegas Odds","2022 Stats / Prediction")</f>
        <v>Vegas Odds</v>
      </c>
      <c r="T6" s="10" t="str">
        <f t="shared" si="4"/>
        <v>Unpredictable</v>
      </c>
    </row>
    <row r="7" spans="1:20" x14ac:dyDescent="0.25">
      <c r="A7" t="s">
        <v>25</v>
      </c>
      <c r="B7" t="str">
        <f>_xlfn.XLOOKUP(A7,ADP!A:A,ADP!B:B)</f>
        <v>TE</v>
      </c>
      <c r="C7" s="9">
        <f t="shared" si="2"/>
        <v>145.35</v>
      </c>
      <c r="D7" s="9">
        <f t="shared" si="3"/>
        <v>608.5</v>
      </c>
      <c r="E7" s="7">
        <f>IF(SUMIFS('Total Rushing Yards'!E:E,'Total Rushing Yards'!A:A,'Skill Pos Compiled'!A7)=0,SUMIFS('2022 Skill Pos Stats'!M:M,'2022 Skill Pos Stats'!A:A,'Skill Pos Compiled'!A7),SUMIFS('Total Rushing Yards'!E:E,'Total Rushing Yards'!A:A,'Skill Pos Compiled'!A7))</f>
        <v>0</v>
      </c>
      <c r="F7" s="7">
        <f>IF(SUMIFS('Total Rushing Touchdowns'!B:B,'Total Rushing Touchdowns'!A:A,'Skill Pos Compiled'!A7)=0,SUMIFS('2022 Skill Pos Stats'!N:N,'2022 Skill Pos Stats'!A:A,'Skill Pos Compiled'!A7),SUMIFS('Total Rushing Touchdowns'!B:B,'Total Rushing Touchdowns'!A:A,'Skill Pos Compiled'!A7))</f>
        <v>0</v>
      </c>
      <c r="G7" s="7">
        <f>IF(SUMIFS('Total Receptions'!B:B,'Total Receptions'!A:A,'Skill Pos Compiled'!A7)=0,SUMIFS('2022 Skill Pos Stats'!O:O,'2022 Skill Pos Stats'!A:A,'Skill Pos Compiled'!A7),SUMIFS('Total Receptions'!B:B,'Total Receptions'!A:A,'Skill Pos Compiled'!A7))</f>
        <v>63.5</v>
      </c>
      <c r="H7" s="7">
        <f>IF(SUMIFS('Total Receiving Yards'!E:E,'Total Receiving Yards'!A:A,'Skill Pos Compiled'!A7)=0,SUMIFS('2022 Skill Pos Stats'!P:P,'2022 Skill Pos Stats'!A:A,'Skill Pos Compiled'!A7),SUMIFS('Total Receiving Yards'!E:E,'Total Receiving Yards'!A:A,'Skill Pos Compiled'!A7))</f>
        <v>608.5</v>
      </c>
      <c r="I7" s="7">
        <f>IF(SUMIFS('Total Receiving Touchdowns'!E:E,'Total Receiving Touchdowns'!A:A,'Skill Pos Compiled'!A7)=0,SUMIFS('2022 Skill Pos Stats'!Q:Q,'2022 Skill Pos Stats'!A:A,'Skill Pos Compiled'!A7),SUMIFS('Total Receiving Touchdowns'!E:E,'Total Receiving Touchdowns'!A:A,'Skill Pos Compiled'!A7))</f>
        <v>3.5</v>
      </c>
      <c r="J7" s="5">
        <f>_xlfn.XLOOKUP(E$1,Pt_System[Stat],Pt_System[Pts])*E7</f>
        <v>0</v>
      </c>
      <c r="K7" s="5">
        <f>_xlfn.XLOOKUP(F$1,Pt_System[Stat],Pt_System[Pts])*F7</f>
        <v>0</v>
      </c>
      <c r="L7" s="5">
        <f>_xlfn.XLOOKUP(G$1,Pt_System[Stat],Pt_System[Pts])*G7</f>
        <v>63.5</v>
      </c>
      <c r="M7" s="5">
        <f>_xlfn.XLOOKUP(H$1,Pt_System[Stat],Pt_System[Pts])*H7</f>
        <v>60.85</v>
      </c>
      <c r="N7" s="5">
        <f>_xlfn.XLOOKUP(I$1,Pt_System[Stat],Pt_System[Pts])*I7</f>
        <v>21</v>
      </c>
      <c r="O7" t="str">
        <f>IF(COUNTIFS('Total Rushing Yards'!A:A,'Skill Pos Compiled'!$A7)=1,"Vegas Odds","2022 Stats / Prediction")</f>
        <v>2022 Stats / Prediction</v>
      </c>
      <c r="P7" t="str">
        <f>IF(COUNTIFS('Total Rushing Touchdowns'!A:A,'Skill Pos Compiled'!$A7)=1,"Vegas Odds","2022 Stats / Prediction")</f>
        <v>2022 Stats / Prediction</v>
      </c>
      <c r="Q7" t="str">
        <f>IF(COUNTIFS('Total Receptions'!A:A,'Skill Pos Compiled'!$A7)=1,"Vegas Odds","2022 Stats / Prediction")</f>
        <v>Vegas Odds</v>
      </c>
      <c r="R7" t="str">
        <f>IF(COUNTIFS('Total Receiving Yards'!A:A,'Skill Pos Compiled'!$A7)=1,"Vegas Odds","2022 Stats / Prediction")</f>
        <v>Vegas Odds</v>
      </c>
      <c r="S7" t="str">
        <f>IF(COUNTIFS('Total Receiving Touchdowns'!A:A,'Skill Pos Compiled'!$A7)=1,"Vegas Odds","2022 Stats / Prediction")</f>
        <v>Vegas Odds</v>
      </c>
      <c r="T7" s="10" t="str">
        <f t="shared" si="4"/>
        <v>OK</v>
      </c>
    </row>
    <row r="8" spans="1:20" x14ac:dyDescent="0.25">
      <c r="A8" t="s">
        <v>241</v>
      </c>
      <c r="B8" t="str">
        <f>_xlfn.XLOOKUP(A8,ADP!A:A,ADP!B:B)</f>
        <v>TE</v>
      </c>
      <c r="C8" s="9">
        <f t="shared" si="2"/>
        <v>146.4</v>
      </c>
      <c r="D8" s="9">
        <f t="shared" si="3"/>
        <v>544</v>
      </c>
      <c r="E8" s="7">
        <f>IF(SUMIFS('Total Rushing Yards'!E:E,'Total Rushing Yards'!A:A,'Skill Pos Compiled'!A8)=0,SUMIFS('2022 Skill Pos Stats'!M:M,'2022 Skill Pos Stats'!A:A,'Skill Pos Compiled'!A8),SUMIFS('Total Rushing Yards'!E:E,'Total Rushing Yards'!A:A,'Skill Pos Compiled'!A8))</f>
        <v>0</v>
      </c>
      <c r="F8" s="7">
        <f>IF(SUMIFS('Total Rushing Touchdowns'!B:B,'Total Rushing Touchdowns'!A:A,'Skill Pos Compiled'!A8)=0,SUMIFS('2022 Skill Pos Stats'!N:N,'2022 Skill Pos Stats'!A:A,'Skill Pos Compiled'!A8),SUMIFS('Total Rushing Touchdowns'!B:B,'Total Rushing Touchdowns'!A:A,'Skill Pos Compiled'!A8))</f>
        <v>0</v>
      </c>
      <c r="G8" s="7">
        <f>IF(SUMIFS('Total Receptions'!B:B,'Total Receptions'!A:A,'Skill Pos Compiled'!A8)=0,SUMIFS('2022 Skill Pos Stats'!O:O,'2022 Skill Pos Stats'!A:A,'Skill Pos Compiled'!A8),SUMIFS('Total Receptions'!B:B,'Total Receptions'!A:A,'Skill Pos Compiled'!A8))</f>
        <v>50</v>
      </c>
      <c r="H8" s="7">
        <f>IF(SUMIFS('Total Receiving Yards'!E:E,'Total Receiving Yards'!A:A,'Skill Pos Compiled'!A8)=0,SUMIFS('2022 Skill Pos Stats'!P:P,'2022 Skill Pos Stats'!A:A,'Skill Pos Compiled'!A8),SUMIFS('Total Receiving Yards'!E:E,'Total Receiving Yards'!A:A,'Skill Pos Compiled'!A8))</f>
        <v>544</v>
      </c>
      <c r="I8" s="7">
        <f>IF(SUMIFS('Total Receiving Touchdowns'!E:E,'Total Receiving Touchdowns'!A:A,'Skill Pos Compiled'!A8)=0,SUMIFS('2022 Skill Pos Stats'!Q:Q,'2022 Skill Pos Stats'!A:A,'Skill Pos Compiled'!A8),SUMIFS('Total Receiving Touchdowns'!E:E,'Total Receiving Touchdowns'!A:A,'Skill Pos Compiled'!A8))</f>
        <v>7</v>
      </c>
      <c r="J8" s="5">
        <f>_xlfn.XLOOKUP(E$1,Pt_System[Stat],Pt_System[Pts])*E8</f>
        <v>0</v>
      </c>
      <c r="K8" s="5">
        <f>_xlfn.XLOOKUP(F$1,Pt_System[Stat],Pt_System[Pts])*F8</f>
        <v>0</v>
      </c>
      <c r="L8" s="5">
        <f>_xlfn.XLOOKUP(G$1,Pt_System[Stat],Pt_System[Pts])*G8</f>
        <v>50</v>
      </c>
      <c r="M8" s="5">
        <f>_xlfn.XLOOKUP(H$1,Pt_System[Stat],Pt_System[Pts])*H8</f>
        <v>54.400000000000006</v>
      </c>
      <c r="N8" s="5">
        <f>_xlfn.XLOOKUP(I$1,Pt_System[Stat],Pt_System[Pts])*I8</f>
        <v>42</v>
      </c>
      <c r="O8" t="str">
        <f>IF(COUNTIFS('Total Rushing Yards'!A:A,'Skill Pos Compiled'!$A8)=1,"Vegas Odds","2022 Stats / Prediction")</f>
        <v>2022 Stats / Prediction</v>
      </c>
      <c r="P8" t="str">
        <f>IF(COUNTIFS('Total Rushing Touchdowns'!A:A,'Skill Pos Compiled'!$A8)=1,"Vegas Odds","2022 Stats / Prediction")</f>
        <v>2022 Stats / Prediction</v>
      </c>
      <c r="Q8" t="str">
        <f>IF(COUNTIFS('Total Receptions'!A:A,'Skill Pos Compiled'!$A8)=1,"Vegas Odds","2022 Stats / Prediction")</f>
        <v>2022 Stats / Prediction</v>
      </c>
      <c r="R8" t="str">
        <f>IF(COUNTIFS('Total Receiving Yards'!A:A,'Skill Pos Compiled'!$A8)=1,"Vegas Odds","2022 Stats / Prediction")</f>
        <v>2022 Stats / Prediction</v>
      </c>
      <c r="S8" t="str">
        <f>IF(COUNTIFS('Total Receiving Touchdowns'!A:A,'Skill Pos Compiled'!$A8)=1,"Vegas Odds","2022 Stats / Prediction")</f>
        <v>2022 Stats / Prediction</v>
      </c>
      <c r="T8" s="10" t="str">
        <f t="shared" si="4"/>
        <v>Unpredictable</v>
      </c>
    </row>
    <row r="9" spans="1:20" x14ac:dyDescent="0.25">
      <c r="A9" t="s">
        <v>242</v>
      </c>
      <c r="B9" t="str">
        <f>_xlfn.XLOOKUP(A9,ADP!A:A,ADP!B:B)</f>
        <v>TE</v>
      </c>
      <c r="C9" s="9">
        <f t="shared" si="2"/>
        <v>143.22499999999999</v>
      </c>
      <c r="D9" s="9">
        <f t="shared" si="3"/>
        <v>539.75</v>
      </c>
      <c r="E9" s="7">
        <f>IF(SUMIFS('Total Rushing Yards'!E:E,'Total Rushing Yards'!A:A,'Skill Pos Compiled'!A9)=0,SUMIFS('2022 Skill Pos Stats'!M:M,'2022 Skill Pos Stats'!A:A,'Skill Pos Compiled'!A9),SUMIFS('Total Rushing Yards'!E:E,'Total Rushing Yards'!A:A,'Skill Pos Compiled'!A9))</f>
        <v>0</v>
      </c>
      <c r="F9" s="7">
        <f>IF(SUMIFS('Total Rushing Touchdowns'!B:B,'Total Rushing Touchdowns'!A:A,'Skill Pos Compiled'!A9)=0,SUMIFS('2022 Skill Pos Stats'!N:N,'2022 Skill Pos Stats'!A:A,'Skill Pos Compiled'!A9),SUMIFS('Total Rushing Touchdowns'!B:B,'Total Rushing Touchdowns'!A:A,'Skill Pos Compiled'!A9))</f>
        <v>0</v>
      </c>
      <c r="G9" s="7">
        <f>IF(SUMIFS('Total Receptions'!B:B,'Total Receptions'!A:A,'Skill Pos Compiled'!A9)=0,SUMIFS('2022 Skill Pos Stats'!O:O,'2022 Skill Pos Stats'!A:A,'Skill Pos Compiled'!A9),SUMIFS('Total Receptions'!B:B,'Total Receptions'!A:A,'Skill Pos Compiled'!A9))</f>
        <v>44.625</v>
      </c>
      <c r="H9" s="7">
        <f>IF(SUMIFS('Total Receiving Yards'!E:E,'Total Receiving Yards'!A:A,'Skill Pos Compiled'!A9)=0,SUMIFS('2022 Skill Pos Stats'!P:P,'2022 Skill Pos Stats'!A:A,'Skill Pos Compiled'!A9),SUMIFS('Total Receiving Yards'!E:E,'Total Receiving Yards'!A:A,'Skill Pos Compiled'!A9))</f>
        <v>539.75</v>
      </c>
      <c r="I9" s="7">
        <f>IF(SUMIFS('Total Receiving Touchdowns'!E:E,'Total Receiving Touchdowns'!A:A,'Skill Pos Compiled'!A9)=0,SUMIFS('2022 Skill Pos Stats'!Q:Q,'2022 Skill Pos Stats'!A:A,'Skill Pos Compiled'!A9),SUMIFS('Total Receiving Touchdowns'!E:E,'Total Receiving Touchdowns'!A:A,'Skill Pos Compiled'!A9))</f>
        <v>7.4375</v>
      </c>
      <c r="J9" s="5">
        <f>_xlfn.XLOOKUP(E$1,Pt_System[Stat],Pt_System[Pts])*E9</f>
        <v>0</v>
      </c>
      <c r="K9" s="5">
        <f>_xlfn.XLOOKUP(F$1,Pt_System[Stat],Pt_System[Pts])*F9</f>
        <v>0</v>
      </c>
      <c r="L9" s="5">
        <f>_xlfn.XLOOKUP(G$1,Pt_System[Stat],Pt_System[Pts])*G9</f>
        <v>44.625</v>
      </c>
      <c r="M9" s="5">
        <f>_xlfn.XLOOKUP(H$1,Pt_System[Stat],Pt_System[Pts])*H9</f>
        <v>53.975000000000001</v>
      </c>
      <c r="N9" s="5">
        <f>_xlfn.XLOOKUP(I$1,Pt_System[Stat],Pt_System[Pts])*I9</f>
        <v>44.625</v>
      </c>
      <c r="O9" t="str">
        <f>IF(COUNTIFS('Total Rushing Yards'!A:A,'Skill Pos Compiled'!$A9)=1,"Vegas Odds","2022 Stats / Prediction")</f>
        <v>2022 Stats / Prediction</v>
      </c>
      <c r="P9" t="str">
        <f>IF(COUNTIFS('Total Rushing Touchdowns'!A:A,'Skill Pos Compiled'!$A9)=1,"Vegas Odds","2022 Stats / Prediction")</f>
        <v>2022 Stats / Prediction</v>
      </c>
      <c r="Q9" t="str">
        <f>IF(COUNTIFS('Total Receptions'!A:A,'Skill Pos Compiled'!$A9)=1,"Vegas Odds","2022 Stats / Prediction")</f>
        <v>2022 Stats / Prediction</v>
      </c>
      <c r="R9" t="str">
        <f>IF(COUNTIFS('Total Receiving Yards'!A:A,'Skill Pos Compiled'!$A9)=1,"Vegas Odds","2022 Stats / Prediction")</f>
        <v>2022 Stats / Prediction</v>
      </c>
      <c r="S9" t="str">
        <f>IF(COUNTIFS('Total Receiving Touchdowns'!A:A,'Skill Pos Compiled'!$A9)=1,"Vegas Odds","2022 Stats / Prediction")</f>
        <v>2022 Stats / Prediction</v>
      </c>
      <c r="T9" s="10" t="str">
        <f t="shared" si="4"/>
        <v>Unpredictable</v>
      </c>
    </row>
    <row r="10" spans="1:20" x14ac:dyDescent="0.25">
      <c r="A10" t="s">
        <v>24</v>
      </c>
      <c r="B10" t="str">
        <f>_xlfn.XLOOKUP(A10,ADP!A:A,ADP!B:B)</f>
        <v>TE</v>
      </c>
      <c r="C10" s="9">
        <f t="shared" si="2"/>
        <v>146.88333333333333</v>
      </c>
      <c r="D10" s="9">
        <f t="shared" si="3"/>
        <v>683.83333333333337</v>
      </c>
      <c r="E10" s="7">
        <f>IF(SUMIFS('Total Rushing Yards'!E:E,'Total Rushing Yards'!A:A,'Skill Pos Compiled'!A10)=0,SUMIFS('2022 Skill Pos Stats'!M:M,'2022 Skill Pos Stats'!A:A,'Skill Pos Compiled'!A10),SUMIFS('Total Rushing Yards'!E:E,'Total Rushing Yards'!A:A,'Skill Pos Compiled'!A10))</f>
        <v>0</v>
      </c>
      <c r="F10" s="7">
        <f>IF(SUMIFS('Total Rushing Touchdowns'!B:B,'Total Rushing Touchdowns'!A:A,'Skill Pos Compiled'!A10)=0,SUMIFS('2022 Skill Pos Stats'!N:N,'2022 Skill Pos Stats'!A:A,'Skill Pos Compiled'!A10),SUMIFS('Total Rushing Touchdowns'!B:B,'Total Rushing Touchdowns'!A:A,'Skill Pos Compiled'!A10))</f>
        <v>0</v>
      </c>
      <c r="G10" s="7">
        <f>IF(SUMIFS('Total Receptions'!B:B,'Total Receptions'!A:A,'Skill Pos Compiled'!A10)=0,SUMIFS('2022 Skill Pos Stats'!O:O,'2022 Skill Pos Stats'!A:A,'Skill Pos Compiled'!A10),SUMIFS('Total Receptions'!B:B,'Total Receptions'!A:A,'Skill Pos Compiled'!A10))</f>
        <v>57.5</v>
      </c>
      <c r="H10" s="7">
        <f>IF(SUMIFS('Total Receiving Yards'!E:E,'Total Receiving Yards'!A:A,'Skill Pos Compiled'!A10)=0,SUMIFS('2022 Skill Pos Stats'!P:P,'2022 Skill Pos Stats'!A:A,'Skill Pos Compiled'!A10),SUMIFS('Total Receiving Yards'!E:E,'Total Receiving Yards'!A:A,'Skill Pos Compiled'!A10))</f>
        <v>683.83333333333337</v>
      </c>
      <c r="I10" s="7">
        <f>IF(SUMIFS('Total Receiving Touchdowns'!E:E,'Total Receiving Touchdowns'!A:A,'Skill Pos Compiled'!A10)=0,SUMIFS('2022 Skill Pos Stats'!Q:Q,'2022 Skill Pos Stats'!A:A,'Skill Pos Compiled'!A10),SUMIFS('Total Receiving Touchdowns'!E:E,'Total Receiving Touchdowns'!A:A,'Skill Pos Compiled'!A10))</f>
        <v>3.5</v>
      </c>
      <c r="J10" s="5">
        <f>_xlfn.XLOOKUP(E$1,Pt_System[Stat],Pt_System[Pts])*E10</f>
        <v>0</v>
      </c>
      <c r="K10" s="5">
        <f>_xlfn.XLOOKUP(F$1,Pt_System[Stat],Pt_System[Pts])*F10</f>
        <v>0</v>
      </c>
      <c r="L10" s="5">
        <f>_xlfn.XLOOKUP(G$1,Pt_System[Stat],Pt_System[Pts])*G10</f>
        <v>57.5</v>
      </c>
      <c r="M10" s="5">
        <f>_xlfn.XLOOKUP(H$1,Pt_System[Stat],Pt_System[Pts])*H10</f>
        <v>68.38333333333334</v>
      </c>
      <c r="N10" s="5">
        <f>_xlfn.XLOOKUP(I$1,Pt_System[Stat],Pt_System[Pts])*I10</f>
        <v>21</v>
      </c>
      <c r="O10" t="str">
        <f>IF(COUNTIFS('Total Rushing Yards'!A:A,'Skill Pos Compiled'!$A10)=1,"Vegas Odds","2022 Stats / Prediction")</f>
        <v>2022 Stats / Prediction</v>
      </c>
      <c r="P10" t="str">
        <f>IF(COUNTIFS('Total Rushing Touchdowns'!A:A,'Skill Pos Compiled'!$A10)=1,"Vegas Odds","2022 Stats / Prediction")</f>
        <v>2022 Stats / Prediction</v>
      </c>
      <c r="Q10" t="str">
        <f>IF(COUNTIFS('Total Receptions'!A:A,'Skill Pos Compiled'!$A10)=1,"Vegas Odds","2022 Stats / Prediction")</f>
        <v>Vegas Odds</v>
      </c>
      <c r="R10" t="str">
        <f>IF(COUNTIFS('Total Receiving Yards'!A:A,'Skill Pos Compiled'!$A10)=1,"Vegas Odds","2022 Stats / Prediction")</f>
        <v>Vegas Odds</v>
      </c>
      <c r="S10" t="str">
        <f>IF(COUNTIFS('Total Receiving Touchdowns'!A:A,'Skill Pos Compiled'!$A10)=1,"Vegas Odds","2022 Stats / Prediction")</f>
        <v>Vegas Odds</v>
      </c>
      <c r="T10" s="10" t="str">
        <f t="shared" si="4"/>
        <v>OK</v>
      </c>
    </row>
    <row r="11" spans="1:20" x14ac:dyDescent="0.25">
      <c r="A11" t="s">
        <v>22</v>
      </c>
      <c r="B11" t="str">
        <f>_xlfn.XLOOKUP(A11,ADP!A:A,ADP!B:B)</f>
        <v>TE</v>
      </c>
      <c r="C11" s="9">
        <f t="shared" si="2"/>
        <v>104.05000000000001</v>
      </c>
      <c r="D11" s="9">
        <f t="shared" si="3"/>
        <v>375.5</v>
      </c>
      <c r="E11" s="7">
        <f>IF(SUMIFS('Total Rushing Yards'!E:E,'Total Rushing Yards'!A:A,'Skill Pos Compiled'!A11)=0,SUMIFS('2022 Skill Pos Stats'!M:M,'2022 Skill Pos Stats'!A:A,'Skill Pos Compiled'!A11),SUMIFS('Total Rushing Yards'!E:E,'Total Rushing Yards'!A:A,'Skill Pos Compiled'!A11))</f>
        <v>0</v>
      </c>
      <c r="F11" s="7">
        <f>IF(SUMIFS('Total Rushing Touchdowns'!B:B,'Total Rushing Touchdowns'!A:A,'Skill Pos Compiled'!A11)=0,SUMIFS('2022 Skill Pos Stats'!N:N,'2022 Skill Pos Stats'!A:A,'Skill Pos Compiled'!A11),SUMIFS('Total Rushing Touchdowns'!B:B,'Total Rushing Touchdowns'!A:A,'Skill Pos Compiled'!A11))</f>
        <v>0</v>
      </c>
      <c r="G11" s="7">
        <f>IF(SUMIFS('Total Receptions'!B:B,'Total Receptions'!A:A,'Skill Pos Compiled'!A11)=0,SUMIFS('2022 Skill Pos Stats'!O:O,'2022 Skill Pos Stats'!A:A,'Skill Pos Compiled'!A11),SUMIFS('Total Receptions'!B:B,'Total Receptions'!A:A,'Skill Pos Compiled'!A11))</f>
        <v>39.5</v>
      </c>
      <c r="H11" s="7">
        <f>IF(SUMIFS('Total Receiving Yards'!E:E,'Total Receiving Yards'!A:A,'Skill Pos Compiled'!A11)=0,SUMIFS('2022 Skill Pos Stats'!P:P,'2022 Skill Pos Stats'!A:A,'Skill Pos Compiled'!A11),SUMIFS('Total Receiving Yards'!E:E,'Total Receiving Yards'!A:A,'Skill Pos Compiled'!A11))</f>
        <v>375.5</v>
      </c>
      <c r="I11" s="7">
        <f>IF(SUMIFS('Total Receiving Touchdowns'!E:E,'Total Receiving Touchdowns'!A:A,'Skill Pos Compiled'!A11)=0,SUMIFS('2022 Skill Pos Stats'!Q:Q,'2022 Skill Pos Stats'!A:A,'Skill Pos Compiled'!A11),SUMIFS('Total Receiving Touchdowns'!E:E,'Total Receiving Touchdowns'!A:A,'Skill Pos Compiled'!A11))</f>
        <v>4.5</v>
      </c>
      <c r="J11" s="5">
        <f>_xlfn.XLOOKUP(E$1,Pt_System[Stat],Pt_System[Pts])*E11</f>
        <v>0</v>
      </c>
      <c r="K11" s="5">
        <f>_xlfn.XLOOKUP(F$1,Pt_System[Stat],Pt_System[Pts])*F11</f>
        <v>0</v>
      </c>
      <c r="L11" s="5">
        <f>_xlfn.XLOOKUP(G$1,Pt_System[Stat],Pt_System[Pts])*G11</f>
        <v>39.5</v>
      </c>
      <c r="M11" s="5">
        <f>_xlfn.XLOOKUP(H$1,Pt_System[Stat],Pt_System[Pts])*H11</f>
        <v>37.550000000000004</v>
      </c>
      <c r="N11" s="5">
        <f>_xlfn.XLOOKUP(I$1,Pt_System[Stat],Pt_System[Pts])*I11</f>
        <v>27</v>
      </c>
      <c r="O11" t="str">
        <f>IF(COUNTIFS('Total Rushing Yards'!A:A,'Skill Pos Compiled'!$A11)=1,"Vegas Odds","2022 Stats / Prediction")</f>
        <v>2022 Stats / Prediction</v>
      </c>
      <c r="P11" t="str">
        <f>IF(COUNTIFS('Total Rushing Touchdowns'!A:A,'Skill Pos Compiled'!$A11)=1,"Vegas Odds","2022 Stats / Prediction")</f>
        <v>2022 Stats / Prediction</v>
      </c>
      <c r="Q11" t="str">
        <f>IF(COUNTIFS('Total Receptions'!A:A,'Skill Pos Compiled'!$A11)=1,"Vegas Odds","2022 Stats / Prediction")</f>
        <v>Vegas Odds</v>
      </c>
      <c r="R11" t="str">
        <f>IF(COUNTIFS('Total Receiving Yards'!A:A,'Skill Pos Compiled'!$A11)=1,"Vegas Odds","2022 Stats / Prediction")</f>
        <v>Vegas Odds</v>
      </c>
      <c r="S11" t="str">
        <f>IF(COUNTIFS('Total Receiving Touchdowns'!A:A,'Skill Pos Compiled'!$A11)=1,"Vegas Odds","2022 Stats / Prediction")</f>
        <v>Vegas Odds</v>
      </c>
      <c r="T11" s="10" t="str">
        <f t="shared" si="4"/>
        <v>OK</v>
      </c>
    </row>
    <row r="12" spans="1:20" x14ac:dyDescent="0.25">
      <c r="A12" t="s">
        <v>118</v>
      </c>
      <c r="B12" t="str">
        <f>_xlfn.XLOOKUP(A12,ADP!A:A,ADP!B:B)</f>
        <v>TE</v>
      </c>
      <c r="C12" s="9">
        <f t="shared" si="2"/>
        <v>137.80000000000001</v>
      </c>
      <c r="D12" s="9">
        <f t="shared" si="3"/>
        <v>513</v>
      </c>
      <c r="E12" s="7">
        <f>IF(SUMIFS('Total Rushing Yards'!E:E,'Total Rushing Yards'!A:A,'Skill Pos Compiled'!A12)=0,SUMIFS('2022 Skill Pos Stats'!M:M,'2022 Skill Pos Stats'!A:A,'Skill Pos Compiled'!A12),SUMIFS('Total Rushing Yards'!E:E,'Total Rushing Yards'!A:A,'Skill Pos Compiled'!A12))</f>
        <v>0</v>
      </c>
      <c r="F12" s="7">
        <f>IF(SUMIFS('Total Rushing Touchdowns'!B:B,'Total Rushing Touchdowns'!A:A,'Skill Pos Compiled'!A12)=0,SUMIFS('2022 Skill Pos Stats'!N:N,'2022 Skill Pos Stats'!A:A,'Skill Pos Compiled'!A12),SUMIFS('Total Rushing Touchdowns'!B:B,'Total Rushing Touchdowns'!A:A,'Skill Pos Compiled'!A12))</f>
        <v>0</v>
      </c>
      <c r="G12" s="7">
        <f>IF(SUMIFS('Total Receptions'!B:B,'Total Receptions'!A:A,'Skill Pos Compiled'!A12)=0,SUMIFS('2022 Skill Pos Stats'!O:O,'2022 Skill Pos Stats'!A:A,'Skill Pos Compiled'!A12),SUMIFS('Total Receptions'!B:B,'Total Receptions'!A:A,'Skill Pos Compiled'!A12))</f>
        <v>52.5</v>
      </c>
      <c r="H12" s="7">
        <f>IF(SUMIFS('Total Receiving Yards'!E:E,'Total Receiving Yards'!A:A,'Skill Pos Compiled'!A12)=0,SUMIFS('2022 Skill Pos Stats'!P:P,'2022 Skill Pos Stats'!A:A,'Skill Pos Compiled'!A12),SUMIFS('Total Receiving Yards'!E:E,'Total Receiving Yards'!A:A,'Skill Pos Compiled'!A12))</f>
        <v>513</v>
      </c>
      <c r="I12" s="7">
        <f>IF(SUMIFS('Total Receiving Touchdowns'!E:E,'Total Receiving Touchdowns'!A:A,'Skill Pos Compiled'!A12)=0,SUMIFS('2022 Skill Pos Stats'!Q:Q,'2022 Skill Pos Stats'!A:A,'Skill Pos Compiled'!A12),SUMIFS('Total Receiving Touchdowns'!E:E,'Total Receiving Touchdowns'!A:A,'Skill Pos Compiled'!A12))</f>
        <v>5.6666666666666661</v>
      </c>
      <c r="J12" s="5">
        <f>_xlfn.XLOOKUP(E$1,Pt_System[Stat],Pt_System[Pts])*E12</f>
        <v>0</v>
      </c>
      <c r="K12" s="5">
        <f>_xlfn.XLOOKUP(F$1,Pt_System[Stat],Pt_System[Pts])*F12</f>
        <v>0</v>
      </c>
      <c r="L12" s="5">
        <f>_xlfn.XLOOKUP(G$1,Pt_System[Stat],Pt_System[Pts])*G12</f>
        <v>52.5</v>
      </c>
      <c r="M12" s="5">
        <f>_xlfn.XLOOKUP(H$1,Pt_System[Stat],Pt_System[Pts])*H12</f>
        <v>51.300000000000004</v>
      </c>
      <c r="N12" s="5">
        <f>_xlfn.XLOOKUP(I$1,Pt_System[Stat],Pt_System[Pts])*I12</f>
        <v>34</v>
      </c>
      <c r="O12" t="str">
        <f>IF(COUNTIFS('Total Rushing Yards'!A:A,'Skill Pos Compiled'!$A12)=1,"Vegas Odds","2022 Stats / Prediction")</f>
        <v>2022 Stats / Prediction</v>
      </c>
      <c r="P12" t="str">
        <f>IF(COUNTIFS('Total Rushing Touchdowns'!A:A,'Skill Pos Compiled'!$A12)=1,"Vegas Odds","2022 Stats / Prediction")</f>
        <v>2022 Stats / Prediction</v>
      </c>
      <c r="Q12" t="str">
        <f>IF(COUNTIFS('Total Receptions'!A:A,'Skill Pos Compiled'!$A12)=1,"Vegas Odds","2022 Stats / Prediction")</f>
        <v>Vegas Odds</v>
      </c>
      <c r="R12" t="str">
        <f>IF(COUNTIFS('Total Receiving Yards'!A:A,'Skill Pos Compiled'!$A12)=1,"Vegas Odds","2022 Stats / Prediction")</f>
        <v>Vegas Odds</v>
      </c>
      <c r="S12" t="str">
        <f>IF(COUNTIFS('Total Receiving Touchdowns'!A:A,'Skill Pos Compiled'!$A12)=1,"Vegas Odds","2022 Stats / Prediction")</f>
        <v>2022 Stats / Prediction</v>
      </c>
      <c r="T12" s="10" t="str">
        <f t="shared" si="4"/>
        <v>Unpredictable</v>
      </c>
    </row>
    <row r="13" spans="1:20" x14ac:dyDescent="0.25">
      <c r="A13" t="s">
        <v>23</v>
      </c>
      <c r="B13" t="str">
        <f>_xlfn.XLOOKUP(A13,ADP!A:A,ADP!B:B)</f>
        <v>TE</v>
      </c>
      <c r="C13" s="9">
        <f t="shared" si="2"/>
        <v>124.05000000000001</v>
      </c>
      <c r="D13" s="9">
        <f t="shared" si="3"/>
        <v>525.5</v>
      </c>
      <c r="E13" s="7">
        <f>IF(SUMIFS('Total Rushing Yards'!E:E,'Total Rushing Yards'!A:A,'Skill Pos Compiled'!A13)=0,SUMIFS('2022 Skill Pos Stats'!M:M,'2022 Skill Pos Stats'!A:A,'Skill Pos Compiled'!A13),SUMIFS('Total Rushing Yards'!E:E,'Total Rushing Yards'!A:A,'Skill Pos Compiled'!A13))</f>
        <v>0</v>
      </c>
      <c r="F13" s="7">
        <f>IF(SUMIFS('Total Rushing Touchdowns'!B:B,'Total Rushing Touchdowns'!A:A,'Skill Pos Compiled'!A13)=0,SUMIFS('2022 Skill Pos Stats'!N:N,'2022 Skill Pos Stats'!A:A,'Skill Pos Compiled'!A13),SUMIFS('Total Rushing Touchdowns'!B:B,'Total Rushing Touchdowns'!A:A,'Skill Pos Compiled'!A13))</f>
        <v>0</v>
      </c>
      <c r="G13" s="7">
        <f>IF(SUMIFS('Total Receptions'!B:B,'Total Receptions'!A:A,'Skill Pos Compiled'!A13)=0,SUMIFS('2022 Skill Pos Stats'!O:O,'2022 Skill Pos Stats'!A:A,'Skill Pos Compiled'!A13),SUMIFS('Total Receptions'!B:B,'Total Receptions'!A:A,'Skill Pos Compiled'!A13))</f>
        <v>50.5</v>
      </c>
      <c r="H13" s="7">
        <f>IF(SUMIFS('Total Receiving Yards'!E:E,'Total Receiving Yards'!A:A,'Skill Pos Compiled'!A13)=0,SUMIFS('2022 Skill Pos Stats'!P:P,'2022 Skill Pos Stats'!A:A,'Skill Pos Compiled'!A13),SUMIFS('Total Receiving Yards'!E:E,'Total Receiving Yards'!A:A,'Skill Pos Compiled'!A13))</f>
        <v>525.5</v>
      </c>
      <c r="I13" s="7">
        <f>IF(SUMIFS('Total Receiving Touchdowns'!E:E,'Total Receiving Touchdowns'!A:A,'Skill Pos Compiled'!A13)=0,SUMIFS('2022 Skill Pos Stats'!Q:Q,'2022 Skill Pos Stats'!A:A,'Skill Pos Compiled'!A13),SUMIFS('Total Receiving Touchdowns'!E:E,'Total Receiving Touchdowns'!A:A,'Skill Pos Compiled'!A13))</f>
        <v>3.5</v>
      </c>
      <c r="J13" s="5">
        <f>_xlfn.XLOOKUP(E$1,Pt_System[Stat],Pt_System[Pts])*E13</f>
        <v>0</v>
      </c>
      <c r="K13" s="5">
        <f>_xlfn.XLOOKUP(F$1,Pt_System[Stat],Pt_System[Pts])*F13</f>
        <v>0</v>
      </c>
      <c r="L13" s="5">
        <f>_xlfn.XLOOKUP(G$1,Pt_System[Stat],Pt_System[Pts])*G13</f>
        <v>50.5</v>
      </c>
      <c r="M13" s="5">
        <f>_xlfn.XLOOKUP(H$1,Pt_System[Stat],Pt_System[Pts])*H13</f>
        <v>52.550000000000004</v>
      </c>
      <c r="N13" s="5">
        <f>_xlfn.XLOOKUP(I$1,Pt_System[Stat],Pt_System[Pts])*I13</f>
        <v>21</v>
      </c>
      <c r="O13" t="str">
        <f>IF(COUNTIFS('Total Rushing Yards'!A:A,'Skill Pos Compiled'!$A13)=1,"Vegas Odds","2022 Stats / Prediction")</f>
        <v>2022 Stats / Prediction</v>
      </c>
      <c r="P13" t="str">
        <f>IF(COUNTIFS('Total Rushing Touchdowns'!A:A,'Skill Pos Compiled'!$A13)=1,"Vegas Odds","2022 Stats / Prediction")</f>
        <v>2022 Stats / Prediction</v>
      </c>
      <c r="Q13" t="str">
        <f>IF(COUNTIFS('Total Receptions'!A:A,'Skill Pos Compiled'!$A13)=1,"Vegas Odds","2022 Stats / Prediction")</f>
        <v>Vegas Odds</v>
      </c>
      <c r="R13" t="str">
        <f>IF(COUNTIFS('Total Receiving Yards'!A:A,'Skill Pos Compiled'!$A13)=1,"Vegas Odds","2022 Stats / Prediction")</f>
        <v>Vegas Odds</v>
      </c>
      <c r="S13" t="str">
        <f>IF(COUNTIFS('Total Receiving Touchdowns'!A:A,'Skill Pos Compiled'!$A13)=1,"Vegas Odds","2022 Stats / Prediction")</f>
        <v>Vegas Odds</v>
      </c>
      <c r="T13" s="10" t="str">
        <f t="shared" si="4"/>
        <v>OK</v>
      </c>
    </row>
    <row r="14" spans="1:20" x14ac:dyDescent="0.25">
      <c r="A14" t="s">
        <v>119</v>
      </c>
      <c r="B14" t="str">
        <f>_xlfn.XLOOKUP(A14,ADP!A:A,ADP!B:B)</f>
        <v>TE</v>
      </c>
      <c r="C14" s="9">
        <f t="shared" si="2"/>
        <v>134.4</v>
      </c>
      <c r="D14" s="9">
        <f t="shared" si="3"/>
        <v>613</v>
      </c>
      <c r="E14" s="7">
        <f>IF(SUMIFS('Total Rushing Yards'!E:E,'Total Rushing Yards'!A:A,'Skill Pos Compiled'!A14)=0,SUMIFS('2022 Skill Pos Stats'!M:M,'2022 Skill Pos Stats'!A:A,'Skill Pos Compiled'!A14),SUMIFS('Total Rushing Yards'!E:E,'Total Rushing Yards'!A:A,'Skill Pos Compiled'!A14))</f>
        <v>0</v>
      </c>
      <c r="F14" s="7">
        <f>IF(SUMIFS('Total Rushing Touchdowns'!B:B,'Total Rushing Touchdowns'!A:A,'Skill Pos Compiled'!A14)=0,SUMIFS('2022 Skill Pos Stats'!N:N,'2022 Skill Pos Stats'!A:A,'Skill Pos Compiled'!A14),SUMIFS('Total Rushing Touchdowns'!B:B,'Total Rushing Touchdowns'!A:A,'Skill Pos Compiled'!A14))</f>
        <v>0</v>
      </c>
      <c r="G14" s="7">
        <f>IF(SUMIFS('Total Receptions'!B:B,'Total Receptions'!A:A,'Skill Pos Compiled'!A14)=0,SUMIFS('2022 Skill Pos Stats'!O:O,'2022 Skill Pos Stats'!A:A,'Skill Pos Compiled'!A14),SUMIFS('Total Receptions'!B:B,'Total Receptions'!A:A,'Skill Pos Compiled'!A14))</f>
        <v>59.5</v>
      </c>
      <c r="H14" s="7">
        <f>IF(SUMIFS('Total Receiving Yards'!E:E,'Total Receiving Yards'!A:A,'Skill Pos Compiled'!A14)=0,SUMIFS('2022 Skill Pos Stats'!P:P,'2022 Skill Pos Stats'!A:A,'Skill Pos Compiled'!A14),SUMIFS('Total Receiving Yards'!E:E,'Total Receiving Yards'!A:A,'Skill Pos Compiled'!A14))</f>
        <v>613</v>
      </c>
      <c r="I14" s="7">
        <f>IF(SUMIFS('Total Receiving Touchdowns'!E:E,'Total Receiving Touchdowns'!A:A,'Skill Pos Compiled'!A14)=0,SUMIFS('2022 Skill Pos Stats'!Q:Q,'2022 Skill Pos Stats'!A:A,'Skill Pos Compiled'!A14),SUMIFS('Total Receiving Touchdowns'!E:E,'Total Receiving Touchdowns'!A:A,'Skill Pos Compiled'!A14))</f>
        <v>2.2666666666666666</v>
      </c>
      <c r="J14" s="5">
        <f>_xlfn.XLOOKUP(E$1,Pt_System[Stat],Pt_System[Pts])*E14</f>
        <v>0</v>
      </c>
      <c r="K14" s="5">
        <f>_xlfn.XLOOKUP(F$1,Pt_System[Stat],Pt_System[Pts])*F14</f>
        <v>0</v>
      </c>
      <c r="L14" s="5">
        <f>_xlfn.XLOOKUP(G$1,Pt_System[Stat],Pt_System[Pts])*G14</f>
        <v>59.5</v>
      </c>
      <c r="M14" s="5">
        <f>_xlfn.XLOOKUP(H$1,Pt_System[Stat],Pt_System[Pts])*H14</f>
        <v>61.300000000000004</v>
      </c>
      <c r="N14" s="5">
        <f>_xlfn.XLOOKUP(I$1,Pt_System[Stat],Pt_System[Pts])*I14</f>
        <v>13.6</v>
      </c>
      <c r="O14" t="str">
        <f>IF(COUNTIFS('Total Rushing Yards'!A:A,'Skill Pos Compiled'!$A14)=1,"Vegas Odds","2022 Stats / Prediction")</f>
        <v>2022 Stats / Prediction</v>
      </c>
      <c r="P14" t="str">
        <f>IF(COUNTIFS('Total Rushing Touchdowns'!A:A,'Skill Pos Compiled'!$A14)=1,"Vegas Odds","2022 Stats / Prediction")</f>
        <v>2022 Stats / Prediction</v>
      </c>
      <c r="Q14" t="str">
        <f>IF(COUNTIFS('Total Receptions'!A:A,'Skill Pos Compiled'!$A14)=1,"Vegas Odds","2022 Stats / Prediction")</f>
        <v>Vegas Odds</v>
      </c>
      <c r="R14" t="str">
        <f>IF(COUNTIFS('Total Receiving Yards'!A:A,'Skill Pos Compiled'!$A14)=1,"Vegas Odds","2022 Stats / Prediction")</f>
        <v>Vegas Odds</v>
      </c>
      <c r="S14" t="str">
        <f>IF(COUNTIFS('Total Receiving Touchdowns'!A:A,'Skill Pos Compiled'!$A14)=1,"Vegas Odds","2022 Stats / Prediction")</f>
        <v>2022 Stats / Prediction</v>
      </c>
      <c r="T14" s="10" t="str">
        <f t="shared" si="4"/>
        <v>Unpredictable</v>
      </c>
    </row>
    <row r="15" spans="1:20" x14ac:dyDescent="0.25">
      <c r="A15" t="s">
        <v>9</v>
      </c>
      <c r="B15" t="str">
        <f>_xlfn.XLOOKUP(A15,ADP!A:A,ADP!B:B)</f>
        <v>TE</v>
      </c>
      <c r="C15" s="9">
        <f t="shared" si="2"/>
        <v>134.55000000000001</v>
      </c>
      <c r="D15" s="9">
        <f t="shared" si="3"/>
        <v>500.5</v>
      </c>
      <c r="E15" s="7">
        <f>IF(SUMIFS('Total Rushing Yards'!E:E,'Total Rushing Yards'!A:A,'Skill Pos Compiled'!A15)=0,SUMIFS('2022 Skill Pos Stats'!M:M,'2022 Skill Pos Stats'!A:A,'Skill Pos Compiled'!A15),SUMIFS('Total Rushing Yards'!E:E,'Total Rushing Yards'!A:A,'Skill Pos Compiled'!A15))</f>
        <v>0</v>
      </c>
      <c r="F15" s="7">
        <f>IF(SUMIFS('Total Rushing Touchdowns'!B:B,'Total Rushing Touchdowns'!A:A,'Skill Pos Compiled'!A15)=0,SUMIFS('2022 Skill Pos Stats'!N:N,'2022 Skill Pos Stats'!A:A,'Skill Pos Compiled'!A15),SUMIFS('Total Rushing Touchdowns'!B:B,'Total Rushing Touchdowns'!A:A,'Skill Pos Compiled'!A15))</f>
        <v>0</v>
      </c>
      <c r="G15" s="7">
        <f>IF(SUMIFS('Total Receptions'!B:B,'Total Receptions'!A:A,'Skill Pos Compiled'!A15)=0,SUMIFS('2022 Skill Pos Stats'!O:O,'2022 Skill Pos Stats'!A:A,'Skill Pos Compiled'!A15),SUMIFS('Total Receptions'!B:B,'Total Receptions'!A:A,'Skill Pos Compiled'!A15))</f>
        <v>57.5</v>
      </c>
      <c r="H15" s="7">
        <f>IF(SUMIFS('Total Receiving Yards'!E:E,'Total Receiving Yards'!A:A,'Skill Pos Compiled'!A15)=0,SUMIFS('2022 Skill Pos Stats'!P:P,'2022 Skill Pos Stats'!A:A,'Skill Pos Compiled'!A15),SUMIFS('Total Receiving Yards'!E:E,'Total Receiving Yards'!A:A,'Skill Pos Compiled'!A15))</f>
        <v>500.5</v>
      </c>
      <c r="I15" s="7">
        <f>IF(SUMIFS('Total Receiving Touchdowns'!E:E,'Total Receiving Touchdowns'!A:A,'Skill Pos Compiled'!A15)=0,SUMIFS('2022 Skill Pos Stats'!Q:Q,'2022 Skill Pos Stats'!A:A,'Skill Pos Compiled'!A15),SUMIFS('Total Receiving Touchdowns'!E:E,'Total Receiving Touchdowns'!A:A,'Skill Pos Compiled'!A15))</f>
        <v>4.5</v>
      </c>
      <c r="J15" s="5">
        <f>_xlfn.XLOOKUP(E$1,Pt_System[Stat],Pt_System[Pts])*E15</f>
        <v>0</v>
      </c>
      <c r="K15" s="5">
        <f>_xlfn.XLOOKUP(F$1,Pt_System[Stat],Pt_System[Pts])*F15</f>
        <v>0</v>
      </c>
      <c r="L15" s="5">
        <f>_xlfn.XLOOKUP(G$1,Pt_System[Stat],Pt_System[Pts])*G15</f>
        <v>57.5</v>
      </c>
      <c r="M15" s="5">
        <f>_xlfn.XLOOKUP(H$1,Pt_System[Stat],Pt_System[Pts])*H15</f>
        <v>50.050000000000004</v>
      </c>
      <c r="N15" s="5">
        <f>_xlfn.XLOOKUP(I$1,Pt_System[Stat],Pt_System[Pts])*I15</f>
        <v>27</v>
      </c>
      <c r="O15" t="str">
        <f>IF(COUNTIFS('Total Rushing Yards'!A:A,'Skill Pos Compiled'!$A15)=1,"Vegas Odds","2022 Stats / Prediction")</f>
        <v>2022 Stats / Prediction</v>
      </c>
      <c r="P15" t="str">
        <f>IF(COUNTIFS('Total Rushing Touchdowns'!A:A,'Skill Pos Compiled'!$A15)=1,"Vegas Odds","2022 Stats / Prediction")</f>
        <v>2022 Stats / Prediction</v>
      </c>
      <c r="Q15" t="str">
        <f>IF(COUNTIFS('Total Receptions'!A:A,'Skill Pos Compiled'!$A15)=1,"Vegas Odds","2022 Stats / Prediction")</f>
        <v>Vegas Odds</v>
      </c>
      <c r="R15" t="str">
        <f>IF(COUNTIFS('Total Receiving Yards'!A:A,'Skill Pos Compiled'!$A15)=1,"Vegas Odds","2022 Stats / Prediction")</f>
        <v>Vegas Odds</v>
      </c>
      <c r="S15" t="str">
        <f>IF(COUNTIFS('Total Receiving Touchdowns'!A:A,'Skill Pos Compiled'!$A15)=1,"Vegas Odds","2022 Stats / Prediction")</f>
        <v>Vegas Odds</v>
      </c>
      <c r="T15" s="10" t="str">
        <f t="shared" si="4"/>
        <v>OK</v>
      </c>
    </row>
    <row r="16" spans="1:20" x14ac:dyDescent="0.25">
      <c r="A16" t="s">
        <v>243</v>
      </c>
      <c r="B16" t="s">
        <v>411</v>
      </c>
      <c r="C16" s="9">
        <f t="shared" si="2"/>
        <v>132.03333333333333</v>
      </c>
      <c r="D16" s="9">
        <f t="shared" si="3"/>
        <v>561</v>
      </c>
      <c r="E16" s="7">
        <f>IF(SUMIFS('Total Rushing Yards'!E:E,'Total Rushing Yards'!A:A,'Skill Pos Compiled'!A16)=0,SUMIFS('2022 Skill Pos Stats'!M:M,'2022 Skill Pos Stats'!A:A,'Skill Pos Compiled'!A16),SUMIFS('Total Rushing Yards'!E:E,'Total Rushing Yards'!A:A,'Skill Pos Compiled'!A16))</f>
        <v>0</v>
      </c>
      <c r="F16" s="7">
        <f>IF(SUMIFS('Total Rushing Touchdowns'!B:B,'Total Rushing Touchdowns'!A:A,'Skill Pos Compiled'!A16)=0,SUMIFS('2022 Skill Pos Stats'!N:N,'2022 Skill Pos Stats'!A:A,'Skill Pos Compiled'!A16),SUMIFS('Total Rushing Touchdowns'!B:B,'Total Rushing Touchdowns'!A:A,'Skill Pos Compiled'!A16))</f>
        <v>0</v>
      </c>
      <c r="G16" s="7">
        <f>IF(SUMIFS('Total Receptions'!B:B,'Total Receptions'!A:A,'Skill Pos Compiled'!A16)=0,SUMIFS('2022 Skill Pos Stats'!O:O,'2022 Skill Pos Stats'!A:A,'Skill Pos Compiled'!A16),SUMIFS('Total Receptions'!B:B,'Total Receptions'!A:A,'Skill Pos Compiled'!A16))</f>
        <v>41.93333333333333</v>
      </c>
      <c r="H16" s="7">
        <f>IF(SUMIFS('Total Receiving Yards'!E:E,'Total Receiving Yards'!A:A,'Skill Pos Compiled'!A16)=0,SUMIFS('2022 Skill Pos Stats'!P:P,'2022 Skill Pos Stats'!A:A,'Skill Pos Compiled'!A16),SUMIFS('Total Receiving Yards'!E:E,'Total Receiving Yards'!A:A,'Skill Pos Compiled'!A16))</f>
        <v>561</v>
      </c>
      <c r="I16" s="7">
        <f>IF(SUMIFS('Total Receiving Touchdowns'!E:E,'Total Receiving Touchdowns'!A:A,'Skill Pos Compiled'!A16)=0,SUMIFS('2022 Skill Pos Stats'!Q:Q,'2022 Skill Pos Stats'!A:A,'Skill Pos Compiled'!A16),SUMIFS('Total Receiving Touchdowns'!E:E,'Total Receiving Touchdowns'!A:A,'Skill Pos Compiled'!A16))</f>
        <v>5.6666666666666661</v>
      </c>
      <c r="J16" s="5">
        <f>_xlfn.XLOOKUP(E$1,Pt_System[Stat],Pt_System[Pts])*E16</f>
        <v>0</v>
      </c>
      <c r="K16" s="5">
        <f>_xlfn.XLOOKUP(F$1,Pt_System[Stat],Pt_System[Pts])*F16</f>
        <v>0</v>
      </c>
      <c r="L16" s="5">
        <f>_xlfn.XLOOKUP(G$1,Pt_System[Stat],Pt_System[Pts])*G16</f>
        <v>41.93333333333333</v>
      </c>
      <c r="M16" s="5">
        <f>_xlfn.XLOOKUP(H$1,Pt_System[Stat],Pt_System[Pts])*H16</f>
        <v>56.1</v>
      </c>
      <c r="N16" s="5">
        <f>_xlfn.XLOOKUP(I$1,Pt_System[Stat],Pt_System[Pts])*I16</f>
        <v>34</v>
      </c>
      <c r="O16" t="str">
        <f>IF(COUNTIFS('Total Rushing Yards'!A:A,'Skill Pos Compiled'!$A16)=1,"Vegas Odds","2022 Stats / Prediction")</f>
        <v>2022 Stats / Prediction</v>
      </c>
      <c r="P16" t="str">
        <f>IF(COUNTIFS('Total Rushing Touchdowns'!A:A,'Skill Pos Compiled'!$A16)=1,"Vegas Odds","2022 Stats / Prediction")</f>
        <v>2022 Stats / Prediction</v>
      </c>
      <c r="Q16" t="str">
        <f>IF(COUNTIFS('Total Receptions'!A:A,'Skill Pos Compiled'!$A16)=1,"Vegas Odds","2022 Stats / Prediction")</f>
        <v>2022 Stats / Prediction</v>
      </c>
      <c r="R16" t="str">
        <f>IF(COUNTIFS('Total Receiving Yards'!A:A,'Skill Pos Compiled'!$A16)=1,"Vegas Odds","2022 Stats / Prediction")</f>
        <v>2022 Stats / Prediction</v>
      </c>
      <c r="S16" t="str">
        <f>IF(COUNTIFS('Total Receiving Touchdowns'!A:A,'Skill Pos Compiled'!$A16)=1,"Vegas Odds","2022 Stats / Prediction")</f>
        <v>2022 Stats / Prediction</v>
      </c>
      <c r="T16" s="10" t="str">
        <f t="shared" si="4"/>
        <v>Unpredictable</v>
      </c>
    </row>
    <row r="17" spans="1:20" x14ac:dyDescent="0.25">
      <c r="A17" t="s">
        <v>244</v>
      </c>
      <c r="B17" t="str">
        <f>_xlfn.XLOOKUP(A17,ADP!A:A,ADP!B:B)</f>
        <v>TE</v>
      </c>
      <c r="C17" s="9">
        <f t="shared" si="2"/>
        <v>155.83333333333331</v>
      </c>
      <c r="D17" s="9">
        <f t="shared" si="3"/>
        <v>629</v>
      </c>
      <c r="E17" s="7">
        <f>IF(SUMIFS('Total Rushing Yards'!E:E,'Total Rushing Yards'!A:A,'Skill Pos Compiled'!A17)=0,SUMIFS('2022 Skill Pos Stats'!M:M,'2022 Skill Pos Stats'!A:A,'Skill Pos Compiled'!A17),SUMIFS('Total Rushing Yards'!E:E,'Total Rushing Yards'!A:A,'Skill Pos Compiled'!A17))</f>
        <v>0</v>
      </c>
      <c r="F17" s="7">
        <f>IF(SUMIFS('Total Rushing Touchdowns'!B:B,'Total Rushing Touchdowns'!A:A,'Skill Pos Compiled'!A17)=0,SUMIFS('2022 Skill Pos Stats'!N:N,'2022 Skill Pos Stats'!A:A,'Skill Pos Compiled'!A17),SUMIFS('Total Rushing Touchdowns'!B:B,'Total Rushing Touchdowns'!A:A,'Skill Pos Compiled'!A17))</f>
        <v>0</v>
      </c>
      <c r="G17" s="7">
        <f>IF(SUMIFS('Total Receptions'!B:B,'Total Receptions'!A:A,'Skill Pos Compiled'!A17)=0,SUMIFS('2022 Skill Pos Stats'!O:O,'2022 Skill Pos Stats'!A:A,'Skill Pos Compiled'!A17),SUMIFS('Total Receptions'!B:B,'Total Receptions'!A:A,'Skill Pos Compiled'!A17))</f>
        <v>65.733333333333334</v>
      </c>
      <c r="H17" s="7">
        <f>IF(SUMIFS('Total Receiving Yards'!E:E,'Total Receiving Yards'!A:A,'Skill Pos Compiled'!A17)=0,SUMIFS('2022 Skill Pos Stats'!P:P,'2022 Skill Pos Stats'!A:A,'Skill Pos Compiled'!A17),SUMIFS('Total Receiving Yards'!E:E,'Total Receiving Yards'!A:A,'Skill Pos Compiled'!A17))</f>
        <v>629</v>
      </c>
      <c r="I17" s="7">
        <f>IF(SUMIFS('Total Receiving Touchdowns'!E:E,'Total Receiving Touchdowns'!A:A,'Skill Pos Compiled'!A17)=0,SUMIFS('2022 Skill Pos Stats'!Q:Q,'2022 Skill Pos Stats'!A:A,'Skill Pos Compiled'!A17),SUMIFS('Total Receiving Touchdowns'!E:E,'Total Receiving Touchdowns'!A:A,'Skill Pos Compiled'!A17))</f>
        <v>4.5333333333333332</v>
      </c>
      <c r="J17" s="5">
        <f>_xlfn.XLOOKUP(E$1,Pt_System[Stat],Pt_System[Pts])*E17</f>
        <v>0</v>
      </c>
      <c r="K17" s="5">
        <f>_xlfn.XLOOKUP(F$1,Pt_System[Stat],Pt_System[Pts])*F17</f>
        <v>0</v>
      </c>
      <c r="L17" s="5">
        <f>_xlfn.XLOOKUP(G$1,Pt_System[Stat],Pt_System[Pts])*G17</f>
        <v>65.733333333333334</v>
      </c>
      <c r="M17" s="5">
        <f>_xlfn.XLOOKUP(H$1,Pt_System[Stat],Pt_System[Pts])*H17</f>
        <v>62.900000000000006</v>
      </c>
      <c r="N17" s="5">
        <f>_xlfn.XLOOKUP(I$1,Pt_System[Stat],Pt_System[Pts])*I17</f>
        <v>27.2</v>
      </c>
      <c r="O17" t="str">
        <f>IF(COUNTIFS('Total Rushing Yards'!A:A,'Skill Pos Compiled'!$A17)=1,"Vegas Odds","2022 Stats / Prediction")</f>
        <v>2022 Stats / Prediction</v>
      </c>
      <c r="P17" t="str">
        <f>IF(COUNTIFS('Total Rushing Touchdowns'!A:A,'Skill Pos Compiled'!$A17)=1,"Vegas Odds","2022 Stats / Prediction")</f>
        <v>2022 Stats / Prediction</v>
      </c>
      <c r="Q17" t="str">
        <f>IF(COUNTIFS('Total Receptions'!A:A,'Skill Pos Compiled'!$A17)=1,"Vegas Odds","2022 Stats / Prediction")</f>
        <v>2022 Stats / Prediction</v>
      </c>
      <c r="R17" t="str">
        <f>IF(COUNTIFS('Total Receiving Yards'!A:A,'Skill Pos Compiled'!$A17)=1,"Vegas Odds","2022 Stats / Prediction")</f>
        <v>2022 Stats / Prediction</v>
      </c>
      <c r="S17" t="str">
        <f>IF(COUNTIFS('Total Receiving Touchdowns'!A:A,'Skill Pos Compiled'!$A17)=1,"Vegas Odds","2022 Stats / Prediction")</f>
        <v>2022 Stats / Prediction</v>
      </c>
      <c r="T17" s="10" t="str">
        <f t="shared" si="4"/>
        <v>Unpredictable</v>
      </c>
    </row>
    <row r="18" spans="1:20" x14ac:dyDescent="0.25">
      <c r="A18" t="s">
        <v>245</v>
      </c>
      <c r="B18" t="str">
        <f>_xlfn.XLOOKUP(A18,ADP!A:A,ADP!B:B)</f>
        <v>TE</v>
      </c>
      <c r="C18" s="9">
        <f t="shared" si="2"/>
        <v>131.19999999999999</v>
      </c>
      <c r="D18" s="9">
        <f t="shared" si="3"/>
        <v>552</v>
      </c>
      <c r="E18" s="7">
        <f>IF(SUMIFS('Total Rushing Yards'!E:E,'Total Rushing Yards'!A:A,'Skill Pos Compiled'!A18)=0,SUMIFS('2022 Skill Pos Stats'!M:M,'2022 Skill Pos Stats'!A:A,'Skill Pos Compiled'!A18),SUMIFS('Total Rushing Yards'!E:E,'Total Rushing Yards'!A:A,'Skill Pos Compiled'!A18))</f>
        <v>0</v>
      </c>
      <c r="F18" s="7">
        <f>IF(SUMIFS('Total Rushing Touchdowns'!B:B,'Total Rushing Touchdowns'!A:A,'Skill Pos Compiled'!A18)=0,SUMIFS('2022 Skill Pos Stats'!N:N,'2022 Skill Pos Stats'!A:A,'Skill Pos Compiled'!A18),SUMIFS('Total Rushing Touchdowns'!B:B,'Total Rushing Touchdowns'!A:A,'Skill Pos Compiled'!A18))</f>
        <v>0</v>
      </c>
      <c r="G18" s="7">
        <f>IF(SUMIFS('Total Receptions'!B:B,'Total Receptions'!A:A,'Skill Pos Compiled'!A18)=0,SUMIFS('2022 Skill Pos Stats'!O:O,'2022 Skill Pos Stats'!A:A,'Skill Pos Compiled'!A18),SUMIFS('Total Receptions'!B:B,'Total Receptions'!A:A,'Skill Pos Compiled'!A18))</f>
        <v>58</v>
      </c>
      <c r="H18" s="7">
        <f>IF(SUMIFS('Total Receiving Yards'!E:E,'Total Receiving Yards'!A:A,'Skill Pos Compiled'!A18)=0,SUMIFS('2022 Skill Pos Stats'!P:P,'2022 Skill Pos Stats'!A:A,'Skill Pos Compiled'!A18),SUMIFS('Total Receiving Yards'!E:E,'Total Receiving Yards'!A:A,'Skill Pos Compiled'!A18))</f>
        <v>552</v>
      </c>
      <c r="I18" s="7">
        <f>IF(SUMIFS('Total Receiving Touchdowns'!E:E,'Total Receiving Touchdowns'!A:A,'Skill Pos Compiled'!A18)=0,SUMIFS('2022 Skill Pos Stats'!Q:Q,'2022 Skill Pos Stats'!A:A,'Skill Pos Compiled'!A18),SUMIFS('Total Receiving Touchdowns'!E:E,'Total Receiving Touchdowns'!A:A,'Skill Pos Compiled'!A18))</f>
        <v>3</v>
      </c>
      <c r="J18" s="5">
        <f>_xlfn.XLOOKUP(E$1,Pt_System[Stat],Pt_System[Pts])*E18</f>
        <v>0</v>
      </c>
      <c r="K18" s="5">
        <f>_xlfn.XLOOKUP(F$1,Pt_System[Stat],Pt_System[Pts])*F18</f>
        <v>0</v>
      </c>
      <c r="L18" s="5">
        <f>_xlfn.XLOOKUP(G$1,Pt_System[Stat],Pt_System[Pts])*G18</f>
        <v>58</v>
      </c>
      <c r="M18" s="5">
        <f>_xlfn.XLOOKUP(H$1,Pt_System[Stat],Pt_System[Pts])*H18</f>
        <v>55.2</v>
      </c>
      <c r="N18" s="5">
        <f>_xlfn.XLOOKUP(I$1,Pt_System[Stat],Pt_System[Pts])*I18</f>
        <v>18</v>
      </c>
      <c r="O18" t="str">
        <f>IF(COUNTIFS('Total Rushing Yards'!A:A,'Skill Pos Compiled'!$A18)=1,"Vegas Odds","2022 Stats / Prediction")</f>
        <v>2022 Stats / Prediction</v>
      </c>
      <c r="P18" t="str">
        <f>IF(COUNTIFS('Total Rushing Touchdowns'!A:A,'Skill Pos Compiled'!$A18)=1,"Vegas Odds","2022 Stats / Prediction")</f>
        <v>2022 Stats / Prediction</v>
      </c>
      <c r="Q18" t="str">
        <f>IF(COUNTIFS('Total Receptions'!A:A,'Skill Pos Compiled'!$A18)=1,"Vegas Odds","2022 Stats / Prediction")</f>
        <v>2022 Stats / Prediction</v>
      </c>
      <c r="R18" t="str">
        <f>IF(COUNTIFS('Total Receiving Yards'!A:A,'Skill Pos Compiled'!$A18)=1,"Vegas Odds","2022 Stats / Prediction")</f>
        <v>2022 Stats / Prediction</v>
      </c>
      <c r="S18" t="str">
        <f>IF(COUNTIFS('Total Receiving Touchdowns'!A:A,'Skill Pos Compiled'!$A18)=1,"Vegas Odds","2022 Stats / Prediction")</f>
        <v>2022 Stats / Prediction</v>
      </c>
      <c r="T18" s="10" t="str">
        <f t="shared" si="4"/>
        <v>Unpredictable</v>
      </c>
    </row>
    <row r="19" spans="1:20" x14ac:dyDescent="0.25">
      <c r="A19" t="s">
        <v>246</v>
      </c>
      <c r="B19" t="str">
        <f>_xlfn.XLOOKUP(A19,ADP!A:A,ADP!B:B)</f>
        <v>TE</v>
      </c>
      <c r="C19" s="9">
        <f t="shared" si="2"/>
        <v>122.6</v>
      </c>
      <c r="D19" s="9">
        <f t="shared" si="3"/>
        <v>486</v>
      </c>
      <c r="E19" s="7">
        <f>IF(SUMIFS('Total Rushing Yards'!E:E,'Total Rushing Yards'!A:A,'Skill Pos Compiled'!A19)=0,SUMIFS('2022 Skill Pos Stats'!M:M,'2022 Skill Pos Stats'!A:A,'Skill Pos Compiled'!A19),SUMIFS('Total Rushing Yards'!E:E,'Total Rushing Yards'!A:A,'Skill Pos Compiled'!A19))</f>
        <v>0</v>
      </c>
      <c r="F19" s="7">
        <f>IF(SUMIFS('Total Rushing Touchdowns'!B:B,'Total Rushing Touchdowns'!A:A,'Skill Pos Compiled'!A19)=0,SUMIFS('2022 Skill Pos Stats'!N:N,'2022 Skill Pos Stats'!A:A,'Skill Pos Compiled'!A19),SUMIFS('Total Rushing Touchdowns'!B:B,'Total Rushing Touchdowns'!A:A,'Skill Pos Compiled'!A19))</f>
        <v>0</v>
      </c>
      <c r="G19" s="7">
        <f>IF(SUMIFS('Total Receptions'!B:B,'Total Receptions'!A:A,'Skill Pos Compiled'!A19)=0,SUMIFS('2022 Skill Pos Stats'!O:O,'2022 Skill Pos Stats'!A:A,'Skill Pos Compiled'!A19),SUMIFS('Total Receptions'!B:B,'Total Receptions'!A:A,'Skill Pos Compiled'!A19))</f>
        <v>50</v>
      </c>
      <c r="H19" s="7">
        <f>IF(SUMIFS('Total Receiving Yards'!E:E,'Total Receiving Yards'!A:A,'Skill Pos Compiled'!A19)=0,SUMIFS('2022 Skill Pos Stats'!P:P,'2022 Skill Pos Stats'!A:A,'Skill Pos Compiled'!A19),SUMIFS('Total Receiving Yards'!E:E,'Total Receiving Yards'!A:A,'Skill Pos Compiled'!A19))</f>
        <v>486</v>
      </c>
      <c r="I19" s="7">
        <f>IF(SUMIFS('Total Receiving Touchdowns'!E:E,'Total Receiving Touchdowns'!A:A,'Skill Pos Compiled'!A19)=0,SUMIFS('2022 Skill Pos Stats'!Q:Q,'2022 Skill Pos Stats'!A:A,'Skill Pos Compiled'!A19),SUMIFS('Total Receiving Touchdowns'!E:E,'Total Receiving Touchdowns'!A:A,'Skill Pos Compiled'!A19))</f>
        <v>4</v>
      </c>
      <c r="J19" s="5">
        <f>_xlfn.XLOOKUP(E$1,Pt_System[Stat],Pt_System[Pts])*E19</f>
        <v>0</v>
      </c>
      <c r="K19" s="5">
        <f>_xlfn.XLOOKUP(F$1,Pt_System[Stat],Pt_System[Pts])*F19</f>
        <v>0</v>
      </c>
      <c r="L19" s="5">
        <f>_xlfn.XLOOKUP(G$1,Pt_System[Stat],Pt_System[Pts])*G19</f>
        <v>50</v>
      </c>
      <c r="M19" s="5">
        <f>_xlfn.XLOOKUP(H$1,Pt_System[Stat],Pt_System[Pts])*H19</f>
        <v>48.6</v>
      </c>
      <c r="N19" s="5">
        <f>_xlfn.XLOOKUP(I$1,Pt_System[Stat],Pt_System[Pts])*I19</f>
        <v>24</v>
      </c>
      <c r="O19" t="str">
        <f>IF(COUNTIFS('Total Rushing Yards'!A:A,'Skill Pos Compiled'!$A19)=1,"Vegas Odds","2022 Stats / Prediction")</f>
        <v>2022 Stats / Prediction</v>
      </c>
      <c r="P19" t="str">
        <f>IF(COUNTIFS('Total Rushing Touchdowns'!A:A,'Skill Pos Compiled'!$A19)=1,"Vegas Odds","2022 Stats / Prediction")</f>
        <v>2022 Stats / Prediction</v>
      </c>
      <c r="Q19" t="str">
        <f>IF(COUNTIFS('Total Receptions'!A:A,'Skill Pos Compiled'!$A19)=1,"Vegas Odds","2022 Stats / Prediction")</f>
        <v>2022 Stats / Prediction</v>
      </c>
      <c r="R19" t="str">
        <f>IF(COUNTIFS('Total Receiving Yards'!A:A,'Skill Pos Compiled'!$A19)=1,"Vegas Odds","2022 Stats / Prediction")</f>
        <v>2022 Stats / Prediction</v>
      </c>
      <c r="S19" t="str">
        <f>IF(COUNTIFS('Total Receiving Touchdowns'!A:A,'Skill Pos Compiled'!$A19)=1,"Vegas Odds","2022 Stats / Prediction")</f>
        <v>2022 Stats / Prediction</v>
      </c>
      <c r="T19" s="10" t="str">
        <f t="shared" si="4"/>
        <v>Unpredictable</v>
      </c>
    </row>
    <row r="20" spans="1:20" x14ac:dyDescent="0.25">
      <c r="A20" t="s">
        <v>247</v>
      </c>
      <c r="B20" t="str">
        <f>_xlfn.XLOOKUP(A20,ADP!A:A,ADP!B:B)</f>
        <v>TE</v>
      </c>
      <c r="C20" s="9">
        <f t="shared" si="2"/>
        <v>98.2</v>
      </c>
      <c r="D20" s="9">
        <f t="shared" si="3"/>
        <v>362</v>
      </c>
      <c r="E20" s="7">
        <f>IF(SUMIFS('Total Rushing Yards'!E:E,'Total Rushing Yards'!A:A,'Skill Pos Compiled'!A20)=0,SUMIFS('2022 Skill Pos Stats'!M:M,'2022 Skill Pos Stats'!A:A,'Skill Pos Compiled'!A20),SUMIFS('Total Rushing Yards'!E:E,'Total Rushing Yards'!A:A,'Skill Pos Compiled'!A20))</f>
        <v>0</v>
      </c>
      <c r="F20" s="7">
        <f>IF(SUMIFS('Total Rushing Touchdowns'!B:B,'Total Rushing Touchdowns'!A:A,'Skill Pos Compiled'!A20)=0,SUMIFS('2022 Skill Pos Stats'!N:N,'2022 Skill Pos Stats'!A:A,'Skill Pos Compiled'!A20),SUMIFS('Total Rushing Touchdowns'!B:B,'Total Rushing Touchdowns'!A:A,'Skill Pos Compiled'!A20))</f>
        <v>0</v>
      </c>
      <c r="G20" s="7">
        <f>IF(SUMIFS('Total Receptions'!B:B,'Total Receptions'!A:A,'Skill Pos Compiled'!A20)=0,SUMIFS('2022 Skill Pos Stats'!O:O,'2022 Skill Pos Stats'!A:A,'Skill Pos Compiled'!A20),SUMIFS('Total Receptions'!B:B,'Total Receptions'!A:A,'Skill Pos Compiled'!A20))</f>
        <v>32</v>
      </c>
      <c r="H20" s="7">
        <f>IF(SUMIFS('Total Receiving Yards'!E:E,'Total Receiving Yards'!A:A,'Skill Pos Compiled'!A20)=0,SUMIFS('2022 Skill Pos Stats'!P:P,'2022 Skill Pos Stats'!A:A,'Skill Pos Compiled'!A20),SUMIFS('Total Receiving Yards'!E:E,'Total Receiving Yards'!A:A,'Skill Pos Compiled'!A20))</f>
        <v>362</v>
      </c>
      <c r="I20" s="7">
        <f>IF(SUMIFS('Total Receiving Touchdowns'!E:E,'Total Receiving Touchdowns'!A:A,'Skill Pos Compiled'!A20)=0,SUMIFS('2022 Skill Pos Stats'!Q:Q,'2022 Skill Pos Stats'!A:A,'Skill Pos Compiled'!A20),SUMIFS('Total Receiving Touchdowns'!E:E,'Total Receiving Touchdowns'!A:A,'Skill Pos Compiled'!A20))</f>
        <v>5</v>
      </c>
      <c r="J20" s="5">
        <f>_xlfn.XLOOKUP(E$1,Pt_System[Stat],Pt_System[Pts])*E20</f>
        <v>0</v>
      </c>
      <c r="K20" s="5">
        <f>_xlfn.XLOOKUP(F$1,Pt_System[Stat],Pt_System[Pts])*F20</f>
        <v>0</v>
      </c>
      <c r="L20" s="5">
        <f>_xlfn.XLOOKUP(G$1,Pt_System[Stat],Pt_System[Pts])*G20</f>
        <v>32</v>
      </c>
      <c r="M20" s="5">
        <f>_xlfn.XLOOKUP(H$1,Pt_System[Stat],Pt_System[Pts])*H20</f>
        <v>36.200000000000003</v>
      </c>
      <c r="N20" s="5">
        <f>_xlfn.XLOOKUP(I$1,Pt_System[Stat],Pt_System[Pts])*I20</f>
        <v>30</v>
      </c>
      <c r="O20" t="str">
        <f>IF(COUNTIFS('Total Rushing Yards'!A:A,'Skill Pos Compiled'!$A20)=1,"Vegas Odds","2022 Stats / Prediction")</f>
        <v>2022 Stats / Prediction</v>
      </c>
      <c r="P20" t="str">
        <f>IF(COUNTIFS('Total Rushing Touchdowns'!A:A,'Skill Pos Compiled'!$A20)=1,"Vegas Odds","2022 Stats / Prediction")</f>
        <v>2022 Stats / Prediction</v>
      </c>
      <c r="Q20" t="str">
        <f>IF(COUNTIFS('Total Receptions'!A:A,'Skill Pos Compiled'!$A20)=1,"Vegas Odds","2022 Stats / Prediction")</f>
        <v>2022 Stats / Prediction</v>
      </c>
      <c r="R20" t="str">
        <f>IF(COUNTIFS('Total Receiving Yards'!A:A,'Skill Pos Compiled'!$A20)=1,"Vegas Odds","2022 Stats / Prediction")</f>
        <v>2022 Stats / Prediction</v>
      </c>
      <c r="S20" t="str">
        <f>IF(COUNTIFS('Total Receiving Touchdowns'!A:A,'Skill Pos Compiled'!$A20)=1,"Vegas Odds","2022 Stats / Prediction")</f>
        <v>2022 Stats / Prediction</v>
      </c>
      <c r="T20" s="10" t="str">
        <f t="shared" si="4"/>
        <v>Unpredictable</v>
      </c>
    </row>
    <row r="21" spans="1:20" x14ac:dyDescent="0.25">
      <c r="A21" t="s">
        <v>248</v>
      </c>
      <c r="B21" t="str">
        <f>_xlfn.XLOOKUP(A21,ADP!A:A,ADP!B:B)</f>
        <v>TE</v>
      </c>
      <c r="C21" s="9">
        <f t="shared" si="2"/>
        <v>189.71999999999997</v>
      </c>
      <c r="D21" s="9">
        <f t="shared" si="3"/>
        <v>690.19999999999993</v>
      </c>
      <c r="E21" s="7">
        <f>IF(SUMIFS('Total Rushing Yards'!E:E,'Total Rushing Yards'!A:A,'Skill Pos Compiled'!A21)=0,SUMIFS('2022 Skill Pos Stats'!M:M,'2022 Skill Pos Stats'!A:A,'Skill Pos Compiled'!A21),SUMIFS('Total Rushing Yards'!E:E,'Total Rushing Yards'!A:A,'Skill Pos Compiled'!A21))</f>
        <v>0</v>
      </c>
      <c r="F21" s="7">
        <f>IF(SUMIFS('Total Rushing Touchdowns'!B:B,'Total Rushing Touchdowns'!A:A,'Skill Pos Compiled'!A21)=0,SUMIFS('2022 Skill Pos Stats'!N:N,'2022 Skill Pos Stats'!A:A,'Skill Pos Compiled'!A21),SUMIFS('Total Rushing Touchdowns'!B:B,'Total Rushing Touchdowns'!A:A,'Skill Pos Compiled'!A21))</f>
        <v>0</v>
      </c>
      <c r="G21" s="7">
        <f>IF(SUMIFS('Total Receptions'!B:B,'Total Receptions'!A:A,'Skill Pos Compiled'!A21)=0,SUMIFS('2022 Skill Pos Stats'!O:O,'2022 Skill Pos Stats'!A:A,'Skill Pos Compiled'!A21),SUMIFS('Total Receptions'!B:B,'Total Receptions'!A:A,'Skill Pos Compiled'!A21))</f>
        <v>79.899999999999991</v>
      </c>
      <c r="H21" s="7">
        <f>IF(SUMIFS('Total Receiving Yards'!E:E,'Total Receiving Yards'!A:A,'Skill Pos Compiled'!A21)=0,SUMIFS('2022 Skill Pos Stats'!P:P,'2022 Skill Pos Stats'!A:A,'Skill Pos Compiled'!A21),SUMIFS('Total Receiving Yards'!E:E,'Total Receiving Yards'!A:A,'Skill Pos Compiled'!A21))</f>
        <v>690.19999999999993</v>
      </c>
      <c r="I21" s="7">
        <f>IF(SUMIFS('Total Receiving Touchdowns'!E:E,'Total Receiving Touchdowns'!A:A,'Skill Pos Compiled'!A21)=0,SUMIFS('2022 Skill Pos Stats'!Q:Q,'2022 Skill Pos Stats'!A:A,'Skill Pos Compiled'!A21),SUMIFS('Total Receiving Touchdowns'!E:E,'Total Receiving Touchdowns'!A:A,'Skill Pos Compiled'!A21))</f>
        <v>6.8</v>
      </c>
      <c r="J21" s="5">
        <f>_xlfn.XLOOKUP(E$1,Pt_System[Stat],Pt_System[Pts])*E21</f>
        <v>0</v>
      </c>
      <c r="K21" s="5">
        <f>_xlfn.XLOOKUP(F$1,Pt_System[Stat],Pt_System[Pts])*F21</f>
        <v>0</v>
      </c>
      <c r="L21" s="5">
        <f>_xlfn.XLOOKUP(G$1,Pt_System[Stat],Pt_System[Pts])*G21</f>
        <v>79.899999999999991</v>
      </c>
      <c r="M21" s="5">
        <f>_xlfn.XLOOKUP(H$1,Pt_System[Stat],Pt_System[Pts])*H21</f>
        <v>69.02</v>
      </c>
      <c r="N21" s="5">
        <f>_xlfn.XLOOKUP(I$1,Pt_System[Stat],Pt_System[Pts])*I21</f>
        <v>40.799999999999997</v>
      </c>
      <c r="O21" t="str">
        <f>IF(COUNTIFS('Total Rushing Yards'!A:A,'Skill Pos Compiled'!$A21)=1,"Vegas Odds","2022 Stats / Prediction")</f>
        <v>2022 Stats / Prediction</v>
      </c>
      <c r="P21" t="str">
        <f>IF(COUNTIFS('Total Rushing Touchdowns'!A:A,'Skill Pos Compiled'!$A21)=1,"Vegas Odds","2022 Stats / Prediction")</f>
        <v>2022 Stats / Prediction</v>
      </c>
      <c r="Q21" t="str">
        <f>IF(COUNTIFS('Total Receptions'!A:A,'Skill Pos Compiled'!$A21)=1,"Vegas Odds","2022 Stats / Prediction")</f>
        <v>2022 Stats / Prediction</v>
      </c>
      <c r="R21" t="str">
        <f>IF(COUNTIFS('Total Receiving Yards'!A:A,'Skill Pos Compiled'!$A21)=1,"Vegas Odds","2022 Stats / Prediction")</f>
        <v>2022 Stats / Prediction</v>
      </c>
      <c r="S21" t="str">
        <f>IF(COUNTIFS('Total Receiving Touchdowns'!A:A,'Skill Pos Compiled'!$A21)=1,"Vegas Odds","2022 Stats / Prediction")</f>
        <v>2022 Stats / Prediction</v>
      </c>
      <c r="T21" s="10" t="str">
        <f t="shared" si="4"/>
        <v>Unpredictable</v>
      </c>
    </row>
    <row r="22" spans="1:20" x14ac:dyDescent="0.25">
      <c r="A22" t="s">
        <v>249</v>
      </c>
      <c r="B22" t="str">
        <f>_xlfn.XLOOKUP(A22,ADP!A:A,ADP!B:B)</f>
        <v>TE</v>
      </c>
      <c r="C22" s="9">
        <f t="shared" si="2"/>
        <v>107.66666666666666</v>
      </c>
      <c r="D22" s="9">
        <f t="shared" si="3"/>
        <v>510</v>
      </c>
      <c r="E22" s="7">
        <f>IF(SUMIFS('Total Rushing Yards'!E:E,'Total Rushing Yards'!A:A,'Skill Pos Compiled'!A22)=0,SUMIFS('2022 Skill Pos Stats'!M:M,'2022 Skill Pos Stats'!A:A,'Skill Pos Compiled'!A22),SUMIFS('Total Rushing Yards'!E:E,'Total Rushing Yards'!A:A,'Skill Pos Compiled'!A22))</f>
        <v>0</v>
      </c>
      <c r="F22" s="7">
        <f>IF(SUMIFS('Total Rushing Touchdowns'!B:B,'Total Rushing Touchdowns'!A:A,'Skill Pos Compiled'!A22)=0,SUMIFS('2022 Skill Pos Stats'!N:N,'2022 Skill Pos Stats'!A:A,'Skill Pos Compiled'!A22),SUMIFS('Total Rushing Touchdowns'!B:B,'Total Rushing Touchdowns'!A:A,'Skill Pos Compiled'!A22))</f>
        <v>0</v>
      </c>
      <c r="G22" s="7">
        <f>IF(SUMIFS('Total Receptions'!B:B,'Total Receptions'!A:A,'Skill Pos Compiled'!A22)=0,SUMIFS('2022 Skill Pos Stats'!O:O,'2022 Skill Pos Stats'!A:A,'Skill Pos Compiled'!A22),SUMIFS('Total Receptions'!B:B,'Total Receptions'!A:A,'Skill Pos Compiled'!A22))</f>
        <v>36.266666666666666</v>
      </c>
      <c r="H22" s="7">
        <f>IF(SUMIFS('Total Receiving Yards'!E:E,'Total Receiving Yards'!A:A,'Skill Pos Compiled'!A22)=0,SUMIFS('2022 Skill Pos Stats'!P:P,'2022 Skill Pos Stats'!A:A,'Skill Pos Compiled'!A22),SUMIFS('Total Receiving Yards'!E:E,'Total Receiving Yards'!A:A,'Skill Pos Compiled'!A22))</f>
        <v>510</v>
      </c>
      <c r="I22" s="7">
        <f>IF(SUMIFS('Total Receiving Touchdowns'!E:E,'Total Receiving Touchdowns'!A:A,'Skill Pos Compiled'!A22)=0,SUMIFS('2022 Skill Pos Stats'!Q:Q,'2022 Skill Pos Stats'!A:A,'Skill Pos Compiled'!A22),SUMIFS('Total Receiving Touchdowns'!E:E,'Total Receiving Touchdowns'!A:A,'Skill Pos Compiled'!A22))</f>
        <v>3.4</v>
      </c>
      <c r="J22" s="5">
        <f>_xlfn.XLOOKUP(E$1,Pt_System[Stat],Pt_System[Pts])*E22</f>
        <v>0</v>
      </c>
      <c r="K22" s="5">
        <f>_xlfn.XLOOKUP(F$1,Pt_System[Stat],Pt_System[Pts])*F22</f>
        <v>0</v>
      </c>
      <c r="L22" s="5">
        <f>_xlfn.XLOOKUP(G$1,Pt_System[Stat],Pt_System[Pts])*G22</f>
        <v>36.266666666666666</v>
      </c>
      <c r="M22" s="5">
        <f>_xlfn.XLOOKUP(H$1,Pt_System[Stat],Pt_System[Pts])*H22</f>
        <v>51</v>
      </c>
      <c r="N22" s="5">
        <f>_xlfn.XLOOKUP(I$1,Pt_System[Stat],Pt_System[Pts])*I22</f>
        <v>20.399999999999999</v>
      </c>
      <c r="O22" t="str">
        <f>IF(COUNTIFS('Total Rushing Yards'!A:A,'Skill Pos Compiled'!$A22)=1,"Vegas Odds","2022 Stats / Prediction")</f>
        <v>2022 Stats / Prediction</v>
      </c>
      <c r="P22" t="str">
        <f>IF(COUNTIFS('Total Rushing Touchdowns'!A:A,'Skill Pos Compiled'!$A22)=1,"Vegas Odds","2022 Stats / Prediction")</f>
        <v>2022 Stats / Prediction</v>
      </c>
      <c r="Q22" t="str">
        <f>IF(COUNTIFS('Total Receptions'!A:A,'Skill Pos Compiled'!$A22)=1,"Vegas Odds","2022 Stats / Prediction")</f>
        <v>2022 Stats / Prediction</v>
      </c>
      <c r="R22" t="str">
        <f>IF(COUNTIFS('Total Receiving Yards'!A:A,'Skill Pos Compiled'!$A22)=1,"Vegas Odds","2022 Stats / Prediction")</f>
        <v>2022 Stats / Prediction</v>
      </c>
      <c r="S22" t="str">
        <f>IF(COUNTIFS('Total Receiving Touchdowns'!A:A,'Skill Pos Compiled'!$A22)=1,"Vegas Odds","2022 Stats / Prediction")</f>
        <v>2022 Stats / Prediction</v>
      </c>
      <c r="T22" s="10" t="str">
        <f t="shared" si="4"/>
        <v>Unpredictable</v>
      </c>
    </row>
    <row r="23" spans="1:20" x14ac:dyDescent="0.25">
      <c r="A23" t="s">
        <v>250</v>
      </c>
      <c r="B23" t="str">
        <f>_xlfn.XLOOKUP(A23,ADP!A:A,ADP!B:B)</f>
        <v>TE</v>
      </c>
      <c r="C23" s="9">
        <f t="shared" si="2"/>
        <v>110.39375000000001</v>
      </c>
      <c r="D23" s="9">
        <f t="shared" si="3"/>
        <v>540.8125</v>
      </c>
      <c r="E23" s="7">
        <f>IF(SUMIFS('Total Rushing Yards'!E:E,'Total Rushing Yards'!A:A,'Skill Pos Compiled'!A23)=0,SUMIFS('2022 Skill Pos Stats'!M:M,'2022 Skill Pos Stats'!A:A,'Skill Pos Compiled'!A23),SUMIFS('Total Rushing Yards'!E:E,'Total Rushing Yards'!A:A,'Skill Pos Compiled'!A23))</f>
        <v>0</v>
      </c>
      <c r="F23" s="7">
        <f>IF(SUMIFS('Total Rushing Touchdowns'!B:B,'Total Rushing Touchdowns'!A:A,'Skill Pos Compiled'!A23)=0,SUMIFS('2022 Skill Pos Stats'!N:N,'2022 Skill Pos Stats'!A:A,'Skill Pos Compiled'!A23),SUMIFS('Total Rushing Touchdowns'!B:B,'Total Rushing Touchdowns'!A:A,'Skill Pos Compiled'!A23))</f>
        <v>0</v>
      </c>
      <c r="G23" s="7">
        <f>IF(SUMIFS('Total Receptions'!B:B,'Total Receptions'!A:A,'Skill Pos Compiled'!A23)=0,SUMIFS('2022 Skill Pos Stats'!O:O,'2022 Skill Pos Stats'!A:A,'Skill Pos Compiled'!A23),SUMIFS('Total Receptions'!B:B,'Total Receptions'!A:A,'Skill Pos Compiled'!A23))</f>
        <v>43.5625</v>
      </c>
      <c r="H23" s="7">
        <f>IF(SUMIFS('Total Receiving Yards'!E:E,'Total Receiving Yards'!A:A,'Skill Pos Compiled'!A23)=0,SUMIFS('2022 Skill Pos Stats'!P:P,'2022 Skill Pos Stats'!A:A,'Skill Pos Compiled'!A23),SUMIFS('Total Receiving Yards'!E:E,'Total Receiving Yards'!A:A,'Skill Pos Compiled'!A23))</f>
        <v>540.8125</v>
      </c>
      <c r="I23" s="7">
        <f>IF(SUMIFS('Total Receiving Touchdowns'!E:E,'Total Receiving Touchdowns'!A:A,'Skill Pos Compiled'!A23)=0,SUMIFS('2022 Skill Pos Stats'!Q:Q,'2022 Skill Pos Stats'!A:A,'Skill Pos Compiled'!A23),SUMIFS('Total Receiving Touchdowns'!E:E,'Total Receiving Touchdowns'!A:A,'Skill Pos Compiled'!A23))</f>
        <v>2.125</v>
      </c>
      <c r="J23" s="5">
        <f>_xlfn.XLOOKUP(E$1,Pt_System[Stat],Pt_System[Pts])*E23</f>
        <v>0</v>
      </c>
      <c r="K23" s="5">
        <f>_xlfn.XLOOKUP(F$1,Pt_System[Stat],Pt_System[Pts])*F23</f>
        <v>0</v>
      </c>
      <c r="L23" s="5">
        <f>_xlfn.XLOOKUP(G$1,Pt_System[Stat],Pt_System[Pts])*G23</f>
        <v>43.5625</v>
      </c>
      <c r="M23" s="5">
        <f>_xlfn.XLOOKUP(H$1,Pt_System[Stat],Pt_System[Pts])*H23</f>
        <v>54.081250000000004</v>
      </c>
      <c r="N23" s="5">
        <f>_xlfn.XLOOKUP(I$1,Pt_System[Stat],Pt_System[Pts])*I23</f>
        <v>12.75</v>
      </c>
      <c r="O23" t="str">
        <f>IF(COUNTIFS('Total Rushing Yards'!A:A,'Skill Pos Compiled'!$A23)=1,"Vegas Odds","2022 Stats / Prediction")</f>
        <v>2022 Stats / Prediction</v>
      </c>
      <c r="P23" t="str">
        <f>IF(COUNTIFS('Total Rushing Touchdowns'!A:A,'Skill Pos Compiled'!$A23)=1,"Vegas Odds","2022 Stats / Prediction")</f>
        <v>2022 Stats / Prediction</v>
      </c>
      <c r="Q23" t="str">
        <f>IF(COUNTIFS('Total Receptions'!A:A,'Skill Pos Compiled'!$A23)=1,"Vegas Odds","2022 Stats / Prediction")</f>
        <v>2022 Stats / Prediction</v>
      </c>
      <c r="R23" t="str">
        <f>IF(COUNTIFS('Total Receiving Yards'!A:A,'Skill Pos Compiled'!$A23)=1,"Vegas Odds","2022 Stats / Prediction")</f>
        <v>2022 Stats / Prediction</v>
      </c>
      <c r="S23" t="str">
        <f>IF(COUNTIFS('Total Receiving Touchdowns'!A:A,'Skill Pos Compiled'!$A23)=1,"Vegas Odds","2022 Stats / Prediction")</f>
        <v>2022 Stats / Prediction</v>
      </c>
      <c r="T23" s="10" t="str">
        <f t="shared" si="4"/>
        <v>Unpredictable</v>
      </c>
    </row>
    <row r="24" spans="1:20" x14ac:dyDescent="0.25">
      <c r="A24" t="s">
        <v>251</v>
      </c>
      <c r="B24" t="str">
        <f>_xlfn.XLOOKUP(A24,ADP!A:A,ADP!B:B)</f>
        <v>TE</v>
      </c>
      <c r="C24" s="9">
        <f t="shared" si="2"/>
        <v>112</v>
      </c>
      <c r="D24" s="9">
        <f t="shared" si="3"/>
        <v>470</v>
      </c>
      <c r="E24" s="7">
        <f>IF(SUMIFS('Total Rushing Yards'!E:E,'Total Rushing Yards'!A:A,'Skill Pos Compiled'!A24)=0,SUMIFS('2022 Skill Pos Stats'!M:M,'2022 Skill Pos Stats'!A:A,'Skill Pos Compiled'!A24),SUMIFS('Total Rushing Yards'!E:E,'Total Rushing Yards'!A:A,'Skill Pos Compiled'!A24))</f>
        <v>0</v>
      </c>
      <c r="F24" s="7">
        <f>IF(SUMIFS('Total Rushing Touchdowns'!B:B,'Total Rushing Touchdowns'!A:A,'Skill Pos Compiled'!A24)=0,SUMIFS('2022 Skill Pos Stats'!N:N,'2022 Skill Pos Stats'!A:A,'Skill Pos Compiled'!A24),SUMIFS('Total Rushing Touchdowns'!B:B,'Total Rushing Touchdowns'!A:A,'Skill Pos Compiled'!A24))</f>
        <v>0</v>
      </c>
      <c r="G24" s="7">
        <f>IF(SUMIFS('Total Receptions'!B:B,'Total Receptions'!A:A,'Skill Pos Compiled'!A24)=0,SUMIFS('2022 Skill Pos Stats'!O:O,'2022 Skill Pos Stats'!A:A,'Skill Pos Compiled'!A24),SUMIFS('Total Receptions'!B:B,'Total Receptions'!A:A,'Skill Pos Compiled'!A24))</f>
        <v>53</v>
      </c>
      <c r="H24" s="7">
        <f>IF(SUMIFS('Total Receiving Yards'!E:E,'Total Receiving Yards'!A:A,'Skill Pos Compiled'!A24)=0,SUMIFS('2022 Skill Pos Stats'!P:P,'2022 Skill Pos Stats'!A:A,'Skill Pos Compiled'!A24),SUMIFS('Total Receiving Yards'!E:E,'Total Receiving Yards'!A:A,'Skill Pos Compiled'!A24))</f>
        <v>470</v>
      </c>
      <c r="I24" s="7">
        <f>IF(SUMIFS('Total Receiving Touchdowns'!E:E,'Total Receiving Touchdowns'!A:A,'Skill Pos Compiled'!A24)=0,SUMIFS('2022 Skill Pos Stats'!Q:Q,'2022 Skill Pos Stats'!A:A,'Skill Pos Compiled'!A24),SUMIFS('Total Receiving Touchdowns'!E:E,'Total Receiving Touchdowns'!A:A,'Skill Pos Compiled'!A24))</f>
        <v>2</v>
      </c>
      <c r="J24" s="5">
        <f>_xlfn.XLOOKUP(E$1,Pt_System[Stat],Pt_System[Pts])*E24</f>
        <v>0</v>
      </c>
      <c r="K24" s="5">
        <f>_xlfn.XLOOKUP(F$1,Pt_System[Stat],Pt_System[Pts])*F24</f>
        <v>0</v>
      </c>
      <c r="L24" s="5">
        <f>_xlfn.XLOOKUP(G$1,Pt_System[Stat],Pt_System[Pts])*G24</f>
        <v>53</v>
      </c>
      <c r="M24" s="5">
        <f>_xlfn.XLOOKUP(H$1,Pt_System[Stat],Pt_System[Pts])*H24</f>
        <v>47</v>
      </c>
      <c r="N24" s="5">
        <f>_xlfn.XLOOKUP(I$1,Pt_System[Stat],Pt_System[Pts])*I24</f>
        <v>12</v>
      </c>
      <c r="O24" t="str">
        <f>IF(COUNTIFS('Total Rushing Yards'!A:A,'Skill Pos Compiled'!$A24)=1,"Vegas Odds","2022 Stats / Prediction")</f>
        <v>2022 Stats / Prediction</v>
      </c>
      <c r="P24" t="str">
        <f>IF(COUNTIFS('Total Rushing Touchdowns'!A:A,'Skill Pos Compiled'!$A24)=1,"Vegas Odds","2022 Stats / Prediction")</f>
        <v>2022 Stats / Prediction</v>
      </c>
      <c r="Q24" t="str">
        <f>IF(COUNTIFS('Total Receptions'!A:A,'Skill Pos Compiled'!$A24)=1,"Vegas Odds","2022 Stats / Prediction")</f>
        <v>2022 Stats / Prediction</v>
      </c>
      <c r="R24" t="str">
        <f>IF(COUNTIFS('Total Receiving Yards'!A:A,'Skill Pos Compiled'!$A24)=1,"Vegas Odds","2022 Stats / Prediction")</f>
        <v>2022 Stats / Prediction</v>
      </c>
      <c r="S24" t="str">
        <f>IF(COUNTIFS('Total Receiving Touchdowns'!A:A,'Skill Pos Compiled'!$A24)=1,"Vegas Odds","2022 Stats / Prediction")</f>
        <v>2022 Stats / Prediction</v>
      </c>
      <c r="T24" s="10" t="str">
        <f t="shared" si="4"/>
        <v>Unpredictable</v>
      </c>
    </row>
    <row r="25" spans="1:20" x14ac:dyDescent="0.25">
      <c r="A25" t="s">
        <v>20</v>
      </c>
      <c r="B25" t="str">
        <f>_xlfn.XLOOKUP(A25,ADP!A:A,ADP!B:B)</f>
        <v>TE</v>
      </c>
      <c r="C25" s="9">
        <f t="shared" si="2"/>
        <v>155.85000000000002</v>
      </c>
      <c r="D25" s="9">
        <f t="shared" si="3"/>
        <v>683.5</v>
      </c>
      <c r="E25" s="7">
        <f>IF(SUMIFS('Total Rushing Yards'!E:E,'Total Rushing Yards'!A:A,'Skill Pos Compiled'!A25)=0,SUMIFS('2022 Skill Pos Stats'!M:M,'2022 Skill Pos Stats'!A:A,'Skill Pos Compiled'!A25),SUMIFS('Total Rushing Yards'!E:E,'Total Rushing Yards'!A:A,'Skill Pos Compiled'!A25))</f>
        <v>0</v>
      </c>
      <c r="F25" s="7">
        <f>IF(SUMIFS('Total Rushing Touchdowns'!B:B,'Total Rushing Touchdowns'!A:A,'Skill Pos Compiled'!A25)=0,SUMIFS('2022 Skill Pos Stats'!N:N,'2022 Skill Pos Stats'!A:A,'Skill Pos Compiled'!A25),SUMIFS('Total Rushing Touchdowns'!B:B,'Total Rushing Touchdowns'!A:A,'Skill Pos Compiled'!A25))</f>
        <v>0</v>
      </c>
      <c r="G25" s="7">
        <f>IF(SUMIFS('Total Receptions'!B:B,'Total Receptions'!A:A,'Skill Pos Compiled'!A25)=0,SUMIFS('2022 Skill Pos Stats'!O:O,'2022 Skill Pos Stats'!A:A,'Skill Pos Compiled'!A25),SUMIFS('Total Receptions'!B:B,'Total Receptions'!A:A,'Skill Pos Compiled'!A25))</f>
        <v>60.5</v>
      </c>
      <c r="H25" s="7">
        <f>IF(SUMIFS('Total Receiving Yards'!E:E,'Total Receiving Yards'!A:A,'Skill Pos Compiled'!A25)=0,SUMIFS('2022 Skill Pos Stats'!P:P,'2022 Skill Pos Stats'!A:A,'Skill Pos Compiled'!A25),SUMIFS('Total Receiving Yards'!E:E,'Total Receiving Yards'!A:A,'Skill Pos Compiled'!A25))</f>
        <v>683.5</v>
      </c>
      <c r="I25" s="7">
        <f>IF(SUMIFS('Total Receiving Touchdowns'!E:E,'Total Receiving Touchdowns'!A:A,'Skill Pos Compiled'!A25)=0,SUMIFS('2022 Skill Pos Stats'!Q:Q,'2022 Skill Pos Stats'!A:A,'Skill Pos Compiled'!A25),SUMIFS('Total Receiving Touchdowns'!E:E,'Total Receiving Touchdowns'!A:A,'Skill Pos Compiled'!A25))</f>
        <v>4.5</v>
      </c>
      <c r="J25" s="5">
        <f>_xlfn.XLOOKUP(E$1,Pt_System[Stat],Pt_System[Pts])*E25</f>
        <v>0</v>
      </c>
      <c r="K25" s="5">
        <f>_xlfn.XLOOKUP(F$1,Pt_System[Stat],Pt_System[Pts])*F25</f>
        <v>0</v>
      </c>
      <c r="L25" s="5">
        <f>_xlfn.XLOOKUP(G$1,Pt_System[Stat],Pt_System[Pts])*G25</f>
        <v>60.5</v>
      </c>
      <c r="M25" s="5">
        <f>_xlfn.XLOOKUP(H$1,Pt_System[Stat],Pt_System[Pts])*H25</f>
        <v>68.350000000000009</v>
      </c>
      <c r="N25" s="5">
        <f>_xlfn.XLOOKUP(I$1,Pt_System[Stat],Pt_System[Pts])*I25</f>
        <v>27</v>
      </c>
      <c r="O25" t="str">
        <f>IF(COUNTIFS('Total Rushing Yards'!A:A,'Skill Pos Compiled'!$A25)=1,"Vegas Odds","2022 Stats / Prediction")</f>
        <v>2022 Stats / Prediction</v>
      </c>
      <c r="P25" t="str">
        <f>IF(COUNTIFS('Total Rushing Touchdowns'!A:A,'Skill Pos Compiled'!$A25)=1,"Vegas Odds","2022 Stats / Prediction")</f>
        <v>2022 Stats / Prediction</v>
      </c>
      <c r="Q25" t="str">
        <f>IF(COUNTIFS('Total Receptions'!A:A,'Skill Pos Compiled'!$A25)=1,"Vegas Odds","2022 Stats / Prediction")</f>
        <v>Vegas Odds</v>
      </c>
      <c r="R25" t="str">
        <f>IF(COUNTIFS('Total Receiving Yards'!A:A,'Skill Pos Compiled'!$A25)=1,"Vegas Odds","2022 Stats / Prediction")</f>
        <v>Vegas Odds</v>
      </c>
      <c r="S25" t="str">
        <f>IF(COUNTIFS('Total Receiving Touchdowns'!A:A,'Skill Pos Compiled'!$A25)=1,"Vegas Odds","2022 Stats / Prediction")</f>
        <v>Vegas Odds</v>
      </c>
      <c r="T25" s="10" t="str">
        <f t="shared" si="4"/>
        <v>OK</v>
      </c>
    </row>
    <row r="26" spans="1:20" x14ac:dyDescent="0.25">
      <c r="A26" t="s">
        <v>252</v>
      </c>
      <c r="B26" t="str">
        <f>_xlfn.XLOOKUP(A26,ADP!A:A,ADP!B:B)</f>
        <v>TE</v>
      </c>
      <c r="C26" s="9">
        <f t="shared" si="2"/>
        <v>97.4</v>
      </c>
      <c r="D26" s="9">
        <f t="shared" si="3"/>
        <v>444</v>
      </c>
      <c r="E26" s="7">
        <f>IF(SUMIFS('Total Rushing Yards'!E:E,'Total Rushing Yards'!A:A,'Skill Pos Compiled'!A26)=0,SUMIFS('2022 Skill Pos Stats'!M:M,'2022 Skill Pos Stats'!A:A,'Skill Pos Compiled'!A26),SUMIFS('Total Rushing Yards'!E:E,'Total Rushing Yards'!A:A,'Skill Pos Compiled'!A26))</f>
        <v>0</v>
      </c>
      <c r="F26" s="7">
        <f>IF(SUMIFS('Total Rushing Touchdowns'!B:B,'Total Rushing Touchdowns'!A:A,'Skill Pos Compiled'!A26)=0,SUMIFS('2022 Skill Pos Stats'!N:N,'2022 Skill Pos Stats'!A:A,'Skill Pos Compiled'!A26),SUMIFS('Total Rushing Touchdowns'!B:B,'Total Rushing Touchdowns'!A:A,'Skill Pos Compiled'!A26))</f>
        <v>0</v>
      </c>
      <c r="G26" s="7">
        <f>IF(SUMIFS('Total Receptions'!B:B,'Total Receptions'!A:A,'Skill Pos Compiled'!A26)=0,SUMIFS('2022 Skill Pos Stats'!O:O,'2022 Skill Pos Stats'!A:A,'Skill Pos Compiled'!A26),SUMIFS('Total Receptions'!B:B,'Total Receptions'!A:A,'Skill Pos Compiled'!A26))</f>
        <v>41</v>
      </c>
      <c r="H26" s="7">
        <f>IF(SUMIFS('Total Receiving Yards'!E:E,'Total Receiving Yards'!A:A,'Skill Pos Compiled'!A26)=0,SUMIFS('2022 Skill Pos Stats'!P:P,'2022 Skill Pos Stats'!A:A,'Skill Pos Compiled'!A26),SUMIFS('Total Receiving Yards'!E:E,'Total Receiving Yards'!A:A,'Skill Pos Compiled'!A26))</f>
        <v>444</v>
      </c>
      <c r="I26" s="7">
        <f>IF(SUMIFS('Total Receiving Touchdowns'!E:E,'Total Receiving Touchdowns'!A:A,'Skill Pos Compiled'!A26)=0,SUMIFS('2022 Skill Pos Stats'!Q:Q,'2022 Skill Pos Stats'!A:A,'Skill Pos Compiled'!A26),SUMIFS('Total Receiving Touchdowns'!E:E,'Total Receiving Touchdowns'!A:A,'Skill Pos Compiled'!A26))</f>
        <v>2</v>
      </c>
      <c r="J26" s="5">
        <f>_xlfn.XLOOKUP(E$1,Pt_System[Stat],Pt_System[Pts])*E26</f>
        <v>0</v>
      </c>
      <c r="K26" s="5">
        <f>_xlfn.XLOOKUP(F$1,Pt_System[Stat],Pt_System[Pts])*F26</f>
        <v>0</v>
      </c>
      <c r="L26" s="5">
        <f>_xlfn.XLOOKUP(G$1,Pt_System[Stat],Pt_System[Pts])*G26</f>
        <v>41</v>
      </c>
      <c r="M26" s="5">
        <f>_xlfn.XLOOKUP(H$1,Pt_System[Stat],Pt_System[Pts])*H26</f>
        <v>44.400000000000006</v>
      </c>
      <c r="N26" s="5">
        <f>_xlfn.XLOOKUP(I$1,Pt_System[Stat],Pt_System[Pts])*I26</f>
        <v>12</v>
      </c>
      <c r="O26" t="str">
        <f>IF(COUNTIFS('Total Rushing Yards'!A:A,'Skill Pos Compiled'!$A26)=1,"Vegas Odds","2022 Stats / Prediction")</f>
        <v>2022 Stats / Prediction</v>
      </c>
      <c r="P26" t="str">
        <f>IF(COUNTIFS('Total Rushing Touchdowns'!A:A,'Skill Pos Compiled'!$A26)=1,"Vegas Odds","2022 Stats / Prediction")</f>
        <v>2022 Stats / Prediction</v>
      </c>
      <c r="Q26" t="str">
        <f>IF(COUNTIFS('Total Receptions'!A:A,'Skill Pos Compiled'!$A26)=1,"Vegas Odds","2022 Stats / Prediction")</f>
        <v>2022 Stats / Prediction</v>
      </c>
      <c r="R26" t="str">
        <f>IF(COUNTIFS('Total Receiving Yards'!A:A,'Skill Pos Compiled'!$A26)=1,"Vegas Odds","2022 Stats / Prediction")</f>
        <v>2022 Stats / Prediction</v>
      </c>
      <c r="S26" t="str">
        <f>IF(COUNTIFS('Total Receiving Touchdowns'!A:A,'Skill Pos Compiled'!$A26)=1,"Vegas Odds","2022 Stats / Prediction")</f>
        <v>2022 Stats / Prediction</v>
      </c>
      <c r="T26" s="10" t="str">
        <f t="shared" si="4"/>
        <v>Unpredictable</v>
      </c>
    </row>
    <row r="27" spans="1:20" x14ac:dyDescent="0.25">
      <c r="A27" t="s">
        <v>253</v>
      </c>
      <c r="B27" t="str">
        <f>_xlfn.XLOOKUP(A27,ADP!A:A,ADP!B:B)</f>
        <v>TE</v>
      </c>
      <c r="C27" s="9">
        <f t="shared" si="2"/>
        <v>110.8642857142857</v>
      </c>
      <c r="D27" s="9">
        <f t="shared" si="3"/>
        <v>452.92857142857139</v>
      </c>
      <c r="E27" s="7">
        <f>IF(SUMIFS('Total Rushing Yards'!E:E,'Total Rushing Yards'!A:A,'Skill Pos Compiled'!A27)=0,SUMIFS('2022 Skill Pos Stats'!M:M,'2022 Skill Pos Stats'!A:A,'Skill Pos Compiled'!A27),SUMIFS('Total Rushing Yards'!E:E,'Total Rushing Yards'!A:A,'Skill Pos Compiled'!A27))</f>
        <v>0</v>
      </c>
      <c r="F27" s="7">
        <f>IF(SUMIFS('Total Rushing Touchdowns'!B:B,'Total Rushing Touchdowns'!A:A,'Skill Pos Compiled'!A27)=0,SUMIFS('2022 Skill Pos Stats'!N:N,'2022 Skill Pos Stats'!A:A,'Skill Pos Compiled'!A27),SUMIFS('Total Rushing Touchdowns'!B:B,'Total Rushing Touchdowns'!A:A,'Skill Pos Compiled'!A27))</f>
        <v>0</v>
      </c>
      <c r="G27" s="7">
        <f>IF(SUMIFS('Total Receptions'!B:B,'Total Receptions'!A:A,'Skill Pos Compiled'!A27)=0,SUMIFS('2022 Skill Pos Stats'!O:O,'2022 Skill Pos Stats'!A:A,'Skill Pos Compiled'!A27),SUMIFS('Total Receptions'!B:B,'Total Receptions'!A:A,'Skill Pos Compiled'!A27))</f>
        <v>43.714285714285708</v>
      </c>
      <c r="H27" s="7">
        <f>IF(SUMIFS('Total Receiving Yards'!E:E,'Total Receiving Yards'!A:A,'Skill Pos Compiled'!A27)=0,SUMIFS('2022 Skill Pos Stats'!P:P,'2022 Skill Pos Stats'!A:A,'Skill Pos Compiled'!A27),SUMIFS('Total Receiving Yards'!E:E,'Total Receiving Yards'!A:A,'Skill Pos Compiled'!A27))</f>
        <v>452.92857142857139</v>
      </c>
      <c r="I27" s="7">
        <f>IF(SUMIFS('Total Receiving Touchdowns'!E:E,'Total Receiving Touchdowns'!A:A,'Skill Pos Compiled'!A27)=0,SUMIFS('2022 Skill Pos Stats'!Q:Q,'2022 Skill Pos Stats'!A:A,'Skill Pos Compiled'!A27),SUMIFS('Total Receiving Touchdowns'!E:E,'Total Receiving Touchdowns'!A:A,'Skill Pos Compiled'!A27))</f>
        <v>3.6428571428571423</v>
      </c>
      <c r="J27" s="5">
        <f>_xlfn.XLOOKUP(E$1,Pt_System[Stat],Pt_System[Pts])*E27</f>
        <v>0</v>
      </c>
      <c r="K27" s="5">
        <f>_xlfn.XLOOKUP(F$1,Pt_System[Stat],Pt_System[Pts])*F27</f>
        <v>0</v>
      </c>
      <c r="L27" s="5">
        <f>_xlfn.XLOOKUP(G$1,Pt_System[Stat],Pt_System[Pts])*G27</f>
        <v>43.714285714285708</v>
      </c>
      <c r="M27" s="5">
        <f>_xlfn.XLOOKUP(H$1,Pt_System[Stat],Pt_System[Pts])*H27</f>
        <v>45.292857142857144</v>
      </c>
      <c r="N27" s="5">
        <f>_xlfn.XLOOKUP(I$1,Pt_System[Stat],Pt_System[Pts])*I27</f>
        <v>21.857142857142854</v>
      </c>
      <c r="O27" t="str">
        <f>IF(COUNTIFS('Total Rushing Yards'!A:A,'Skill Pos Compiled'!$A27)=1,"Vegas Odds","2022 Stats / Prediction")</f>
        <v>2022 Stats / Prediction</v>
      </c>
      <c r="P27" t="str">
        <f>IF(COUNTIFS('Total Rushing Touchdowns'!A:A,'Skill Pos Compiled'!$A27)=1,"Vegas Odds","2022 Stats / Prediction")</f>
        <v>2022 Stats / Prediction</v>
      </c>
      <c r="Q27" t="str">
        <f>IF(COUNTIFS('Total Receptions'!A:A,'Skill Pos Compiled'!$A27)=1,"Vegas Odds","2022 Stats / Prediction")</f>
        <v>2022 Stats / Prediction</v>
      </c>
      <c r="R27" t="str">
        <f>IF(COUNTIFS('Total Receiving Yards'!A:A,'Skill Pos Compiled'!$A27)=1,"Vegas Odds","2022 Stats / Prediction")</f>
        <v>2022 Stats / Prediction</v>
      </c>
      <c r="S27" t="str">
        <f>IF(COUNTIFS('Total Receiving Touchdowns'!A:A,'Skill Pos Compiled'!$A27)=1,"Vegas Odds","2022 Stats / Prediction")</f>
        <v>2022 Stats / Prediction</v>
      </c>
      <c r="T27" s="10" t="str">
        <f t="shared" si="4"/>
        <v>Unpredictable</v>
      </c>
    </row>
    <row r="28" spans="1:20" x14ac:dyDescent="0.25">
      <c r="A28" t="s">
        <v>254</v>
      </c>
      <c r="B28" t="s">
        <v>411</v>
      </c>
      <c r="C28" s="9">
        <f t="shared" si="2"/>
        <v>105.64285714285714</v>
      </c>
      <c r="D28" s="9">
        <f t="shared" si="3"/>
        <v>509.99999999999994</v>
      </c>
      <c r="E28" s="7">
        <f>IF(SUMIFS('Total Rushing Yards'!E:E,'Total Rushing Yards'!A:A,'Skill Pos Compiled'!A28)=0,SUMIFS('2022 Skill Pos Stats'!M:M,'2022 Skill Pos Stats'!A:A,'Skill Pos Compiled'!A28),SUMIFS('Total Rushing Yards'!E:E,'Total Rushing Yards'!A:A,'Skill Pos Compiled'!A28))</f>
        <v>0</v>
      </c>
      <c r="F28" s="7">
        <f>IF(SUMIFS('Total Rushing Touchdowns'!B:B,'Total Rushing Touchdowns'!A:A,'Skill Pos Compiled'!A28)=0,SUMIFS('2022 Skill Pos Stats'!N:N,'2022 Skill Pos Stats'!A:A,'Skill Pos Compiled'!A28),SUMIFS('Total Rushing Touchdowns'!B:B,'Total Rushing Touchdowns'!A:A,'Skill Pos Compiled'!A28))</f>
        <v>0</v>
      </c>
      <c r="G28" s="7">
        <f>IF(SUMIFS('Total Receptions'!B:B,'Total Receptions'!A:A,'Skill Pos Compiled'!A28)=0,SUMIFS('2022 Skill Pos Stats'!O:O,'2022 Skill Pos Stats'!A:A,'Skill Pos Compiled'!A28),SUMIFS('Total Receptions'!B:B,'Total Receptions'!A:A,'Skill Pos Compiled'!A28))</f>
        <v>40.071428571428569</v>
      </c>
      <c r="H28" s="7">
        <f>IF(SUMIFS('Total Receiving Yards'!E:E,'Total Receiving Yards'!A:A,'Skill Pos Compiled'!A28)=0,SUMIFS('2022 Skill Pos Stats'!P:P,'2022 Skill Pos Stats'!A:A,'Skill Pos Compiled'!A28),SUMIFS('Total Receiving Yards'!E:E,'Total Receiving Yards'!A:A,'Skill Pos Compiled'!A28))</f>
        <v>509.99999999999994</v>
      </c>
      <c r="I28" s="7">
        <f>IF(SUMIFS('Total Receiving Touchdowns'!E:E,'Total Receiving Touchdowns'!A:A,'Skill Pos Compiled'!A28)=0,SUMIFS('2022 Skill Pos Stats'!Q:Q,'2022 Skill Pos Stats'!A:A,'Skill Pos Compiled'!A28),SUMIFS('Total Receiving Touchdowns'!E:E,'Total Receiving Touchdowns'!A:A,'Skill Pos Compiled'!A28))</f>
        <v>2.4285714285714284</v>
      </c>
      <c r="J28" s="5">
        <f>_xlfn.XLOOKUP(E$1,Pt_System[Stat],Pt_System[Pts])*E28</f>
        <v>0</v>
      </c>
      <c r="K28" s="5">
        <f>_xlfn.XLOOKUP(F$1,Pt_System[Stat],Pt_System[Pts])*F28</f>
        <v>0</v>
      </c>
      <c r="L28" s="5">
        <f>_xlfn.XLOOKUP(G$1,Pt_System[Stat],Pt_System[Pts])*G28</f>
        <v>40.071428571428569</v>
      </c>
      <c r="M28" s="5">
        <f>_xlfn.XLOOKUP(H$1,Pt_System[Stat],Pt_System[Pts])*H28</f>
        <v>51</v>
      </c>
      <c r="N28" s="5">
        <f>_xlfn.XLOOKUP(I$1,Pt_System[Stat],Pt_System[Pts])*I28</f>
        <v>14.571428571428569</v>
      </c>
      <c r="O28" t="str">
        <f>IF(COUNTIFS('Total Rushing Yards'!A:A,'Skill Pos Compiled'!$A28)=1,"Vegas Odds","2022 Stats / Prediction")</f>
        <v>2022 Stats / Prediction</v>
      </c>
      <c r="P28" t="str">
        <f>IF(COUNTIFS('Total Rushing Touchdowns'!A:A,'Skill Pos Compiled'!$A28)=1,"Vegas Odds","2022 Stats / Prediction")</f>
        <v>2022 Stats / Prediction</v>
      </c>
      <c r="Q28" t="str">
        <f>IF(COUNTIFS('Total Receptions'!A:A,'Skill Pos Compiled'!$A28)=1,"Vegas Odds","2022 Stats / Prediction")</f>
        <v>2022 Stats / Prediction</v>
      </c>
      <c r="R28" t="str">
        <f>IF(COUNTIFS('Total Receiving Yards'!A:A,'Skill Pos Compiled'!$A28)=1,"Vegas Odds","2022 Stats / Prediction")</f>
        <v>2022 Stats / Prediction</v>
      </c>
      <c r="S28" t="str">
        <f>IF(COUNTIFS('Total Receiving Touchdowns'!A:A,'Skill Pos Compiled'!$A28)=1,"Vegas Odds","2022 Stats / Prediction")</f>
        <v>2022 Stats / Prediction</v>
      </c>
      <c r="T28" s="10" t="str">
        <f t="shared" si="4"/>
        <v>Unpredictable</v>
      </c>
    </row>
    <row r="29" spans="1:20" x14ac:dyDescent="0.25">
      <c r="A29" t="s">
        <v>255</v>
      </c>
      <c r="B29" t="str">
        <f>_xlfn.XLOOKUP(A29,ADP!A:A,ADP!B:B)</f>
        <v>TE</v>
      </c>
      <c r="C29" s="9">
        <f t="shared" si="2"/>
        <v>137.83076923076925</v>
      </c>
      <c r="D29" s="9">
        <f t="shared" si="3"/>
        <v>541.38461538461536</v>
      </c>
      <c r="E29" s="7">
        <f>IF(SUMIFS('Total Rushing Yards'!E:E,'Total Rushing Yards'!A:A,'Skill Pos Compiled'!A29)=0,SUMIFS('2022 Skill Pos Stats'!M:M,'2022 Skill Pos Stats'!A:A,'Skill Pos Compiled'!A29),SUMIFS('Total Rushing Yards'!E:E,'Total Rushing Yards'!A:A,'Skill Pos Compiled'!A29))</f>
        <v>0</v>
      </c>
      <c r="F29" s="7">
        <f>IF(SUMIFS('Total Rushing Touchdowns'!B:B,'Total Rushing Touchdowns'!A:A,'Skill Pos Compiled'!A29)=0,SUMIFS('2022 Skill Pos Stats'!N:N,'2022 Skill Pos Stats'!A:A,'Skill Pos Compiled'!A29),SUMIFS('Total Rushing Touchdowns'!B:B,'Total Rushing Touchdowns'!A:A,'Skill Pos Compiled'!A29))</f>
        <v>0</v>
      </c>
      <c r="G29" s="7">
        <f>IF(SUMIFS('Total Receptions'!B:B,'Total Receptions'!A:A,'Skill Pos Compiled'!A29)=0,SUMIFS('2022 Skill Pos Stats'!O:O,'2022 Skill Pos Stats'!A:A,'Skill Pos Compiled'!A29),SUMIFS('Total Receptions'!B:B,'Total Receptions'!A:A,'Skill Pos Compiled'!A29))</f>
        <v>68</v>
      </c>
      <c r="H29" s="7">
        <f>IF(SUMIFS('Total Receiving Yards'!E:E,'Total Receiving Yards'!A:A,'Skill Pos Compiled'!A29)=0,SUMIFS('2022 Skill Pos Stats'!P:P,'2022 Skill Pos Stats'!A:A,'Skill Pos Compiled'!A29),SUMIFS('Total Receiving Yards'!E:E,'Total Receiving Yards'!A:A,'Skill Pos Compiled'!A29))</f>
        <v>541.38461538461536</v>
      </c>
      <c r="I29" s="7">
        <f>IF(SUMIFS('Total Receiving Touchdowns'!E:E,'Total Receiving Touchdowns'!A:A,'Skill Pos Compiled'!A29)=0,SUMIFS('2022 Skill Pos Stats'!Q:Q,'2022 Skill Pos Stats'!A:A,'Skill Pos Compiled'!A29),SUMIFS('Total Receiving Touchdowns'!E:E,'Total Receiving Touchdowns'!A:A,'Skill Pos Compiled'!A29))</f>
        <v>2.6153846153846154</v>
      </c>
      <c r="J29" s="5">
        <f>_xlfn.XLOOKUP(E$1,Pt_System[Stat],Pt_System[Pts])*E29</f>
        <v>0</v>
      </c>
      <c r="K29" s="5">
        <f>_xlfn.XLOOKUP(F$1,Pt_System[Stat],Pt_System[Pts])*F29</f>
        <v>0</v>
      </c>
      <c r="L29" s="5">
        <f>_xlfn.XLOOKUP(G$1,Pt_System[Stat],Pt_System[Pts])*G29</f>
        <v>68</v>
      </c>
      <c r="M29" s="5">
        <f>_xlfn.XLOOKUP(H$1,Pt_System[Stat],Pt_System[Pts])*H29</f>
        <v>54.138461538461542</v>
      </c>
      <c r="N29" s="5">
        <f>_xlfn.XLOOKUP(I$1,Pt_System[Stat],Pt_System[Pts])*I29</f>
        <v>15.692307692307693</v>
      </c>
      <c r="O29" t="str">
        <f>IF(COUNTIFS('Total Rushing Yards'!A:A,'Skill Pos Compiled'!$A29)=1,"Vegas Odds","2022 Stats / Prediction")</f>
        <v>2022 Stats / Prediction</v>
      </c>
      <c r="P29" t="str">
        <f>IF(COUNTIFS('Total Rushing Touchdowns'!A:A,'Skill Pos Compiled'!$A29)=1,"Vegas Odds","2022 Stats / Prediction")</f>
        <v>2022 Stats / Prediction</v>
      </c>
      <c r="Q29" t="str">
        <f>IF(COUNTIFS('Total Receptions'!A:A,'Skill Pos Compiled'!$A29)=1,"Vegas Odds","2022 Stats / Prediction")</f>
        <v>2022 Stats / Prediction</v>
      </c>
      <c r="R29" t="str">
        <f>IF(COUNTIFS('Total Receiving Yards'!A:A,'Skill Pos Compiled'!$A29)=1,"Vegas Odds","2022 Stats / Prediction")</f>
        <v>2022 Stats / Prediction</v>
      </c>
      <c r="S29" t="str">
        <f>IF(COUNTIFS('Total Receiving Touchdowns'!A:A,'Skill Pos Compiled'!$A29)=1,"Vegas Odds","2022 Stats / Prediction")</f>
        <v>2022 Stats / Prediction</v>
      </c>
      <c r="T29" s="10" t="str">
        <f t="shared" si="4"/>
        <v>Unpredictable</v>
      </c>
    </row>
    <row r="30" spans="1:20" x14ac:dyDescent="0.25">
      <c r="A30" t="s">
        <v>256</v>
      </c>
      <c r="B30" t="str">
        <f>_xlfn.XLOOKUP(A30,ADP!A:A,ADP!B:B)</f>
        <v>TE</v>
      </c>
      <c r="C30" s="9">
        <f t="shared" si="2"/>
        <v>146.37</v>
      </c>
      <c r="D30" s="9">
        <f t="shared" si="3"/>
        <v>698.69999999999993</v>
      </c>
      <c r="E30" s="7">
        <f>IF(SUMIFS('Total Rushing Yards'!E:E,'Total Rushing Yards'!A:A,'Skill Pos Compiled'!A30)=0,SUMIFS('2022 Skill Pos Stats'!M:M,'2022 Skill Pos Stats'!A:A,'Skill Pos Compiled'!A30),SUMIFS('Total Rushing Yards'!E:E,'Total Rushing Yards'!A:A,'Skill Pos Compiled'!A30))</f>
        <v>0</v>
      </c>
      <c r="F30" s="7">
        <f>IF(SUMIFS('Total Rushing Touchdowns'!B:B,'Total Rushing Touchdowns'!A:A,'Skill Pos Compiled'!A30)=0,SUMIFS('2022 Skill Pos Stats'!N:N,'2022 Skill Pos Stats'!A:A,'Skill Pos Compiled'!A30),SUMIFS('Total Rushing Touchdowns'!B:B,'Total Rushing Touchdowns'!A:A,'Skill Pos Compiled'!A30))</f>
        <v>0</v>
      </c>
      <c r="G30" s="7">
        <f>IF(SUMIFS('Total Receptions'!B:B,'Total Receptions'!A:A,'Skill Pos Compiled'!A30)=0,SUMIFS('2022 Skill Pos Stats'!O:O,'2022 Skill Pos Stats'!A:A,'Skill Pos Compiled'!A30),SUMIFS('Total Receptions'!B:B,'Total Receptions'!A:A,'Skill Pos Compiled'!A30))</f>
        <v>56.1</v>
      </c>
      <c r="H30" s="7">
        <f>IF(SUMIFS('Total Receiving Yards'!E:E,'Total Receiving Yards'!A:A,'Skill Pos Compiled'!A30)=0,SUMIFS('2022 Skill Pos Stats'!P:P,'2022 Skill Pos Stats'!A:A,'Skill Pos Compiled'!A30),SUMIFS('Total Receiving Yards'!E:E,'Total Receiving Yards'!A:A,'Skill Pos Compiled'!A30))</f>
        <v>698.69999999999993</v>
      </c>
      <c r="I30" s="7">
        <f>IF(SUMIFS('Total Receiving Touchdowns'!E:E,'Total Receiving Touchdowns'!A:A,'Skill Pos Compiled'!A30)=0,SUMIFS('2022 Skill Pos Stats'!Q:Q,'2022 Skill Pos Stats'!A:A,'Skill Pos Compiled'!A30),SUMIFS('Total Receiving Touchdowns'!E:E,'Total Receiving Touchdowns'!A:A,'Skill Pos Compiled'!A30))</f>
        <v>3.4</v>
      </c>
      <c r="J30" s="5">
        <f>_xlfn.XLOOKUP(E$1,Pt_System[Stat],Pt_System[Pts])*E30</f>
        <v>0</v>
      </c>
      <c r="K30" s="5">
        <f>_xlfn.XLOOKUP(F$1,Pt_System[Stat],Pt_System[Pts])*F30</f>
        <v>0</v>
      </c>
      <c r="L30" s="5">
        <f>_xlfn.XLOOKUP(G$1,Pt_System[Stat],Pt_System[Pts])*G30</f>
        <v>56.1</v>
      </c>
      <c r="M30" s="5">
        <f>_xlfn.XLOOKUP(H$1,Pt_System[Stat],Pt_System[Pts])*H30</f>
        <v>69.86999999999999</v>
      </c>
      <c r="N30" s="5">
        <f>_xlfn.XLOOKUP(I$1,Pt_System[Stat],Pt_System[Pts])*I30</f>
        <v>20.399999999999999</v>
      </c>
      <c r="O30" t="str">
        <f>IF(COUNTIFS('Total Rushing Yards'!A:A,'Skill Pos Compiled'!$A30)=1,"Vegas Odds","2022 Stats / Prediction")</f>
        <v>2022 Stats / Prediction</v>
      </c>
      <c r="P30" t="str">
        <f>IF(COUNTIFS('Total Rushing Touchdowns'!A:A,'Skill Pos Compiled'!$A30)=1,"Vegas Odds","2022 Stats / Prediction")</f>
        <v>2022 Stats / Prediction</v>
      </c>
      <c r="Q30" t="str">
        <f>IF(COUNTIFS('Total Receptions'!A:A,'Skill Pos Compiled'!$A30)=1,"Vegas Odds","2022 Stats / Prediction")</f>
        <v>2022 Stats / Prediction</v>
      </c>
      <c r="R30" t="str">
        <f>IF(COUNTIFS('Total Receiving Yards'!A:A,'Skill Pos Compiled'!$A30)=1,"Vegas Odds","2022 Stats / Prediction")</f>
        <v>2022 Stats / Prediction</v>
      </c>
      <c r="S30" t="str">
        <f>IF(COUNTIFS('Total Receiving Touchdowns'!A:A,'Skill Pos Compiled'!$A30)=1,"Vegas Odds","2022 Stats / Prediction")</f>
        <v>2022 Stats / Prediction</v>
      </c>
      <c r="T30" s="10" t="str">
        <f t="shared" si="4"/>
        <v>Unpredictable</v>
      </c>
    </row>
    <row r="31" spans="1:20" x14ac:dyDescent="0.25">
      <c r="A31" t="s">
        <v>257</v>
      </c>
      <c r="B31" t="s">
        <v>411</v>
      </c>
      <c r="C31" s="9">
        <f t="shared" si="2"/>
        <v>98.486666666666679</v>
      </c>
      <c r="D31" s="9">
        <f t="shared" si="3"/>
        <v>395.5333333333333</v>
      </c>
      <c r="E31" s="7">
        <f>IF(SUMIFS('Total Rushing Yards'!E:E,'Total Rushing Yards'!A:A,'Skill Pos Compiled'!A31)=0,SUMIFS('2022 Skill Pos Stats'!M:M,'2022 Skill Pos Stats'!A:A,'Skill Pos Compiled'!A31),SUMIFS('Total Rushing Yards'!E:E,'Total Rushing Yards'!A:A,'Skill Pos Compiled'!A31))</f>
        <v>0</v>
      </c>
      <c r="F31" s="7">
        <f>IF(SUMIFS('Total Rushing Touchdowns'!B:B,'Total Rushing Touchdowns'!A:A,'Skill Pos Compiled'!A31)=0,SUMIFS('2022 Skill Pos Stats'!N:N,'2022 Skill Pos Stats'!A:A,'Skill Pos Compiled'!A31),SUMIFS('Total Rushing Touchdowns'!B:B,'Total Rushing Touchdowns'!A:A,'Skill Pos Compiled'!A31))</f>
        <v>0</v>
      </c>
      <c r="G31" s="7">
        <f>IF(SUMIFS('Total Receptions'!B:B,'Total Receptions'!A:A,'Skill Pos Compiled'!A31)=0,SUMIFS('2022 Skill Pos Stats'!O:O,'2022 Skill Pos Stats'!A:A,'Skill Pos Compiled'!A31),SUMIFS('Total Receptions'!B:B,'Total Receptions'!A:A,'Skill Pos Compiled'!A31))</f>
        <v>38.533333333333331</v>
      </c>
      <c r="H31" s="7">
        <f>IF(SUMIFS('Total Receiving Yards'!E:E,'Total Receiving Yards'!A:A,'Skill Pos Compiled'!A31)=0,SUMIFS('2022 Skill Pos Stats'!P:P,'2022 Skill Pos Stats'!A:A,'Skill Pos Compiled'!A31),SUMIFS('Total Receiving Yards'!E:E,'Total Receiving Yards'!A:A,'Skill Pos Compiled'!A31))</f>
        <v>395.5333333333333</v>
      </c>
      <c r="I31" s="7">
        <f>IF(SUMIFS('Total Receiving Touchdowns'!E:E,'Total Receiving Touchdowns'!A:A,'Skill Pos Compiled'!A31)=0,SUMIFS('2022 Skill Pos Stats'!Q:Q,'2022 Skill Pos Stats'!A:A,'Skill Pos Compiled'!A31),SUMIFS('Total Receiving Touchdowns'!E:E,'Total Receiving Touchdowns'!A:A,'Skill Pos Compiled'!A31))</f>
        <v>3.4</v>
      </c>
      <c r="J31" s="5">
        <f>_xlfn.XLOOKUP(E$1,Pt_System[Stat],Pt_System[Pts])*E31</f>
        <v>0</v>
      </c>
      <c r="K31" s="5">
        <f>_xlfn.XLOOKUP(F$1,Pt_System[Stat],Pt_System[Pts])*F31</f>
        <v>0</v>
      </c>
      <c r="L31" s="5">
        <f>_xlfn.XLOOKUP(G$1,Pt_System[Stat],Pt_System[Pts])*G31</f>
        <v>38.533333333333331</v>
      </c>
      <c r="M31" s="5">
        <f>_xlfn.XLOOKUP(H$1,Pt_System[Stat],Pt_System[Pts])*H31</f>
        <v>39.553333333333335</v>
      </c>
      <c r="N31" s="5">
        <f>_xlfn.XLOOKUP(I$1,Pt_System[Stat],Pt_System[Pts])*I31</f>
        <v>20.399999999999999</v>
      </c>
      <c r="O31" t="str">
        <f>IF(COUNTIFS('Total Rushing Yards'!A:A,'Skill Pos Compiled'!$A31)=1,"Vegas Odds","2022 Stats / Prediction")</f>
        <v>2022 Stats / Prediction</v>
      </c>
      <c r="P31" t="str">
        <f>IF(COUNTIFS('Total Rushing Touchdowns'!A:A,'Skill Pos Compiled'!$A31)=1,"Vegas Odds","2022 Stats / Prediction")</f>
        <v>2022 Stats / Prediction</v>
      </c>
      <c r="Q31" t="str">
        <f>IF(COUNTIFS('Total Receptions'!A:A,'Skill Pos Compiled'!$A31)=1,"Vegas Odds","2022 Stats / Prediction")</f>
        <v>2022 Stats / Prediction</v>
      </c>
      <c r="R31" t="str">
        <f>IF(COUNTIFS('Total Receiving Yards'!A:A,'Skill Pos Compiled'!$A31)=1,"Vegas Odds","2022 Stats / Prediction")</f>
        <v>2022 Stats / Prediction</v>
      </c>
      <c r="S31" t="str">
        <f>IF(COUNTIFS('Total Receiving Touchdowns'!A:A,'Skill Pos Compiled'!$A31)=1,"Vegas Odds","2022 Stats / Prediction")</f>
        <v>2022 Stats / Prediction</v>
      </c>
      <c r="T31" s="10" t="str">
        <f t="shared" si="4"/>
        <v>Unpredictable</v>
      </c>
    </row>
    <row r="32" spans="1:20" x14ac:dyDescent="0.25">
      <c r="A32" t="s">
        <v>258</v>
      </c>
      <c r="B32" t="str">
        <f>_xlfn.XLOOKUP(A32,ADP!A:A,ADP!B:B)</f>
        <v>TE</v>
      </c>
      <c r="C32" s="9">
        <f t="shared" si="2"/>
        <v>113.05</v>
      </c>
      <c r="D32" s="9">
        <f t="shared" si="3"/>
        <v>474.78571428571422</v>
      </c>
      <c r="E32" s="7">
        <f>IF(SUMIFS('Total Rushing Yards'!E:E,'Total Rushing Yards'!A:A,'Skill Pos Compiled'!A32)=0,SUMIFS('2022 Skill Pos Stats'!M:M,'2022 Skill Pos Stats'!A:A,'Skill Pos Compiled'!A32),SUMIFS('Total Rushing Yards'!E:E,'Total Rushing Yards'!A:A,'Skill Pos Compiled'!A32))</f>
        <v>0</v>
      </c>
      <c r="F32" s="7">
        <f>IF(SUMIFS('Total Rushing Touchdowns'!B:B,'Total Rushing Touchdowns'!A:A,'Skill Pos Compiled'!A32)=0,SUMIFS('2022 Skill Pos Stats'!N:N,'2022 Skill Pos Stats'!A:A,'Skill Pos Compiled'!A32),SUMIFS('Total Rushing Touchdowns'!B:B,'Total Rushing Touchdowns'!A:A,'Skill Pos Compiled'!A32))</f>
        <v>0</v>
      </c>
      <c r="G32" s="7">
        <f>IF(SUMIFS('Total Receptions'!B:B,'Total Receptions'!A:A,'Skill Pos Compiled'!A32)=0,SUMIFS('2022 Skill Pos Stats'!O:O,'2022 Skill Pos Stats'!A:A,'Skill Pos Compiled'!A32),SUMIFS('Total Receptions'!B:B,'Total Receptions'!A:A,'Skill Pos Compiled'!A32))</f>
        <v>50.999999999999993</v>
      </c>
      <c r="H32" s="7">
        <f>IF(SUMIFS('Total Receiving Yards'!E:E,'Total Receiving Yards'!A:A,'Skill Pos Compiled'!A32)=0,SUMIFS('2022 Skill Pos Stats'!P:P,'2022 Skill Pos Stats'!A:A,'Skill Pos Compiled'!A32),SUMIFS('Total Receiving Yards'!E:E,'Total Receiving Yards'!A:A,'Skill Pos Compiled'!A32))</f>
        <v>474.78571428571422</v>
      </c>
      <c r="I32" s="7">
        <f>IF(SUMIFS('Total Receiving Touchdowns'!E:E,'Total Receiving Touchdowns'!A:A,'Skill Pos Compiled'!A32)=0,SUMIFS('2022 Skill Pos Stats'!Q:Q,'2022 Skill Pos Stats'!A:A,'Skill Pos Compiled'!A32),SUMIFS('Total Receiving Touchdowns'!E:E,'Total Receiving Touchdowns'!A:A,'Skill Pos Compiled'!A32))</f>
        <v>2.4285714285714284</v>
      </c>
      <c r="J32" s="5">
        <f>_xlfn.XLOOKUP(E$1,Pt_System[Stat],Pt_System[Pts])*E32</f>
        <v>0</v>
      </c>
      <c r="K32" s="5">
        <f>_xlfn.XLOOKUP(F$1,Pt_System[Stat],Pt_System[Pts])*F32</f>
        <v>0</v>
      </c>
      <c r="L32" s="5">
        <f>_xlfn.XLOOKUP(G$1,Pt_System[Stat],Pt_System[Pts])*G32</f>
        <v>50.999999999999993</v>
      </c>
      <c r="M32" s="5">
        <f>_xlfn.XLOOKUP(H$1,Pt_System[Stat],Pt_System[Pts])*H32</f>
        <v>47.478571428571428</v>
      </c>
      <c r="N32" s="5">
        <f>_xlfn.XLOOKUP(I$1,Pt_System[Stat],Pt_System[Pts])*I32</f>
        <v>14.571428571428569</v>
      </c>
      <c r="O32" t="str">
        <f>IF(COUNTIFS('Total Rushing Yards'!A:A,'Skill Pos Compiled'!$A32)=1,"Vegas Odds","2022 Stats / Prediction")</f>
        <v>2022 Stats / Prediction</v>
      </c>
      <c r="P32" t="str">
        <f>IF(COUNTIFS('Total Rushing Touchdowns'!A:A,'Skill Pos Compiled'!$A32)=1,"Vegas Odds","2022 Stats / Prediction")</f>
        <v>2022 Stats / Prediction</v>
      </c>
      <c r="Q32" t="str">
        <f>IF(COUNTIFS('Total Receptions'!A:A,'Skill Pos Compiled'!$A32)=1,"Vegas Odds","2022 Stats / Prediction")</f>
        <v>2022 Stats / Prediction</v>
      </c>
      <c r="R32" t="str">
        <f>IF(COUNTIFS('Total Receiving Yards'!A:A,'Skill Pos Compiled'!$A32)=1,"Vegas Odds","2022 Stats / Prediction")</f>
        <v>2022 Stats / Prediction</v>
      </c>
      <c r="S32" t="str">
        <f>IF(COUNTIFS('Total Receiving Touchdowns'!A:A,'Skill Pos Compiled'!$A32)=1,"Vegas Odds","2022 Stats / Prediction")</f>
        <v>2022 Stats / Prediction</v>
      </c>
      <c r="T32" s="10" t="str">
        <f t="shared" si="4"/>
        <v>Unpredictable</v>
      </c>
    </row>
    <row r="33" spans="1:20" x14ac:dyDescent="0.25">
      <c r="A33" t="s">
        <v>259</v>
      </c>
      <c r="B33" t="str">
        <f>_xlfn.XLOOKUP(A33,ADP!A:A,ADP!B:B)</f>
        <v>TE</v>
      </c>
      <c r="C33" s="9">
        <f t="shared" si="2"/>
        <v>105.11666666666667</v>
      </c>
      <c r="D33" s="9">
        <f t="shared" si="3"/>
        <v>442</v>
      </c>
      <c r="E33" s="7">
        <f>IF(SUMIFS('Total Rushing Yards'!E:E,'Total Rushing Yards'!A:A,'Skill Pos Compiled'!A33)=0,SUMIFS('2022 Skill Pos Stats'!M:M,'2022 Skill Pos Stats'!A:A,'Skill Pos Compiled'!A33),SUMIFS('Total Rushing Yards'!E:E,'Total Rushing Yards'!A:A,'Skill Pos Compiled'!A33))</f>
        <v>0</v>
      </c>
      <c r="F33" s="7">
        <f>IF(SUMIFS('Total Rushing Touchdowns'!B:B,'Total Rushing Touchdowns'!A:A,'Skill Pos Compiled'!A33)=0,SUMIFS('2022 Skill Pos Stats'!N:N,'2022 Skill Pos Stats'!A:A,'Skill Pos Compiled'!A33),SUMIFS('Total Rushing Touchdowns'!B:B,'Total Rushing Touchdowns'!A:A,'Skill Pos Compiled'!A33))</f>
        <v>0</v>
      </c>
      <c r="G33" s="7">
        <f>IF(SUMIFS('Total Receptions'!B:B,'Total Receptions'!A:A,'Skill Pos Compiled'!A33)=0,SUMIFS('2022 Skill Pos Stats'!O:O,'2022 Skill Pos Stats'!A:A,'Skill Pos Compiled'!A33),SUMIFS('Total Receptions'!B:B,'Total Receptions'!A:A,'Skill Pos Compiled'!A33))</f>
        <v>35.416666666666671</v>
      </c>
      <c r="H33" s="7">
        <f>IF(SUMIFS('Total Receiving Yards'!E:E,'Total Receiving Yards'!A:A,'Skill Pos Compiled'!A33)=0,SUMIFS('2022 Skill Pos Stats'!P:P,'2022 Skill Pos Stats'!A:A,'Skill Pos Compiled'!A33),SUMIFS('Total Receiving Yards'!E:E,'Total Receiving Yards'!A:A,'Skill Pos Compiled'!A33))</f>
        <v>442</v>
      </c>
      <c r="I33" s="7">
        <f>IF(SUMIFS('Total Receiving Touchdowns'!E:E,'Total Receiving Touchdowns'!A:A,'Skill Pos Compiled'!A33)=0,SUMIFS('2022 Skill Pos Stats'!Q:Q,'2022 Skill Pos Stats'!A:A,'Skill Pos Compiled'!A33),SUMIFS('Total Receiving Touchdowns'!E:E,'Total Receiving Touchdowns'!A:A,'Skill Pos Compiled'!A33))</f>
        <v>4.25</v>
      </c>
      <c r="J33" s="5">
        <f>_xlfn.XLOOKUP(E$1,Pt_System[Stat],Pt_System[Pts])*E33</f>
        <v>0</v>
      </c>
      <c r="K33" s="5">
        <f>_xlfn.XLOOKUP(F$1,Pt_System[Stat],Pt_System[Pts])*F33</f>
        <v>0</v>
      </c>
      <c r="L33" s="5">
        <f>_xlfn.XLOOKUP(G$1,Pt_System[Stat],Pt_System[Pts])*G33</f>
        <v>35.416666666666671</v>
      </c>
      <c r="M33" s="5">
        <f>_xlfn.XLOOKUP(H$1,Pt_System[Stat],Pt_System[Pts])*H33</f>
        <v>44.2</v>
      </c>
      <c r="N33" s="5">
        <f>_xlfn.XLOOKUP(I$1,Pt_System[Stat],Pt_System[Pts])*I33</f>
        <v>25.5</v>
      </c>
      <c r="O33" t="str">
        <f>IF(COUNTIFS('Total Rushing Yards'!A:A,'Skill Pos Compiled'!$A33)=1,"Vegas Odds","2022 Stats / Prediction")</f>
        <v>2022 Stats / Prediction</v>
      </c>
      <c r="P33" t="str">
        <f>IF(COUNTIFS('Total Rushing Touchdowns'!A:A,'Skill Pos Compiled'!$A33)=1,"Vegas Odds","2022 Stats / Prediction")</f>
        <v>2022 Stats / Prediction</v>
      </c>
      <c r="Q33" t="str">
        <f>IF(COUNTIFS('Total Receptions'!A:A,'Skill Pos Compiled'!$A33)=1,"Vegas Odds","2022 Stats / Prediction")</f>
        <v>2022 Stats / Prediction</v>
      </c>
      <c r="R33" t="str">
        <f>IF(COUNTIFS('Total Receiving Yards'!A:A,'Skill Pos Compiled'!$A33)=1,"Vegas Odds","2022 Stats / Prediction")</f>
        <v>2022 Stats / Prediction</v>
      </c>
      <c r="S33" t="str">
        <f>IF(COUNTIFS('Total Receiving Touchdowns'!A:A,'Skill Pos Compiled'!$A33)=1,"Vegas Odds","2022 Stats / Prediction")</f>
        <v>2022 Stats / Prediction</v>
      </c>
      <c r="T33" s="10" t="str">
        <f t="shared" si="4"/>
        <v>Unpredictable</v>
      </c>
    </row>
    <row r="34" spans="1:20" x14ac:dyDescent="0.25">
      <c r="A34" t="s">
        <v>13</v>
      </c>
      <c r="B34" t="str">
        <f>_xlfn.XLOOKUP(A34,ADP!A:A,ADP!B:B)</f>
        <v>TE</v>
      </c>
      <c r="C34" s="9">
        <f t="shared" si="2"/>
        <v>181.71666666666667</v>
      </c>
      <c r="D34" s="9">
        <f t="shared" si="3"/>
        <v>692.16666666666663</v>
      </c>
      <c r="E34" s="7">
        <f>IF(SUMIFS('Total Rushing Yards'!E:E,'Total Rushing Yards'!A:A,'Skill Pos Compiled'!A34)=0,SUMIFS('2022 Skill Pos Stats'!M:M,'2022 Skill Pos Stats'!A:A,'Skill Pos Compiled'!A34),SUMIFS('Total Rushing Yards'!E:E,'Total Rushing Yards'!A:A,'Skill Pos Compiled'!A34))</f>
        <v>0</v>
      </c>
      <c r="F34" s="7">
        <f>IF(SUMIFS('Total Rushing Touchdowns'!B:B,'Total Rushing Touchdowns'!A:A,'Skill Pos Compiled'!A34)=0,SUMIFS('2022 Skill Pos Stats'!N:N,'2022 Skill Pos Stats'!A:A,'Skill Pos Compiled'!A34),SUMIFS('Total Rushing Touchdowns'!B:B,'Total Rushing Touchdowns'!A:A,'Skill Pos Compiled'!A34))</f>
        <v>0</v>
      </c>
      <c r="G34" s="7">
        <f>IF(SUMIFS('Total Receptions'!B:B,'Total Receptions'!A:A,'Skill Pos Compiled'!A34)=0,SUMIFS('2022 Skill Pos Stats'!O:O,'2022 Skill Pos Stats'!A:A,'Skill Pos Compiled'!A34),SUMIFS('Total Receptions'!B:B,'Total Receptions'!A:A,'Skill Pos Compiled'!A34))</f>
        <v>85.5</v>
      </c>
      <c r="H34" s="7">
        <f>IF(SUMIFS('Total Receiving Yards'!E:E,'Total Receiving Yards'!A:A,'Skill Pos Compiled'!A34)=0,SUMIFS('2022 Skill Pos Stats'!P:P,'2022 Skill Pos Stats'!A:A,'Skill Pos Compiled'!A34),SUMIFS('Total Receiving Yards'!E:E,'Total Receiving Yards'!A:A,'Skill Pos Compiled'!A34))</f>
        <v>692.16666666666663</v>
      </c>
      <c r="I34" s="7">
        <f>IF(SUMIFS('Total Receiving Touchdowns'!E:E,'Total Receiving Touchdowns'!A:A,'Skill Pos Compiled'!A34)=0,SUMIFS('2022 Skill Pos Stats'!Q:Q,'2022 Skill Pos Stats'!A:A,'Skill Pos Compiled'!A34),SUMIFS('Total Receiving Touchdowns'!E:E,'Total Receiving Touchdowns'!A:A,'Skill Pos Compiled'!A34))</f>
        <v>4.5</v>
      </c>
      <c r="J34" s="5">
        <f>_xlfn.XLOOKUP(E$1,Pt_System[Stat],Pt_System[Pts])*E34</f>
        <v>0</v>
      </c>
      <c r="K34" s="5">
        <f>_xlfn.XLOOKUP(F$1,Pt_System[Stat],Pt_System[Pts])*F34</f>
        <v>0</v>
      </c>
      <c r="L34" s="5">
        <f>_xlfn.XLOOKUP(G$1,Pt_System[Stat],Pt_System[Pts])*G34</f>
        <v>85.5</v>
      </c>
      <c r="M34" s="5">
        <f>_xlfn.XLOOKUP(H$1,Pt_System[Stat],Pt_System[Pts])*H34</f>
        <v>69.216666666666669</v>
      </c>
      <c r="N34" s="5">
        <f>_xlfn.XLOOKUP(I$1,Pt_System[Stat],Pt_System[Pts])*I34</f>
        <v>27</v>
      </c>
      <c r="O34" t="str">
        <f>IF(COUNTIFS('Total Rushing Yards'!A:A,'Skill Pos Compiled'!$A34)=1,"Vegas Odds","2022 Stats / Prediction")</f>
        <v>2022 Stats / Prediction</v>
      </c>
      <c r="P34" t="str">
        <f>IF(COUNTIFS('Total Rushing Touchdowns'!A:A,'Skill Pos Compiled'!$A34)=1,"Vegas Odds","2022 Stats / Prediction")</f>
        <v>2022 Stats / Prediction</v>
      </c>
      <c r="Q34" t="str">
        <f>IF(COUNTIFS('Total Receptions'!A:A,'Skill Pos Compiled'!$A34)=1,"Vegas Odds","2022 Stats / Prediction")</f>
        <v>Vegas Odds</v>
      </c>
      <c r="R34" t="str">
        <f>IF(COUNTIFS('Total Receiving Yards'!A:A,'Skill Pos Compiled'!$A34)=1,"Vegas Odds","2022 Stats / Prediction")</f>
        <v>Vegas Odds</v>
      </c>
      <c r="S34" t="str">
        <f>IF(COUNTIFS('Total Receiving Touchdowns'!A:A,'Skill Pos Compiled'!$A34)=1,"Vegas Odds","2022 Stats / Prediction")</f>
        <v>Vegas Odds</v>
      </c>
      <c r="T34" s="10" t="str">
        <f t="shared" si="4"/>
        <v>OK</v>
      </c>
    </row>
    <row r="35" spans="1:20" x14ac:dyDescent="0.25">
      <c r="A35" t="s">
        <v>260</v>
      </c>
      <c r="B35" t="s">
        <v>411</v>
      </c>
      <c r="C35" s="9">
        <f t="shared" si="2"/>
        <v>83.169230769230779</v>
      </c>
      <c r="D35" s="9">
        <f t="shared" si="3"/>
        <v>282.46153846153845</v>
      </c>
      <c r="E35" s="7">
        <f>IF(SUMIFS('Total Rushing Yards'!E:E,'Total Rushing Yards'!A:A,'Skill Pos Compiled'!A35)=0,SUMIFS('2022 Skill Pos Stats'!M:M,'2022 Skill Pos Stats'!A:A,'Skill Pos Compiled'!A35),SUMIFS('Total Rushing Yards'!E:E,'Total Rushing Yards'!A:A,'Skill Pos Compiled'!A35))</f>
        <v>0</v>
      </c>
      <c r="F35" s="7">
        <f>IF(SUMIFS('Total Rushing Touchdowns'!B:B,'Total Rushing Touchdowns'!A:A,'Skill Pos Compiled'!A35)=0,SUMIFS('2022 Skill Pos Stats'!N:N,'2022 Skill Pos Stats'!A:A,'Skill Pos Compiled'!A35),SUMIFS('Total Rushing Touchdowns'!B:B,'Total Rushing Touchdowns'!A:A,'Skill Pos Compiled'!A35))</f>
        <v>0</v>
      </c>
      <c r="G35" s="7">
        <f>IF(SUMIFS('Total Receptions'!B:B,'Total Receptions'!A:A,'Skill Pos Compiled'!A35)=0,SUMIFS('2022 Skill Pos Stats'!O:O,'2022 Skill Pos Stats'!A:A,'Skill Pos Compiled'!A35),SUMIFS('Total Receptions'!B:B,'Total Receptions'!A:A,'Skill Pos Compiled'!A35))</f>
        <v>23.53846153846154</v>
      </c>
      <c r="H35" s="7">
        <f>IF(SUMIFS('Total Receiving Yards'!E:E,'Total Receiving Yards'!A:A,'Skill Pos Compiled'!A35)=0,SUMIFS('2022 Skill Pos Stats'!P:P,'2022 Skill Pos Stats'!A:A,'Skill Pos Compiled'!A35),SUMIFS('Total Receiving Yards'!E:E,'Total Receiving Yards'!A:A,'Skill Pos Compiled'!A35))</f>
        <v>282.46153846153845</v>
      </c>
      <c r="I35" s="7">
        <f>IF(SUMIFS('Total Receiving Touchdowns'!E:E,'Total Receiving Touchdowns'!A:A,'Skill Pos Compiled'!A35)=0,SUMIFS('2022 Skill Pos Stats'!Q:Q,'2022 Skill Pos Stats'!A:A,'Skill Pos Compiled'!A35),SUMIFS('Total Receiving Touchdowns'!E:E,'Total Receiving Touchdowns'!A:A,'Skill Pos Compiled'!A35))</f>
        <v>5.2307692307692308</v>
      </c>
      <c r="J35" s="5">
        <f>_xlfn.XLOOKUP(E$1,Pt_System[Stat],Pt_System[Pts])*E35</f>
        <v>0</v>
      </c>
      <c r="K35" s="5">
        <f>_xlfn.XLOOKUP(F$1,Pt_System[Stat],Pt_System[Pts])*F35</f>
        <v>0</v>
      </c>
      <c r="L35" s="5">
        <f>_xlfn.XLOOKUP(G$1,Pt_System[Stat],Pt_System[Pts])*G35</f>
        <v>23.53846153846154</v>
      </c>
      <c r="M35" s="5">
        <f>_xlfn.XLOOKUP(H$1,Pt_System[Stat],Pt_System[Pts])*H35</f>
        <v>28.246153846153845</v>
      </c>
      <c r="N35" s="5">
        <f>_xlfn.XLOOKUP(I$1,Pt_System[Stat],Pt_System[Pts])*I35</f>
        <v>31.384615384615387</v>
      </c>
      <c r="O35" t="str">
        <f>IF(COUNTIFS('Total Rushing Yards'!A:A,'Skill Pos Compiled'!$A35)=1,"Vegas Odds","2022 Stats / Prediction")</f>
        <v>2022 Stats / Prediction</v>
      </c>
      <c r="P35" t="str">
        <f>IF(COUNTIFS('Total Rushing Touchdowns'!A:A,'Skill Pos Compiled'!$A35)=1,"Vegas Odds","2022 Stats / Prediction")</f>
        <v>2022 Stats / Prediction</v>
      </c>
      <c r="Q35" t="str">
        <f>IF(COUNTIFS('Total Receptions'!A:A,'Skill Pos Compiled'!$A35)=1,"Vegas Odds","2022 Stats / Prediction")</f>
        <v>2022 Stats / Prediction</v>
      </c>
      <c r="R35" t="str">
        <f>IF(COUNTIFS('Total Receiving Yards'!A:A,'Skill Pos Compiled'!$A35)=1,"Vegas Odds","2022 Stats / Prediction")</f>
        <v>2022 Stats / Prediction</v>
      </c>
      <c r="S35" t="str">
        <f>IF(COUNTIFS('Total Receiving Touchdowns'!A:A,'Skill Pos Compiled'!$A35)=1,"Vegas Odds","2022 Stats / Prediction")</f>
        <v>2022 Stats / Prediction</v>
      </c>
      <c r="T35" s="10" t="str">
        <f t="shared" si="4"/>
        <v>Unpredictable</v>
      </c>
    </row>
    <row r="36" spans="1:20" x14ac:dyDescent="0.25">
      <c r="A36" t="s">
        <v>261</v>
      </c>
      <c r="B36" t="str">
        <f>_xlfn.XLOOKUP(A36,ADP!A:A,ADP!B:B)</f>
        <v>TE</v>
      </c>
      <c r="C36" s="9">
        <f t="shared" si="2"/>
        <v>106.32727272727273</v>
      </c>
      <c r="D36" s="9">
        <f t="shared" si="3"/>
        <v>414.18181818181819</v>
      </c>
      <c r="E36" s="7">
        <f>IF(SUMIFS('Total Rushing Yards'!E:E,'Total Rushing Yards'!A:A,'Skill Pos Compiled'!A36)=0,SUMIFS('2022 Skill Pos Stats'!M:M,'2022 Skill Pos Stats'!A:A,'Skill Pos Compiled'!A36),SUMIFS('Total Rushing Yards'!E:E,'Total Rushing Yards'!A:A,'Skill Pos Compiled'!A36))</f>
        <v>0</v>
      </c>
      <c r="F36" s="7">
        <f>IF(SUMIFS('Total Rushing Touchdowns'!B:B,'Total Rushing Touchdowns'!A:A,'Skill Pos Compiled'!A36)=0,SUMIFS('2022 Skill Pos Stats'!N:N,'2022 Skill Pos Stats'!A:A,'Skill Pos Compiled'!A36),SUMIFS('Total Rushing Touchdowns'!B:B,'Total Rushing Touchdowns'!A:A,'Skill Pos Compiled'!A36))</f>
        <v>0</v>
      </c>
      <c r="G36" s="7">
        <f>IF(SUMIFS('Total Receptions'!B:B,'Total Receptions'!A:A,'Skill Pos Compiled'!A36)=0,SUMIFS('2022 Skill Pos Stats'!O:O,'2022 Skill Pos Stats'!A:A,'Skill Pos Compiled'!A36),SUMIFS('Total Receptions'!B:B,'Total Receptions'!A:A,'Skill Pos Compiled'!A36))</f>
        <v>46.36363636363636</v>
      </c>
      <c r="H36" s="7">
        <f>IF(SUMIFS('Total Receiving Yards'!E:E,'Total Receiving Yards'!A:A,'Skill Pos Compiled'!A36)=0,SUMIFS('2022 Skill Pos Stats'!P:P,'2022 Skill Pos Stats'!A:A,'Skill Pos Compiled'!A36),SUMIFS('Total Receiving Yards'!E:E,'Total Receiving Yards'!A:A,'Skill Pos Compiled'!A36))</f>
        <v>414.18181818181819</v>
      </c>
      <c r="I36" s="7">
        <f>IF(SUMIFS('Total Receiving Touchdowns'!E:E,'Total Receiving Touchdowns'!A:A,'Skill Pos Compiled'!A36)=0,SUMIFS('2022 Skill Pos Stats'!Q:Q,'2022 Skill Pos Stats'!A:A,'Skill Pos Compiled'!A36),SUMIFS('Total Receiving Touchdowns'!E:E,'Total Receiving Touchdowns'!A:A,'Skill Pos Compiled'!A36))</f>
        <v>3.0909090909090908</v>
      </c>
      <c r="J36" s="5">
        <f>_xlfn.XLOOKUP(E$1,Pt_System[Stat],Pt_System[Pts])*E36</f>
        <v>0</v>
      </c>
      <c r="K36" s="5">
        <f>_xlfn.XLOOKUP(F$1,Pt_System[Stat],Pt_System[Pts])*F36</f>
        <v>0</v>
      </c>
      <c r="L36" s="5">
        <f>_xlfn.XLOOKUP(G$1,Pt_System[Stat],Pt_System[Pts])*G36</f>
        <v>46.36363636363636</v>
      </c>
      <c r="M36" s="5">
        <f>_xlfn.XLOOKUP(H$1,Pt_System[Stat],Pt_System[Pts])*H36</f>
        <v>41.418181818181822</v>
      </c>
      <c r="N36" s="5">
        <f>_xlfn.XLOOKUP(I$1,Pt_System[Stat],Pt_System[Pts])*I36</f>
        <v>18.545454545454547</v>
      </c>
      <c r="O36" t="str">
        <f>IF(COUNTIFS('Total Rushing Yards'!A:A,'Skill Pos Compiled'!$A36)=1,"Vegas Odds","2022 Stats / Prediction")</f>
        <v>2022 Stats / Prediction</v>
      </c>
      <c r="P36" t="str">
        <f>IF(COUNTIFS('Total Rushing Touchdowns'!A:A,'Skill Pos Compiled'!$A36)=1,"Vegas Odds","2022 Stats / Prediction")</f>
        <v>2022 Stats / Prediction</v>
      </c>
      <c r="Q36" t="str">
        <f>IF(COUNTIFS('Total Receptions'!A:A,'Skill Pos Compiled'!$A36)=1,"Vegas Odds","2022 Stats / Prediction")</f>
        <v>2022 Stats / Prediction</v>
      </c>
      <c r="R36" t="str">
        <f>IF(COUNTIFS('Total Receiving Yards'!A:A,'Skill Pos Compiled'!$A36)=1,"Vegas Odds","2022 Stats / Prediction")</f>
        <v>2022 Stats / Prediction</v>
      </c>
      <c r="S36" t="str">
        <f>IF(COUNTIFS('Total Receiving Touchdowns'!A:A,'Skill Pos Compiled'!$A36)=1,"Vegas Odds","2022 Stats / Prediction")</f>
        <v>2022 Stats / Prediction</v>
      </c>
      <c r="T36" s="10" t="str">
        <f t="shared" si="4"/>
        <v>Unpredictable</v>
      </c>
    </row>
    <row r="37" spans="1:20" x14ac:dyDescent="0.25">
      <c r="A37" t="s">
        <v>262</v>
      </c>
      <c r="B37" t="s">
        <v>411</v>
      </c>
      <c r="C37" s="9">
        <f t="shared" si="2"/>
        <v>84.028571428571425</v>
      </c>
      <c r="D37" s="9">
        <f t="shared" si="3"/>
        <v>390.99999999999994</v>
      </c>
      <c r="E37" s="7">
        <f>IF(SUMIFS('Total Rushing Yards'!E:E,'Total Rushing Yards'!A:A,'Skill Pos Compiled'!A37)=0,SUMIFS('2022 Skill Pos Stats'!M:M,'2022 Skill Pos Stats'!A:A,'Skill Pos Compiled'!A37),SUMIFS('Total Rushing Yards'!E:E,'Total Rushing Yards'!A:A,'Skill Pos Compiled'!A37))</f>
        <v>0</v>
      </c>
      <c r="F37" s="7">
        <f>IF(SUMIFS('Total Rushing Touchdowns'!B:B,'Total Rushing Touchdowns'!A:A,'Skill Pos Compiled'!A37)=0,SUMIFS('2022 Skill Pos Stats'!N:N,'2022 Skill Pos Stats'!A:A,'Skill Pos Compiled'!A37),SUMIFS('Total Rushing Touchdowns'!B:B,'Total Rushing Touchdowns'!A:A,'Skill Pos Compiled'!A37))</f>
        <v>0</v>
      </c>
      <c r="G37" s="7">
        <f>IF(SUMIFS('Total Receptions'!B:B,'Total Receptions'!A:A,'Skill Pos Compiled'!A37)=0,SUMIFS('2022 Skill Pos Stats'!O:O,'2022 Skill Pos Stats'!A:A,'Skill Pos Compiled'!A37),SUMIFS('Total Receptions'!B:B,'Total Receptions'!A:A,'Skill Pos Compiled'!A37))</f>
        <v>30.357142857142854</v>
      </c>
      <c r="H37" s="7">
        <f>IF(SUMIFS('Total Receiving Yards'!E:E,'Total Receiving Yards'!A:A,'Skill Pos Compiled'!A37)=0,SUMIFS('2022 Skill Pos Stats'!P:P,'2022 Skill Pos Stats'!A:A,'Skill Pos Compiled'!A37),SUMIFS('Total Receiving Yards'!E:E,'Total Receiving Yards'!A:A,'Skill Pos Compiled'!A37))</f>
        <v>390.99999999999994</v>
      </c>
      <c r="I37" s="7">
        <f>IF(SUMIFS('Total Receiving Touchdowns'!E:E,'Total Receiving Touchdowns'!A:A,'Skill Pos Compiled'!A37)=0,SUMIFS('2022 Skill Pos Stats'!Q:Q,'2022 Skill Pos Stats'!A:A,'Skill Pos Compiled'!A37),SUMIFS('Total Receiving Touchdowns'!E:E,'Total Receiving Touchdowns'!A:A,'Skill Pos Compiled'!A37))</f>
        <v>2.4285714285714284</v>
      </c>
      <c r="J37" s="5">
        <f>_xlfn.XLOOKUP(E$1,Pt_System[Stat],Pt_System[Pts])*E37</f>
        <v>0</v>
      </c>
      <c r="K37" s="5">
        <f>_xlfn.XLOOKUP(F$1,Pt_System[Stat],Pt_System[Pts])*F37</f>
        <v>0</v>
      </c>
      <c r="L37" s="5">
        <f>_xlfn.XLOOKUP(G$1,Pt_System[Stat],Pt_System[Pts])*G37</f>
        <v>30.357142857142854</v>
      </c>
      <c r="M37" s="5">
        <f>_xlfn.XLOOKUP(H$1,Pt_System[Stat],Pt_System[Pts])*H37</f>
        <v>39.099999999999994</v>
      </c>
      <c r="N37" s="5">
        <f>_xlfn.XLOOKUP(I$1,Pt_System[Stat],Pt_System[Pts])*I37</f>
        <v>14.571428571428569</v>
      </c>
      <c r="O37" t="str">
        <f>IF(COUNTIFS('Total Rushing Yards'!A:A,'Skill Pos Compiled'!$A37)=1,"Vegas Odds","2022 Stats / Prediction")</f>
        <v>2022 Stats / Prediction</v>
      </c>
      <c r="P37" t="str">
        <f>IF(COUNTIFS('Total Rushing Touchdowns'!A:A,'Skill Pos Compiled'!$A37)=1,"Vegas Odds","2022 Stats / Prediction")</f>
        <v>2022 Stats / Prediction</v>
      </c>
      <c r="Q37" t="str">
        <f>IF(COUNTIFS('Total Receptions'!A:A,'Skill Pos Compiled'!$A37)=1,"Vegas Odds","2022 Stats / Prediction")</f>
        <v>2022 Stats / Prediction</v>
      </c>
      <c r="R37" t="str">
        <f>IF(COUNTIFS('Total Receiving Yards'!A:A,'Skill Pos Compiled'!$A37)=1,"Vegas Odds","2022 Stats / Prediction")</f>
        <v>2022 Stats / Prediction</v>
      </c>
      <c r="S37" t="str">
        <f>IF(COUNTIFS('Total Receiving Touchdowns'!A:A,'Skill Pos Compiled'!$A37)=1,"Vegas Odds","2022 Stats / Prediction")</f>
        <v>2022 Stats / Prediction</v>
      </c>
      <c r="T37" s="10" t="str">
        <f t="shared" si="4"/>
        <v>Unpredictable</v>
      </c>
    </row>
    <row r="38" spans="1:20" x14ac:dyDescent="0.25">
      <c r="A38" t="s">
        <v>263</v>
      </c>
      <c r="B38" t="s">
        <v>411</v>
      </c>
      <c r="C38" s="9">
        <f t="shared" si="2"/>
        <v>63.900000000000006</v>
      </c>
      <c r="D38" s="9">
        <f t="shared" si="3"/>
        <v>299</v>
      </c>
      <c r="E38" s="7">
        <f>IF(SUMIFS('Total Rushing Yards'!E:E,'Total Rushing Yards'!A:A,'Skill Pos Compiled'!A38)=0,SUMIFS('2022 Skill Pos Stats'!M:M,'2022 Skill Pos Stats'!A:A,'Skill Pos Compiled'!A38),SUMIFS('Total Rushing Yards'!E:E,'Total Rushing Yards'!A:A,'Skill Pos Compiled'!A38))</f>
        <v>0</v>
      </c>
      <c r="F38" s="7">
        <f>IF(SUMIFS('Total Rushing Touchdowns'!B:B,'Total Rushing Touchdowns'!A:A,'Skill Pos Compiled'!A38)=0,SUMIFS('2022 Skill Pos Stats'!N:N,'2022 Skill Pos Stats'!A:A,'Skill Pos Compiled'!A38),SUMIFS('Total Rushing Touchdowns'!B:B,'Total Rushing Touchdowns'!A:A,'Skill Pos Compiled'!A38))</f>
        <v>0</v>
      </c>
      <c r="G38" s="7">
        <f>IF(SUMIFS('Total Receptions'!B:B,'Total Receptions'!A:A,'Skill Pos Compiled'!A38)=0,SUMIFS('2022 Skill Pos Stats'!O:O,'2022 Skill Pos Stats'!A:A,'Skill Pos Compiled'!A38),SUMIFS('Total Receptions'!B:B,'Total Receptions'!A:A,'Skill Pos Compiled'!A38))</f>
        <v>28</v>
      </c>
      <c r="H38" s="7">
        <f>IF(SUMIFS('Total Receiving Yards'!E:E,'Total Receiving Yards'!A:A,'Skill Pos Compiled'!A38)=0,SUMIFS('2022 Skill Pos Stats'!P:P,'2022 Skill Pos Stats'!A:A,'Skill Pos Compiled'!A38),SUMIFS('Total Receiving Yards'!E:E,'Total Receiving Yards'!A:A,'Skill Pos Compiled'!A38))</f>
        <v>299</v>
      </c>
      <c r="I38" s="7">
        <f>IF(SUMIFS('Total Receiving Touchdowns'!E:E,'Total Receiving Touchdowns'!A:A,'Skill Pos Compiled'!A38)=0,SUMIFS('2022 Skill Pos Stats'!Q:Q,'2022 Skill Pos Stats'!A:A,'Skill Pos Compiled'!A38),SUMIFS('Total Receiving Touchdowns'!E:E,'Total Receiving Touchdowns'!A:A,'Skill Pos Compiled'!A38))</f>
        <v>1</v>
      </c>
      <c r="J38" s="5">
        <f>_xlfn.XLOOKUP(E$1,Pt_System[Stat],Pt_System[Pts])*E38</f>
        <v>0</v>
      </c>
      <c r="K38" s="5">
        <f>_xlfn.XLOOKUP(F$1,Pt_System[Stat],Pt_System[Pts])*F38</f>
        <v>0</v>
      </c>
      <c r="L38" s="5">
        <f>_xlfn.XLOOKUP(G$1,Pt_System[Stat],Pt_System[Pts])*G38</f>
        <v>28</v>
      </c>
      <c r="M38" s="5">
        <f>_xlfn.XLOOKUP(H$1,Pt_System[Stat],Pt_System[Pts])*H38</f>
        <v>29.900000000000002</v>
      </c>
      <c r="N38" s="5">
        <f>_xlfn.XLOOKUP(I$1,Pt_System[Stat],Pt_System[Pts])*I38</f>
        <v>6</v>
      </c>
      <c r="O38" t="str">
        <f>IF(COUNTIFS('Total Rushing Yards'!A:A,'Skill Pos Compiled'!$A38)=1,"Vegas Odds","2022 Stats / Prediction")</f>
        <v>2022 Stats / Prediction</v>
      </c>
      <c r="P38" t="str">
        <f>IF(COUNTIFS('Total Rushing Touchdowns'!A:A,'Skill Pos Compiled'!$A38)=1,"Vegas Odds","2022 Stats / Prediction")</f>
        <v>2022 Stats / Prediction</v>
      </c>
      <c r="Q38" t="str">
        <f>IF(COUNTIFS('Total Receptions'!A:A,'Skill Pos Compiled'!$A38)=1,"Vegas Odds","2022 Stats / Prediction")</f>
        <v>2022 Stats / Prediction</v>
      </c>
      <c r="R38" t="str">
        <f>IF(COUNTIFS('Total Receiving Yards'!A:A,'Skill Pos Compiled'!$A38)=1,"Vegas Odds","2022 Stats / Prediction")</f>
        <v>2022 Stats / Prediction</v>
      </c>
      <c r="S38" t="str">
        <f>IF(COUNTIFS('Total Receiving Touchdowns'!A:A,'Skill Pos Compiled'!$A38)=1,"Vegas Odds","2022 Stats / Prediction")</f>
        <v>2022 Stats / Prediction</v>
      </c>
      <c r="T38" s="10" t="str">
        <f t="shared" si="4"/>
        <v>Unpredictable</v>
      </c>
    </row>
    <row r="39" spans="1:20" x14ac:dyDescent="0.25">
      <c r="A39" t="s">
        <v>264</v>
      </c>
      <c r="B39" t="s">
        <v>411</v>
      </c>
      <c r="C39" s="9">
        <f t="shared" si="2"/>
        <v>93.5</v>
      </c>
      <c r="D39" s="9">
        <f t="shared" si="3"/>
        <v>255</v>
      </c>
      <c r="E39" s="7">
        <f>IF(SUMIFS('Total Rushing Yards'!E:E,'Total Rushing Yards'!A:A,'Skill Pos Compiled'!A39)=0,SUMIFS('2022 Skill Pos Stats'!M:M,'2022 Skill Pos Stats'!A:A,'Skill Pos Compiled'!A39),SUMIFS('Total Rushing Yards'!E:E,'Total Rushing Yards'!A:A,'Skill Pos Compiled'!A39))</f>
        <v>0</v>
      </c>
      <c r="F39" s="7">
        <f>IF(SUMIFS('Total Rushing Touchdowns'!B:B,'Total Rushing Touchdowns'!A:A,'Skill Pos Compiled'!A39)=0,SUMIFS('2022 Skill Pos Stats'!N:N,'2022 Skill Pos Stats'!A:A,'Skill Pos Compiled'!A39),SUMIFS('Total Rushing Touchdowns'!B:B,'Total Rushing Touchdowns'!A:A,'Skill Pos Compiled'!A39))</f>
        <v>0</v>
      </c>
      <c r="G39" s="7">
        <f>IF(SUMIFS('Total Receptions'!B:B,'Total Receptions'!A:A,'Skill Pos Compiled'!A39)=0,SUMIFS('2022 Skill Pos Stats'!O:O,'2022 Skill Pos Stats'!A:A,'Skill Pos Compiled'!A39),SUMIFS('Total Receptions'!B:B,'Total Receptions'!A:A,'Skill Pos Compiled'!A39))</f>
        <v>27.2</v>
      </c>
      <c r="H39" s="7">
        <f>IF(SUMIFS('Total Receiving Yards'!E:E,'Total Receiving Yards'!A:A,'Skill Pos Compiled'!A39)=0,SUMIFS('2022 Skill Pos Stats'!P:P,'2022 Skill Pos Stats'!A:A,'Skill Pos Compiled'!A39),SUMIFS('Total Receiving Yards'!E:E,'Total Receiving Yards'!A:A,'Skill Pos Compiled'!A39))</f>
        <v>255</v>
      </c>
      <c r="I39" s="7">
        <f>IF(SUMIFS('Total Receiving Touchdowns'!E:E,'Total Receiving Touchdowns'!A:A,'Skill Pos Compiled'!A39)=0,SUMIFS('2022 Skill Pos Stats'!Q:Q,'2022 Skill Pos Stats'!A:A,'Skill Pos Compiled'!A39),SUMIFS('Total Receiving Touchdowns'!E:E,'Total Receiving Touchdowns'!A:A,'Skill Pos Compiled'!A39))</f>
        <v>6.8</v>
      </c>
      <c r="J39" s="5">
        <f>_xlfn.XLOOKUP(E$1,Pt_System[Stat],Pt_System[Pts])*E39</f>
        <v>0</v>
      </c>
      <c r="K39" s="5">
        <f>_xlfn.XLOOKUP(F$1,Pt_System[Stat],Pt_System[Pts])*F39</f>
        <v>0</v>
      </c>
      <c r="L39" s="5">
        <f>_xlfn.XLOOKUP(G$1,Pt_System[Stat],Pt_System[Pts])*G39</f>
        <v>27.2</v>
      </c>
      <c r="M39" s="5">
        <f>_xlfn.XLOOKUP(H$1,Pt_System[Stat],Pt_System[Pts])*H39</f>
        <v>25.5</v>
      </c>
      <c r="N39" s="5">
        <f>_xlfn.XLOOKUP(I$1,Pt_System[Stat],Pt_System[Pts])*I39</f>
        <v>40.799999999999997</v>
      </c>
      <c r="O39" t="str">
        <f>IF(COUNTIFS('Total Rushing Yards'!A:A,'Skill Pos Compiled'!$A39)=1,"Vegas Odds","2022 Stats / Prediction")</f>
        <v>2022 Stats / Prediction</v>
      </c>
      <c r="P39" t="str">
        <f>IF(COUNTIFS('Total Rushing Touchdowns'!A:A,'Skill Pos Compiled'!$A39)=1,"Vegas Odds","2022 Stats / Prediction")</f>
        <v>2022 Stats / Prediction</v>
      </c>
      <c r="Q39" t="str">
        <f>IF(COUNTIFS('Total Receptions'!A:A,'Skill Pos Compiled'!$A39)=1,"Vegas Odds","2022 Stats / Prediction")</f>
        <v>2022 Stats / Prediction</v>
      </c>
      <c r="R39" t="str">
        <f>IF(COUNTIFS('Total Receiving Yards'!A:A,'Skill Pos Compiled'!$A39)=1,"Vegas Odds","2022 Stats / Prediction")</f>
        <v>2022 Stats / Prediction</v>
      </c>
      <c r="S39" t="str">
        <f>IF(COUNTIFS('Total Receiving Touchdowns'!A:A,'Skill Pos Compiled'!$A39)=1,"Vegas Odds","2022 Stats / Prediction")</f>
        <v>2022 Stats / Prediction</v>
      </c>
      <c r="T39" s="10" t="str">
        <f t="shared" si="4"/>
        <v>Unpredictable</v>
      </c>
    </row>
    <row r="40" spans="1:20" x14ac:dyDescent="0.25">
      <c r="A40" t="s">
        <v>265</v>
      </c>
      <c r="B40" t="str">
        <f>_xlfn.XLOOKUP(A40,ADP!A:A,ADP!B:B)</f>
        <v>TE</v>
      </c>
      <c r="C40" s="9">
        <f t="shared" si="2"/>
        <v>101.08461538461538</v>
      </c>
      <c r="D40" s="9">
        <f t="shared" si="3"/>
        <v>422.38461538461542</v>
      </c>
      <c r="E40" s="7">
        <f>IF(SUMIFS('Total Rushing Yards'!E:E,'Total Rushing Yards'!A:A,'Skill Pos Compiled'!A40)=0,SUMIFS('2022 Skill Pos Stats'!M:M,'2022 Skill Pos Stats'!A:A,'Skill Pos Compiled'!A40),SUMIFS('Total Rushing Yards'!E:E,'Total Rushing Yards'!A:A,'Skill Pos Compiled'!A40))</f>
        <v>0</v>
      </c>
      <c r="F40" s="7">
        <f>IF(SUMIFS('Total Rushing Touchdowns'!B:B,'Total Rushing Touchdowns'!A:A,'Skill Pos Compiled'!A40)=0,SUMIFS('2022 Skill Pos Stats'!N:N,'2022 Skill Pos Stats'!A:A,'Skill Pos Compiled'!A40),SUMIFS('Total Rushing Touchdowns'!B:B,'Total Rushing Touchdowns'!A:A,'Skill Pos Compiled'!A40))</f>
        <v>0</v>
      </c>
      <c r="G40" s="7">
        <f>IF(SUMIFS('Total Receptions'!B:B,'Total Receptions'!A:A,'Skill Pos Compiled'!A40)=0,SUMIFS('2022 Skill Pos Stats'!O:O,'2022 Skill Pos Stats'!A:A,'Skill Pos Compiled'!A40),SUMIFS('Total Receptions'!B:B,'Total Receptions'!A:A,'Skill Pos Compiled'!A40))</f>
        <v>51</v>
      </c>
      <c r="H40" s="7">
        <f>IF(SUMIFS('Total Receiving Yards'!E:E,'Total Receiving Yards'!A:A,'Skill Pos Compiled'!A40)=0,SUMIFS('2022 Skill Pos Stats'!P:P,'2022 Skill Pos Stats'!A:A,'Skill Pos Compiled'!A40),SUMIFS('Total Receiving Yards'!E:E,'Total Receiving Yards'!A:A,'Skill Pos Compiled'!A40))</f>
        <v>422.38461538461542</v>
      </c>
      <c r="I40" s="7">
        <f>IF(SUMIFS('Total Receiving Touchdowns'!E:E,'Total Receiving Touchdowns'!A:A,'Skill Pos Compiled'!A40)=0,SUMIFS('2022 Skill Pos Stats'!Q:Q,'2022 Skill Pos Stats'!A:A,'Skill Pos Compiled'!A40),SUMIFS('Total Receiving Touchdowns'!E:E,'Total Receiving Touchdowns'!A:A,'Skill Pos Compiled'!A40))</f>
        <v>1.3076923076923077</v>
      </c>
      <c r="J40" s="5">
        <f>_xlfn.XLOOKUP(E$1,Pt_System[Stat],Pt_System[Pts])*E40</f>
        <v>0</v>
      </c>
      <c r="K40" s="5">
        <f>_xlfn.XLOOKUP(F$1,Pt_System[Stat],Pt_System[Pts])*F40</f>
        <v>0</v>
      </c>
      <c r="L40" s="5">
        <f>_xlfn.XLOOKUP(G$1,Pt_System[Stat],Pt_System[Pts])*G40</f>
        <v>51</v>
      </c>
      <c r="M40" s="5">
        <f>_xlfn.XLOOKUP(H$1,Pt_System[Stat],Pt_System[Pts])*H40</f>
        <v>42.238461538461543</v>
      </c>
      <c r="N40" s="5">
        <f>_xlfn.XLOOKUP(I$1,Pt_System[Stat],Pt_System[Pts])*I40</f>
        <v>7.8461538461538467</v>
      </c>
      <c r="O40" t="str">
        <f>IF(COUNTIFS('Total Rushing Yards'!A:A,'Skill Pos Compiled'!$A40)=1,"Vegas Odds","2022 Stats / Prediction")</f>
        <v>2022 Stats / Prediction</v>
      </c>
      <c r="P40" t="str">
        <f>IF(COUNTIFS('Total Rushing Touchdowns'!A:A,'Skill Pos Compiled'!$A40)=1,"Vegas Odds","2022 Stats / Prediction")</f>
        <v>2022 Stats / Prediction</v>
      </c>
      <c r="Q40" t="str">
        <f>IF(COUNTIFS('Total Receptions'!A:A,'Skill Pos Compiled'!$A40)=1,"Vegas Odds","2022 Stats / Prediction")</f>
        <v>2022 Stats / Prediction</v>
      </c>
      <c r="R40" t="str">
        <f>IF(COUNTIFS('Total Receiving Yards'!A:A,'Skill Pos Compiled'!$A40)=1,"Vegas Odds","2022 Stats / Prediction")</f>
        <v>2022 Stats / Prediction</v>
      </c>
      <c r="S40" t="str">
        <f>IF(COUNTIFS('Total Receiving Touchdowns'!A:A,'Skill Pos Compiled'!$A40)=1,"Vegas Odds","2022 Stats / Prediction")</f>
        <v>2022 Stats / Prediction</v>
      </c>
      <c r="T40" s="10" t="str">
        <f t="shared" si="4"/>
        <v>Unpredictable</v>
      </c>
    </row>
    <row r="41" spans="1:20" x14ac:dyDescent="0.25">
      <c r="A41" t="s">
        <v>266</v>
      </c>
      <c r="B41" t="s">
        <v>411</v>
      </c>
      <c r="C41" s="9">
        <f t="shared" si="2"/>
        <v>67.878571428571433</v>
      </c>
      <c r="D41" s="9">
        <f t="shared" si="3"/>
        <v>229.49999999999997</v>
      </c>
      <c r="E41" s="7">
        <f>IF(SUMIFS('Total Rushing Yards'!E:E,'Total Rushing Yards'!A:A,'Skill Pos Compiled'!A41)=0,SUMIFS('2022 Skill Pos Stats'!M:M,'2022 Skill Pos Stats'!A:A,'Skill Pos Compiled'!A41),SUMIFS('Total Rushing Yards'!E:E,'Total Rushing Yards'!A:A,'Skill Pos Compiled'!A41))</f>
        <v>0</v>
      </c>
      <c r="F41" s="7">
        <f>IF(SUMIFS('Total Rushing Touchdowns'!B:B,'Total Rushing Touchdowns'!A:A,'Skill Pos Compiled'!A41)=0,SUMIFS('2022 Skill Pos Stats'!N:N,'2022 Skill Pos Stats'!A:A,'Skill Pos Compiled'!A41),SUMIFS('Total Rushing Touchdowns'!B:B,'Total Rushing Touchdowns'!A:A,'Skill Pos Compiled'!A41))</f>
        <v>0</v>
      </c>
      <c r="G41" s="7">
        <f>IF(SUMIFS('Total Receptions'!B:B,'Total Receptions'!A:A,'Skill Pos Compiled'!A41)=0,SUMIFS('2022 Skill Pos Stats'!O:O,'2022 Skill Pos Stats'!A:A,'Skill Pos Compiled'!A41),SUMIFS('Total Receptions'!B:B,'Total Receptions'!A:A,'Skill Pos Compiled'!A41))</f>
        <v>23.071428571428569</v>
      </c>
      <c r="H41" s="7">
        <f>IF(SUMIFS('Total Receiving Yards'!E:E,'Total Receiving Yards'!A:A,'Skill Pos Compiled'!A41)=0,SUMIFS('2022 Skill Pos Stats'!P:P,'2022 Skill Pos Stats'!A:A,'Skill Pos Compiled'!A41),SUMIFS('Total Receiving Yards'!E:E,'Total Receiving Yards'!A:A,'Skill Pos Compiled'!A41))</f>
        <v>229.49999999999997</v>
      </c>
      <c r="I41" s="7">
        <f>IF(SUMIFS('Total Receiving Touchdowns'!E:E,'Total Receiving Touchdowns'!A:A,'Skill Pos Compiled'!A41)=0,SUMIFS('2022 Skill Pos Stats'!Q:Q,'2022 Skill Pos Stats'!A:A,'Skill Pos Compiled'!A41),SUMIFS('Total Receiving Touchdowns'!E:E,'Total Receiving Touchdowns'!A:A,'Skill Pos Compiled'!A41))</f>
        <v>3.6428571428571423</v>
      </c>
      <c r="J41" s="5">
        <f>_xlfn.XLOOKUP(E$1,Pt_System[Stat],Pt_System[Pts])*E41</f>
        <v>0</v>
      </c>
      <c r="K41" s="5">
        <f>_xlfn.XLOOKUP(F$1,Pt_System[Stat],Pt_System[Pts])*F41</f>
        <v>0</v>
      </c>
      <c r="L41" s="5">
        <f>_xlfn.XLOOKUP(G$1,Pt_System[Stat],Pt_System[Pts])*G41</f>
        <v>23.071428571428569</v>
      </c>
      <c r="M41" s="5">
        <f>_xlfn.XLOOKUP(H$1,Pt_System[Stat],Pt_System[Pts])*H41</f>
        <v>22.95</v>
      </c>
      <c r="N41" s="5">
        <f>_xlfn.XLOOKUP(I$1,Pt_System[Stat],Pt_System[Pts])*I41</f>
        <v>21.857142857142854</v>
      </c>
      <c r="O41" t="str">
        <f>IF(COUNTIFS('Total Rushing Yards'!A:A,'Skill Pos Compiled'!$A41)=1,"Vegas Odds","2022 Stats / Prediction")</f>
        <v>2022 Stats / Prediction</v>
      </c>
      <c r="P41" t="str">
        <f>IF(COUNTIFS('Total Rushing Touchdowns'!A:A,'Skill Pos Compiled'!$A41)=1,"Vegas Odds","2022 Stats / Prediction")</f>
        <v>2022 Stats / Prediction</v>
      </c>
      <c r="Q41" t="str">
        <f>IF(COUNTIFS('Total Receptions'!A:A,'Skill Pos Compiled'!$A41)=1,"Vegas Odds","2022 Stats / Prediction")</f>
        <v>2022 Stats / Prediction</v>
      </c>
      <c r="R41" t="str">
        <f>IF(COUNTIFS('Total Receiving Yards'!A:A,'Skill Pos Compiled'!$A41)=1,"Vegas Odds","2022 Stats / Prediction")</f>
        <v>2022 Stats / Prediction</v>
      </c>
      <c r="S41" t="str">
        <f>IF(COUNTIFS('Total Receiving Touchdowns'!A:A,'Skill Pos Compiled'!$A41)=1,"Vegas Odds","2022 Stats / Prediction")</f>
        <v>2022 Stats / Prediction</v>
      </c>
      <c r="T41" s="10" t="str">
        <f t="shared" si="4"/>
        <v>Unpredictable</v>
      </c>
    </row>
    <row r="42" spans="1:20" x14ac:dyDescent="0.25">
      <c r="A42" t="s">
        <v>267</v>
      </c>
      <c r="B42" t="s">
        <v>411</v>
      </c>
      <c r="C42" s="9">
        <f t="shared" si="2"/>
        <v>66.05714285714285</v>
      </c>
      <c r="D42" s="9">
        <f t="shared" si="3"/>
        <v>211.28571428571428</v>
      </c>
      <c r="E42" s="7">
        <f>IF(SUMIFS('Total Rushing Yards'!E:E,'Total Rushing Yards'!A:A,'Skill Pos Compiled'!A42)=0,SUMIFS('2022 Skill Pos Stats'!M:M,'2022 Skill Pos Stats'!A:A,'Skill Pos Compiled'!A42),SUMIFS('Total Rushing Yards'!E:E,'Total Rushing Yards'!A:A,'Skill Pos Compiled'!A42))</f>
        <v>0</v>
      </c>
      <c r="F42" s="7">
        <f>IF(SUMIFS('Total Rushing Touchdowns'!B:B,'Total Rushing Touchdowns'!A:A,'Skill Pos Compiled'!A42)=0,SUMIFS('2022 Skill Pos Stats'!N:N,'2022 Skill Pos Stats'!A:A,'Skill Pos Compiled'!A42),SUMIFS('Total Rushing Touchdowns'!B:B,'Total Rushing Touchdowns'!A:A,'Skill Pos Compiled'!A42))</f>
        <v>0</v>
      </c>
      <c r="G42" s="7">
        <f>IF(SUMIFS('Total Receptions'!B:B,'Total Receptions'!A:A,'Skill Pos Compiled'!A42)=0,SUMIFS('2022 Skill Pos Stats'!O:O,'2022 Skill Pos Stats'!A:A,'Skill Pos Compiled'!A42),SUMIFS('Total Receptions'!B:B,'Total Receptions'!A:A,'Skill Pos Compiled'!A42))</f>
        <v>23.071428571428569</v>
      </c>
      <c r="H42" s="7">
        <f>IF(SUMIFS('Total Receiving Yards'!E:E,'Total Receiving Yards'!A:A,'Skill Pos Compiled'!A42)=0,SUMIFS('2022 Skill Pos Stats'!P:P,'2022 Skill Pos Stats'!A:A,'Skill Pos Compiled'!A42),SUMIFS('Total Receiving Yards'!E:E,'Total Receiving Yards'!A:A,'Skill Pos Compiled'!A42))</f>
        <v>211.28571428571428</v>
      </c>
      <c r="I42" s="7">
        <f>IF(SUMIFS('Total Receiving Touchdowns'!E:E,'Total Receiving Touchdowns'!A:A,'Skill Pos Compiled'!A42)=0,SUMIFS('2022 Skill Pos Stats'!Q:Q,'2022 Skill Pos Stats'!A:A,'Skill Pos Compiled'!A42),SUMIFS('Total Receiving Touchdowns'!E:E,'Total Receiving Touchdowns'!A:A,'Skill Pos Compiled'!A42))</f>
        <v>3.6428571428571423</v>
      </c>
      <c r="J42" s="5">
        <f>_xlfn.XLOOKUP(E$1,Pt_System[Stat],Pt_System[Pts])*E42</f>
        <v>0</v>
      </c>
      <c r="K42" s="5">
        <f>_xlfn.XLOOKUP(F$1,Pt_System[Stat],Pt_System[Pts])*F42</f>
        <v>0</v>
      </c>
      <c r="L42" s="5">
        <f>_xlfn.XLOOKUP(G$1,Pt_System[Stat],Pt_System[Pts])*G42</f>
        <v>23.071428571428569</v>
      </c>
      <c r="M42" s="5">
        <f>_xlfn.XLOOKUP(H$1,Pt_System[Stat],Pt_System[Pts])*H42</f>
        <v>21.12857142857143</v>
      </c>
      <c r="N42" s="5">
        <f>_xlfn.XLOOKUP(I$1,Pt_System[Stat],Pt_System[Pts])*I42</f>
        <v>21.857142857142854</v>
      </c>
      <c r="O42" t="str">
        <f>IF(COUNTIFS('Total Rushing Yards'!A:A,'Skill Pos Compiled'!$A42)=1,"Vegas Odds","2022 Stats / Prediction")</f>
        <v>2022 Stats / Prediction</v>
      </c>
      <c r="P42" t="str">
        <f>IF(COUNTIFS('Total Rushing Touchdowns'!A:A,'Skill Pos Compiled'!$A42)=1,"Vegas Odds","2022 Stats / Prediction")</f>
        <v>2022 Stats / Prediction</v>
      </c>
      <c r="Q42" t="str">
        <f>IF(COUNTIFS('Total Receptions'!A:A,'Skill Pos Compiled'!$A42)=1,"Vegas Odds","2022 Stats / Prediction")</f>
        <v>2022 Stats / Prediction</v>
      </c>
      <c r="R42" t="str">
        <f>IF(COUNTIFS('Total Receiving Yards'!A:A,'Skill Pos Compiled'!$A42)=1,"Vegas Odds","2022 Stats / Prediction")</f>
        <v>2022 Stats / Prediction</v>
      </c>
      <c r="S42" t="str">
        <f>IF(COUNTIFS('Total Receiving Touchdowns'!A:A,'Skill Pos Compiled'!$A42)=1,"Vegas Odds","2022 Stats / Prediction")</f>
        <v>2022 Stats / Prediction</v>
      </c>
      <c r="T42" s="10" t="str">
        <f t="shared" si="4"/>
        <v>Unpredictable</v>
      </c>
    </row>
    <row r="43" spans="1:20" x14ac:dyDescent="0.25">
      <c r="A43" t="s">
        <v>304</v>
      </c>
      <c r="B43" t="s">
        <v>411</v>
      </c>
      <c r="C43" s="9">
        <f t="shared" si="2"/>
        <v>79.616666666666674</v>
      </c>
      <c r="D43" s="9">
        <f t="shared" si="3"/>
        <v>328.66666666666669</v>
      </c>
      <c r="E43" s="7">
        <f>IF(SUMIFS('Total Rushing Yards'!E:E,'Total Rushing Yards'!A:A,'Skill Pos Compiled'!A43)=0,SUMIFS('2022 Skill Pos Stats'!M:M,'2022 Skill Pos Stats'!A:A,'Skill Pos Compiled'!A43),SUMIFS('Total Rushing Yards'!E:E,'Total Rushing Yards'!A:A,'Skill Pos Compiled'!A43))</f>
        <v>0</v>
      </c>
      <c r="F43" s="7">
        <f>IF(SUMIFS('Total Rushing Touchdowns'!B:B,'Total Rushing Touchdowns'!A:A,'Skill Pos Compiled'!A43)=0,SUMIFS('2022 Skill Pos Stats'!N:N,'2022 Skill Pos Stats'!A:A,'Skill Pos Compiled'!A43),SUMIFS('Total Rushing Touchdowns'!B:B,'Total Rushing Touchdowns'!A:A,'Skill Pos Compiled'!A43))</f>
        <v>0</v>
      </c>
      <c r="G43" s="7">
        <f>IF(SUMIFS('Total Receptions'!B:B,'Total Receptions'!A:A,'Skill Pos Compiled'!A43)=0,SUMIFS('2022 Skill Pos Stats'!O:O,'2022 Skill Pos Stats'!A:A,'Skill Pos Compiled'!A43),SUMIFS('Total Receptions'!B:B,'Total Receptions'!A:A,'Skill Pos Compiled'!A43))</f>
        <v>29.75</v>
      </c>
      <c r="H43" s="7">
        <f>IF(SUMIFS('Total Receiving Yards'!E:E,'Total Receiving Yards'!A:A,'Skill Pos Compiled'!A43)=0,SUMIFS('2022 Skill Pos Stats'!P:P,'2022 Skill Pos Stats'!A:A,'Skill Pos Compiled'!A43),SUMIFS('Total Receiving Yards'!E:E,'Total Receiving Yards'!A:A,'Skill Pos Compiled'!A43))</f>
        <v>328.66666666666669</v>
      </c>
      <c r="I43" s="7">
        <f>IF(SUMIFS('Total Receiving Touchdowns'!E:E,'Total Receiving Touchdowns'!A:A,'Skill Pos Compiled'!A43)=0,SUMIFS('2022 Skill Pos Stats'!Q:Q,'2022 Skill Pos Stats'!A:A,'Skill Pos Compiled'!A43),SUMIFS('Total Receiving Touchdowns'!E:E,'Total Receiving Touchdowns'!A:A,'Skill Pos Compiled'!A43))</f>
        <v>2.8333333333333335</v>
      </c>
      <c r="J43" s="5">
        <f>_xlfn.XLOOKUP(E$1,Pt_System[Stat],Pt_System[Pts])*E43</f>
        <v>0</v>
      </c>
      <c r="K43" s="5">
        <f>_xlfn.XLOOKUP(F$1,Pt_System[Stat],Pt_System[Pts])*F43</f>
        <v>0</v>
      </c>
      <c r="L43" s="5">
        <f>_xlfn.XLOOKUP(G$1,Pt_System[Stat],Pt_System[Pts])*G43</f>
        <v>29.75</v>
      </c>
      <c r="M43" s="5">
        <f>_xlfn.XLOOKUP(H$1,Pt_System[Stat],Pt_System[Pts])*H43</f>
        <v>32.866666666666667</v>
      </c>
      <c r="N43" s="5">
        <f>_xlfn.XLOOKUP(I$1,Pt_System[Stat],Pt_System[Pts])*I43</f>
        <v>17</v>
      </c>
      <c r="O43" t="str">
        <f>IF(COUNTIFS('Total Rushing Yards'!A:A,'Skill Pos Compiled'!$A43)=1,"Vegas Odds","2022 Stats / Prediction")</f>
        <v>2022 Stats / Prediction</v>
      </c>
      <c r="P43" t="str">
        <f>IF(COUNTIFS('Total Rushing Touchdowns'!A:A,'Skill Pos Compiled'!$A43)=1,"Vegas Odds","2022 Stats / Prediction")</f>
        <v>2022 Stats / Prediction</v>
      </c>
      <c r="Q43" t="str">
        <f>IF(COUNTIFS('Total Receptions'!A:A,'Skill Pos Compiled'!$A43)=1,"Vegas Odds","2022 Stats / Prediction")</f>
        <v>2022 Stats / Prediction</v>
      </c>
      <c r="R43" t="str">
        <f>IF(COUNTIFS('Total Receiving Yards'!A:A,'Skill Pos Compiled'!$A43)=1,"Vegas Odds","2022 Stats / Prediction")</f>
        <v>2022 Stats / Prediction</v>
      </c>
      <c r="S43" t="str">
        <f>IF(COUNTIFS('Total Receiving Touchdowns'!A:A,'Skill Pos Compiled'!$A43)=1,"Vegas Odds","2022 Stats / Prediction")</f>
        <v>2022 Stats / Prediction</v>
      </c>
      <c r="T43" s="10" t="str">
        <f t="shared" si="4"/>
        <v>Unpredictable</v>
      </c>
    </row>
    <row r="44" spans="1:20" x14ac:dyDescent="0.25">
      <c r="A44" t="s">
        <v>268</v>
      </c>
      <c r="B44" t="str">
        <f>_xlfn.XLOOKUP(A44,ADP!A:A,ADP!B:B)</f>
        <v>TE</v>
      </c>
      <c r="C44" s="9">
        <f t="shared" si="2"/>
        <v>116.16666666666667</v>
      </c>
      <c r="D44" s="9">
        <f t="shared" si="3"/>
        <v>500.55555555555554</v>
      </c>
      <c r="E44" s="7">
        <f>IF(SUMIFS('Total Rushing Yards'!E:E,'Total Rushing Yards'!A:A,'Skill Pos Compiled'!A44)=0,SUMIFS('2022 Skill Pos Stats'!M:M,'2022 Skill Pos Stats'!A:A,'Skill Pos Compiled'!A44),SUMIFS('Total Rushing Yards'!E:E,'Total Rushing Yards'!A:A,'Skill Pos Compiled'!A44))</f>
        <v>0</v>
      </c>
      <c r="F44" s="7">
        <f>IF(SUMIFS('Total Rushing Touchdowns'!B:B,'Total Rushing Touchdowns'!A:A,'Skill Pos Compiled'!A44)=0,SUMIFS('2022 Skill Pos Stats'!N:N,'2022 Skill Pos Stats'!A:A,'Skill Pos Compiled'!A44),SUMIFS('Total Rushing Touchdowns'!B:B,'Total Rushing Touchdowns'!A:A,'Skill Pos Compiled'!A44))</f>
        <v>0</v>
      </c>
      <c r="G44" s="7">
        <f>IF(SUMIFS('Total Receptions'!B:B,'Total Receptions'!A:A,'Skill Pos Compiled'!A44)=0,SUMIFS('2022 Skill Pos Stats'!O:O,'2022 Skill Pos Stats'!A:A,'Skill Pos Compiled'!A44),SUMIFS('Total Receptions'!B:B,'Total Receptions'!A:A,'Skill Pos Compiled'!A44))</f>
        <v>54.777777777777779</v>
      </c>
      <c r="H44" s="7">
        <f>IF(SUMIFS('Total Receiving Yards'!E:E,'Total Receiving Yards'!A:A,'Skill Pos Compiled'!A44)=0,SUMIFS('2022 Skill Pos Stats'!P:P,'2022 Skill Pos Stats'!A:A,'Skill Pos Compiled'!A44),SUMIFS('Total Receiving Yards'!E:E,'Total Receiving Yards'!A:A,'Skill Pos Compiled'!A44))</f>
        <v>500.55555555555554</v>
      </c>
      <c r="I44" s="7">
        <f>IF(SUMIFS('Total Receiving Touchdowns'!E:E,'Total Receiving Touchdowns'!A:A,'Skill Pos Compiled'!A44)=0,SUMIFS('2022 Skill Pos Stats'!Q:Q,'2022 Skill Pos Stats'!A:A,'Skill Pos Compiled'!A44),SUMIFS('Total Receiving Touchdowns'!E:E,'Total Receiving Touchdowns'!A:A,'Skill Pos Compiled'!A44))</f>
        <v>1.8888888888888888</v>
      </c>
      <c r="J44" s="5">
        <f>_xlfn.XLOOKUP(E$1,Pt_System[Stat],Pt_System[Pts])*E44</f>
        <v>0</v>
      </c>
      <c r="K44" s="5">
        <f>_xlfn.XLOOKUP(F$1,Pt_System[Stat],Pt_System[Pts])*F44</f>
        <v>0</v>
      </c>
      <c r="L44" s="5">
        <f>_xlfn.XLOOKUP(G$1,Pt_System[Stat],Pt_System[Pts])*G44</f>
        <v>54.777777777777779</v>
      </c>
      <c r="M44" s="5">
        <f>_xlfn.XLOOKUP(H$1,Pt_System[Stat],Pt_System[Pts])*H44</f>
        <v>50.055555555555557</v>
      </c>
      <c r="N44" s="5">
        <f>_xlfn.XLOOKUP(I$1,Pt_System[Stat],Pt_System[Pts])*I44</f>
        <v>11.333333333333332</v>
      </c>
      <c r="O44" t="str">
        <f>IF(COUNTIFS('Total Rushing Yards'!A:A,'Skill Pos Compiled'!$A44)=1,"Vegas Odds","2022 Stats / Prediction")</f>
        <v>2022 Stats / Prediction</v>
      </c>
      <c r="P44" t="str">
        <f>IF(COUNTIFS('Total Rushing Touchdowns'!A:A,'Skill Pos Compiled'!$A44)=1,"Vegas Odds","2022 Stats / Prediction")</f>
        <v>2022 Stats / Prediction</v>
      </c>
      <c r="Q44" t="str">
        <f>IF(COUNTIFS('Total Receptions'!A:A,'Skill Pos Compiled'!$A44)=1,"Vegas Odds","2022 Stats / Prediction")</f>
        <v>2022 Stats / Prediction</v>
      </c>
      <c r="R44" t="str">
        <f>IF(COUNTIFS('Total Receiving Yards'!A:A,'Skill Pos Compiled'!$A44)=1,"Vegas Odds","2022 Stats / Prediction")</f>
        <v>2022 Stats / Prediction</v>
      </c>
      <c r="S44" t="str">
        <f>IF(COUNTIFS('Total Receiving Touchdowns'!A:A,'Skill Pos Compiled'!$A44)=1,"Vegas Odds","2022 Stats / Prediction")</f>
        <v>2022 Stats / Prediction</v>
      </c>
      <c r="T44" s="10" t="str">
        <f t="shared" si="4"/>
        <v>Unpredictable</v>
      </c>
    </row>
    <row r="45" spans="1:20" x14ac:dyDescent="0.25">
      <c r="A45" t="s">
        <v>269</v>
      </c>
      <c r="B45" t="s">
        <v>411</v>
      </c>
      <c r="C45" s="9">
        <f t="shared" si="2"/>
        <v>69.02</v>
      </c>
      <c r="D45" s="9">
        <f t="shared" si="3"/>
        <v>270.86666666666667</v>
      </c>
      <c r="E45" s="7">
        <f>IF(SUMIFS('Total Rushing Yards'!E:E,'Total Rushing Yards'!A:A,'Skill Pos Compiled'!A45)=0,SUMIFS('2022 Skill Pos Stats'!M:M,'2022 Skill Pos Stats'!A:A,'Skill Pos Compiled'!A45),SUMIFS('Total Rushing Yards'!E:E,'Total Rushing Yards'!A:A,'Skill Pos Compiled'!A45))</f>
        <v>0</v>
      </c>
      <c r="F45" s="7">
        <f>IF(SUMIFS('Total Rushing Touchdowns'!B:B,'Total Rushing Touchdowns'!A:A,'Skill Pos Compiled'!A45)=0,SUMIFS('2022 Skill Pos Stats'!N:N,'2022 Skill Pos Stats'!A:A,'Skill Pos Compiled'!A45),SUMIFS('Total Rushing Touchdowns'!B:B,'Total Rushing Touchdowns'!A:A,'Skill Pos Compiled'!A45))</f>
        <v>0</v>
      </c>
      <c r="G45" s="7">
        <f>IF(SUMIFS('Total Receptions'!B:B,'Total Receptions'!A:A,'Skill Pos Compiled'!A45)=0,SUMIFS('2022 Skill Pos Stats'!O:O,'2022 Skill Pos Stats'!A:A,'Skill Pos Compiled'!A45),SUMIFS('Total Receptions'!B:B,'Total Receptions'!A:A,'Skill Pos Compiled'!A45))</f>
        <v>35.133333333333333</v>
      </c>
      <c r="H45" s="7">
        <f>IF(SUMIFS('Total Receiving Yards'!E:E,'Total Receiving Yards'!A:A,'Skill Pos Compiled'!A45)=0,SUMIFS('2022 Skill Pos Stats'!P:P,'2022 Skill Pos Stats'!A:A,'Skill Pos Compiled'!A45),SUMIFS('Total Receiving Yards'!E:E,'Total Receiving Yards'!A:A,'Skill Pos Compiled'!A45))</f>
        <v>270.86666666666667</v>
      </c>
      <c r="I45" s="7">
        <f>IF(SUMIFS('Total Receiving Touchdowns'!E:E,'Total Receiving Touchdowns'!A:A,'Skill Pos Compiled'!A45)=0,SUMIFS('2022 Skill Pos Stats'!Q:Q,'2022 Skill Pos Stats'!A:A,'Skill Pos Compiled'!A45),SUMIFS('Total Receiving Touchdowns'!E:E,'Total Receiving Touchdowns'!A:A,'Skill Pos Compiled'!A45))</f>
        <v>1.1333333333333333</v>
      </c>
      <c r="J45" s="5">
        <f>_xlfn.XLOOKUP(E$1,Pt_System[Stat],Pt_System[Pts])*E45</f>
        <v>0</v>
      </c>
      <c r="K45" s="5">
        <f>_xlfn.XLOOKUP(F$1,Pt_System[Stat],Pt_System[Pts])*F45</f>
        <v>0</v>
      </c>
      <c r="L45" s="5">
        <f>_xlfn.XLOOKUP(G$1,Pt_System[Stat],Pt_System[Pts])*G45</f>
        <v>35.133333333333333</v>
      </c>
      <c r="M45" s="5">
        <f>_xlfn.XLOOKUP(H$1,Pt_System[Stat],Pt_System[Pts])*H45</f>
        <v>27.08666666666667</v>
      </c>
      <c r="N45" s="5">
        <f>_xlfn.XLOOKUP(I$1,Pt_System[Stat],Pt_System[Pts])*I45</f>
        <v>6.8</v>
      </c>
      <c r="O45" t="str">
        <f>IF(COUNTIFS('Total Rushing Yards'!A:A,'Skill Pos Compiled'!$A45)=1,"Vegas Odds","2022 Stats / Prediction")</f>
        <v>2022 Stats / Prediction</v>
      </c>
      <c r="P45" t="str">
        <f>IF(COUNTIFS('Total Rushing Touchdowns'!A:A,'Skill Pos Compiled'!$A45)=1,"Vegas Odds","2022 Stats / Prediction")</f>
        <v>2022 Stats / Prediction</v>
      </c>
      <c r="Q45" t="str">
        <f>IF(COUNTIFS('Total Receptions'!A:A,'Skill Pos Compiled'!$A45)=1,"Vegas Odds","2022 Stats / Prediction")</f>
        <v>2022 Stats / Prediction</v>
      </c>
      <c r="R45" t="str">
        <f>IF(COUNTIFS('Total Receiving Yards'!A:A,'Skill Pos Compiled'!$A45)=1,"Vegas Odds","2022 Stats / Prediction")</f>
        <v>2022 Stats / Prediction</v>
      </c>
      <c r="S45" t="str">
        <f>IF(COUNTIFS('Total Receiving Touchdowns'!A:A,'Skill Pos Compiled'!$A45)=1,"Vegas Odds","2022 Stats / Prediction")</f>
        <v>2022 Stats / Prediction</v>
      </c>
      <c r="T45" s="10" t="str">
        <f t="shared" si="4"/>
        <v>Unpredictable</v>
      </c>
    </row>
    <row r="46" spans="1:20" x14ac:dyDescent="0.25">
      <c r="A46" t="s">
        <v>270</v>
      </c>
      <c r="B46" t="s">
        <v>411</v>
      </c>
      <c r="C46" s="9">
        <f t="shared" si="2"/>
        <v>80.030769230769238</v>
      </c>
      <c r="D46" s="9">
        <f t="shared" si="3"/>
        <v>394.92307692307691</v>
      </c>
      <c r="E46" s="7">
        <f>IF(SUMIFS('Total Rushing Yards'!E:E,'Total Rushing Yards'!A:A,'Skill Pos Compiled'!A46)=0,SUMIFS('2022 Skill Pos Stats'!M:M,'2022 Skill Pos Stats'!A:A,'Skill Pos Compiled'!A46),SUMIFS('Total Rushing Yards'!E:E,'Total Rushing Yards'!A:A,'Skill Pos Compiled'!A46))</f>
        <v>0</v>
      </c>
      <c r="F46" s="7">
        <f>IF(SUMIFS('Total Rushing Touchdowns'!B:B,'Total Rushing Touchdowns'!A:A,'Skill Pos Compiled'!A46)=0,SUMIFS('2022 Skill Pos Stats'!N:N,'2022 Skill Pos Stats'!A:A,'Skill Pos Compiled'!A46),SUMIFS('Total Rushing Touchdowns'!B:B,'Total Rushing Touchdowns'!A:A,'Skill Pos Compiled'!A46))</f>
        <v>0</v>
      </c>
      <c r="G46" s="7">
        <f>IF(SUMIFS('Total Receptions'!B:B,'Total Receptions'!A:A,'Skill Pos Compiled'!A46)=0,SUMIFS('2022 Skill Pos Stats'!O:O,'2022 Skill Pos Stats'!A:A,'Skill Pos Compiled'!A46),SUMIFS('Total Receptions'!B:B,'Total Receptions'!A:A,'Skill Pos Compiled'!A46))</f>
        <v>40.53846153846154</v>
      </c>
      <c r="H46" s="7">
        <f>IF(SUMIFS('Total Receiving Yards'!E:E,'Total Receiving Yards'!A:A,'Skill Pos Compiled'!A46)=0,SUMIFS('2022 Skill Pos Stats'!P:P,'2022 Skill Pos Stats'!A:A,'Skill Pos Compiled'!A46),SUMIFS('Total Receiving Yards'!E:E,'Total Receiving Yards'!A:A,'Skill Pos Compiled'!A46))</f>
        <v>394.92307692307691</v>
      </c>
      <c r="I46" s="7">
        <f>IF(SUMIFS('Total Receiving Touchdowns'!E:E,'Total Receiving Touchdowns'!A:A,'Skill Pos Compiled'!A46)=0,SUMIFS('2022 Skill Pos Stats'!Q:Q,'2022 Skill Pos Stats'!A:A,'Skill Pos Compiled'!A46),SUMIFS('Total Receiving Touchdowns'!E:E,'Total Receiving Touchdowns'!A:A,'Skill Pos Compiled'!A46))</f>
        <v>0</v>
      </c>
      <c r="J46" s="5">
        <f>_xlfn.XLOOKUP(E$1,Pt_System[Stat],Pt_System[Pts])*E46</f>
        <v>0</v>
      </c>
      <c r="K46" s="5">
        <f>_xlfn.XLOOKUP(F$1,Pt_System[Stat],Pt_System[Pts])*F46</f>
        <v>0</v>
      </c>
      <c r="L46" s="5">
        <f>_xlfn.XLOOKUP(G$1,Pt_System[Stat],Pt_System[Pts])*G46</f>
        <v>40.53846153846154</v>
      </c>
      <c r="M46" s="5">
        <f>_xlfn.XLOOKUP(H$1,Pt_System[Stat],Pt_System[Pts])*H46</f>
        <v>39.492307692307691</v>
      </c>
      <c r="N46" s="5">
        <f>_xlfn.XLOOKUP(I$1,Pt_System[Stat],Pt_System[Pts])*I46</f>
        <v>0</v>
      </c>
      <c r="O46" t="str">
        <f>IF(COUNTIFS('Total Rushing Yards'!A:A,'Skill Pos Compiled'!$A46)=1,"Vegas Odds","2022 Stats / Prediction")</f>
        <v>2022 Stats / Prediction</v>
      </c>
      <c r="P46" t="str">
        <f>IF(COUNTIFS('Total Rushing Touchdowns'!A:A,'Skill Pos Compiled'!$A46)=1,"Vegas Odds","2022 Stats / Prediction")</f>
        <v>2022 Stats / Prediction</v>
      </c>
      <c r="Q46" t="str">
        <f>IF(COUNTIFS('Total Receptions'!A:A,'Skill Pos Compiled'!$A46)=1,"Vegas Odds","2022 Stats / Prediction")</f>
        <v>2022 Stats / Prediction</v>
      </c>
      <c r="R46" t="str">
        <f>IF(COUNTIFS('Total Receiving Yards'!A:A,'Skill Pos Compiled'!$A46)=1,"Vegas Odds","2022 Stats / Prediction")</f>
        <v>2022 Stats / Prediction</v>
      </c>
      <c r="S46" t="str">
        <f>IF(COUNTIFS('Total Receiving Touchdowns'!A:A,'Skill Pos Compiled'!$A46)=1,"Vegas Odds","2022 Stats / Prediction")</f>
        <v>2022 Stats / Prediction</v>
      </c>
      <c r="T46" s="10" t="str">
        <f t="shared" si="4"/>
        <v>Unpredictable</v>
      </c>
    </row>
    <row r="47" spans="1:20" x14ac:dyDescent="0.25">
      <c r="A47" t="s">
        <v>271</v>
      </c>
      <c r="B47" t="str">
        <f>_xlfn.XLOOKUP(A47,ADP!A:A,ADP!B:B)</f>
        <v>TE</v>
      </c>
      <c r="C47" s="9">
        <f t="shared" si="2"/>
        <v>117.30000000000001</v>
      </c>
      <c r="D47" s="9">
        <f t="shared" si="3"/>
        <v>386.75</v>
      </c>
      <c r="E47" s="7">
        <f>IF(SUMIFS('Total Rushing Yards'!E:E,'Total Rushing Yards'!A:A,'Skill Pos Compiled'!A47)=0,SUMIFS('2022 Skill Pos Stats'!M:M,'2022 Skill Pos Stats'!A:A,'Skill Pos Compiled'!A47),SUMIFS('Total Rushing Yards'!E:E,'Total Rushing Yards'!A:A,'Skill Pos Compiled'!A47))</f>
        <v>0</v>
      </c>
      <c r="F47" s="7">
        <f>IF(SUMIFS('Total Rushing Touchdowns'!B:B,'Total Rushing Touchdowns'!A:A,'Skill Pos Compiled'!A47)=0,SUMIFS('2022 Skill Pos Stats'!N:N,'2022 Skill Pos Stats'!A:A,'Skill Pos Compiled'!A47),SUMIFS('Total Rushing Touchdowns'!B:B,'Total Rushing Touchdowns'!A:A,'Skill Pos Compiled'!A47))</f>
        <v>0</v>
      </c>
      <c r="G47" s="7">
        <f>IF(SUMIFS('Total Receptions'!B:B,'Total Receptions'!A:A,'Skill Pos Compiled'!A47)=0,SUMIFS('2022 Skill Pos Stats'!O:O,'2022 Skill Pos Stats'!A:A,'Skill Pos Compiled'!A47),SUMIFS('Total Receptions'!B:B,'Total Receptions'!A:A,'Skill Pos Compiled'!A47))</f>
        <v>53.125</v>
      </c>
      <c r="H47" s="7">
        <f>IF(SUMIFS('Total Receiving Yards'!E:E,'Total Receiving Yards'!A:A,'Skill Pos Compiled'!A47)=0,SUMIFS('2022 Skill Pos Stats'!P:P,'2022 Skill Pos Stats'!A:A,'Skill Pos Compiled'!A47),SUMIFS('Total Receiving Yards'!E:E,'Total Receiving Yards'!A:A,'Skill Pos Compiled'!A47))</f>
        <v>386.75</v>
      </c>
      <c r="I47" s="7">
        <f>IF(SUMIFS('Total Receiving Touchdowns'!E:E,'Total Receiving Touchdowns'!A:A,'Skill Pos Compiled'!A47)=0,SUMIFS('2022 Skill Pos Stats'!Q:Q,'2022 Skill Pos Stats'!A:A,'Skill Pos Compiled'!A47),SUMIFS('Total Receiving Touchdowns'!E:E,'Total Receiving Touchdowns'!A:A,'Skill Pos Compiled'!A47))</f>
        <v>4.25</v>
      </c>
      <c r="J47" s="5">
        <f>_xlfn.XLOOKUP(E$1,Pt_System[Stat],Pt_System[Pts])*E47</f>
        <v>0</v>
      </c>
      <c r="K47" s="5">
        <f>_xlfn.XLOOKUP(F$1,Pt_System[Stat],Pt_System[Pts])*F47</f>
        <v>0</v>
      </c>
      <c r="L47" s="5">
        <f>_xlfn.XLOOKUP(G$1,Pt_System[Stat],Pt_System[Pts])*G47</f>
        <v>53.125</v>
      </c>
      <c r="M47" s="5">
        <f>_xlfn.XLOOKUP(H$1,Pt_System[Stat],Pt_System[Pts])*H47</f>
        <v>38.675000000000004</v>
      </c>
      <c r="N47" s="5">
        <f>_xlfn.XLOOKUP(I$1,Pt_System[Stat],Pt_System[Pts])*I47</f>
        <v>25.5</v>
      </c>
      <c r="O47" t="str">
        <f>IF(COUNTIFS('Total Rushing Yards'!A:A,'Skill Pos Compiled'!$A47)=1,"Vegas Odds","2022 Stats / Prediction")</f>
        <v>2022 Stats / Prediction</v>
      </c>
      <c r="P47" t="str">
        <f>IF(COUNTIFS('Total Rushing Touchdowns'!A:A,'Skill Pos Compiled'!$A47)=1,"Vegas Odds","2022 Stats / Prediction")</f>
        <v>2022 Stats / Prediction</v>
      </c>
      <c r="Q47" t="str">
        <f>IF(COUNTIFS('Total Receptions'!A:A,'Skill Pos Compiled'!$A47)=1,"Vegas Odds","2022 Stats / Prediction")</f>
        <v>2022 Stats / Prediction</v>
      </c>
      <c r="R47" t="str">
        <f>IF(COUNTIFS('Total Receiving Yards'!A:A,'Skill Pos Compiled'!$A47)=1,"Vegas Odds","2022 Stats / Prediction")</f>
        <v>2022 Stats / Prediction</v>
      </c>
      <c r="S47" t="str">
        <f>IF(COUNTIFS('Total Receiving Touchdowns'!A:A,'Skill Pos Compiled'!$A47)=1,"Vegas Odds","2022 Stats / Prediction")</f>
        <v>2022 Stats / Prediction</v>
      </c>
      <c r="T47" s="10" t="str">
        <f t="shared" si="4"/>
        <v>Unpredictable</v>
      </c>
    </row>
    <row r="48" spans="1:20" x14ac:dyDescent="0.25">
      <c r="A48" t="s">
        <v>272</v>
      </c>
      <c r="B48" t="str">
        <f>_xlfn.XLOOKUP(A48,ADP!A:A,ADP!B:B)</f>
        <v>TE</v>
      </c>
      <c r="C48" s="9">
        <f t="shared" si="2"/>
        <v>87.125</v>
      </c>
      <c r="D48" s="9">
        <f t="shared" si="3"/>
        <v>127.5</v>
      </c>
      <c r="E48" s="7">
        <f>IF(SUMIFS('Total Rushing Yards'!E:E,'Total Rushing Yards'!A:A,'Skill Pos Compiled'!A48)=0,SUMIFS('2022 Skill Pos Stats'!M:M,'2022 Skill Pos Stats'!A:A,'Skill Pos Compiled'!A48),SUMIFS('Total Rushing Yards'!E:E,'Total Rushing Yards'!A:A,'Skill Pos Compiled'!A48))</f>
        <v>0</v>
      </c>
      <c r="F48" s="7">
        <f>IF(SUMIFS('Total Rushing Touchdowns'!B:B,'Total Rushing Touchdowns'!A:A,'Skill Pos Compiled'!A48)=0,SUMIFS('2022 Skill Pos Stats'!N:N,'2022 Skill Pos Stats'!A:A,'Skill Pos Compiled'!A48),SUMIFS('Total Rushing Touchdowns'!B:B,'Total Rushing Touchdowns'!A:A,'Skill Pos Compiled'!A48))</f>
        <v>0</v>
      </c>
      <c r="G48" s="7">
        <f>IF(SUMIFS('Total Receptions'!B:B,'Total Receptions'!A:A,'Skill Pos Compiled'!A48)=0,SUMIFS('2022 Skill Pos Stats'!O:O,'2022 Skill Pos Stats'!A:A,'Skill Pos Compiled'!A48),SUMIFS('Total Receptions'!B:B,'Total Receptions'!A:A,'Skill Pos Compiled'!A48))</f>
        <v>23.375</v>
      </c>
      <c r="H48" s="7">
        <f>IF(SUMIFS('Total Receiving Yards'!E:E,'Total Receiving Yards'!A:A,'Skill Pos Compiled'!A48)=0,SUMIFS('2022 Skill Pos Stats'!P:P,'2022 Skill Pos Stats'!A:A,'Skill Pos Compiled'!A48),SUMIFS('Total Receiving Yards'!E:E,'Total Receiving Yards'!A:A,'Skill Pos Compiled'!A48))</f>
        <v>127.5</v>
      </c>
      <c r="I48" s="7">
        <f>IF(SUMIFS('Total Receiving Touchdowns'!E:E,'Total Receiving Touchdowns'!A:A,'Skill Pos Compiled'!A48)=0,SUMIFS('2022 Skill Pos Stats'!Q:Q,'2022 Skill Pos Stats'!A:A,'Skill Pos Compiled'!A48),SUMIFS('Total Receiving Touchdowns'!E:E,'Total Receiving Touchdowns'!A:A,'Skill Pos Compiled'!A48))</f>
        <v>8.5</v>
      </c>
      <c r="J48" s="5">
        <f>_xlfn.XLOOKUP(E$1,Pt_System[Stat],Pt_System[Pts])*E48</f>
        <v>0</v>
      </c>
      <c r="K48" s="5">
        <f>_xlfn.XLOOKUP(F$1,Pt_System[Stat],Pt_System[Pts])*F48</f>
        <v>0</v>
      </c>
      <c r="L48" s="5">
        <f>_xlfn.XLOOKUP(G$1,Pt_System[Stat],Pt_System[Pts])*G48</f>
        <v>23.375</v>
      </c>
      <c r="M48" s="5">
        <f>_xlfn.XLOOKUP(H$1,Pt_System[Stat],Pt_System[Pts])*H48</f>
        <v>12.75</v>
      </c>
      <c r="N48" s="5">
        <f>_xlfn.XLOOKUP(I$1,Pt_System[Stat],Pt_System[Pts])*I48</f>
        <v>51</v>
      </c>
      <c r="O48" t="str">
        <f>IF(COUNTIFS('Total Rushing Yards'!A:A,'Skill Pos Compiled'!$A48)=1,"Vegas Odds","2022 Stats / Prediction")</f>
        <v>2022 Stats / Prediction</v>
      </c>
      <c r="P48" t="str">
        <f>IF(COUNTIFS('Total Rushing Touchdowns'!A:A,'Skill Pos Compiled'!$A48)=1,"Vegas Odds","2022 Stats / Prediction")</f>
        <v>2022 Stats / Prediction</v>
      </c>
      <c r="Q48" t="str">
        <f>IF(COUNTIFS('Total Receptions'!A:A,'Skill Pos Compiled'!$A48)=1,"Vegas Odds","2022 Stats / Prediction")</f>
        <v>2022 Stats / Prediction</v>
      </c>
      <c r="R48" t="str">
        <f>IF(COUNTIFS('Total Receiving Yards'!A:A,'Skill Pos Compiled'!$A48)=1,"Vegas Odds","2022 Stats / Prediction")</f>
        <v>2022 Stats / Prediction</v>
      </c>
      <c r="S48" t="str">
        <f>IF(COUNTIFS('Total Receiving Touchdowns'!A:A,'Skill Pos Compiled'!$A48)=1,"Vegas Odds","2022 Stats / Prediction")</f>
        <v>2022 Stats / Prediction</v>
      </c>
      <c r="T48" s="10" t="str">
        <f t="shared" si="4"/>
        <v>Unpredictable</v>
      </c>
    </row>
    <row r="49" spans="1:20" x14ac:dyDescent="0.25">
      <c r="A49" t="s">
        <v>273</v>
      </c>
      <c r="B49" t="str">
        <f>_xlfn.XLOOKUP(A49,ADP!A:A,ADP!B:B)</f>
        <v>TE</v>
      </c>
      <c r="C49" s="9">
        <f t="shared" si="2"/>
        <v>74.8</v>
      </c>
      <c r="D49" s="9">
        <f t="shared" si="3"/>
        <v>268.90909090909088</v>
      </c>
      <c r="E49" s="7">
        <f>IF(SUMIFS('Total Rushing Yards'!E:E,'Total Rushing Yards'!A:A,'Skill Pos Compiled'!A49)=0,SUMIFS('2022 Skill Pos Stats'!M:M,'2022 Skill Pos Stats'!A:A,'Skill Pos Compiled'!A49),SUMIFS('Total Rushing Yards'!E:E,'Total Rushing Yards'!A:A,'Skill Pos Compiled'!A49))</f>
        <v>0</v>
      </c>
      <c r="F49" s="7">
        <f>IF(SUMIFS('Total Rushing Touchdowns'!B:B,'Total Rushing Touchdowns'!A:A,'Skill Pos Compiled'!A49)=0,SUMIFS('2022 Skill Pos Stats'!N:N,'2022 Skill Pos Stats'!A:A,'Skill Pos Compiled'!A49),SUMIFS('Total Rushing Touchdowns'!B:B,'Total Rushing Touchdowns'!A:A,'Skill Pos Compiled'!A49))</f>
        <v>0</v>
      </c>
      <c r="G49" s="7">
        <f>IF(SUMIFS('Total Receptions'!B:B,'Total Receptions'!A:A,'Skill Pos Compiled'!A49)=0,SUMIFS('2022 Skill Pos Stats'!O:O,'2022 Skill Pos Stats'!A:A,'Skill Pos Compiled'!A49),SUMIFS('Total Receptions'!B:B,'Total Receptions'!A:A,'Skill Pos Compiled'!A49))</f>
        <v>29.363636363636363</v>
      </c>
      <c r="H49" s="7">
        <f>IF(SUMIFS('Total Receiving Yards'!E:E,'Total Receiving Yards'!A:A,'Skill Pos Compiled'!A49)=0,SUMIFS('2022 Skill Pos Stats'!P:P,'2022 Skill Pos Stats'!A:A,'Skill Pos Compiled'!A49),SUMIFS('Total Receiving Yards'!E:E,'Total Receiving Yards'!A:A,'Skill Pos Compiled'!A49))</f>
        <v>268.90909090909088</v>
      </c>
      <c r="I49" s="7">
        <f>IF(SUMIFS('Total Receiving Touchdowns'!E:E,'Total Receiving Touchdowns'!A:A,'Skill Pos Compiled'!A49)=0,SUMIFS('2022 Skill Pos Stats'!Q:Q,'2022 Skill Pos Stats'!A:A,'Skill Pos Compiled'!A49),SUMIFS('Total Receiving Touchdowns'!E:E,'Total Receiving Touchdowns'!A:A,'Skill Pos Compiled'!A49))</f>
        <v>3.0909090909090908</v>
      </c>
      <c r="J49" s="5">
        <f>_xlfn.XLOOKUP(E$1,Pt_System[Stat],Pt_System[Pts])*E49</f>
        <v>0</v>
      </c>
      <c r="K49" s="5">
        <f>_xlfn.XLOOKUP(F$1,Pt_System[Stat],Pt_System[Pts])*F49</f>
        <v>0</v>
      </c>
      <c r="L49" s="5">
        <f>_xlfn.XLOOKUP(G$1,Pt_System[Stat],Pt_System[Pts])*G49</f>
        <v>29.363636363636363</v>
      </c>
      <c r="M49" s="5">
        <f>_xlfn.XLOOKUP(H$1,Pt_System[Stat],Pt_System[Pts])*H49</f>
        <v>26.890909090909091</v>
      </c>
      <c r="N49" s="5">
        <f>_xlfn.XLOOKUP(I$1,Pt_System[Stat],Pt_System[Pts])*I49</f>
        <v>18.545454545454547</v>
      </c>
      <c r="O49" t="str">
        <f>IF(COUNTIFS('Total Rushing Yards'!A:A,'Skill Pos Compiled'!$A49)=1,"Vegas Odds","2022 Stats / Prediction")</f>
        <v>2022 Stats / Prediction</v>
      </c>
      <c r="P49" t="str">
        <f>IF(COUNTIFS('Total Rushing Touchdowns'!A:A,'Skill Pos Compiled'!$A49)=1,"Vegas Odds","2022 Stats / Prediction")</f>
        <v>2022 Stats / Prediction</v>
      </c>
      <c r="Q49" t="str">
        <f>IF(COUNTIFS('Total Receptions'!A:A,'Skill Pos Compiled'!$A49)=1,"Vegas Odds","2022 Stats / Prediction")</f>
        <v>2022 Stats / Prediction</v>
      </c>
      <c r="R49" t="str">
        <f>IF(COUNTIFS('Total Receiving Yards'!A:A,'Skill Pos Compiled'!$A49)=1,"Vegas Odds","2022 Stats / Prediction")</f>
        <v>2022 Stats / Prediction</v>
      </c>
      <c r="S49" t="str">
        <f>IF(COUNTIFS('Total Receiving Touchdowns'!A:A,'Skill Pos Compiled'!$A49)=1,"Vegas Odds","2022 Stats / Prediction")</f>
        <v>2022 Stats / Prediction</v>
      </c>
      <c r="T49" s="10" t="str">
        <f t="shared" si="4"/>
        <v>Unpredictable</v>
      </c>
    </row>
    <row r="50" spans="1:20" x14ac:dyDescent="0.25">
      <c r="A50" t="s">
        <v>274</v>
      </c>
      <c r="B50" t="s">
        <v>411</v>
      </c>
      <c r="C50" s="9">
        <f t="shared" si="2"/>
        <v>62.9</v>
      </c>
      <c r="D50" s="9">
        <f t="shared" si="3"/>
        <v>194.55555555555554</v>
      </c>
      <c r="E50" s="7">
        <f>IF(SUMIFS('Total Rushing Yards'!E:E,'Total Rushing Yards'!A:A,'Skill Pos Compiled'!A50)=0,SUMIFS('2022 Skill Pos Stats'!M:M,'2022 Skill Pos Stats'!A:A,'Skill Pos Compiled'!A50),SUMIFS('Total Rushing Yards'!E:E,'Total Rushing Yards'!A:A,'Skill Pos Compiled'!A50))</f>
        <v>0</v>
      </c>
      <c r="F50" s="7">
        <f>IF(SUMIFS('Total Rushing Touchdowns'!B:B,'Total Rushing Touchdowns'!A:A,'Skill Pos Compiled'!A50)=0,SUMIFS('2022 Skill Pos Stats'!N:N,'2022 Skill Pos Stats'!A:A,'Skill Pos Compiled'!A50),SUMIFS('Total Rushing Touchdowns'!B:B,'Total Rushing Touchdowns'!A:A,'Skill Pos Compiled'!A50))</f>
        <v>0</v>
      </c>
      <c r="G50" s="7">
        <f>IF(SUMIFS('Total Receptions'!B:B,'Total Receptions'!A:A,'Skill Pos Compiled'!A50)=0,SUMIFS('2022 Skill Pos Stats'!O:O,'2022 Skill Pos Stats'!A:A,'Skill Pos Compiled'!A50),SUMIFS('Total Receptions'!B:B,'Total Receptions'!A:A,'Skill Pos Compiled'!A50))</f>
        <v>20.777777777777779</v>
      </c>
      <c r="H50" s="7">
        <f>IF(SUMIFS('Total Receiving Yards'!E:E,'Total Receiving Yards'!A:A,'Skill Pos Compiled'!A50)=0,SUMIFS('2022 Skill Pos Stats'!P:P,'2022 Skill Pos Stats'!A:A,'Skill Pos Compiled'!A50),SUMIFS('Total Receiving Yards'!E:E,'Total Receiving Yards'!A:A,'Skill Pos Compiled'!A50))</f>
        <v>194.55555555555554</v>
      </c>
      <c r="I50" s="7">
        <f>IF(SUMIFS('Total Receiving Touchdowns'!E:E,'Total Receiving Touchdowns'!A:A,'Skill Pos Compiled'!A50)=0,SUMIFS('2022 Skill Pos Stats'!Q:Q,'2022 Skill Pos Stats'!A:A,'Skill Pos Compiled'!A50),SUMIFS('Total Receiving Touchdowns'!E:E,'Total Receiving Touchdowns'!A:A,'Skill Pos Compiled'!A50))</f>
        <v>3.7777777777777777</v>
      </c>
      <c r="J50" s="5">
        <f>_xlfn.XLOOKUP(E$1,Pt_System[Stat],Pt_System[Pts])*E50</f>
        <v>0</v>
      </c>
      <c r="K50" s="5">
        <f>_xlfn.XLOOKUP(F$1,Pt_System[Stat],Pt_System[Pts])*F50</f>
        <v>0</v>
      </c>
      <c r="L50" s="5">
        <f>_xlfn.XLOOKUP(G$1,Pt_System[Stat],Pt_System[Pts])*G50</f>
        <v>20.777777777777779</v>
      </c>
      <c r="M50" s="5">
        <f>_xlfn.XLOOKUP(H$1,Pt_System[Stat],Pt_System[Pts])*H50</f>
        <v>19.455555555555556</v>
      </c>
      <c r="N50" s="5">
        <f>_xlfn.XLOOKUP(I$1,Pt_System[Stat],Pt_System[Pts])*I50</f>
        <v>22.666666666666664</v>
      </c>
      <c r="O50" t="str">
        <f>IF(COUNTIFS('Total Rushing Yards'!A:A,'Skill Pos Compiled'!$A50)=1,"Vegas Odds","2022 Stats / Prediction")</f>
        <v>2022 Stats / Prediction</v>
      </c>
      <c r="P50" t="str">
        <f>IF(COUNTIFS('Total Rushing Touchdowns'!A:A,'Skill Pos Compiled'!$A50)=1,"Vegas Odds","2022 Stats / Prediction")</f>
        <v>2022 Stats / Prediction</v>
      </c>
      <c r="Q50" t="str">
        <f>IF(COUNTIFS('Total Receptions'!A:A,'Skill Pos Compiled'!$A50)=1,"Vegas Odds","2022 Stats / Prediction")</f>
        <v>2022 Stats / Prediction</v>
      </c>
      <c r="R50" t="str">
        <f>IF(COUNTIFS('Total Receiving Yards'!A:A,'Skill Pos Compiled'!$A50)=1,"Vegas Odds","2022 Stats / Prediction")</f>
        <v>2022 Stats / Prediction</v>
      </c>
      <c r="S50" t="str">
        <f>IF(COUNTIFS('Total Receiving Touchdowns'!A:A,'Skill Pos Compiled'!$A50)=1,"Vegas Odds","2022 Stats / Prediction")</f>
        <v>2022 Stats / Prediction</v>
      </c>
      <c r="T50" s="10" t="str">
        <f t="shared" si="4"/>
        <v>Unpredictable</v>
      </c>
    </row>
    <row r="51" spans="1:20" x14ac:dyDescent="0.25">
      <c r="A51" t="s">
        <v>275</v>
      </c>
      <c r="B51" t="s">
        <v>411</v>
      </c>
      <c r="C51" s="9">
        <f t="shared" si="2"/>
        <v>57.94166666666667</v>
      </c>
      <c r="D51" s="9">
        <f t="shared" si="3"/>
        <v>211.08333333333334</v>
      </c>
      <c r="E51" s="7">
        <f>IF(SUMIFS('Total Rushing Yards'!E:E,'Total Rushing Yards'!A:A,'Skill Pos Compiled'!A51)=0,SUMIFS('2022 Skill Pos Stats'!M:M,'2022 Skill Pos Stats'!A:A,'Skill Pos Compiled'!A51),SUMIFS('Total Rushing Yards'!E:E,'Total Rushing Yards'!A:A,'Skill Pos Compiled'!A51))</f>
        <v>0</v>
      </c>
      <c r="F51" s="7">
        <f>IF(SUMIFS('Total Rushing Touchdowns'!B:B,'Total Rushing Touchdowns'!A:A,'Skill Pos Compiled'!A51)=0,SUMIFS('2022 Skill Pos Stats'!N:N,'2022 Skill Pos Stats'!A:A,'Skill Pos Compiled'!A51),SUMIFS('Total Rushing Touchdowns'!B:B,'Total Rushing Touchdowns'!A:A,'Skill Pos Compiled'!A51))</f>
        <v>0</v>
      </c>
      <c r="G51" s="7">
        <f>IF(SUMIFS('Total Receptions'!B:B,'Total Receptions'!A:A,'Skill Pos Compiled'!A51)=0,SUMIFS('2022 Skill Pos Stats'!O:O,'2022 Skill Pos Stats'!A:A,'Skill Pos Compiled'!A51),SUMIFS('Total Receptions'!B:B,'Total Receptions'!A:A,'Skill Pos Compiled'!A51))</f>
        <v>19.833333333333336</v>
      </c>
      <c r="H51" s="7">
        <f>IF(SUMIFS('Total Receiving Yards'!E:E,'Total Receiving Yards'!A:A,'Skill Pos Compiled'!A51)=0,SUMIFS('2022 Skill Pos Stats'!P:P,'2022 Skill Pos Stats'!A:A,'Skill Pos Compiled'!A51),SUMIFS('Total Receiving Yards'!E:E,'Total Receiving Yards'!A:A,'Skill Pos Compiled'!A51))</f>
        <v>211.08333333333334</v>
      </c>
      <c r="I51" s="7">
        <f>IF(SUMIFS('Total Receiving Touchdowns'!E:E,'Total Receiving Touchdowns'!A:A,'Skill Pos Compiled'!A51)=0,SUMIFS('2022 Skill Pos Stats'!Q:Q,'2022 Skill Pos Stats'!A:A,'Skill Pos Compiled'!A51),SUMIFS('Total Receiving Touchdowns'!E:E,'Total Receiving Touchdowns'!A:A,'Skill Pos Compiled'!A51))</f>
        <v>2.8333333333333335</v>
      </c>
      <c r="J51" s="5">
        <f>_xlfn.XLOOKUP(E$1,Pt_System[Stat],Pt_System[Pts])*E51</f>
        <v>0</v>
      </c>
      <c r="K51" s="5">
        <f>_xlfn.XLOOKUP(F$1,Pt_System[Stat],Pt_System[Pts])*F51</f>
        <v>0</v>
      </c>
      <c r="L51" s="5">
        <f>_xlfn.XLOOKUP(G$1,Pt_System[Stat],Pt_System[Pts])*G51</f>
        <v>19.833333333333336</v>
      </c>
      <c r="M51" s="5">
        <f>_xlfn.XLOOKUP(H$1,Pt_System[Stat],Pt_System[Pts])*H51</f>
        <v>21.108333333333334</v>
      </c>
      <c r="N51" s="5">
        <f>_xlfn.XLOOKUP(I$1,Pt_System[Stat],Pt_System[Pts])*I51</f>
        <v>17</v>
      </c>
      <c r="O51" t="str">
        <f>IF(COUNTIFS('Total Rushing Yards'!A:A,'Skill Pos Compiled'!$A51)=1,"Vegas Odds","2022 Stats / Prediction")</f>
        <v>2022 Stats / Prediction</v>
      </c>
      <c r="P51" t="str">
        <f>IF(COUNTIFS('Total Rushing Touchdowns'!A:A,'Skill Pos Compiled'!$A51)=1,"Vegas Odds","2022 Stats / Prediction")</f>
        <v>2022 Stats / Prediction</v>
      </c>
      <c r="Q51" t="str">
        <f>IF(COUNTIFS('Total Receptions'!A:A,'Skill Pos Compiled'!$A51)=1,"Vegas Odds","2022 Stats / Prediction")</f>
        <v>2022 Stats / Prediction</v>
      </c>
      <c r="R51" t="str">
        <f>IF(COUNTIFS('Total Receiving Yards'!A:A,'Skill Pos Compiled'!$A51)=1,"Vegas Odds","2022 Stats / Prediction")</f>
        <v>2022 Stats / Prediction</v>
      </c>
      <c r="S51" t="str">
        <f>IF(COUNTIFS('Total Receiving Touchdowns'!A:A,'Skill Pos Compiled'!$A51)=1,"Vegas Odds","2022 Stats / Prediction")</f>
        <v>2022 Stats / Prediction</v>
      </c>
      <c r="T51" s="10" t="str">
        <f t="shared" si="4"/>
        <v>Unpredictable</v>
      </c>
    </row>
    <row r="52" spans="1:20" x14ac:dyDescent="0.25">
      <c r="A52" t="s">
        <v>28</v>
      </c>
      <c r="B52" t="str">
        <f>_xlfn.XLOOKUP(A52,ADP!A:A,ADP!B:B)</f>
        <v>WR</v>
      </c>
      <c r="C52" s="9">
        <f t="shared" si="2"/>
        <v>284.91666666666669</v>
      </c>
      <c r="D52" s="9">
        <f t="shared" si="3"/>
        <v>1424.1666666666667</v>
      </c>
      <c r="E52" s="7">
        <f>IF(SUMIFS('Total Rushing Yards'!E:E,'Total Rushing Yards'!A:A,'Skill Pos Compiled'!A52)=0,SUMIFS('2022 Skill Pos Stats'!M:M,'2022 Skill Pos Stats'!A:A,'Skill Pos Compiled'!A52),SUMIFS('Total Rushing Yards'!E:E,'Total Rushing Yards'!A:A,'Skill Pos Compiled'!A52))</f>
        <v>24</v>
      </c>
      <c r="F52" s="7">
        <f>IF(SUMIFS('Total Rushing Touchdowns'!B:B,'Total Rushing Touchdowns'!A:A,'Skill Pos Compiled'!A52)=0,SUMIFS('2022 Skill Pos Stats'!N:N,'2022 Skill Pos Stats'!A:A,'Skill Pos Compiled'!A52),SUMIFS('Total Rushing Touchdowns'!B:B,'Total Rushing Touchdowns'!A:A,'Skill Pos Compiled'!A52))</f>
        <v>1</v>
      </c>
      <c r="G52" s="7">
        <f>IF(SUMIFS('Total Receptions'!B:B,'Total Receptions'!A:A,'Skill Pos Compiled'!A52)=0,SUMIFS('2022 Skill Pos Stats'!O:O,'2022 Skill Pos Stats'!A:A,'Skill Pos Compiled'!A52),SUMIFS('Total Receptions'!B:B,'Total Receptions'!A:A,'Skill Pos Compiled'!A52))</f>
        <v>85.5</v>
      </c>
      <c r="H52" s="7">
        <f>IF(SUMIFS('Total Receiving Yards'!E:E,'Total Receiving Yards'!A:A,'Skill Pos Compiled'!A52)=0,SUMIFS('2022 Skill Pos Stats'!P:P,'2022 Skill Pos Stats'!A:A,'Skill Pos Compiled'!A52),SUMIFS('Total Receiving Yards'!E:E,'Total Receiving Yards'!A:A,'Skill Pos Compiled'!A52))</f>
        <v>1400.1666666666667</v>
      </c>
      <c r="I52" s="7">
        <f>IF(SUMIFS('Total Receiving Touchdowns'!E:E,'Total Receiving Touchdowns'!A:A,'Skill Pos Compiled'!A52)=0,SUMIFS('2022 Skill Pos Stats'!Q:Q,'2022 Skill Pos Stats'!A:A,'Skill Pos Compiled'!A52),SUMIFS('Total Receiving Touchdowns'!E:E,'Total Receiving Touchdowns'!A:A,'Skill Pos Compiled'!A52))</f>
        <v>8.5</v>
      </c>
      <c r="J52" s="5">
        <f>_xlfn.XLOOKUP(E$1,Pt_System[Stat],Pt_System[Pts])*E52</f>
        <v>2.4000000000000004</v>
      </c>
      <c r="K52" s="5">
        <f>_xlfn.XLOOKUP(F$1,Pt_System[Stat],Pt_System[Pts])*F52</f>
        <v>6</v>
      </c>
      <c r="L52" s="5">
        <f>_xlfn.XLOOKUP(G$1,Pt_System[Stat],Pt_System[Pts])*G52</f>
        <v>85.5</v>
      </c>
      <c r="M52" s="5">
        <f>_xlfn.XLOOKUP(H$1,Pt_System[Stat],Pt_System[Pts])*H52</f>
        <v>140.01666666666668</v>
      </c>
      <c r="N52" s="5">
        <f>_xlfn.XLOOKUP(I$1,Pt_System[Stat],Pt_System[Pts])*I52</f>
        <v>51</v>
      </c>
      <c r="O52" t="str">
        <f>IF(COUNTIFS('Total Rushing Yards'!A:A,'Skill Pos Compiled'!$A52)=1,"Vegas Odds","2022 Stats / Prediction")</f>
        <v>2022 Stats / Prediction</v>
      </c>
      <c r="P52" t="str">
        <f>IF(COUNTIFS('Total Rushing Touchdowns'!A:A,'Skill Pos Compiled'!$A52)=1,"Vegas Odds","2022 Stats / Prediction")</f>
        <v>2022 Stats / Prediction</v>
      </c>
      <c r="Q52" t="str">
        <f>IF(COUNTIFS('Total Receptions'!A:A,'Skill Pos Compiled'!$A52)=1,"Vegas Odds","2022 Stats / Prediction")</f>
        <v>Vegas Odds</v>
      </c>
      <c r="R52" t="str">
        <f>IF(COUNTIFS('Total Receiving Yards'!A:A,'Skill Pos Compiled'!$A52)=1,"Vegas Odds","2022 Stats / Prediction")</f>
        <v>Vegas Odds</v>
      </c>
      <c r="S52" t="str">
        <f>IF(COUNTIFS('Total Receiving Touchdowns'!A:A,'Skill Pos Compiled'!$A52)=1,"Vegas Odds","2022 Stats / Prediction")</f>
        <v>Vegas Odds</v>
      </c>
      <c r="T52" s="10" t="str">
        <f t="shared" si="4"/>
        <v>OK</v>
      </c>
    </row>
    <row r="53" spans="1:20" x14ac:dyDescent="0.25">
      <c r="A53" t="s">
        <v>301</v>
      </c>
      <c r="B53" t="str">
        <f>_xlfn.XLOOKUP(A53,ADP!A:A,ADP!B:B)</f>
        <v>WR</v>
      </c>
      <c r="C53" s="9">
        <f t="shared" si="2"/>
        <v>335.5</v>
      </c>
      <c r="D53" s="9">
        <f t="shared" si="3"/>
        <v>1515</v>
      </c>
      <c r="E53" s="7">
        <f>IF(SUMIFS('Total Rushing Yards'!E:E,'Total Rushing Yards'!A:A,'Skill Pos Compiled'!A53)=0,SUMIFS('2022 Skill Pos Stats'!M:M,'2022 Skill Pos Stats'!A:A,'Skill Pos Compiled'!A53),SUMIFS('Total Rushing Yards'!E:E,'Total Rushing Yards'!A:A,'Skill Pos Compiled'!A53))</f>
        <v>-1</v>
      </c>
      <c r="F53" s="7">
        <f>IF(SUMIFS('Total Rushing Touchdowns'!B:B,'Total Rushing Touchdowns'!A:A,'Skill Pos Compiled'!A53)=0,SUMIFS('2022 Skill Pos Stats'!N:N,'2022 Skill Pos Stats'!A:A,'Skill Pos Compiled'!A53),SUMIFS('Total Rushing Touchdowns'!B:B,'Total Rushing Touchdowns'!A:A,'Skill Pos Compiled'!A53))</f>
        <v>0</v>
      </c>
      <c r="G53" s="7">
        <f>IF(SUMIFS('Total Receptions'!B:B,'Total Receptions'!A:A,'Skill Pos Compiled'!A53)=0,SUMIFS('2022 Skill Pos Stats'!O:O,'2022 Skill Pos Stats'!A:A,'Skill Pos Compiled'!A53),SUMIFS('Total Receptions'!B:B,'Total Receptions'!A:A,'Skill Pos Compiled'!A53))</f>
        <v>100</v>
      </c>
      <c r="H53" s="7">
        <f>IF(SUMIFS('Total Receiving Yards'!E:E,'Total Receiving Yards'!A:A,'Skill Pos Compiled'!A53)=0,SUMIFS('2022 Skill Pos Stats'!P:P,'2022 Skill Pos Stats'!A:A,'Skill Pos Compiled'!A53),SUMIFS('Total Receiving Yards'!E:E,'Total Receiving Yards'!A:A,'Skill Pos Compiled'!A53))</f>
        <v>1516</v>
      </c>
      <c r="I53" s="7">
        <f>IF(SUMIFS('Total Receiving Touchdowns'!E:E,'Total Receiving Touchdowns'!A:A,'Skill Pos Compiled'!A53)=0,SUMIFS('2022 Skill Pos Stats'!Q:Q,'2022 Skill Pos Stats'!A:A,'Skill Pos Compiled'!A53),SUMIFS('Total Receiving Touchdowns'!E:E,'Total Receiving Touchdowns'!A:A,'Skill Pos Compiled'!A53))</f>
        <v>14</v>
      </c>
      <c r="J53" s="5">
        <f>_xlfn.XLOOKUP(E$1,Pt_System[Stat],Pt_System[Pts])*E53</f>
        <v>-0.1</v>
      </c>
      <c r="K53" s="5">
        <f>_xlfn.XLOOKUP(F$1,Pt_System[Stat],Pt_System[Pts])*F53</f>
        <v>0</v>
      </c>
      <c r="L53" s="5">
        <f>_xlfn.XLOOKUP(G$1,Pt_System[Stat],Pt_System[Pts])*G53</f>
        <v>100</v>
      </c>
      <c r="M53" s="5">
        <f>_xlfn.XLOOKUP(H$1,Pt_System[Stat],Pt_System[Pts])*H53</f>
        <v>151.6</v>
      </c>
      <c r="N53" s="5">
        <f>_xlfn.XLOOKUP(I$1,Pt_System[Stat],Pt_System[Pts])*I53</f>
        <v>84</v>
      </c>
      <c r="O53" t="str">
        <f>IF(COUNTIFS('Total Rushing Yards'!A:A,'Skill Pos Compiled'!$A53)=1,"Vegas Odds","2022 Stats / Prediction")</f>
        <v>2022 Stats / Prediction</v>
      </c>
      <c r="P53" t="str">
        <f>IF(COUNTIFS('Total Rushing Touchdowns'!A:A,'Skill Pos Compiled'!$A53)=1,"Vegas Odds","2022 Stats / Prediction")</f>
        <v>2022 Stats / Prediction</v>
      </c>
      <c r="Q53" t="str">
        <f>IF(COUNTIFS('Total Receptions'!A:A,'Skill Pos Compiled'!$A53)=1,"Vegas Odds","2022 Stats / Prediction")</f>
        <v>2022 Stats / Prediction</v>
      </c>
      <c r="R53" t="str">
        <f>IF(COUNTIFS('Total Receiving Yards'!A:A,'Skill Pos Compiled'!$A53)=1,"Vegas Odds","2022 Stats / Prediction")</f>
        <v>2022 Stats / Prediction</v>
      </c>
      <c r="S53" t="str">
        <f>IF(COUNTIFS('Total Receiving Touchdowns'!A:A,'Skill Pos Compiled'!$A53)=1,"Vegas Odds","2022 Stats / Prediction")</f>
        <v>2022 Stats / Prediction</v>
      </c>
      <c r="T53" s="10" t="str">
        <f t="shared" si="4"/>
        <v>Unpredictable</v>
      </c>
    </row>
    <row r="54" spans="1:20" x14ac:dyDescent="0.25">
      <c r="A54" t="s">
        <v>29</v>
      </c>
      <c r="B54" t="str">
        <f>_xlfn.XLOOKUP(A54,ADP!A:A,ADP!B:B)</f>
        <v>WR</v>
      </c>
      <c r="C54" s="9">
        <f t="shared" si="2"/>
        <v>286.7166666666667</v>
      </c>
      <c r="D54" s="9">
        <f t="shared" si="3"/>
        <v>1332.1666666666667</v>
      </c>
      <c r="E54" s="7">
        <f>IF(SUMIFS('Total Rushing Yards'!E:E,'Total Rushing Yards'!A:A,'Skill Pos Compiled'!A54)=0,SUMIFS('2022 Skill Pos Stats'!M:M,'2022 Skill Pos Stats'!A:A,'Skill Pos Compiled'!A54),SUMIFS('Total Rushing Yards'!E:E,'Total Rushing Yards'!A:A,'Skill Pos Compiled'!A54))</f>
        <v>32</v>
      </c>
      <c r="F54" s="7">
        <f>IF(SUMIFS('Total Rushing Touchdowns'!B:B,'Total Rushing Touchdowns'!A:A,'Skill Pos Compiled'!A54)=0,SUMIFS('2022 Skill Pos Stats'!N:N,'2022 Skill Pos Stats'!A:A,'Skill Pos Compiled'!A54),SUMIFS('Total Rushing Touchdowns'!B:B,'Total Rushing Touchdowns'!A:A,'Skill Pos Compiled'!A54))</f>
        <v>1</v>
      </c>
      <c r="G54" s="7">
        <f>IF(SUMIFS('Total Receptions'!B:B,'Total Receptions'!A:A,'Skill Pos Compiled'!A54)=0,SUMIFS('2022 Skill Pos Stats'!O:O,'2022 Skill Pos Stats'!A:A,'Skill Pos Compiled'!A54),SUMIFS('Total Receptions'!B:B,'Total Receptions'!A:A,'Skill Pos Compiled'!A54))</f>
        <v>102.5</v>
      </c>
      <c r="H54" s="7">
        <f>IF(SUMIFS('Total Receiving Yards'!E:E,'Total Receiving Yards'!A:A,'Skill Pos Compiled'!A54)=0,SUMIFS('2022 Skill Pos Stats'!P:P,'2022 Skill Pos Stats'!A:A,'Skill Pos Compiled'!A54),SUMIFS('Total Receiving Yards'!E:E,'Total Receiving Yards'!A:A,'Skill Pos Compiled'!A54))</f>
        <v>1300.1666666666667</v>
      </c>
      <c r="I54" s="7">
        <f>IF(SUMIFS('Total Receiving Touchdowns'!E:E,'Total Receiving Touchdowns'!A:A,'Skill Pos Compiled'!A54)=0,SUMIFS('2022 Skill Pos Stats'!Q:Q,'2022 Skill Pos Stats'!A:A,'Skill Pos Compiled'!A54),SUMIFS('Total Receiving Touchdowns'!E:E,'Total Receiving Touchdowns'!A:A,'Skill Pos Compiled'!A54))</f>
        <v>7.5</v>
      </c>
      <c r="J54" s="5">
        <f>_xlfn.XLOOKUP(E$1,Pt_System[Stat],Pt_System[Pts])*E54</f>
        <v>3.2</v>
      </c>
      <c r="K54" s="5">
        <f>_xlfn.XLOOKUP(F$1,Pt_System[Stat],Pt_System[Pts])*F54</f>
        <v>6</v>
      </c>
      <c r="L54" s="5">
        <f>_xlfn.XLOOKUP(G$1,Pt_System[Stat],Pt_System[Pts])*G54</f>
        <v>102.5</v>
      </c>
      <c r="M54" s="5">
        <f>_xlfn.XLOOKUP(H$1,Pt_System[Stat],Pt_System[Pts])*H54</f>
        <v>130.01666666666668</v>
      </c>
      <c r="N54" s="5">
        <f>_xlfn.XLOOKUP(I$1,Pt_System[Stat],Pt_System[Pts])*I54</f>
        <v>45</v>
      </c>
      <c r="O54" t="str">
        <f>IF(COUNTIFS('Total Rushing Yards'!A:A,'Skill Pos Compiled'!$A54)=1,"Vegas Odds","2022 Stats / Prediction")</f>
        <v>2022 Stats / Prediction</v>
      </c>
      <c r="P54" t="str">
        <f>IF(COUNTIFS('Total Rushing Touchdowns'!A:A,'Skill Pos Compiled'!$A54)=1,"Vegas Odds","2022 Stats / Prediction")</f>
        <v>2022 Stats / Prediction</v>
      </c>
      <c r="Q54" t="str">
        <f>IF(COUNTIFS('Total Receptions'!A:A,'Skill Pos Compiled'!$A54)=1,"Vegas Odds","2022 Stats / Prediction")</f>
        <v>Vegas Odds</v>
      </c>
      <c r="R54" t="str">
        <f>IF(COUNTIFS('Total Receiving Yards'!A:A,'Skill Pos Compiled'!$A54)=1,"Vegas Odds","2022 Stats / Prediction")</f>
        <v>Vegas Odds</v>
      </c>
      <c r="S54" t="str">
        <f>IF(COUNTIFS('Total Receiving Touchdowns'!A:A,'Skill Pos Compiled'!$A54)=1,"Vegas Odds","2022 Stats / Prediction")</f>
        <v>Vegas Odds</v>
      </c>
      <c r="T54" s="10" t="str">
        <f t="shared" si="4"/>
        <v>OK</v>
      </c>
    </row>
    <row r="55" spans="1:20" x14ac:dyDescent="0.25">
      <c r="A55" t="s">
        <v>184</v>
      </c>
      <c r="B55" t="str">
        <f>_xlfn.XLOOKUP(A55,ADP!A:A,ADP!B:B)</f>
        <v>WR</v>
      </c>
      <c r="C55" s="9">
        <f t="shared" si="2"/>
        <v>227.55</v>
      </c>
      <c r="D55" s="9">
        <f t="shared" si="3"/>
        <v>1050.5</v>
      </c>
      <c r="E55" s="7">
        <f>IF(SUMIFS('Total Rushing Yards'!E:E,'Total Rushing Yards'!A:A,'Skill Pos Compiled'!A55)=0,SUMIFS('2022 Skill Pos Stats'!M:M,'2022 Skill Pos Stats'!A:A,'Skill Pos Compiled'!A55),SUMIFS('Total Rushing Yards'!E:E,'Total Rushing Yards'!A:A,'Skill Pos Compiled'!A55))</f>
        <v>0</v>
      </c>
      <c r="F55" s="7">
        <f>IF(SUMIFS('Total Rushing Touchdowns'!B:B,'Total Rushing Touchdowns'!A:A,'Skill Pos Compiled'!A55)=0,SUMIFS('2022 Skill Pos Stats'!N:N,'2022 Skill Pos Stats'!A:A,'Skill Pos Compiled'!A55),SUMIFS('Total Rushing Touchdowns'!B:B,'Total Rushing Touchdowns'!A:A,'Skill Pos Compiled'!A55))</f>
        <v>0</v>
      </c>
      <c r="G55" s="7">
        <f>IF(SUMIFS('Total Receptions'!B:B,'Total Receptions'!A:A,'Skill Pos Compiled'!A55)=0,SUMIFS('2022 Skill Pos Stats'!O:O,'2022 Skill Pos Stats'!A:A,'Skill Pos Compiled'!A55),SUMIFS('Total Receptions'!B:B,'Total Receptions'!A:A,'Skill Pos Compiled'!A55))</f>
        <v>75.5</v>
      </c>
      <c r="H55" s="7">
        <f>IF(SUMIFS('Total Receiving Yards'!E:E,'Total Receiving Yards'!A:A,'Skill Pos Compiled'!A55)=0,SUMIFS('2022 Skill Pos Stats'!P:P,'2022 Skill Pos Stats'!A:A,'Skill Pos Compiled'!A55),SUMIFS('Total Receiving Yards'!E:E,'Total Receiving Yards'!A:A,'Skill Pos Compiled'!A55))</f>
        <v>1050.5</v>
      </c>
      <c r="I55" s="7">
        <f>IF(SUMIFS('Total Receiving Touchdowns'!E:E,'Total Receiving Touchdowns'!A:A,'Skill Pos Compiled'!A55)=0,SUMIFS('2022 Skill Pos Stats'!Q:Q,'2022 Skill Pos Stats'!A:A,'Skill Pos Compiled'!A55),SUMIFS('Total Receiving Touchdowns'!E:E,'Total Receiving Touchdowns'!A:A,'Skill Pos Compiled'!A55))</f>
        <v>7.833333333333333</v>
      </c>
      <c r="J55" s="5">
        <f>_xlfn.XLOOKUP(E$1,Pt_System[Stat],Pt_System[Pts])*E55</f>
        <v>0</v>
      </c>
      <c r="K55" s="5">
        <f>_xlfn.XLOOKUP(F$1,Pt_System[Stat],Pt_System[Pts])*F55</f>
        <v>0</v>
      </c>
      <c r="L55" s="5">
        <f>_xlfn.XLOOKUP(G$1,Pt_System[Stat],Pt_System[Pts])*G55</f>
        <v>75.5</v>
      </c>
      <c r="M55" s="5">
        <f>_xlfn.XLOOKUP(H$1,Pt_System[Stat],Pt_System[Pts])*H55</f>
        <v>105.05000000000001</v>
      </c>
      <c r="N55" s="5">
        <f>_xlfn.XLOOKUP(I$1,Pt_System[Stat],Pt_System[Pts])*I55</f>
        <v>47</v>
      </c>
      <c r="O55" t="str">
        <f>IF(COUNTIFS('Total Rushing Yards'!A:A,'Skill Pos Compiled'!$A55)=1,"Vegas Odds","2022 Stats / Prediction")</f>
        <v>2022 Stats / Prediction</v>
      </c>
      <c r="P55" t="str">
        <f>IF(COUNTIFS('Total Rushing Touchdowns'!A:A,'Skill Pos Compiled'!$A55)=1,"Vegas Odds","2022 Stats / Prediction")</f>
        <v>2022 Stats / Prediction</v>
      </c>
      <c r="Q55" t="str">
        <f>IF(COUNTIFS('Total Receptions'!A:A,'Skill Pos Compiled'!$A55)=1,"Vegas Odds","2022 Stats / Prediction")</f>
        <v>Vegas Odds</v>
      </c>
      <c r="R55" t="str">
        <f>IF(COUNTIFS('Total Receiving Yards'!A:A,'Skill Pos Compiled'!$A55)=1,"Vegas Odds","2022 Stats / Prediction")</f>
        <v>Vegas Odds</v>
      </c>
      <c r="S55" t="str">
        <f>IF(COUNTIFS('Total Receiving Touchdowns'!A:A,'Skill Pos Compiled'!$A55)=1,"Vegas Odds","2022 Stats / Prediction")</f>
        <v>Vegas Odds</v>
      </c>
      <c r="T55" s="10" t="str">
        <f t="shared" si="4"/>
        <v>OK</v>
      </c>
    </row>
    <row r="56" spans="1:20" x14ac:dyDescent="0.25">
      <c r="A56" t="s">
        <v>32</v>
      </c>
      <c r="B56" t="str">
        <f>_xlfn.XLOOKUP(A56,ADP!A:A,ADP!B:B)</f>
        <v>WR</v>
      </c>
      <c r="C56" s="9">
        <f t="shared" si="2"/>
        <v>264.36458333333337</v>
      </c>
      <c r="D56" s="9">
        <f t="shared" si="3"/>
        <v>1138.6458333333333</v>
      </c>
      <c r="E56" s="7">
        <f>IF(SUMIFS('Total Rushing Yards'!E:E,'Total Rushing Yards'!A:A,'Skill Pos Compiled'!A56)=0,SUMIFS('2022 Skill Pos Stats'!M:M,'2022 Skill Pos Stats'!A:A,'Skill Pos Compiled'!A56),SUMIFS('Total Rushing Yards'!E:E,'Total Rushing Yards'!A:A,'Skill Pos Compiled'!A56))</f>
        <v>-3.1875</v>
      </c>
      <c r="F56" s="7">
        <f>IF(SUMIFS('Total Rushing Touchdowns'!B:B,'Total Rushing Touchdowns'!A:A,'Skill Pos Compiled'!A56)=0,SUMIFS('2022 Skill Pos Stats'!N:N,'2022 Skill Pos Stats'!A:A,'Skill Pos Compiled'!A56),SUMIFS('Total Rushing Touchdowns'!B:B,'Total Rushing Touchdowns'!A:A,'Skill Pos Compiled'!A56))</f>
        <v>0</v>
      </c>
      <c r="G56" s="7">
        <f>IF(SUMIFS('Total Receptions'!B:B,'Total Receptions'!A:A,'Skill Pos Compiled'!A56)=0,SUMIFS('2022 Skill Pos Stats'!O:O,'2022 Skill Pos Stats'!A:A,'Skill Pos Compiled'!A56),SUMIFS('Total Receptions'!B:B,'Total Receptions'!A:A,'Skill Pos Compiled'!A56))</f>
        <v>99.5</v>
      </c>
      <c r="H56" s="7">
        <f>IF(SUMIFS('Total Receiving Yards'!E:E,'Total Receiving Yards'!A:A,'Skill Pos Compiled'!A56)=0,SUMIFS('2022 Skill Pos Stats'!P:P,'2022 Skill Pos Stats'!A:A,'Skill Pos Compiled'!A56),SUMIFS('Total Receiving Yards'!E:E,'Total Receiving Yards'!A:A,'Skill Pos Compiled'!A56))</f>
        <v>1141.8333333333333</v>
      </c>
      <c r="I56" s="7">
        <f>IF(SUMIFS('Total Receiving Touchdowns'!E:E,'Total Receiving Touchdowns'!A:A,'Skill Pos Compiled'!A56)=0,SUMIFS('2022 Skill Pos Stats'!Q:Q,'2022 Skill Pos Stats'!A:A,'Skill Pos Compiled'!A56),SUMIFS('Total Receiving Touchdowns'!E:E,'Total Receiving Touchdowns'!A:A,'Skill Pos Compiled'!A56))</f>
        <v>8.5</v>
      </c>
      <c r="J56" s="5">
        <f>_xlfn.XLOOKUP(E$1,Pt_System[Stat],Pt_System[Pts])*E56</f>
        <v>-0.31875000000000003</v>
      </c>
      <c r="K56" s="5">
        <f>_xlfn.XLOOKUP(F$1,Pt_System[Stat],Pt_System[Pts])*F56</f>
        <v>0</v>
      </c>
      <c r="L56" s="5">
        <f>_xlfn.XLOOKUP(G$1,Pt_System[Stat],Pt_System[Pts])*G56</f>
        <v>99.5</v>
      </c>
      <c r="M56" s="5">
        <f>_xlfn.XLOOKUP(H$1,Pt_System[Stat],Pt_System[Pts])*H56</f>
        <v>114.18333333333334</v>
      </c>
      <c r="N56" s="5">
        <f>_xlfn.XLOOKUP(I$1,Pt_System[Stat],Pt_System[Pts])*I56</f>
        <v>51</v>
      </c>
      <c r="O56" t="str">
        <f>IF(COUNTIFS('Total Rushing Yards'!A:A,'Skill Pos Compiled'!$A56)=1,"Vegas Odds","2022 Stats / Prediction")</f>
        <v>2022 Stats / Prediction</v>
      </c>
      <c r="P56" t="str">
        <f>IF(COUNTIFS('Total Rushing Touchdowns'!A:A,'Skill Pos Compiled'!$A56)=1,"Vegas Odds","2022 Stats / Prediction")</f>
        <v>2022 Stats / Prediction</v>
      </c>
      <c r="Q56" t="str">
        <f>IF(COUNTIFS('Total Receptions'!A:A,'Skill Pos Compiled'!$A56)=1,"Vegas Odds","2022 Stats / Prediction")</f>
        <v>Vegas Odds</v>
      </c>
      <c r="R56" t="str">
        <f>IF(COUNTIFS('Total Receiving Yards'!A:A,'Skill Pos Compiled'!$A56)=1,"Vegas Odds","2022 Stats / Prediction")</f>
        <v>Vegas Odds</v>
      </c>
      <c r="S56" t="str">
        <f>IF(COUNTIFS('Total Receiving Touchdowns'!A:A,'Skill Pos Compiled'!$A56)=1,"Vegas Odds","2022 Stats / Prediction")</f>
        <v>Vegas Odds</v>
      </c>
      <c r="T56" s="10" t="str">
        <f t="shared" si="4"/>
        <v>OK</v>
      </c>
    </row>
    <row r="57" spans="1:20" x14ac:dyDescent="0.25">
      <c r="A57" t="s">
        <v>33</v>
      </c>
      <c r="B57" t="str">
        <f>_xlfn.XLOOKUP(A57,ADP!A:A,ADP!B:B)</f>
        <v>WR</v>
      </c>
      <c r="C57" s="9">
        <f t="shared" si="2"/>
        <v>253.2166666666667</v>
      </c>
      <c r="D57" s="9">
        <f t="shared" si="3"/>
        <v>1147.1666666666667</v>
      </c>
      <c r="E57" s="7">
        <f>IF(SUMIFS('Total Rushing Yards'!E:E,'Total Rushing Yards'!A:A,'Skill Pos Compiled'!A57)=0,SUMIFS('2022 Skill Pos Stats'!M:M,'2022 Skill Pos Stats'!A:A,'Skill Pos Compiled'!A57),SUMIFS('Total Rushing Yards'!E:E,'Total Rushing Yards'!A:A,'Skill Pos Compiled'!A57))</f>
        <v>47</v>
      </c>
      <c r="F57" s="7">
        <f>IF(SUMIFS('Total Rushing Touchdowns'!B:B,'Total Rushing Touchdowns'!A:A,'Skill Pos Compiled'!A57)=0,SUMIFS('2022 Skill Pos Stats'!N:N,'2022 Skill Pos Stats'!A:A,'Skill Pos Compiled'!A57),SUMIFS('Total Rushing Touchdowns'!B:B,'Total Rushing Touchdowns'!A:A,'Skill Pos Compiled'!A57))</f>
        <v>0</v>
      </c>
      <c r="G57" s="7">
        <f>IF(SUMIFS('Total Receptions'!B:B,'Total Receptions'!A:A,'Skill Pos Compiled'!A57)=0,SUMIFS('2022 Skill Pos Stats'!O:O,'2022 Skill Pos Stats'!A:A,'Skill Pos Compiled'!A57),SUMIFS('Total Receptions'!B:B,'Total Receptions'!A:A,'Skill Pos Compiled'!A57))</f>
        <v>95.5</v>
      </c>
      <c r="H57" s="7">
        <f>IF(SUMIFS('Total Receiving Yards'!E:E,'Total Receiving Yards'!A:A,'Skill Pos Compiled'!A57)=0,SUMIFS('2022 Skill Pos Stats'!P:P,'2022 Skill Pos Stats'!A:A,'Skill Pos Compiled'!A57),SUMIFS('Total Receiving Yards'!E:E,'Total Receiving Yards'!A:A,'Skill Pos Compiled'!A57))</f>
        <v>1100.1666666666667</v>
      </c>
      <c r="I57" s="7">
        <f>IF(SUMIFS('Total Receiving Touchdowns'!E:E,'Total Receiving Touchdowns'!A:A,'Skill Pos Compiled'!A57)=0,SUMIFS('2022 Skill Pos Stats'!Q:Q,'2022 Skill Pos Stats'!A:A,'Skill Pos Compiled'!A57),SUMIFS('Total Receiving Touchdowns'!E:E,'Total Receiving Touchdowns'!A:A,'Skill Pos Compiled'!A57))</f>
        <v>7.166666666666667</v>
      </c>
      <c r="J57" s="5">
        <f>_xlfn.XLOOKUP(E$1,Pt_System[Stat],Pt_System[Pts])*E57</f>
        <v>4.7</v>
      </c>
      <c r="K57" s="5">
        <f>_xlfn.XLOOKUP(F$1,Pt_System[Stat],Pt_System[Pts])*F57</f>
        <v>0</v>
      </c>
      <c r="L57" s="5">
        <f>_xlfn.XLOOKUP(G$1,Pt_System[Stat],Pt_System[Pts])*G57</f>
        <v>95.5</v>
      </c>
      <c r="M57" s="5">
        <f>_xlfn.XLOOKUP(H$1,Pt_System[Stat],Pt_System[Pts])*H57</f>
        <v>110.01666666666668</v>
      </c>
      <c r="N57" s="5">
        <f>_xlfn.XLOOKUP(I$1,Pt_System[Stat],Pt_System[Pts])*I57</f>
        <v>43</v>
      </c>
      <c r="O57" t="str">
        <f>IF(COUNTIFS('Total Rushing Yards'!A:A,'Skill Pos Compiled'!$A57)=1,"Vegas Odds","2022 Stats / Prediction")</f>
        <v>2022 Stats / Prediction</v>
      </c>
      <c r="P57" t="str">
        <f>IF(COUNTIFS('Total Rushing Touchdowns'!A:A,'Skill Pos Compiled'!$A57)=1,"Vegas Odds","2022 Stats / Prediction")</f>
        <v>2022 Stats / Prediction</v>
      </c>
      <c r="Q57" t="str">
        <f>IF(COUNTIFS('Total Receptions'!A:A,'Skill Pos Compiled'!$A57)=1,"Vegas Odds","2022 Stats / Prediction")</f>
        <v>Vegas Odds</v>
      </c>
      <c r="R57" t="str">
        <f>IF(COUNTIFS('Total Receiving Yards'!A:A,'Skill Pos Compiled'!$A57)=1,"Vegas Odds","2022 Stats / Prediction")</f>
        <v>Vegas Odds</v>
      </c>
      <c r="S57" t="str">
        <f>IF(COUNTIFS('Total Receiving Touchdowns'!A:A,'Skill Pos Compiled'!$A57)=1,"Vegas Odds","2022 Stats / Prediction")</f>
        <v>Vegas Odds</v>
      </c>
      <c r="T57" s="10" t="str">
        <f t="shared" si="4"/>
        <v>OK</v>
      </c>
    </row>
    <row r="58" spans="1:20" x14ac:dyDescent="0.25">
      <c r="A58" t="s">
        <v>34</v>
      </c>
      <c r="B58" t="str">
        <f>_xlfn.XLOOKUP(A58,ADP!A:A,ADP!B:B)</f>
        <v>WR</v>
      </c>
      <c r="C58" s="9">
        <f t="shared" si="2"/>
        <v>203.78333333333333</v>
      </c>
      <c r="D58" s="9">
        <f t="shared" si="3"/>
        <v>1092.8333333333333</v>
      </c>
      <c r="E58" s="7">
        <f>IF(SUMIFS('Total Rushing Yards'!E:E,'Total Rushing Yards'!A:A,'Skill Pos Compiled'!A58)=0,SUMIFS('2022 Skill Pos Stats'!M:M,'2022 Skill Pos Stats'!A:A,'Skill Pos Compiled'!A58),SUMIFS('Total Rushing Yards'!E:E,'Total Rushing Yards'!A:A,'Skill Pos Compiled'!A58))</f>
        <v>26</v>
      </c>
      <c r="F58" s="7">
        <f>IF(SUMIFS('Total Rushing Touchdowns'!B:B,'Total Rushing Touchdowns'!A:A,'Skill Pos Compiled'!A58)=0,SUMIFS('2022 Skill Pos Stats'!N:N,'2022 Skill Pos Stats'!A:A,'Skill Pos Compiled'!A58),SUMIFS('Total Rushing Touchdowns'!B:B,'Total Rushing Touchdowns'!A:A,'Skill Pos Compiled'!A58))</f>
        <v>0</v>
      </c>
      <c r="G58" s="7">
        <f>IF(SUMIFS('Total Receptions'!B:B,'Total Receptions'!A:A,'Skill Pos Compiled'!A58)=0,SUMIFS('2022 Skill Pos Stats'!O:O,'2022 Skill Pos Stats'!A:A,'Skill Pos Compiled'!A58),SUMIFS('Total Receptions'!B:B,'Total Receptions'!A:A,'Skill Pos Compiled'!A58))</f>
        <v>52.5</v>
      </c>
      <c r="H58" s="7">
        <f>IF(SUMIFS('Total Receiving Yards'!E:E,'Total Receiving Yards'!A:A,'Skill Pos Compiled'!A58)=0,SUMIFS('2022 Skill Pos Stats'!P:P,'2022 Skill Pos Stats'!A:A,'Skill Pos Compiled'!A58),SUMIFS('Total Receiving Yards'!E:E,'Total Receiving Yards'!A:A,'Skill Pos Compiled'!A58))</f>
        <v>1066.8333333333333</v>
      </c>
      <c r="I58" s="7">
        <f>IF(SUMIFS('Total Receiving Touchdowns'!E:E,'Total Receiving Touchdowns'!A:A,'Skill Pos Compiled'!A58)=0,SUMIFS('2022 Skill Pos Stats'!Q:Q,'2022 Skill Pos Stats'!A:A,'Skill Pos Compiled'!A58),SUMIFS('Total Receiving Touchdowns'!E:E,'Total Receiving Touchdowns'!A:A,'Skill Pos Compiled'!A58))</f>
        <v>7</v>
      </c>
      <c r="J58" s="5">
        <f>_xlfn.XLOOKUP(E$1,Pt_System[Stat],Pt_System[Pts])*E58</f>
        <v>2.6</v>
      </c>
      <c r="K58" s="5">
        <f>_xlfn.XLOOKUP(F$1,Pt_System[Stat],Pt_System[Pts])*F58</f>
        <v>0</v>
      </c>
      <c r="L58" s="5">
        <f>_xlfn.XLOOKUP(G$1,Pt_System[Stat],Pt_System[Pts])*G58</f>
        <v>52.5</v>
      </c>
      <c r="M58" s="5">
        <f>_xlfn.XLOOKUP(H$1,Pt_System[Stat],Pt_System[Pts])*H58</f>
        <v>106.68333333333334</v>
      </c>
      <c r="N58" s="5">
        <f>_xlfn.XLOOKUP(I$1,Pt_System[Stat],Pt_System[Pts])*I58</f>
        <v>42</v>
      </c>
      <c r="O58" t="str">
        <f>IF(COUNTIFS('Total Rushing Yards'!A:A,'Skill Pos Compiled'!$A58)=1,"Vegas Odds","2022 Stats / Prediction")</f>
        <v>2022 Stats / Prediction</v>
      </c>
      <c r="P58" t="str">
        <f>IF(COUNTIFS('Total Rushing Touchdowns'!A:A,'Skill Pos Compiled'!$A58)=1,"Vegas Odds","2022 Stats / Prediction")</f>
        <v>2022 Stats / Prediction</v>
      </c>
      <c r="Q58" t="str">
        <f>IF(COUNTIFS('Total Receptions'!A:A,'Skill Pos Compiled'!$A58)=1,"Vegas Odds","2022 Stats / Prediction")</f>
        <v>Vegas Odds</v>
      </c>
      <c r="R58" t="str">
        <f>IF(COUNTIFS('Total Receiving Yards'!A:A,'Skill Pos Compiled'!$A58)=1,"Vegas Odds","2022 Stats / Prediction")</f>
        <v>Vegas Odds</v>
      </c>
      <c r="S58" t="str">
        <f>IF(COUNTIFS('Total Receiving Touchdowns'!A:A,'Skill Pos Compiled'!$A58)=1,"Vegas Odds","2022 Stats / Prediction")</f>
        <v>Vegas Odds</v>
      </c>
      <c r="T58" s="10" t="str">
        <f t="shared" si="4"/>
        <v>OK</v>
      </c>
    </row>
    <row r="59" spans="1:20" x14ac:dyDescent="0.25">
      <c r="A59" t="s">
        <v>38</v>
      </c>
      <c r="B59" t="str">
        <f>_xlfn.XLOOKUP(A59,ADP!A:A,ADP!B:B)</f>
        <v>WR</v>
      </c>
      <c r="C59" s="9">
        <f t="shared" si="2"/>
        <v>204.85000000000002</v>
      </c>
      <c r="D59" s="9">
        <f t="shared" si="3"/>
        <v>933.5</v>
      </c>
      <c r="E59" s="7">
        <f>IF(SUMIFS('Total Rushing Yards'!E:E,'Total Rushing Yards'!A:A,'Skill Pos Compiled'!A59)=0,SUMIFS('2022 Skill Pos Stats'!M:M,'2022 Skill Pos Stats'!A:A,'Skill Pos Compiled'!A59),SUMIFS('Total Rushing Yards'!E:E,'Total Rushing Yards'!A:A,'Skill Pos Compiled'!A59))</f>
        <v>0</v>
      </c>
      <c r="F59" s="7">
        <f>IF(SUMIFS('Total Rushing Touchdowns'!B:B,'Total Rushing Touchdowns'!A:A,'Skill Pos Compiled'!A59)=0,SUMIFS('2022 Skill Pos Stats'!N:N,'2022 Skill Pos Stats'!A:A,'Skill Pos Compiled'!A59),SUMIFS('Total Rushing Touchdowns'!B:B,'Total Rushing Touchdowns'!A:A,'Skill Pos Compiled'!A59))</f>
        <v>0</v>
      </c>
      <c r="G59" s="7">
        <f>IF(SUMIFS('Total Receptions'!B:B,'Total Receptions'!A:A,'Skill Pos Compiled'!A59)=0,SUMIFS('2022 Skill Pos Stats'!O:O,'2022 Skill Pos Stats'!A:A,'Skill Pos Compiled'!A59),SUMIFS('Total Receptions'!B:B,'Total Receptions'!A:A,'Skill Pos Compiled'!A59))</f>
        <v>72.5</v>
      </c>
      <c r="H59" s="7">
        <f>IF(SUMIFS('Total Receiving Yards'!E:E,'Total Receiving Yards'!A:A,'Skill Pos Compiled'!A59)=0,SUMIFS('2022 Skill Pos Stats'!P:P,'2022 Skill Pos Stats'!A:A,'Skill Pos Compiled'!A59),SUMIFS('Total Receiving Yards'!E:E,'Total Receiving Yards'!A:A,'Skill Pos Compiled'!A59))</f>
        <v>933.5</v>
      </c>
      <c r="I59" s="7">
        <f>IF(SUMIFS('Total Receiving Touchdowns'!E:E,'Total Receiving Touchdowns'!A:A,'Skill Pos Compiled'!A59)=0,SUMIFS('2022 Skill Pos Stats'!Q:Q,'2022 Skill Pos Stats'!A:A,'Skill Pos Compiled'!A59),SUMIFS('Total Receiving Touchdowns'!E:E,'Total Receiving Touchdowns'!A:A,'Skill Pos Compiled'!A59))</f>
        <v>6.5</v>
      </c>
      <c r="J59" s="5">
        <f>_xlfn.XLOOKUP(E$1,Pt_System[Stat],Pt_System[Pts])*E59</f>
        <v>0</v>
      </c>
      <c r="K59" s="5">
        <f>_xlfn.XLOOKUP(F$1,Pt_System[Stat],Pt_System[Pts])*F59</f>
        <v>0</v>
      </c>
      <c r="L59" s="5">
        <f>_xlfn.XLOOKUP(G$1,Pt_System[Stat],Pt_System[Pts])*G59</f>
        <v>72.5</v>
      </c>
      <c r="M59" s="5">
        <f>_xlfn.XLOOKUP(H$1,Pt_System[Stat],Pt_System[Pts])*H59</f>
        <v>93.350000000000009</v>
      </c>
      <c r="N59" s="5">
        <f>_xlfn.XLOOKUP(I$1,Pt_System[Stat],Pt_System[Pts])*I59</f>
        <v>39</v>
      </c>
      <c r="O59" t="str">
        <f>IF(COUNTIFS('Total Rushing Yards'!A:A,'Skill Pos Compiled'!$A59)=1,"Vegas Odds","2022 Stats / Prediction")</f>
        <v>2022 Stats / Prediction</v>
      </c>
      <c r="P59" t="str">
        <f>IF(COUNTIFS('Total Rushing Touchdowns'!A:A,'Skill Pos Compiled'!$A59)=1,"Vegas Odds","2022 Stats / Prediction")</f>
        <v>2022 Stats / Prediction</v>
      </c>
      <c r="Q59" t="str">
        <f>IF(COUNTIFS('Total Receptions'!A:A,'Skill Pos Compiled'!$A59)=1,"Vegas Odds","2022 Stats / Prediction")</f>
        <v>Vegas Odds</v>
      </c>
      <c r="R59" t="str">
        <f>IF(COUNTIFS('Total Receiving Yards'!A:A,'Skill Pos Compiled'!$A59)=1,"Vegas Odds","2022 Stats / Prediction")</f>
        <v>Vegas Odds</v>
      </c>
      <c r="S59" t="str">
        <f>IF(COUNTIFS('Total Receiving Touchdowns'!A:A,'Skill Pos Compiled'!$A59)=1,"Vegas Odds","2022 Stats / Prediction")</f>
        <v>Vegas Odds</v>
      </c>
      <c r="T59" s="10" t="str">
        <f t="shared" si="4"/>
        <v>OK</v>
      </c>
    </row>
    <row r="60" spans="1:20" x14ac:dyDescent="0.25">
      <c r="A60" t="s">
        <v>37</v>
      </c>
      <c r="B60" t="str">
        <f>_xlfn.XLOOKUP(A60,ADP!A:A,ADP!B:B)</f>
        <v>WR</v>
      </c>
      <c r="C60" s="9">
        <f t="shared" si="2"/>
        <v>213.18333333333334</v>
      </c>
      <c r="D60" s="9">
        <f t="shared" si="3"/>
        <v>966.83333333333337</v>
      </c>
      <c r="E60" s="7">
        <f>IF(SUMIFS('Total Rushing Yards'!E:E,'Total Rushing Yards'!A:A,'Skill Pos Compiled'!A60)=0,SUMIFS('2022 Skill Pos Stats'!M:M,'2022 Skill Pos Stats'!A:A,'Skill Pos Compiled'!A60),SUMIFS('Total Rushing Yards'!E:E,'Total Rushing Yards'!A:A,'Skill Pos Compiled'!A60))</f>
        <v>0</v>
      </c>
      <c r="F60" s="7">
        <f>IF(SUMIFS('Total Rushing Touchdowns'!B:B,'Total Rushing Touchdowns'!A:A,'Skill Pos Compiled'!A60)=0,SUMIFS('2022 Skill Pos Stats'!N:N,'2022 Skill Pos Stats'!A:A,'Skill Pos Compiled'!A60),SUMIFS('Total Rushing Touchdowns'!B:B,'Total Rushing Touchdowns'!A:A,'Skill Pos Compiled'!A60))</f>
        <v>0</v>
      </c>
      <c r="G60" s="7">
        <f>IF(SUMIFS('Total Receptions'!B:B,'Total Receptions'!A:A,'Skill Pos Compiled'!A60)=0,SUMIFS('2022 Skill Pos Stats'!O:O,'2022 Skill Pos Stats'!A:A,'Skill Pos Compiled'!A60),SUMIFS('Total Receptions'!B:B,'Total Receptions'!A:A,'Skill Pos Compiled'!A60))</f>
        <v>80.5</v>
      </c>
      <c r="H60" s="7">
        <f>IF(SUMIFS('Total Receiving Yards'!E:E,'Total Receiving Yards'!A:A,'Skill Pos Compiled'!A60)=0,SUMIFS('2022 Skill Pos Stats'!P:P,'2022 Skill Pos Stats'!A:A,'Skill Pos Compiled'!A60),SUMIFS('Total Receiving Yards'!E:E,'Total Receiving Yards'!A:A,'Skill Pos Compiled'!A60))</f>
        <v>966.83333333333337</v>
      </c>
      <c r="I60" s="7">
        <f>IF(SUMIFS('Total Receiving Touchdowns'!E:E,'Total Receiving Touchdowns'!A:A,'Skill Pos Compiled'!A60)=0,SUMIFS('2022 Skill Pos Stats'!Q:Q,'2022 Skill Pos Stats'!A:A,'Skill Pos Compiled'!A60),SUMIFS('Total Receiving Touchdowns'!E:E,'Total Receiving Touchdowns'!A:A,'Skill Pos Compiled'!A60))</f>
        <v>6</v>
      </c>
      <c r="J60" s="5">
        <f>_xlfn.XLOOKUP(E$1,Pt_System[Stat],Pt_System[Pts])*E60</f>
        <v>0</v>
      </c>
      <c r="K60" s="5">
        <f>_xlfn.XLOOKUP(F$1,Pt_System[Stat],Pt_System[Pts])*F60</f>
        <v>0</v>
      </c>
      <c r="L60" s="5">
        <f>_xlfn.XLOOKUP(G$1,Pt_System[Stat],Pt_System[Pts])*G60</f>
        <v>80.5</v>
      </c>
      <c r="M60" s="5">
        <f>_xlfn.XLOOKUP(H$1,Pt_System[Stat],Pt_System[Pts])*H60</f>
        <v>96.683333333333337</v>
      </c>
      <c r="N60" s="5">
        <f>_xlfn.XLOOKUP(I$1,Pt_System[Stat],Pt_System[Pts])*I60</f>
        <v>36</v>
      </c>
      <c r="O60" t="str">
        <f>IF(COUNTIFS('Total Rushing Yards'!A:A,'Skill Pos Compiled'!$A60)=1,"Vegas Odds","2022 Stats / Prediction")</f>
        <v>2022 Stats / Prediction</v>
      </c>
      <c r="P60" t="str">
        <f>IF(COUNTIFS('Total Rushing Touchdowns'!A:A,'Skill Pos Compiled'!$A60)=1,"Vegas Odds","2022 Stats / Prediction")</f>
        <v>2022 Stats / Prediction</v>
      </c>
      <c r="Q60" t="str">
        <f>IF(COUNTIFS('Total Receptions'!A:A,'Skill Pos Compiled'!$A60)=1,"Vegas Odds","2022 Stats / Prediction")</f>
        <v>Vegas Odds</v>
      </c>
      <c r="R60" t="str">
        <f>IF(COUNTIFS('Total Receiving Yards'!A:A,'Skill Pos Compiled'!$A60)=1,"Vegas Odds","2022 Stats / Prediction")</f>
        <v>Vegas Odds</v>
      </c>
      <c r="S60" t="str">
        <f>IF(COUNTIFS('Total Receiving Touchdowns'!A:A,'Skill Pos Compiled'!$A60)=1,"Vegas Odds","2022 Stats / Prediction")</f>
        <v>Vegas Odds</v>
      </c>
      <c r="T60" s="10" t="str">
        <f t="shared" si="4"/>
        <v>OK</v>
      </c>
    </row>
    <row r="61" spans="1:20" x14ac:dyDescent="0.25">
      <c r="A61" t="s">
        <v>305</v>
      </c>
      <c r="B61" t="str">
        <f>_xlfn.XLOOKUP(A61,ADP!A:A,ADP!B:B)</f>
        <v>WR</v>
      </c>
      <c r="C61" s="9">
        <f t="shared" si="2"/>
        <v>241.14375000000001</v>
      </c>
      <c r="D61" s="9">
        <f t="shared" si="3"/>
        <v>1126.4375</v>
      </c>
      <c r="E61" s="7">
        <f>IF(SUMIFS('Total Rushing Yards'!E:E,'Total Rushing Yards'!A:A,'Skill Pos Compiled'!A61)=0,SUMIFS('2022 Skill Pos Stats'!M:M,'2022 Skill Pos Stats'!A:A,'Skill Pos Compiled'!A61),SUMIFS('Total Rushing Yards'!E:E,'Total Rushing Yards'!A:A,'Skill Pos Compiled'!A61))</f>
        <v>100.9375</v>
      </c>
      <c r="F61" s="7">
        <f>IF(SUMIFS('Total Rushing Touchdowns'!B:B,'Total Rushing Touchdowns'!A:A,'Skill Pos Compiled'!A61)=0,SUMIFS('2022 Skill Pos Stats'!N:N,'2022 Skill Pos Stats'!A:A,'Skill Pos Compiled'!A61),SUMIFS('Total Rushing Touchdowns'!B:B,'Total Rushing Touchdowns'!A:A,'Skill Pos Compiled'!A61))</f>
        <v>0</v>
      </c>
      <c r="G61" s="7">
        <f>IF(SUMIFS('Total Receptions'!B:B,'Total Receptions'!A:A,'Skill Pos Compiled'!A61)=0,SUMIFS('2022 Skill Pos Stats'!O:O,'2022 Skill Pos Stats'!A:A,'Skill Pos Compiled'!A61),SUMIFS('Total Receptions'!B:B,'Total Receptions'!A:A,'Skill Pos Compiled'!A61))</f>
        <v>95.5</v>
      </c>
      <c r="H61" s="7">
        <f>IF(SUMIFS('Total Receiving Yards'!E:E,'Total Receiving Yards'!A:A,'Skill Pos Compiled'!A61)=0,SUMIFS('2022 Skill Pos Stats'!P:P,'2022 Skill Pos Stats'!A:A,'Skill Pos Compiled'!A61),SUMIFS('Total Receiving Yards'!E:E,'Total Receiving Yards'!A:A,'Skill Pos Compiled'!A61))</f>
        <v>1025.5</v>
      </c>
      <c r="I61" s="7">
        <f>IF(SUMIFS('Total Receiving Touchdowns'!E:E,'Total Receiving Touchdowns'!A:A,'Skill Pos Compiled'!A61)=0,SUMIFS('2022 Skill Pos Stats'!Q:Q,'2022 Skill Pos Stats'!A:A,'Skill Pos Compiled'!A61),SUMIFS('Total Receiving Touchdowns'!E:E,'Total Receiving Touchdowns'!A:A,'Skill Pos Compiled'!A61))</f>
        <v>5.5</v>
      </c>
      <c r="J61" s="5">
        <f>_xlfn.XLOOKUP(E$1,Pt_System[Stat],Pt_System[Pts])*E61</f>
        <v>10.09375</v>
      </c>
      <c r="K61" s="5">
        <f>_xlfn.XLOOKUP(F$1,Pt_System[Stat],Pt_System[Pts])*F61</f>
        <v>0</v>
      </c>
      <c r="L61" s="5">
        <f>_xlfn.XLOOKUP(G$1,Pt_System[Stat],Pt_System[Pts])*G61</f>
        <v>95.5</v>
      </c>
      <c r="M61" s="5">
        <f>_xlfn.XLOOKUP(H$1,Pt_System[Stat],Pt_System[Pts])*H61</f>
        <v>102.55000000000001</v>
      </c>
      <c r="N61" s="5">
        <f>_xlfn.XLOOKUP(I$1,Pt_System[Stat],Pt_System[Pts])*I61</f>
        <v>33</v>
      </c>
      <c r="O61" t="str">
        <f>IF(COUNTIFS('Total Rushing Yards'!A:A,'Skill Pos Compiled'!$A61)=1,"Vegas Odds","2022 Stats / Prediction")</f>
        <v>2022 Stats / Prediction</v>
      </c>
      <c r="P61" t="str">
        <f>IF(COUNTIFS('Total Rushing Touchdowns'!A:A,'Skill Pos Compiled'!$A61)=1,"Vegas Odds","2022 Stats / Prediction")</f>
        <v>2022 Stats / Prediction</v>
      </c>
      <c r="Q61" t="str">
        <f>IF(COUNTIFS('Total Receptions'!A:A,'Skill Pos Compiled'!$A61)=1,"Vegas Odds","2022 Stats / Prediction")</f>
        <v>Vegas Odds</v>
      </c>
      <c r="R61" t="str">
        <f>IF(COUNTIFS('Total Receiving Yards'!A:A,'Skill Pos Compiled'!$A61)=1,"Vegas Odds","2022 Stats / Prediction")</f>
        <v>Vegas Odds</v>
      </c>
      <c r="S61" t="str">
        <f>IF(COUNTIFS('Total Receiving Touchdowns'!A:A,'Skill Pos Compiled'!$A61)=1,"Vegas Odds","2022 Stats / Prediction")</f>
        <v>Vegas Odds</v>
      </c>
      <c r="T61" s="10" t="str">
        <f t="shared" si="4"/>
        <v>OK</v>
      </c>
    </row>
    <row r="62" spans="1:20" x14ac:dyDescent="0.25">
      <c r="A62" t="s">
        <v>5</v>
      </c>
      <c r="B62" t="str">
        <f>_xlfn.XLOOKUP(A62,ADP!A:A,ADP!B:B)</f>
        <v>WR</v>
      </c>
      <c r="C62" s="9">
        <f t="shared" si="2"/>
        <v>182.28333333333333</v>
      </c>
      <c r="D62" s="9">
        <f t="shared" si="3"/>
        <v>827.83333333333337</v>
      </c>
      <c r="E62" s="7">
        <f>IF(SUMIFS('Total Rushing Yards'!E:E,'Total Rushing Yards'!A:A,'Skill Pos Compiled'!A62)=0,SUMIFS('2022 Skill Pos Stats'!M:M,'2022 Skill Pos Stats'!A:A,'Skill Pos Compiled'!A62),SUMIFS('Total Rushing Yards'!E:E,'Total Rushing Yards'!A:A,'Skill Pos Compiled'!A62))</f>
        <v>11</v>
      </c>
      <c r="F62" s="7">
        <f>IF(SUMIFS('Total Rushing Touchdowns'!B:B,'Total Rushing Touchdowns'!A:A,'Skill Pos Compiled'!A62)=0,SUMIFS('2022 Skill Pos Stats'!N:N,'2022 Skill Pos Stats'!A:A,'Skill Pos Compiled'!A62),SUMIFS('Total Rushing Touchdowns'!B:B,'Total Rushing Touchdowns'!A:A,'Skill Pos Compiled'!A62))</f>
        <v>0</v>
      </c>
      <c r="G62" s="7">
        <f>IF(SUMIFS('Total Receptions'!B:B,'Total Receptions'!A:A,'Skill Pos Compiled'!A62)=0,SUMIFS('2022 Skill Pos Stats'!O:O,'2022 Skill Pos Stats'!A:A,'Skill Pos Compiled'!A62),SUMIFS('Total Receptions'!B:B,'Total Receptions'!A:A,'Skill Pos Compiled'!A62))</f>
        <v>70.5</v>
      </c>
      <c r="H62" s="7">
        <f>IF(SUMIFS('Total Receiving Yards'!E:E,'Total Receiving Yards'!A:A,'Skill Pos Compiled'!A62)=0,SUMIFS('2022 Skill Pos Stats'!P:P,'2022 Skill Pos Stats'!A:A,'Skill Pos Compiled'!A62),SUMIFS('Total Receiving Yards'!E:E,'Total Receiving Yards'!A:A,'Skill Pos Compiled'!A62))</f>
        <v>816.83333333333337</v>
      </c>
      <c r="I62" s="7">
        <f>IF(SUMIFS('Total Receiving Touchdowns'!E:E,'Total Receiving Touchdowns'!A:A,'Skill Pos Compiled'!A62)=0,SUMIFS('2022 Skill Pos Stats'!Q:Q,'2022 Skill Pos Stats'!A:A,'Skill Pos Compiled'!A62),SUMIFS('Total Receiving Touchdowns'!E:E,'Total Receiving Touchdowns'!A:A,'Skill Pos Compiled'!A62))</f>
        <v>4.833333333333333</v>
      </c>
      <c r="J62" s="5">
        <f>_xlfn.XLOOKUP(E$1,Pt_System[Stat],Pt_System[Pts])*E62</f>
        <v>1.1000000000000001</v>
      </c>
      <c r="K62" s="5">
        <f>_xlfn.XLOOKUP(F$1,Pt_System[Stat],Pt_System[Pts])*F62</f>
        <v>0</v>
      </c>
      <c r="L62" s="5">
        <f>_xlfn.XLOOKUP(G$1,Pt_System[Stat],Pt_System[Pts])*G62</f>
        <v>70.5</v>
      </c>
      <c r="M62" s="5">
        <f>_xlfn.XLOOKUP(H$1,Pt_System[Stat],Pt_System[Pts])*H62</f>
        <v>81.683333333333337</v>
      </c>
      <c r="N62" s="5">
        <f>_xlfn.XLOOKUP(I$1,Pt_System[Stat],Pt_System[Pts])*I62</f>
        <v>29</v>
      </c>
      <c r="O62" t="str">
        <f>IF(COUNTIFS('Total Rushing Yards'!A:A,'Skill Pos Compiled'!$A62)=1,"Vegas Odds","2022 Stats / Prediction")</f>
        <v>2022 Stats / Prediction</v>
      </c>
      <c r="P62" t="str">
        <f>IF(COUNTIFS('Total Rushing Touchdowns'!A:A,'Skill Pos Compiled'!$A62)=1,"Vegas Odds","2022 Stats / Prediction")</f>
        <v>2022 Stats / Prediction</v>
      </c>
      <c r="Q62" t="str">
        <f>IF(COUNTIFS('Total Receptions'!A:A,'Skill Pos Compiled'!$A62)=1,"Vegas Odds","2022 Stats / Prediction")</f>
        <v>Vegas Odds</v>
      </c>
      <c r="R62" t="str">
        <f>IF(COUNTIFS('Total Receiving Yards'!A:A,'Skill Pos Compiled'!$A62)=1,"Vegas Odds","2022 Stats / Prediction")</f>
        <v>Vegas Odds</v>
      </c>
      <c r="S62" t="str">
        <f>IF(COUNTIFS('Total Receiving Touchdowns'!A:A,'Skill Pos Compiled'!$A62)=1,"Vegas Odds","2022 Stats / Prediction")</f>
        <v>Vegas Odds</v>
      </c>
      <c r="T62" s="10" t="str">
        <f t="shared" si="4"/>
        <v>OK</v>
      </c>
    </row>
    <row r="63" spans="1:20" x14ac:dyDescent="0.25">
      <c r="A63" t="s">
        <v>310</v>
      </c>
      <c r="B63" t="str">
        <f>_xlfn.XLOOKUP(A63,ADP!A:A,ADP!B:B)</f>
        <v>WR</v>
      </c>
      <c r="C63" s="9">
        <f t="shared" si="2"/>
        <v>287.18333333333334</v>
      </c>
      <c r="D63" s="9">
        <f t="shared" si="3"/>
        <v>1286.8333333333333</v>
      </c>
      <c r="E63" s="7">
        <f>IF(SUMIFS('Total Rushing Yards'!E:E,'Total Rushing Yards'!A:A,'Skill Pos Compiled'!A63)=0,SUMIFS('2022 Skill Pos Stats'!M:M,'2022 Skill Pos Stats'!A:A,'Skill Pos Compiled'!A63),SUMIFS('Total Rushing Yards'!E:E,'Total Rushing Yards'!A:A,'Skill Pos Compiled'!A63))</f>
        <v>11.333333333333334</v>
      </c>
      <c r="F63" s="7">
        <f>IF(SUMIFS('Total Rushing Touchdowns'!B:B,'Total Rushing Touchdowns'!A:A,'Skill Pos Compiled'!A63)=0,SUMIFS('2022 Skill Pos Stats'!N:N,'2022 Skill Pos Stats'!A:A,'Skill Pos Compiled'!A63),SUMIFS('Total Rushing Touchdowns'!B:B,'Total Rushing Touchdowns'!A:A,'Skill Pos Compiled'!A63))</f>
        <v>0</v>
      </c>
      <c r="G63" s="7">
        <f>IF(SUMIFS('Total Receptions'!B:B,'Total Receptions'!A:A,'Skill Pos Compiled'!A63)=0,SUMIFS('2022 Skill Pos Stats'!O:O,'2022 Skill Pos Stats'!A:A,'Skill Pos Compiled'!A63),SUMIFS('Total Receptions'!B:B,'Total Receptions'!A:A,'Skill Pos Compiled'!A63))</f>
        <v>95.5</v>
      </c>
      <c r="H63" s="7">
        <f>IF(SUMIFS('Total Receiving Yards'!E:E,'Total Receiving Yards'!A:A,'Skill Pos Compiled'!A63)=0,SUMIFS('2022 Skill Pos Stats'!P:P,'2022 Skill Pos Stats'!A:A,'Skill Pos Compiled'!A63),SUMIFS('Total Receiving Yards'!E:E,'Total Receiving Yards'!A:A,'Skill Pos Compiled'!A63))</f>
        <v>1275.5</v>
      </c>
      <c r="I63" s="7">
        <f>IF(SUMIFS('Total Receiving Touchdowns'!E:E,'Total Receiving Touchdowns'!A:A,'Skill Pos Compiled'!A63)=0,SUMIFS('2022 Skill Pos Stats'!Q:Q,'2022 Skill Pos Stats'!A:A,'Skill Pos Compiled'!A63),SUMIFS('Total Receiving Touchdowns'!E:E,'Total Receiving Touchdowns'!A:A,'Skill Pos Compiled'!A63))</f>
        <v>10.5</v>
      </c>
      <c r="J63" s="5">
        <f>_xlfn.XLOOKUP(E$1,Pt_System[Stat],Pt_System[Pts])*E63</f>
        <v>1.1333333333333335</v>
      </c>
      <c r="K63" s="5">
        <f>_xlfn.XLOOKUP(F$1,Pt_System[Stat],Pt_System[Pts])*F63</f>
        <v>0</v>
      </c>
      <c r="L63" s="5">
        <f>_xlfn.XLOOKUP(G$1,Pt_System[Stat],Pt_System[Pts])*G63</f>
        <v>95.5</v>
      </c>
      <c r="M63" s="5">
        <f>_xlfn.XLOOKUP(H$1,Pt_System[Stat],Pt_System[Pts])*H63</f>
        <v>127.55000000000001</v>
      </c>
      <c r="N63" s="5">
        <f>_xlfn.XLOOKUP(I$1,Pt_System[Stat],Pt_System[Pts])*I63</f>
        <v>63</v>
      </c>
      <c r="O63" t="str">
        <f>IF(COUNTIFS('Total Rushing Yards'!A:A,'Skill Pos Compiled'!$A63)=1,"Vegas Odds","2022 Stats / Prediction")</f>
        <v>2022 Stats / Prediction</v>
      </c>
      <c r="P63" t="str">
        <f>IF(COUNTIFS('Total Rushing Touchdowns'!A:A,'Skill Pos Compiled'!$A63)=1,"Vegas Odds","2022 Stats / Prediction")</f>
        <v>2022 Stats / Prediction</v>
      </c>
      <c r="Q63" t="str">
        <f>IF(COUNTIFS('Total Receptions'!A:A,'Skill Pos Compiled'!$A63)=1,"Vegas Odds","2022 Stats / Prediction")</f>
        <v>Vegas Odds</v>
      </c>
      <c r="R63" t="str">
        <f>IF(COUNTIFS('Total Receiving Yards'!A:A,'Skill Pos Compiled'!$A63)=1,"Vegas Odds","2022 Stats / Prediction")</f>
        <v>Vegas Odds</v>
      </c>
      <c r="S63" t="str">
        <f>IF(COUNTIFS('Total Receiving Touchdowns'!A:A,'Skill Pos Compiled'!$A63)=1,"Vegas Odds","2022 Stats / Prediction")</f>
        <v>Vegas Odds</v>
      </c>
      <c r="T63" s="10" t="str">
        <f t="shared" si="4"/>
        <v>OK</v>
      </c>
    </row>
    <row r="64" spans="1:20" x14ac:dyDescent="0.25">
      <c r="A64" t="s">
        <v>43</v>
      </c>
      <c r="B64" t="str">
        <f>_xlfn.XLOOKUP(A64,ADP!A:A,ADP!B:B)</f>
        <v>WR</v>
      </c>
      <c r="C64" s="9">
        <f t="shared" si="2"/>
        <v>193.01666666666665</v>
      </c>
      <c r="D64" s="9">
        <f t="shared" si="3"/>
        <v>875.16666666666663</v>
      </c>
      <c r="E64" s="7">
        <f>IF(SUMIFS('Total Rushing Yards'!E:E,'Total Rushing Yards'!A:A,'Skill Pos Compiled'!A64)=0,SUMIFS('2022 Skill Pos Stats'!M:M,'2022 Skill Pos Stats'!A:A,'Skill Pos Compiled'!A64),SUMIFS('Total Rushing Yards'!E:E,'Total Rushing Yards'!A:A,'Skill Pos Compiled'!A64))</f>
        <v>0</v>
      </c>
      <c r="F64" s="7">
        <f>IF(SUMIFS('Total Rushing Touchdowns'!B:B,'Total Rushing Touchdowns'!A:A,'Skill Pos Compiled'!A64)=0,SUMIFS('2022 Skill Pos Stats'!N:N,'2022 Skill Pos Stats'!A:A,'Skill Pos Compiled'!A64),SUMIFS('Total Rushing Touchdowns'!B:B,'Total Rushing Touchdowns'!A:A,'Skill Pos Compiled'!A64))</f>
        <v>0</v>
      </c>
      <c r="G64" s="7">
        <f>IF(SUMIFS('Total Receptions'!B:B,'Total Receptions'!A:A,'Skill Pos Compiled'!A64)=0,SUMIFS('2022 Skill Pos Stats'!O:O,'2022 Skill Pos Stats'!A:A,'Skill Pos Compiled'!A64),SUMIFS('Total Receptions'!B:B,'Total Receptions'!A:A,'Skill Pos Compiled'!A64))</f>
        <v>72.5</v>
      </c>
      <c r="H64" s="7">
        <f>IF(SUMIFS('Total Receiving Yards'!E:E,'Total Receiving Yards'!A:A,'Skill Pos Compiled'!A64)=0,SUMIFS('2022 Skill Pos Stats'!P:P,'2022 Skill Pos Stats'!A:A,'Skill Pos Compiled'!A64),SUMIFS('Total Receiving Yards'!E:E,'Total Receiving Yards'!A:A,'Skill Pos Compiled'!A64))</f>
        <v>875.16666666666663</v>
      </c>
      <c r="I64" s="7">
        <f>IF(SUMIFS('Total Receiving Touchdowns'!E:E,'Total Receiving Touchdowns'!A:A,'Skill Pos Compiled'!A64)=0,SUMIFS('2022 Skill Pos Stats'!Q:Q,'2022 Skill Pos Stats'!A:A,'Skill Pos Compiled'!A64),SUMIFS('Total Receiving Touchdowns'!E:E,'Total Receiving Touchdowns'!A:A,'Skill Pos Compiled'!A64))</f>
        <v>5.5</v>
      </c>
      <c r="J64" s="5">
        <f>_xlfn.XLOOKUP(E$1,Pt_System[Stat],Pt_System[Pts])*E64</f>
        <v>0</v>
      </c>
      <c r="K64" s="5">
        <f>_xlfn.XLOOKUP(F$1,Pt_System[Stat],Pt_System[Pts])*F64</f>
        <v>0</v>
      </c>
      <c r="L64" s="5">
        <f>_xlfn.XLOOKUP(G$1,Pt_System[Stat],Pt_System[Pts])*G64</f>
        <v>72.5</v>
      </c>
      <c r="M64" s="5">
        <f>_xlfn.XLOOKUP(H$1,Pt_System[Stat],Pt_System[Pts])*H64</f>
        <v>87.516666666666666</v>
      </c>
      <c r="N64" s="5">
        <f>_xlfn.XLOOKUP(I$1,Pt_System[Stat],Pt_System[Pts])*I64</f>
        <v>33</v>
      </c>
      <c r="O64" t="str">
        <f>IF(COUNTIFS('Total Rushing Yards'!A:A,'Skill Pos Compiled'!$A64)=1,"Vegas Odds","2022 Stats / Prediction")</f>
        <v>2022 Stats / Prediction</v>
      </c>
      <c r="P64" t="str">
        <f>IF(COUNTIFS('Total Rushing Touchdowns'!A:A,'Skill Pos Compiled'!$A64)=1,"Vegas Odds","2022 Stats / Prediction")</f>
        <v>2022 Stats / Prediction</v>
      </c>
      <c r="Q64" t="str">
        <f>IF(COUNTIFS('Total Receptions'!A:A,'Skill Pos Compiled'!$A64)=1,"Vegas Odds","2022 Stats / Prediction")</f>
        <v>Vegas Odds</v>
      </c>
      <c r="R64" t="str">
        <f>IF(COUNTIFS('Total Receiving Yards'!A:A,'Skill Pos Compiled'!$A64)=1,"Vegas Odds","2022 Stats / Prediction")</f>
        <v>Vegas Odds</v>
      </c>
      <c r="S64" t="str">
        <f>IF(COUNTIFS('Total Receiving Touchdowns'!A:A,'Skill Pos Compiled'!$A64)=1,"Vegas Odds","2022 Stats / Prediction")</f>
        <v>Vegas Odds</v>
      </c>
      <c r="T64" s="10" t="str">
        <f t="shared" si="4"/>
        <v>OK</v>
      </c>
    </row>
    <row r="65" spans="1:20" x14ac:dyDescent="0.25">
      <c r="A65" t="s">
        <v>276</v>
      </c>
      <c r="B65" t="str">
        <f>_xlfn.XLOOKUP(A65,ADP!A:A,ADP!B:B)</f>
        <v>WR</v>
      </c>
      <c r="C65" s="9">
        <f t="shared" si="2"/>
        <v>229</v>
      </c>
      <c r="D65" s="9">
        <f t="shared" si="3"/>
        <v>1220</v>
      </c>
      <c r="E65" s="7">
        <f>IF(SUMIFS('Total Rushing Yards'!E:E,'Total Rushing Yards'!A:A,'Skill Pos Compiled'!A65)=0,SUMIFS('2022 Skill Pos Stats'!M:M,'2022 Skill Pos Stats'!A:A,'Skill Pos Compiled'!A65),SUMIFS('Total Rushing Yards'!E:E,'Total Rushing Yards'!A:A,'Skill Pos Compiled'!A65))</f>
        <v>29</v>
      </c>
      <c r="F65" s="7">
        <f>IF(SUMIFS('Total Rushing Touchdowns'!B:B,'Total Rushing Touchdowns'!A:A,'Skill Pos Compiled'!A65)=0,SUMIFS('2022 Skill Pos Stats'!N:N,'2022 Skill Pos Stats'!A:A,'Skill Pos Compiled'!A65),SUMIFS('Total Rushing Touchdowns'!B:B,'Total Rushing Touchdowns'!A:A,'Skill Pos Compiled'!A65))</f>
        <v>0</v>
      </c>
      <c r="G65" s="7">
        <f>IF(SUMIFS('Total Receptions'!B:B,'Total Receptions'!A:A,'Skill Pos Compiled'!A65)=0,SUMIFS('2022 Skill Pos Stats'!O:O,'2022 Skill Pos Stats'!A:A,'Skill Pos Compiled'!A65),SUMIFS('Total Receptions'!B:B,'Total Receptions'!A:A,'Skill Pos Compiled'!A65))</f>
        <v>77</v>
      </c>
      <c r="H65" s="7">
        <f>IF(SUMIFS('Total Receiving Yards'!E:E,'Total Receiving Yards'!A:A,'Skill Pos Compiled'!A65)=0,SUMIFS('2022 Skill Pos Stats'!P:P,'2022 Skill Pos Stats'!A:A,'Skill Pos Compiled'!A65),SUMIFS('Total Receiving Yards'!E:E,'Total Receiving Yards'!A:A,'Skill Pos Compiled'!A65))</f>
        <v>1191</v>
      </c>
      <c r="I65" s="7">
        <f>IF(SUMIFS('Total Receiving Touchdowns'!E:E,'Total Receiving Touchdowns'!A:A,'Skill Pos Compiled'!A65)=0,SUMIFS('2022 Skill Pos Stats'!Q:Q,'2022 Skill Pos Stats'!A:A,'Skill Pos Compiled'!A65),SUMIFS('Total Receiving Touchdowns'!E:E,'Total Receiving Touchdowns'!A:A,'Skill Pos Compiled'!A65))</f>
        <v>5</v>
      </c>
      <c r="J65" s="5">
        <f>_xlfn.XLOOKUP(E$1,Pt_System[Stat],Pt_System[Pts])*E65</f>
        <v>2.9000000000000004</v>
      </c>
      <c r="K65" s="5">
        <f>_xlfn.XLOOKUP(F$1,Pt_System[Stat],Pt_System[Pts])*F65</f>
        <v>0</v>
      </c>
      <c r="L65" s="5">
        <f>_xlfn.XLOOKUP(G$1,Pt_System[Stat],Pt_System[Pts])*G65</f>
        <v>77</v>
      </c>
      <c r="M65" s="5">
        <f>_xlfn.XLOOKUP(H$1,Pt_System[Stat],Pt_System[Pts])*H65</f>
        <v>119.10000000000001</v>
      </c>
      <c r="N65" s="5">
        <f>_xlfn.XLOOKUP(I$1,Pt_System[Stat],Pt_System[Pts])*I65</f>
        <v>30</v>
      </c>
      <c r="O65" t="str">
        <f>IF(COUNTIFS('Total Rushing Yards'!A:A,'Skill Pos Compiled'!$A65)=1,"Vegas Odds","2022 Stats / Prediction")</f>
        <v>2022 Stats / Prediction</v>
      </c>
      <c r="P65" t="str">
        <f>IF(COUNTIFS('Total Rushing Touchdowns'!A:A,'Skill Pos Compiled'!$A65)=1,"Vegas Odds","2022 Stats / Prediction")</f>
        <v>2022 Stats / Prediction</v>
      </c>
      <c r="Q65" t="str">
        <f>IF(COUNTIFS('Total Receptions'!A:A,'Skill Pos Compiled'!$A65)=1,"Vegas Odds","2022 Stats / Prediction")</f>
        <v>2022 Stats / Prediction</v>
      </c>
      <c r="R65" t="str">
        <f>IF(COUNTIFS('Total Receiving Yards'!A:A,'Skill Pos Compiled'!$A65)=1,"Vegas Odds","2022 Stats / Prediction")</f>
        <v>2022 Stats / Prediction</v>
      </c>
      <c r="S65" t="str">
        <f>IF(COUNTIFS('Total Receiving Touchdowns'!A:A,'Skill Pos Compiled'!$A65)=1,"Vegas Odds","2022 Stats / Prediction")</f>
        <v>2022 Stats / Prediction</v>
      </c>
      <c r="T65" s="10" t="str">
        <f t="shared" si="4"/>
        <v>Unpredictable</v>
      </c>
    </row>
    <row r="66" spans="1:20" x14ac:dyDescent="0.25">
      <c r="A66" t="s">
        <v>113</v>
      </c>
      <c r="B66" t="str">
        <f>_xlfn.XLOOKUP(A66,ADP!A:A,ADP!B:B)</f>
        <v>WR</v>
      </c>
      <c r="C66" s="9">
        <f t="shared" si="2"/>
        <v>171.85000000000002</v>
      </c>
      <c r="D66" s="9">
        <f t="shared" si="3"/>
        <v>823.5</v>
      </c>
      <c r="E66" s="7">
        <f>IF(SUMIFS('Total Rushing Yards'!E:E,'Total Rushing Yards'!A:A,'Skill Pos Compiled'!A66)=0,SUMIFS('2022 Skill Pos Stats'!M:M,'2022 Skill Pos Stats'!A:A,'Skill Pos Compiled'!A66),SUMIFS('Total Rushing Yards'!E:E,'Total Rushing Yards'!A:A,'Skill Pos Compiled'!A66))</f>
        <v>23</v>
      </c>
      <c r="F66" s="7">
        <f>IF(SUMIFS('Total Rushing Touchdowns'!B:B,'Total Rushing Touchdowns'!A:A,'Skill Pos Compiled'!A66)=0,SUMIFS('2022 Skill Pos Stats'!N:N,'2022 Skill Pos Stats'!A:A,'Skill Pos Compiled'!A66),SUMIFS('Total Rushing Touchdowns'!B:B,'Total Rushing Touchdowns'!A:A,'Skill Pos Compiled'!A66))</f>
        <v>0</v>
      </c>
      <c r="G66" s="7">
        <f>IF(SUMIFS('Total Receptions'!B:B,'Total Receptions'!A:A,'Skill Pos Compiled'!A66)=0,SUMIFS('2022 Skill Pos Stats'!O:O,'2022 Skill Pos Stats'!A:A,'Skill Pos Compiled'!A66),SUMIFS('Total Receptions'!B:B,'Total Receptions'!A:A,'Skill Pos Compiled'!A66))</f>
        <v>59.5</v>
      </c>
      <c r="H66" s="7">
        <f>IF(SUMIFS('Total Receiving Yards'!E:E,'Total Receiving Yards'!A:A,'Skill Pos Compiled'!A66)=0,SUMIFS('2022 Skill Pos Stats'!P:P,'2022 Skill Pos Stats'!A:A,'Skill Pos Compiled'!A66),SUMIFS('Total Receiving Yards'!E:E,'Total Receiving Yards'!A:A,'Skill Pos Compiled'!A66))</f>
        <v>800.5</v>
      </c>
      <c r="I66" s="7">
        <f>IF(SUMIFS('Total Receiving Touchdowns'!E:E,'Total Receiving Touchdowns'!A:A,'Skill Pos Compiled'!A66)=0,SUMIFS('2022 Skill Pos Stats'!Q:Q,'2022 Skill Pos Stats'!A:A,'Skill Pos Compiled'!A66),SUMIFS('Total Receiving Touchdowns'!E:E,'Total Receiving Touchdowns'!A:A,'Skill Pos Compiled'!A66))</f>
        <v>5</v>
      </c>
      <c r="J66" s="5">
        <f>_xlfn.XLOOKUP(E$1,Pt_System[Stat],Pt_System[Pts])*E66</f>
        <v>2.3000000000000003</v>
      </c>
      <c r="K66" s="5">
        <f>_xlfn.XLOOKUP(F$1,Pt_System[Stat],Pt_System[Pts])*F66</f>
        <v>0</v>
      </c>
      <c r="L66" s="5">
        <f>_xlfn.XLOOKUP(G$1,Pt_System[Stat],Pt_System[Pts])*G66</f>
        <v>59.5</v>
      </c>
      <c r="M66" s="5">
        <f>_xlfn.XLOOKUP(H$1,Pt_System[Stat],Pt_System[Pts])*H66</f>
        <v>80.050000000000011</v>
      </c>
      <c r="N66" s="5">
        <f>_xlfn.XLOOKUP(I$1,Pt_System[Stat],Pt_System[Pts])*I66</f>
        <v>30</v>
      </c>
      <c r="O66" t="str">
        <f>IF(COUNTIFS('Total Rushing Yards'!A:A,'Skill Pos Compiled'!$A66)=1,"Vegas Odds","2022 Stats / Prediction")</f>
        <v>2022 Stats / Prediction</v>
      </c>
      <c r="P66" t="str">
        <f>IF(COUNTIFS('Total Rushing Touchdowns'!A:A,'Skill Pos Compiled'!$A66)=1,"Vegas Odds","2022 Stats / Prediction")</f>
        <v>2022 Stats / Prediction</v>
      </c>
      <c r="Q66" t="str">
        <f>IF(COUNTIFS('Total Receptions'!A:A,'Skill Pos Compiled'!$A66)=1,"Vegas Odds","2022 Stats / Prediction")</f>
        <v>Vegas Odds</v>
      </c>
      <c r="R66" t="str">
        <f>IF(COUNTIFS('Total Receiving Yards'!A:A,'Skill Pos Compiled'!$A66)=1,"Vegas Odds","2022 Stats / Prediction")</f>
        <v>Vegas Odds</v>
      </c>
      <c r="S66" t="str">
        <f>IF(COUNTIFS('Total Receiving Touchdowns'!A:A,'Skill Pos Compiled'!$A66)=1,"Vegas Odds","2022 Stats / Prediction")</f>
        <v>Vegas Odds</v>
      </c>
      <c r="T66" s="10" t="str">
        <f t="shared" si="4"/>
        <v>OK</v>
      </c>
    </row>
    <row r="67" spans="1:20" x14ac:dyDescent="0.25">
      <c r="A67" t="s">
        <v>42</v>
      </c>
      <c r="B67" t="str">
        <f>_xlfn.XLOOKUP(A67,ADP!A:A,ADP!B:B)</f>
        <v>WR</v>
      </c>
      <c r="C67" s="9">
        <f t="shared" ref="C67:C130" si="5">SUM(J67:N67)</f>
        <v>185.21666666666667</v>
      </c>
      <c r="D67" s="9">
        <f t="shared" ref="D67:D130" si="6">+E67+H67</f>
        <v>867.16666666666663</v>
      </c>
      <c r="E67" s="7">
        <f>IF(SUMIFS('Total Rushing Yards'!E:E,'Total Rushing Yards'!A:A,'Skill Pos Compiled'!A67)=0,SUMIFS('2022 Skill Pos Stats'!M:M,'2022 Skill Pos Stats'!A:A,'Skill Pos Compiled'!A67),SUMIFS('Total Rushing Yards'!E:E,'Total Rushing Yards'!A:A,'Skill Pos Compiled'!A67))</f>
        <v>0</v>
      </c>
      <c r="F67" s="7">
        <f>IF(SUMIFS('Total Rushing Touchdowns'!B:B,'Total Rushing Touchdowns'!A:A,'Skill Pos Compiled'!A67)=0,SUMIFS('2022 Skill Pos Stats'!N:N,'2022 Skill Pos Stats'!A:A,'Skill Pos Compiled'!A67),SUMIFS('Total Rushing Touchdowns'!B:B,'Total Rushing Touchdowns'!A:A,'Skill Pos Compiled'!A67))</f>
        <v>0</v>
      </c>
      <c r="G67" s="7">
        <f>IF(SUMIFS('Total Receptions'!B:B,'Total Receptions'!A:A,'Skill Pos Compiled'!A67)=0,SUMIFS('2022 Skill Pos Stats'!O:O,'2022 Skill Pos Stats'!A:A,'Skill Pos Compiled'!A67),SUMIFS('Total Receptions'!B:B,'Total Receptions'!A:A,'Skill Pos Compiled'!A67))</f>
        <v>65.5</v>
      </c>
      <c r="H67" s="7">
        <f>IF(SUMIFS('Total Receiving Yards'!E:E,'Total Receiving Yards'!A:A,'Skill Pos Compiled'!A67)=0,SUMIFS('2022 Skill Pos Stats'!P:P,'2022 Skill Pos Stats'!A:A,'Skill Pos Compiled'!A67),SUMIFS('Total Receiving Yards'!E:E,'Total Receiving Yards'!A:A,'Skill Pos Compiled'!A67))</f>
        <v>867.16666666666663</v>
      </c>
      <c r="I67" s="7">
        <f>IF(SUMIFS('Total Receiving Touchdowns'!E:E,'Total Receiving Touchdowns'!A:A,'Skill Pos Compiled'!A67)=0,SUMIFS('2022 Skill Pos Stats'!Q:Q,'2022 Skill Pos Stats'!A:A,'Skill Pos Compiled'!A67),SUMIFS('Total Receiving Touchdowns'!E:E,'Total Receiving Touchdowns'!A:A,'Skill Pos Compiled'!A67))</f>
        <v>5.5</v>
      </c>
      <c r="J67" s="5">
        <f>_xlfn.XLOOKUP(E$1,Pt_System[Stat],Pt_System[Pts])*E67</f>
        <v>0</v>
      </c>
      <c r="K67" s="5">
        <f>_xlfn.XLOOKUP(F$1,Pt_System[Stat],Pt_System[Pts])*F67</f>
        <v>0</v>
      </c>
      <c r="L67" s="5">
        <f>_xlfn.XLOOKUP(G$1,Pt_System[Stat],Pt_System[Pts])*G67</f>
        <v>65.5</v>
      </c>
      <c r="M67" s="5">
        <f>_xlfn.XLOOKUP(H$1,Pt_System[Stat],Pt_System[Pts])*H67</f>
        <v>86.716666666666669</v>
      </c>
      <c r="N67" s="5">
        <f>_xlfn.XLOOKUP(I$1,Pt_System[Stat],Pt_System[Pts])*I67</f>
        <v>33</v>
      </c>
      <c r="O67" t="str">
        <f>IF(COUNTIFS('Total Rushing Yards'!A:A,'Skill Pos Compiled'!$A67)=1,"Vegas Odds","2022 Stats / Prediction")</f>
        <v>2022 Stats / Prediction</v>
      </c>
      <c r="P67" t="str">
        <f>IF(COUNTIFS('Total Rushing Touchdowns'!A:A,'Skill Pos Compiled'!$A67)=1,"Vegas Odds","2022 Stats / Prediction")</f>
        <v>2022 Stats / Prediction</v>
      </c>
      <c r="Q67" t="str">
        <f>IF(COUNTIFS('Total Receptions'!A:A,'Skill Pos Compiled'!$A67)=1,"Vegas Odds","2022 Stats / Prediction")</f>
        <v>Vegas Odds</v>
      </c>
      <c r="R67" t="str">
        <f>IF(COUNTIFS('Total Receiving Yards'!A:A,'Skill Pos Compiled'!$A67)=1,"Vegas Odds","2022 Stats / Prediction")</f>
        <v>Vegas Odds</v>
      </c>
      <c r="S67" t="str">
        <f>IF(COUNTIFS('Total Receiving Touchdowns'!A:A,'Skill Pos Compiled'!$A67)=1,"Vegas Odds","2022 Stats / Prediction")</f>
        <v>Vegas Odds</v>
      </c>
      <c r="T67" s="10" t="str">
        <f t="shared" ref="T67:T130" si="7">IF(COUNTIFS(O67:S67,"Vegas Odds")&gt;2,"OK","Unpredictable")</f>
        <v>OK</v>
      </c>
    </row>
    <row r="68" spans="1:20" x14ac:dyDescent="0.25">
      <c r="A68" t="s">
        <v>36</v>
      </c>
      <c r="B68" t="str">
        <f>_xlfn.XLOOKUP(A68,ADP!A:A,ADP!B:B)</f>
        <v>WR</v>
      </c>
      <c r="C68" s="9">
        <f t="shared" si="5"/>
        <v>209.55</v>
      </c>
      <c r="D68" s="9">
        <f t="shared" si="6"/>
        <v>1000.5</v>
      </c>
      <c r="E68" s="7">
        <f>IF(SUMIFS('Total Rushing Yards'!E:E,'Total Rushing Yards'!A:A,'Skill Pos Compiled'!A68)=0,SUMIFS('2022 Skill Pos Stats'!M:M,'2022 Skill Pos Stats'!A:A,'Skill Pos Compiled'!A68),SUMIFS('Total Rushing Yards'!E:E,'Total Rushing Yards'!A:A,'Skill Pos Compiled'!A68))</f>
        <v>0</v>
      </c>
      <c r="F68" s="7">
        <f>IF(SUMIFS('Total Rushing Touchdowns'!B:B,'Total Rushing Touchdowns'!A:A,'Skill Pos Compiled'!A68)=0,SUMIFS('2022 Skill Pos Stats'!N:N,'2022 Skill Pos Stats'!A:A,'Skill Pos Compiled'!A68),SUMIFS('Total Rushing Touchdowns'!B:B,'Total Rushing Touchdowns'!A:A,'Skill Pos Compiled'!A68))</f>
        <v>0</v>
      </c>
      <c r="G68" s="7">
        <f>IF(SUMIFS('Total Receptions'!B:B,'Total Receptions'!A:A,'Skill Pos Compiled'!A68)=0,SUMIFS('2022 Skill Pos Stats'!O:O,'2022 Skill Pos Stats'!A:A,'Skill Pos Compiled'!A68),SUMIFS('Total Receptions'!B:B,'Total Receptions'!A:A,'Skill Pos Compiled'!A68))</f>
        <v>70.5</v>
      </c>
      <c r="H68" s="7">
        <f>IF(SUMIFS('Total Receiving Yards'!E:E,'Total Receiving Yards'!A:A,'Skill Pos Compiled'!A68)=0,SUMIFS('2022 Skill Pos Stats'!P:P,'2022 Skill Pos Stats'!A:A,'Skill Pos Compiled'!A68),SUMIFS('Total Receiving Yards'!E:E,'Total Receiving Yards'!A:A,'Skill Pos Compiled'!A68))</f>
        <v>1000.5</v>
      </c>
      <c r="I68" s="7">
        <f>IF(SUMIFS('Total Receiving Touchdowns'!E:E,'Total Receiving Touchdowns'!A:A,'Skill Pos Compiled'!A68)=0,SUMIFS('2022 Skill Pos Stats'!Q:Q,'2022 Skill Pos Stats'!A:A,'Skill Pos Compiled'!A68),SUMIFS('Total Receiving Touchdowns'!E:E,'Total Receiving Touchdowns'!A:A,'Skill Pos Compiled'!A68))</f>
        <v>6.5</v>
      </c>
      <c r="J68" s="5">
        <f>_xlfn.XLOOKUP(E$1,Pt_System[Stat],Pt_System[Pts])*E68</f>
        <v>0</v>
      </c>
      <c r="K68" s="5">
        <f>_xlfn.XLOOKUP(F$1,Pt_System[Stat],Pt_System[Pts])*F68</f>
        <v>0</v>
      </c>
      <c r="L68" s="5">
        <f>_xlfn.XLOOKUP(G$1,Pt_System[Stat],Pt_System[Pts])*G68</f>
        <v>70.5</v>
      </c>
      <c r="M68" s="5">
        <f>_xlfn.XLOOKUP(H$1,Pt_System[Stat],Pt_System[Pts])*H68</f>
        <v>100.05000000000001</v>
      </c>
      <c r="N68" s="5">
        <f>_xlfn.XLOOKUP(I$1,Pt_System[Stat],Pt_System[Pts])*I68</f>
        <v>39</v>
      </c>
      <c r="O68" t="str">
        <f>IF(COUNTIFS('Total Rushing Yards'!A:A,'Skill Pos Compiled'!$A68)=1,"Vegas Odds","2022 Stats / Prediction")</f>
        <v>2022 Stats / Prediction</v>
      </c>
      <c r="P68" t="str">
        <f>IF(COUNTIFS('Total Rushing Touchdowns'!A:A,'Skill Pos Compiled'!$A68)=1,"Vegas Odds","2022 Stats / Prediction")</f>
        <v>2022 Stats / Prediction</v>
      </c>
      <c r="Q68" t="str">
        <f>IF(COUNTIFS('Total Receptions'!A:A,'Skill Pos Compiled'!$A68)=1,"Vegas Odds","2022 Stats / Prediction")</f>
        <v>Vegas Odds</v>
      </c>
      <c r="R68" t="str">
        <f>IF(COUNTIFS('Total Receiving Yards'!A:A,'Skill Pos Compiled'!$A68)=1,"Vegas Odds","2022 Stats / Prediction")</f>
        <v>Vegas Odds</v>
      </c>
      <c r="S68" t="str">
        <f>IF(COUNTIFS('Total Receiving Touchdowns'!A:A,'Skill Pos Compiled'!$A68)=1,"Vegas Odds","2022 Stats / Prediction")</f>
        <v>Vegas Odds</v>
      </c>
      <c r="T68" s="10" t="str">
        <f t="shared" si="7"/>
        <v>OK</v>
      </c>
    </row>
    <row r="69" spans="1:20" x14ac:dyDescent="0.25">
      <c r="A69" t="s">
        <v>39</v>
      </c>
      <c r="B69" t="str">
        <f>_xlfn.XLOOKUP(A69,ADP!A:A,ADP!B:B)</f>
        <v>WR</v>
      </c>
      <c r="C69" s="9">
        <f t="shared" si="5"/>
        <v>216.3</v>
      </c>
      <c r="D69" s="9">
        <f t="shared" si="6"/>
        <v>938</v>
      </c>
      <c r="E69" s="7">
        <f>IF(SUMIFS('Total Rushing Yards'!E:E,'Total Rushing Yards'!A:A,'Skill Pos Compiled'!A69)=0,SUMIFS('2022 Skill Pos Stats'!M:M,'2022 Skill Pos Stats'!A:A,'Skill Pos Compiled'!A69),SUMIFS('Total Rushing Yards'!E:E,'Total Rushing Yards'!A:A,'Skill Pos Compiled'!A69))</f>
        <v>0</v>
      </c>
      <c r="F69" s="7">
        <f>IF(SUMIFS('Total Rushing Touchdowns'!B:B,'Total Rushing Touchdowns'!A:A,'Skill Pos Compiled'!A69)=0,SUMIFS('2022 Skill Pos Stats'!N:N,'2022 Skill Pos Stats'!A:A,'Skill Pos Compiled'!A69),SUMIFS('Total Rushing Touchdowns'!B:B,'Total Rushing Touchdowns'!A:A,'Skill Pos Compiled'!A69))</f>
        <v>0</v>
      </c>
      <c r="G69" s="7">
        <f>IF(SUMIFS('Total Receptions'!B:B,'Total Receptions'!A:A,'Skill Pos Compiled'!A69)=0,SUMIFS('2022 Skill Pos Stats'!O:O,'2022 Skill Pos Stats'!A:A,'Skill Pos Compiled'!A69),SUMIFS('Total Receptions'!B:B,'Total Receptions'!A:A,'Skill Pos Compiled'!A69))</f>
        <v>75.5</v>
      </c>
      <c r="H69" s="7">
        <f>IF(SUMIFS('Total Receiving Yards'!E:E,'Total Receiving Yards'!A:A,'Skill Pos Compiled'!A69)=0,SUMIFS('2022 Skill Pos Stats'!P:P,'2022 Skill Pos Stats'!A:A,'Skill Pos Compiled'!A69),SUMIFS('Total Receiving Yards'!E:E,'Total Receiving Yards'!A:A,'Skill Pos Compiled'!A69))</f>
        <v>938</v>
      </c>
      <c r="I69" s="7">
        <f>IF(SUMIFS('Total Receiving Touchdowns'!E:E,'Total Receiving Touchdowns'!A:A,'Skill Pos Compiled'!A69)=0,SUMIFS('2022 Skill Pos Stats'!Q:Q,'2022 Skill Pos Stats'!A:A,'Skill Pos Compiled'!A69),SUMIFS('Total Receiving Touchdowns'!E:E,'Total Receiving Touchdowns'!A:A,'Skill Pos Compiled'!A69))</f>
        <v>7.833333333333333</v>
      </c>
      <c r="J69" s="5">
        <f>_xlfn.XLOOKUP(E$1,Pt_System[Stat],Pt_System[Pts])*E69</f>
        <v>0</v>
      </c>
      <c r="K69" s="5">
        <f>_xlfn.XLOOKUP(F$1,Pt_System[Stat],Pt_System[Pts])*F69</f>
        <v>0</v>
      </c>
      <c r="L69" s="5">
        <f>_xlfn.XLOOKUP(G$1,Pt_System[Stat],Pt_System[Pts])*G69</f>
        <v>75.5</v>
      </c>
      <c r="M69" s="5">
        <f>_xlfn.XLOOKUP(H$1,Pt_System[Stat],Pt_System[Pts])*H69</f>
        <v>93.800000000000011</v>
      </c>
      <c r="N69" s="5">
        <f>_xlfn.XLOOKUP(I$1,Pt_System[Stat],Pt_System[Pts])*I69</f>
        <v>47</v>
      </c>
      <c r="O69" t="str">
        <f>IF(COUNTIFS('Total Rushing Yards'!A:A,'Skill Pos Compiled'!$A69)=1,"Vegas Odds","2022 Stats / Prediction")</f>
        <v>2022 Stats / Prediction</v>
      </c>
      <c r="P69" t="str">
        <f>IF(COUNTIFS('Total Rushing Touchdowns'!A:A,'Skill Pos Compiled'!$A69)=1,"Vegas Odds","2022 Stats / Prediction")</f>
        <v>2022 Stats / Prediction</v>
      </c>
      <c r="Q69" t="str">
        <f>IF(COUNTIFS('Total Receptions'!A:A,'Skill Pos Compiled'!$A69)=1,"Vegas Odds","2022 Stats / Prediction")</f>
        <v>Vegas Odds</v>
      </c>
      <c r="R69" t="str">
        <f>IF(COUNTIFS('Total Receiving Yards'!A:A,'Skill Pos Compiled'!$A69)=1,"Vegas Odds","2022 Stats / Prediction")</f>
        <v>Vegas Odds</v>
      </c>
      <c r="S69" t="str">
        <f>IF(COUNTIFS('Total Receiving Touchdowns'!A:A,'Skill Pos Compiled'!$A69)=1,"Vegas Odds","2022 Stats / Prediction")</f>
        <v>Vegas Odds</v>
      </c>
      <c r="T69" s="10" t="str">
        <f t="shared" si="7"/>
        <v>OK</v>
      </c>
    </row>
    <row r="70" spans="1:20" x14ac:dyDescent="0.25">
      <c r="A70" t="s">
        <v>277</v>
      </c>
      <c r="B70" t="str">
        <f>_xlfn.XLOOKUP(A70,ADP!A:A,ADP!B:B)</f>
        <v>WR</v>
      </c>
      <c r="C70" s="9">
        <f t="shared" si="5"/>
        <v>231.42666666666668</v>
      </c>
      <c r="D70" s="9">
        <f t="shared" si="6"/>
        <v>1146.9333333333332</v>
      </c>
      <c r="E70" s="7">
        <f>IF(SUMIFS('Total Rushing Yards'!E:E,'Total Rushing Yards'!A:A,'Skill Pos Compiled'!A70)=0,SUMIFS('2022 Skill Pos Stats'!M:M,'2022 Skill Pos Stats'!A:A,'Skill Pos Compiled'!A70),SUMIFS('Total Rushing Yards'!E:E,'Total Rushing Yards'!A:A,'Skill Pos Compiled'!A70))</f>
        <v>45.333333333333329</v>
      </c>
      <c r="F70" s="7">
        <f>IF(SUMIFS('Total Rushing Touchdowns'!B:B,'Total Rushing Touchdowns'!A:A,'Skill Pos Compiled'!A70)=0,SUMIFS('2022 Skill Pos Stats'!N:N,'2022 Skill Pos Stats'!A:A,'Skill Pos Compiled'!A70),SUMIFS('Total Rushing Touchdowns'!B:B,'Total Rushing Touchdowns'!A:A,'Skill Pos Compiled'!A70))</f>
        <v>0</v>
      </c>
      <c r="G70" s="7">
        <f>IF(SUMIFS('Total Receptions'!B:B,'Total Receptions'!A:A,'Skill Pos Compiled'!A70)=0,SUMIFS('2022 Skill Pos Stats'!O:O,'2022 Skill Pos Stats'!A:A,'Skill Pos Compiled'!A70),SUMIFS('Total Receptions'!B:B,'Total Receptions'!A:A,'Skill Pos Compiled'!A70))</f>
        <v>75.933333333333337</v>
      </c>
      <c r="H70" s="7">
        <f>IF(SUMIFS('Total Receiving Yards'!E:E,'Total Receiving Yards'!A:A,'Skill Pos Compiled'!A70)=0,SUMIFS('2022 Skill Pos Stats'!P:P,'2022 Skill Pos Stats'!A:A,'Skill Pos Compiled'!A70),SUMIFS('Total Receiving Yards'!E:E,'Total Receiving Yards'!A:A,'Skill Pos Compiled'!A70))</f>
        <v>1101.5999999999999</v>
      </c>
      <c r="I70" s="7">
        <f>IF(SUMIFS('Total Receiving Touchdowns'!E:E,'Total Receiving Touchdowns'!A:A,'Skill Pos Compiled'!A70)=0,SUMIFS('2022 Skill Pos Stats'!Q:Q,'2022 Skill Pos Stats'!A:A,'Skill Pos Compiled'!A70),SUMIFS('Total Receiving Touchdowns'!E:E,'Total Receiving Touchdowns'!A:A,'Skill Pos Compiled'!A70))</f>
        <v>6.8</v>
      </c>
      <c r="J70" s="5">
        <f>_xlfn.XLOOKUP(E$1,Pt_System[Stat],Pt_System[Pts])*E70</f>
        <v>4.5333333333333332</v>
      </c>
      <c r="K70" s="5">
        <f>_xlfn.XLOOKUP(F$1,Pt_System[Stat],Pt_System[Pts])*F70</f>
        <v>0</v>
      </c>
      <c r="L70" s="5">
        <f>_xlfn.XLOOKUP(G$1,Pt_System[Stat],Pt_System[Pts])*G70</f>
        <v>75.933333333333337</v>
      </c>
      <c r="M70" s="5">
        <f>_xlfn.XLOOKUP(H$1,Pt_System[Stat],Pt_System[Pts])*H70</f>
        <v>110.16</v>
      </c>
      <c r="N70" s="5">
        <f>_xlfn.XLOOKUP(I$1,Pt_System[Stat],Pt_System[Pts])*I70</f>
        <v>40.799999999999997</v>
      </c>
      <c r="O70" t="str">
        <f>IF(COUNTIFS('Total Rushing Yards'!A:A,'Skill Pos Compiled'!$A70)=1,"Vegas Odds","2022 Stats / Prediction")</f>
        <v>2022 Stats / Prediction</v>
      </c>
      <c r="P70" t="str">
        <f>IF(COUNTIFS('Total Rushing Touchdowns'!A:A,'Skill Pos Compiled'!$A70)=1,"Vegas Odds","2022 Stats / Prediction")</f>
        <v>2022 Stats / Prediction</v>
      </c>
      <c r="Q70" t="str">
        <f>IF(COUNTIFS('Total Receptions'!A:A,'Skill Pos Compiled'!$A70)=1,"Vegas Odds","2022 Stats / Prediction")</f>
        <v>2022 Stats / Prediction</v>
      </c>
      <c r="R70" t="str">
        <f>IF(COUNTIFS('Total Receiving Yards'!A:A,'Skill Pos Compiled'!$A70)=1,"Vegas Odds","2022 Stats / Prediction")</f>
        <v>2022 Stats / Prediction</v>
      </c>
      <c r="S70" t="str">
        <f>IF(COUNTIFS('Total Receiving Touchdowns'!A:A,'Skill Pos Compiled'!$A70)=1,"Vegas Odds","2022 Stats / Prediction")</f>
        <v>2022 Stats / Prediction</v>
      </c>
      <c r="T70" s="10" t="str">
        <f t="shared" si="7"/>
        <v>Unpredictable</v>
      </c>
    </row>
    <row r="71" spans="1:20" x14ac:dyDescent="0.25">
      <c r="A71" t="s">
        <v>10</v>
      </c>
      <c r="B71" t="str">
        <f>_xlfn.XLOOKUP(A71,ADP!A:A,ADP!B:B)</f>
        <v>WR</v>
      </c>
      <c r="C71" s="9">
        <f t="shared" si="5"/>
        <v>174.85000000000002</v>
      </c>
      <c r="D71" s="9">
        <f t="shared" si="6"/>
        <v>833.5</v>
      </c>
      <c r="E71" s="7">
        <f>IF(SUMIFS('Total Rushing Yards'!E:E,'Total Rushing Yards'!A:A,'Skill Pos Compiled'!A71)=0,SUMIFS('2022 Skill Pos Stats'!M:M,'2022 Skill Pos Stats'!A:A,'Skill Pos Compiled'!A71),SUMIFS('Total Rushing Yards'!E:E,'Total Rushing Yards'!A:A,'Skill Pos Compiled'!A71))</f>
        <v>0</v>
      </c>
      <c r="F71" s="7">
        <f>IF(SUMIFS('Total Rushing Touchdowns'!B:B,'Total Rushing Touchdowns'!A:A,'Skill Pos Compiled'!A71)=0,SUMIFS('2022 Skill Pos Stats'!N:N,'2022 Skill Pos Stats'!A:A,'Skill Pos Compiled'!A71),SUMIFS('Total Rushing Touchdowns'!B:B,'Total Rushing Touchdowns'!A:A,'Skill Pos Compiled'!A71))</f>
        <v>0</v>
      </c>
      <c r="G71" s="7">
        <f>IF(SUMIFS('Total Receptions'!B:B,'Total Receptions'!A:A,'Skill Pos Compiled'!A71)=0,SUMIFS('2022 Skill Pos Stats'!O:O,'2022 Skill Pos Stats'!A:A,'Skill Pos Compiled'!A71),SUMIFS('Total Receptions'!B:B,'Total Receptions'!A:A,'Skill Pos Compiled'!A71))</f>
        <v>62.5</v>
      </c>
      <c r="H71" s="7">
        <f>IF(SUMIFS('Total Receiving Yards'!E:E,'Total Receiving Yards'!A:A,'Skill Pos Compiled'!A71)=0,SUMIFS('2022 Skill Pos Stats'!P:P,'2022 Skill Pos Stats'!A:A,'Skill Pos Compiled'!A71),SUMIFS('Total Receiving Yards'!E:E,'Total Receiving Yards'!A:A,'Skill Pos Compiled'!A71))</f>
        <v>833.5</v>
      </c>
      <c r="I71" s="7">
        <f>IF(SUMIFS('Total Receiving Touchdowns'!E:E,'Total Receiving Touchdowns'!A:A,'Skill Pos Compiled'!A71)=0,SUMIFS('2022 Skill Pos Stats'!Q:Q,'2022 Skill Pos Stats'!A:A,'Skill Pos Compiled'!A71),SUMIFS('Total Receiving Touchdowns'!E:E,'Total Receiving Touchdowns'!A:A,'Skill Pos Compiled'!A71))</f>
        <v>4.833333333333333</v>
      </c>
      <c r="J71" s="5">
        <f>_xlfn.XLOOKUP(E$1,Pt_System[Stat],Pt_System[Pts])*E71</f>
        <v>0</v>
      </c>
      <c r="K71" s="5">
        <f>_xlfn.XLOOKUP(F$1,Pt_System[Stat],Pt_System[Pts])*F71</f>
        <v>0</v>
      </c>
      <c r="L71" s="5">
        <f>_xlfn.XLOOKUP(G$1,Pt_System[Stat],Pt_System[Pts])*G71</f>
        <v>62.5</v>
      </c>
      <c r="M71" s="5">
        <f>_xlfn.XLOOKUP(H$1,Pt_System[Stat],Pt_System[Pts])*H71</f>
        <v>83.350000000000009</v>
      </c>
      <c r="N71" s="5">
        <f>_xlfn.XLOOKUP(I$1,Pt_System[Stat],Pt_System[Pts])*I71</f>
        <v>29</v>
      </c>
      <c r="O71" t="str">
        <f>IF(COUNTIFS('Total Rushing Yards'!A:A,'Skill Pos Compiled'!$A71)=1,"Vegas Odds","2022 Stats / Prediction")</f>
        <v>2022 Stats / Prediction</v>
      </c>
      <c r="P71" t="str">
        <f>IF(COUNTIFS('Total Rushing Touchdowns'!A:A,'Skill Pos Compiled'!$A71)=1,"Vegas Odds","2022 Stats / Prediction")</f>
        <v>2022 Stats / Prediction</v>
      </c>
      <c r="Q71" t="str">
        <f>IF(COUNTIFS('Total Receptions'!A:A,'Skill Pos Compiled'!$A71)=1,"Vegas Odds","2022 Stats / Prediction")</f>
        <v>Vegas Odds</v>
      </c>
      <c r="R71" t="str">
        <f>IF(COUNTIFS('Total Receiving Yards'!A:A,'Skill Pos Compiled'!$A71)=1,"Vegas Odds","2022 Stats / Prediction")</f>
        <v>Vegas Odds</v>
      </c>
      <c r="S71" t="str">
        <f>IF(COUNTIFS('Total Receiving Touchdowns'!A:A,'Skill Pos Compiled'!$A71)=1,"Vegas Odds","2022 Stats / Prediction")</f>
        <v>Vegas Odds</v>
      </c>
      <c r="T71" s="10" t="str">
        <f t="shared" si="7"/>
        <v>OK</v>
      </c>
    </row>
    <row r="72" spans="1:20" x14ac:dyDescent="0.25">
      <c r="A72" t="s">
        <v>31</v>
      </c>
      <c r="B72" t="str">
        <f>_xlfn.XLOOKUP(A72,ADP!A:A,ADP!B:B)</f>
        <v>WR</v>
      </c>
      <c r="C72" s="9">
        <f t="shared" si="5"/>
        <v>249.28333333333333</v>
      </c>
      <c r="D72" s="9">
        <f t="shared" si="6"/>
        <v>1137.8333333333333</v>
      </c>
      <c r="E72" s="7">
        <f>IF(SUMIFS('Total Rushing Yards'!E:E,'Total Rushing Yards'!A:A,'Skill Pos Compiled'!A72)=0,SUMIFS('2022 Skill Pos Stats'!M:M,'2022 Skill Pos Stats'!A:A,'Skill Pos Compiled'!A72),SUMIFS('Total Rushing Yards'!E:E,'Total Rushing Yards'!A:A,'Skill Pos Compiled'!A72))</f>
        <v>4</v>
      </c>
      <c r="F72" s="7">
        <f>IF(SUMIFS('Total Rushing Touchdowns'!B:B,'Total Rushing Touchdowns'!A:A,'Skill Pos Compiled'!A72)=0,SUMIFS('2022 Skill Pos Stats'!N:N,'2022 Skill Pos Stats'!A:A,'Skill Pos Compiled'!A72),SUMIFS('Total Rushing Touchdowns'!B:B,'Total Rushing Touchdowns'!A:A,'Skill Pos Compiled'!A72))</f>
        <v>0</v>
      </c>
      <c r="G72" s="7">
        <f>IF(SUMIFS('Total Receptions'!B:B,'Total Receptions'!A:A,'Skill Pos Compiled'!A72)=0,SUMIFS('2022 Skill Pos Stats'!O:O,'2022 Skill Pos Stats'!A:A,'Skill Pos Compiled'!A72),SUMIFS('Total Receptions'!B:B,'Total Receptions'!A:A,'Skill Pos Compiled'!A72))</f>
        <v>86.5</v>
      </c>
      <c r="H72" s="7">
        <f>IF(SUMIFS('Total Receiving Yards'!E:E,'Total Receiving Yards'!A:A,'Skill Pos Compiled'!A72)=0,SUMIFS('2022 Skill Pos Stats'!P:P,'2022 Skill Pos Stats'!A:A,'Skill Pos Compiled'!A72),SUMIFS('Total Receiving Yards'!E:E,'Total Receiving Yards'!A:A,'Skill Pos Compiled'!A72))</f>
        <v>1133.8333333333333</v>
      </c>
      <c r="I72" s="7">
        <f>IF(SUMIFS('Total Receiving Touchdowns'!E:E,'Total Receiving Touchdowns'!A:A,'Skill Pos Compiled'!A72)=0,SUMIFS('2022 Skill Pos Stats'!Q:Q,'2022 Skill Pos Stats'!A:A,'Skill Pos Compiled'!A72),SUMIFS('Total Receiving Touchdowns'!E:E,'Total Receiving Touchdowns'!A:A,'Skill Pos Compiled'!A72))</f>
        <v>8.1666666666666661</v>
      </c>
      <c r="J72" s="5">
        <f>_xlfn.XLOOKUP(E$1,Pt_System[Stat],Pt_System[Pts])*E72</f>
        <v>0.4</v>
      </c>
      <c r="K72" s="5">
        <f>_xlfn.XLOOKUP(F$1,Pt_System[Stat],Pt_System[Pts])*F72</f>
        <v>0</v>
      </c>
      <c r="L72" s="5">
        <f>_xlfn.XLOOKUP(G$1,Pt_System[Stat],Pt_System[Pts])*G72</f>
        <v>86.5</v>
      </c>
      <c r="M72" s="5">
        <f>_xlfn.XLOOKUP(H$1,Pt_System[Stat],Pt_System[Pts])*H72</f>
        <v>113.38333333333333</v>
      </c>
      <c r="N72" s="5">
        <f>_xlfn.XLOOKUP(I$1,Pt_System[Stat],Pt_System[Pts])*I72</f>
        <v>49</v>
      </c>
      <c r="O72" t="str">
        <f>IF(COUNTIFS('Total Rushing Yards'!A:A,'Skill Pos Compiled'!$A72)=1,"Vegas Odds","2022 Stats / Prediction")</f>
        <v>2022 Stats / Prediction</v>
      </c>
      <c r="P72" t="str">
        <f>IF(COUNTIFS('Total Rushing Touchdowns'!A:A,'Skill Pos Compiled'!$A72)=1,"Vegas Odds","2022 Stats / Prediction")</f>
        <v>2022 Stats / Prediction</v>
      </c>
      <c r="Q72" t="str">
        <f>IF(COUNTIFS('Total Receptions'!A:A,'Skill Pos Compiled'!$A72)=1,"Vegas Odds","2022 Stats / Prediction")</f>
        <v>Vegas Odds</v>
      </c>
      <c r="R72" t="str">
        <f>IF(COUNTIFS('Total Receiving Yards'!A:A,'Skill Pos Compiled'!$A72)=1,"Vegas Odds","2022 Stats / Prediction")</f>
        <v>Vegas Odds</v>
      </c>
      <c r="S72" t="str">
        <f>IF(COUNTIFS('Total Receiving Touchdowns'!A:A,'Skill Pos Compiled'!$A72)=1,"Vegas Odds","2022 Stats / Prediction")</f>
        <v>Vegas Odds</v>
      </c>
      <c r="T72" s="10" t="str">
        <f t="shared" si="7"/>
        <v>OK</v>
      </c>
    </row>
    <row r="73" spans="1:20" x14ac:dyDescent="0.25">
      <c r="A73" t="s">
        <v>278</v>
      </c>
      <c r="B73" t="str">
        <f>_xlfn.XLOOKUP(A73,ADP!A:A,ADP!B:B)</f>
        <v>WR</v>
      </c>
      <c r="C73" s="9">
        <f t="shared" si="5"/>
        <v>384.20000000000005</v>
      </c>
      <c r="D73" s="9">
        <f t="shared" si="6"/>
        <v>1632</v>
      </c>
      <c r="E73" s="7">
        <f>IF(SUMIFS('Total Rushing Yards'!E:E,'Total Rushing Yards'!A:A,'Skill Pos Compiled'!A73)=0,SUMIFS('2022 Skill Pos Stats'!M:M,'2022 Skill Pos Stats'!A:A,'Skill Pos Compiled'!A73),SUMIFS('Total Rushing Yards'!E:E,'Total Rushing Yards'!A:A,'Skill Pos Compiled'!A73))</f>
        <v>98.222222222222214</v>
      </c>
      <c r="F73" s="7">
        <f>IF(SUMIFS('Total Rushing Touchdowns'!B:B,'Total Rushing Touchdowns'!A:A,'Skill Pos Compiled'!A73)=0,SUMIFS('2022 Skill Pos Stats'!N:N,'2022 Skill Pos Stats'!A:A,'Skill Pos Compiled'!A73),SUMIFS('Total Rushing Touchdowns'!B:B,'Total Rushing Touchdowns'!A:A,'Skill Pos Compiled'!A73))</f>
        <v>1.8888888888888888</v>
      </c>
      <c r="G73" s="7">
        <f>IF(SUMIFS('Total Receptions'!B:B,'Total Receptions'!A:A,'Skill Pos Compiled'!A73)=0,SUMIFS('2022 Skill Pos Stats'!O:O,'2022 Skill Pos Stats'!A:A,'Skill Pos Compiled'!A73),SUMIFS('Total Receptions'!B:B,'Total Receptions'!A:A,'Skill Pos Compiled'!A73))</f>
        <v>141.66666666666666</v>
      </c>
      <c r="H73" s="7">
        <f>IF(SUMIFS('Total Receiving Yards'!E:E,'Total Receiving Yards'!A:A,'Skill Pos Compiled'!A73)=0,SUMIFS('2022 Skill Pos Stats'!P:P,'2022 Skill Pos Stats'!A:A,'Skill Pos Compiled'!A73),SUMIFS('Total Receiving Yards'!E:E,'Total Receiving Yards'!A:A,'Skill Pos Compiled'!A73))</f>
        <v>1533.7777777777778</v>
      </c>
      <c r="I73" s="7">
        <f>IF(SUMIFS('Total Receiving Touchdowns'!E:E,'Total Receiving Touchdowns'!A:A,'Skill Pos Compiled'!A73)=0,SUMIFS('2022 Skill Pos Stats'!Q:Q,'2022 Skill Pos Stats'!A:A,'Skill Pos Compiled'!A73),SUMIFS('Total Receiving Touchdowns'!E:E,'Total Receiving Touchdowns'!A:A,'Skill Pos Compiled'!A73))</f>
        <v>11.333333333333332</v>
      </c>
      <c r="J73" s="5">
        <f>_xlfn.XLOOKUP(E$1,Pt_System[Stat],Pt_System[Pts])*E73</f>
        <v>9.8222222222222229</v>
      </c>
      <c r="K73" s="5">
        <f>_xlfn.XLOOKUP(F$1,Pt_System[Stat],Pt_System[Pts])*F73</f>
        <v>11.333333333333332</v>
      </c>
      <c r="L73" s="5">
        <f>_xlfn.XLOOKUP(G$1,Pt_System[Stat],Pt_System[Pts])*G73</f>
        <v>141.66666666666666</v>
      </c>
      <c r="M73" s="5">
        <f>_xlfn.XLOOKUP(H$1,Pt_System[Stat],Pt_System[Pts])*H73</f>
        <v>153.37777777777779</v>
      </c>
      <c r="N73" s="5">
        <f>_xlfn.XLOOKUP(I$1,Pt_System[Stat],Pt_System[Pts])*I73</f>
        <v>68</v>
      </c>
      <c r="O73" t="str">
        <f>IF(COUNTIFS('Total Rushing Yards'!A:A,'Skill Pos Compiled'!$A73)=1,"Vegas Odds","2022 Stats / Prediction")</f>
        <v>2022 Stats / Prediction</v>
      </c>
      <c r="P73" t="str">
        <f>IF(COUNTIFS('Total Rushing Touchdowns'!A:A,'Skill Pos Compiled'!$A73)=1,"Vegas Odds","2022 Stats / Prediction")</f>
        <v>2022 Stats / Prediction</v>
      </c>
      <c r="Q73" t="str">
        <f>IF(COUNTIFS('Total Receptions'!A:A,'Skill Pos Compiled'!$A73)=1,"Vegas Odds","2022 Stats / Prediction")</f>
        <v>2022 Stats / Prediction</v>
      </c>
      <c r="R73" t="str">
        <f>IF(COUNTIFS('Total Receiving Yards'!A:A,'Skill Pos Compiled'!$A73)=1,"Vegas Odds","2022 Stats / Prediction")</f>
        <v>2022 Stats / Prediction</v>
      </c>
      <c r="S73" t="str">
        <f>IF(COUNTIFS('Total Receiving Touchdowns'!A:A,'Skill Pos Compiled'!$A73)=1,"Vegas Odds","2022 Stats / Prediction")</f>
        <v>2022 Stats / Prediction</v>
      </c>
      <c r="T73" s="10" t="str">
        <f t="shared" si="7"/>
        <v>Unpredictable</v>
      </c>
    </row>
    <row r="74" spans="1:20" x14ac:dyDescent="0.25">
      <c r="A74" t="s">
        <v>35</v>
      </c>
      <c r="B74" t="str">
        <f>_xlfn.XLOOKUP(A74,ADP!A:A,ADP!B:B)</f>
        <v>WR</v>
      </c>
      <c r="C74" s="9">
        <f t="shared" si="5"/>
        <v>212.3</v>
      </c>
      <c r="D74" s="9">
        <f t="shared" si="6"/>
        <v>1038</v>
      </c>
      <c r="E74" s="7">
        <f>IF(SUMIFS('Total Rushing Yards'!E:E,'Total Rushing Yards'!A:A,'Skill Pos Compiled'!A74)=0,SUMIFS('2022 Skill Pos Stats'!M:M,'2022 Skill Pos Stats'!A:A,'Skill Pos Compiled'!A74),SUMIFS('Total Rushing Yards'!E:E,'Total Rushing Yards'!A:A,'Skill Pos Compiled'!A74))</f>
        <v>0</v>
      </c>
      <c r="F74" s="7">
        <f>IF(SUMIFS('Total Rushing Touchdowns'!B:B,'Total Rushing Touchdowns'!A:A,'Skill Pos Compiled'!A74)=0,SUMIFS('2022 Skill Pos Stats'!N:N,'2022 Skill Pos Stats'!A:A,'Skill Pos Compiled'!A74),SUMIFS('Total Rushing Touchdowns'!B:B,'Total Rushing Touchdowns'!A:A,'Skill Pos Compiled'!A74))</f>
        <v>0</v>
      </c>
      <c r="G74" s="7">
        <f>IF(SUMIFS('Total Receptions'!B:B,'Total Receptions'!A:A,'Skill Pos Compiled'!A74)=0,SUMIFS('2022 Skill Pos Stats'!O:O,'2022 Skill Pos Stats'!A:A,'Skill Pos Compiled'!A74),SUMIFS('Total Receptions'!B:B,'Total Receptions'!A:A,'Skill Pos Compiled'!A74))</f>
        <v>75.5</v>
      </c>
      <c r="H74" s="7">
        <f>IF(SUMIFS('Total Receiving Yards'!E:E,'Total Receiving Yards'!A:A,'Skill Pos Compiled'!A74)=0,SUMIFS('2022 Skill Pos Stats'!P:P,'2022 Skill Pos Stats'!A:A,'Skill Pos Compiled'!A74),SUMIFS('Total Receiving Yards'!E:E,'Total Receiving Yards'!A:A,'Skill Pos Compiled'!A74))</f>
        <v>1038</v>
      </c>
      <c r="I74" s="7">
        <f>IF(SUMIFS('Total Receiving Touchdowns'!E:E,'Total Receiving Touchdowns'!A:A,'Skill Pos Compiled'!A74)=0,SUMIFS('2022 Skill Pos Stats'!Q:Q,'2022 Skill Pos Stats'!A:A,'Skill Pos Compiled'!A74),SUMIFS('Total Receiving Touchdowns'!E:E,'Total Receiving Touchdowns'!A:A,'Skill Pos Compiled'!A74))</f>
        <v>5.5</v>
      </c>
      <c r="J74" s="5">
        <f>_xlfn.XLOOKUP(E$1,Pt_System[Stat],Pt_System[Pts])*E74</f>
        <v>0</v>
      </c>
      <c r="K74" s="5">
        <f>_xlfn.XLOOKUP(F$1,Pt_System[Stat],Pt_System[Pts])*F74</f>
        <v>0</v>
      </c>
      <c r="L74" s="5">
        <f>_xlfn.XLOOKUP(G$1,Pt_System[Stat],Pt_System[Pts])*G74</f>
        <v>75.5</v>
      </c>
      <c r="M74" s="5">
        <f>_xlfn.XLOOKUP(H$1,Pt_System[Stat],Pt_System[Pts])*H74</f>
        <v>103.80000000000001</v>
      </c>
      <c r="N74" s="5">
        <f>_xlfn.XLOOKUP(I$1,Pt_System[Stat],Pt_System[Pts])*I74</f>
        <v>33</v>
      </c>
      <c r="O74" t="str">
        <f>IF(COUNTIFS('Total Rushing Yards'!A:A,'Skill Pos Compiled'!$A74)=1,"Vegas Odds","2022 Stats / Prediction")</f>
        <v>2022 Stats / Prediction</v>
      </c>
      <c r="P74" t="str">
        <f>IF(COUNTIFS('Total Rushing Touchdowns'!A:A,'Skill Pos Compiled'!$A74)=1,"Vegas Odds","2022 Stats / Prediction")</f>
        <v>2022 Stats / Prediction</v>
      </c>
      <c r="Q74" t="str">
        <f>IF(COUNTIFS('Total Receptions'!A:A,'Skill Pos Compiled'!$A74)=1,"Vegas Odds","2022 Stats / Prediction")</f>
        <v>Vegas Odds</v>
      </c>
      <c r="R74" t="str">
        <f>IF(COUNTIFS('Total Receiving Yards'!A:A,'Skill Pos Compiled'!$A74)=1,"Vegas Odds","2022 Stats / Prediction")</f>
        <v>Vegas Odds</v>
      </c>
      <c r="S74" t="str">
        <f>IF(COUNTIFS('Total Receiving Touchdowns'!A:A,'Skill Pos Compiled'!$A74)=1,"Vegas Odds","2022 Stats / Prediction")</f>
        <v>Vegas Odds</v>
      </c>
      <c r="T74" s="10" t="str">
        <f t="shared" si="7"/>
        <v>OK</v>
      </c>
    </row>
    <row r="75" spans="1:20" x14ac:dyDescent="0.25">
      <c r="A75" t="s">
        <v>107</v>
      </c>
      <c r="B75" t="str">
        <f>_xlfn.XLOOKUP(A75,ADP!A:A,ADP!B:B)</f>
        <v>WR</v>
      </c>
      <c r="C75" s="9">
        <f t="shared" si="5"/>
        <v>162.9</v>
      </c>
      <c r="D75" s="9">
        <f t="shared" si="6"/>
        <v>734</v>
      </c>
      <c r="E75" s="7">
        <f>IF(SUMIFS('Total Rushing Yards'!E:E,'Total Rushing Yards'!A:A,'Skill Pos Compiled'!A75)=0,SUMIFS('2022 Skill Pos Stats'!M:M,'2022 Skill Pos Stats'!A:A,'Skill Pos Compiled'!A75),SUMIFS('Total Rushing Yards'!E:E,'Total Rushing Yards'!A:A,'Skill Pos Compiled'!A75))</f>
        <v>0</v>
      </c>
      <c r="F75" s="7">
        <f>IF(SUMIFS('Total Rushing Touchdowns'!B:B,'Total Rushing Touchdowns'!A:A,'Skill Pos Compiled'!A75)=0,SUMIFS('2022 Skill Pos Stats'!N:N,'2022 Skill Pos Stats'!A:A,'Skill Pos Compiled'!A75),SUMIFS('Total Rushing Touchdowns'!B:B,'Total Rushing Touchdowns'!A:A,'Skill Pos Compiled'!A75))</f>
        <v>0</v>
      </c>
      <c r="G75" s="7">
        <f>IF(SUMIFS('Total Receptions'!B:B,'Total Receptions'!A:A,'Skill Pos Compiled'!A75)=0,SUMIFS('2022 Skill Pos Stats'!O:O,'2022 Skill Pos Stats'!A:A,'Skill Pos Compiled'!A75),SUMIFS('Total Receptions'!B:B,'Total Receptions'!A:A,'Skill Pos Compiled'!A75))</f>
        <v>50.5</v>
      </c>
      <c r="H75" s="7">
        <f>IF(SUMIFS('Total Receiving Yards'!E:E,'Total Receiving Yards'!A:A,'Skill Pos Compiled'!A75)=0,SUMIFS('2022 Skill Pos Stats'!P:P,'2022 Skill Pos Stats'!A:A,'Skill Pos Compiled'!A75),SUMIFS('Total Receiving Yards'!E:E,'Total Receiving Yards'!A:A,'Skill Pos Compiled'!A75))</f>
        <v>734</v>
      </c>
      <c r="I75" s="7">
        <f>IF(SUMIFS('Total Receiving Touchdowns'!E:E,'Total Receiving Touchdowns'!A:A,'Skill Pos Compiled'!A75)=0,SUMIFS('2022 Skill Pos Stats'!Q:Q,'2022 Skill Pos Stats'!A:A,'Skill Pos Compiled'!A75),SUMIFS('Total Receiving Touchdowns'!E:E,'Total Receiving Touchdowns'!A:A,'Skill Pos Compiled'!A75))</f>
        <v>6.5</v>
      </c>
      <c r="J75" s="5">
        <f>_xlfn.XLOOKUP(E$1,Pt_System[Stat],Pt_System[Pts])*E75</f>
        <v>0</v>
      </c>
      <c r="K75" s="5">
        <f>_xlfn.XLOOKUP(F$1,Pt_System[Stat],Pt_System[Pts])*F75</f>
        <v>0</v>
      </c>
      <c r="L75" s="5">
        <f>_xlfn.XLOOKUP(G$1,Pt_System[Stat],Pt_System[Pts])*G75</f>
        <v>50.5</v>
      </c>
      <c r="M75" s="5">
        <f>_xlfn.XLOOKUP(H$1,Pt_System[Stat],Pt_System[Pts])*H75</f>
        <v>73.400000000000006</v>
      </c>
      <c r="N75" s="5">
        <f>_xlfn.XLOOKUP(I$1,Pt_System[Stat],Pt_System[Pts])*I75</f>
        <v>39</v>
      </c>
      <c r="O75" t="str">
        <f>IF(COUNTIFS('Total Rushing Yards'!A:A,'Skill Pos Compiled'!$A75)=1,"Vegas Odds","2022 Stats / Prediction")</f>
        <v>2022 Stats / Prediction</v>
      </c>
      <c r="P75" t="str">
        <f>IF(COUNTIFS('Total Rushing Touchdowns'!A:A,'Skill Pos Compiled'!$A75)=1,"Vegas Odds","2022 Stats / Prediction")</f>
        <v>2022 Stats / Prediction</v>
      </c>
      <c r="Q75" t="str">
        <f>IF(COUNTIFS('Total Receptions'!A:A,'Skill Pos Compiled'!$A75)=1,"Vegas Odds","2022 Stats / Prediction")</f>
        <v>Vegas Odds</v>
      </c>
      <c r="R75" t="str">
        <f>IF(COUNTIFS('Total Receiving Yards'!A:A,'Skill Pos Compiled'!$A75)=1,"Vegas Odds","2022 Stats / Prediction")</f>
        <v>Vegas Odds</v>
      </c>
      <c r="S75" t="str">
        <f>IF(COUNTIFS('Total Receiving Touchdowns'!A:A,'Skill Pos Compiled'!$A75)=1,"Vegas Odds","2022 Stats / Prediction")</f>
        <v>Vegas Odds</v>
      </c>
      <c r="T75" s="10" t="str">
        <f t="shared" si="7"/>
        <v>OK</v>
      </c>
    </row>
    <row r="76" spans="1:20" x14ac:dyDescent="0.25">
      <c r="A76" t="s">
        <v>4</v>
      </c>
      <c r="B76" t="str">
        <f>_xlfn.XLOOKUP(A76,ADP!A:A,ADP!B:B)</f>
        <v>WR</v>
      </c>
      <c r="C76" s="9">
        <f t="shared" si="5"/>
        <v>201.96904761904761</v>
      </c>
      <c r="D76" s="9">
        <f t="shared" si="6"/>
        <v>938.97619047619048</v>
      </c>
      <c r="E76" s="7">
        <f>IF(SUMIFS('Total Rushing Yards'!E:E,'Total Rushing Yards'!A:A,'Skill Pos Compiled'!A76)=0,SUMIFS('2022 Skill Pos Stats'!M:M,'2022 Skill Pos Stats'!A:A,'Skill Pos Compiled'!A76),SUMIFS('Total Rushing Yards'!E:E,'Total Rushing Yards'!A:A,'Skill Pos Compiled'!A76))</f>
        <v>97.142857142857139</v>
      </c>
      <c r="F76" s="7">
        <f>IF(SUMIFS('Total Rushing Touchdowns'!B:B,'Total Rushing Touchdowns'!A:A,'Skill Pos Compiled'!A76)=0,SUMIFS('2022 Skill Pos Stats'!N:N,'2022 Skill Pos Stats'!A:A,'Skill Pos Compiled'!A76),SUMIFS('Total Rushing Touchdowns'!B:B,'Total Rushing Touchdowns'!A:A,'Skill Pos Compiled'!A76))</f>
        <v>2.4285714285714284</v>
      </c>
      <c r="G76" s="7">
        <f>IF(SUMIFS('Total Receptions'!B:B,'Total Receptions'!A:A,'Skill Pos Compiled'!A76)=0,SUMIFS('2022 Skill Pos Stats'!O:O,'2022 Skill Pos Stats'!A:A,'Skill Pos Compiled'!A76),SUMIFS('Total Receptions'!B:B,'Total Receptions'!A:A,'Skill Pos Compiled'!A76))</f>
        <v>62.5</v>
      </c>
      <c r="H76" s="7">
        <f>IF(SUMIFS('Total Receiving Yards'!E:E,'Total Receiving Yards'!A:A,'Skill Pos Compiled'!A76)=0,SUMIFS('2022 Skill Pos Stats'!P:P,'2022 Skill Pos Stats'!A:A,'Skill Pos Compiled'!A76),SUMIFS('Total Receiving Yards'!E:E,'Total Receiving Yards'!A:A,'Skill Pos Compiled'!A76))</f>
        <v>841.83333333333337</v>
      </c>
      <c r="I76" s="7">
        <f>IF(SUMIFS('Total Receiving Touchdowns'!E:E,'Total Receiving Touchdowns'!A:A,'Skill Pos Compiled'!A76)=0,SUMIFS('2022 Skill Pos Stats'!Q:Q,'2022 Skill Pos Stats'!A:A,'Skill Pos Compiled'!A76),SUMIFS('Total Receiving Touchdowns'!E:E,'Total Receiving Touchdowns'!A:A,'Skill Pos Compiled'!A76))</f>
        <v>5.166666666666667</v>
      </c>
      <c r="J76" s="5">
        <f>_xlfn.XLOOKUP(E$1,Pt_System[Stat],Pt_System[Pts])*E76</f>
        <v>9.7142857142857153</v>
      </c>
      <c r="K76" s="5">
        <f>_xlfn.XLOOKUP(F$1,Pt_System[Stat],Pt_System[Pts])*F76</f>
        <v>14.571428571428569</v>
      </c>
      <c r="L76" s="5">
        <f>_xlfn.XLOOKUP(G$1,Pt_System[Stat],Pt_System[Pts])*G76</f>
        <v>62.5</v>
      </c>
      <c r="M76" s="5">
        <f>_xlfn.XLOOKUP(H$1,Pt_System[Stat],Pt_System[Pts])*H76</f>
        <v>84.183333333333337</v>
      </c>
      <c r="N76" s="5">
        <f>_xlfn.XLOOKUP(I$1,Pt_System[Stat],Pt_System[Pts])*I76</f>
        <v>31</v>
      </c>
      <c r="O76" t="str">
        <f>IF(COUNTIFS('Total Rushing Yards'!A:A,'Skill Pos Compiled'!$A76)=1,"Vegas Odds","2022 Stats / Prediction")</f>
        <v>2022 Stats / Prediction</v>
      </c>
      <c r="P76" t="str">
        <f>IF(COUNTIFS('Total Rushing Touchdowns'!A:A,'Skill Pos Compiled'!$A76)=1,"Vegas Odds","2022 Stats / Prediction")</f>
        <v>2022 Stats / Prediction</v>
      </c>
      <c r="Q76" t="str">
        <f>IF(COUNTIFS('Total Receptions'!A:A,'Skill Pos Compiled'!$A76)=1,"Vegas Odds","2022 Stats / Prediction")</f>
        <v>Vegas Odds</v>
      </c>
      <c r="R76" t="str">
        <f>IF(COUNTIFS('Total Receiving Yards'!A:A,'Skill Pos Compiled'!$A76)=1,"Vegas Odds","2022 Stats / Prediction")</f>
        <v>Vegas Odds</v>
      </c>
      <c r="S76" t="str">
        <f>IF(COUNTIFS('Total Receiving Touchdowns'!A:A,'Skill Pos Compiled'!$A76)=1,"Vegas Odds","2022 Stats / Prediction")</f>
        <v>Vegas Odds</v>
      </c>
      <c r="T76" s="10" t="str">
        <f t="shared" si="7"/>
        <v>OK</v>
      </c>
    </row>
    <row r="77" spans="1:20" x14ac:dyDescent="0.25">
      <c r="A77" t="s">
        <v>8</v>
      </c>
      <c r="B77" t="str">
        <f>_xlfn.XLOOKUP(A77,ADP!A:A,ADP!B:B)</f>
        <v>WR</v>
      </c>
      <c r="C77" s="9">
        <f t="shared" si="5"/>
        <v>189.36666666666667</v>
      </c>
      <c r="D77" s="9">
        <f t="shared" si="6"/>
        <v>818.66666666666663</v>
      </c>
      <c r="E77" s="7">
        <f>IF(SUMIFS('Total Rushing Yards'!E:E,'Total Rushing Yards'!A:A,'Skill Pos Compiled'!A77)=0,SUMIFS('2022 Skill Pos Stats'!M:M,'2022 Skill Pos Stats'!A:A,'Skill Pos Compiled'!A77),SUMIFS('Total Rushing Yards'!E:E,'Total Rushing Yards'!A:A,'Skill Pos Compiled'!A77))</f>
        <v>5.6666666666666661</v>
      </c>
      <c r="F77" s="7">
        <f>IF(SUMIFS('Total Rushing Touchdowns'!B:B,'Total Rushing Touchdowns'!A:A,'Skill Pos Compiled'!A77)=0,SUMIFS('2022 Skill Pos Stats'!N:N,'2022 Skill Pos Stats'!A:A,'Skill Pos Compiled'!A77),SUMIFS('Total Rushing Touchdowns'!B:B,'Total Rushing Touchdowns'!A:A,'Skill Pos Compiled'!A77))</f>
        <v>0</v>
      </c>
      <c r="G77" s="7">
        <f>IF(SUMIFS('Total Receptions'!B:B,'Total Receptions'!A:A,'Skill Pos Compiled'!A77)=0,SUMIFS('2022 Skill Pos Stats'!O:O,'2022 Skill Pos Stats'!A:A,'Skill Pos Compiled'!A77),SUMIFS('Total Receptions'!B:B,'Total Receptions'!A:A,'Skill Pos Compiled'!A77))</f>
        <v>80.5</v>
      </c>
      <c r="H77" s="7">
        <f>IF(SUMIFS('Total Receiving Yards'!E:E,'Total Receiving Yards'!A:A,'Skill Pos Compiled'!A77)=0,SUMIFS('2022 Skill Pos Stats'!P:P,'2022 Skill Pos Stats'!A:A,'Skill Pos Compiled'!A77),SUMIFS('Total Receiving Yards'!E:E,'Total Receiving Yards'!A:A,'Skill Pos Compiled'!A77))</f>
        <v>813</v>
      </c>
      <c r="I77" s="7">
        <f>IF(SUMIFS('Total Receiving Touchdowns'!E:E,'Total Receiving Touchdowns'!A:A,'Skill Pos Compiled'!A77)=0,SUMIFS('2022 Skill Pos Stats'!Q:Q,'2022 Skill Pos Stats'!A:A,'Skill Pos Compiled'!A77),SUMIFS('Total Receiving Touchdowns'!E:E,'Total Receiving Touchdowns'!A:A,'Skill Pos Compiled'!A77))</f>
        <v>4.5</v>
      </c>
      <c r="J77" s="5">
        <f>_xlfn.XLOOKUP(E$1,Pt_System[Stat],Pt_System[Pts])*E77</f>
        <v>0.56666666666666665</v>
      </c>
      <c r="K77" s="5">
        <f>_xlfn.XLOOKUP(F$1,Pt_System[Stat],Pt_System[Pts])*F77</f>
        <v>0</v>
      </c>
      <c r="L77" s="5">
        <f>_xlfn.XLOOKUP(G$1,Pt_System[Stat],Pt_System[Pts])*G77</f>
        <v>80.5</v>
      </c>
      <c r="M77" s="5">
        <f>_xlfn.XLOOKUP(H$1,Pt_System[Stat],Pt_System[Pts])*H77</f>
        <v>81.300000000000011</v>
      </c>
      <c r="N77" s="5">
        <f>_xlfn.XLOOKUP(I$1,Pt_System[Stat],Pt_System[Pts])*I77</f>
        <v>27</v>
      </c>
      <c r="O77" t="str">
        <f>IF(COUNTIFS('Total Rushing Yards'!A:A,'Skill Pos Compiled'!$A77)=1,"Vegas Odds","2022 Stats / Prediction")</f>
        <v>2022 Stats / Prediction</v>
      </c>
      <c r="P77" t="str">
        <f>IF(COUNTIFS('Total Rushing Touchdowns'!A:A,'Skill Pos Compiled'!$A77)=1,"Vegas Odds","2022 Stats / Prediction")</f>
        <v>2022 Stats / Prediction</v>
      </c>
      <c r="Q77" t="str">
        <f>IF(COUNTIFS('Total Receptions'!A:A,'Skill Pos Compiled'!$A77)=1,"Vegas Odds","2022 Stats / Prediction")</f>
        <v>Vegas Odds</v>
      </c>
      <c r="R77" t="str">
        <f>IF(COUNTIFS('Total Receiving Yards'!A:A,'Skill Pos Compiled'!$A77)=1,"Vegas Odds","2022 Stats / Prediction")</f>
        <v>Vegas Odds</v>
      </c>
      <c r="S77" t="str">
        <f>IF(COUNTIFS('Total Receiving Touchdowns'!A:A,'Skill Pos Compiled'!$A77)=1,"Vegas Odds","2022 Stats / Prediction")</f>
        <v>Vegas Odds</v>
      </c>
      <c r="T77" s="10" t="str">
        <f t="shared" si="7"/>
        <v>OK</v>
      </c>
    </row>
    <row r="78" spans="1:20" x14ac:dyDescent="0.25">
      <c r="A78" t="s">
        <v>21</v>
      </c>
      <c r="B78" t="str">
        <f>_xlfn.XLOOKUP(A78,ADP!A:A,ADP!B:B)</f>
        <v>WR</v>
      </c>
      <c r="C78" s="9">
        <f t="shared" si="5"/>
        <v>185.53750000000002</v>
      </c>
      <c r="D78" s="9">
        <f t="shared" si="6"/>
        <v>840.375</v>
      </c>
      <c r="E78" s="7">
        <f>IF(SUMIFS('Total Rushing Yards'!E:E,'Total Rushing Yards'!A:A,'Skill Pos Compiled'!A78)=0,SUMIFS('2022 Skill Pos Stats'!M:M,'2022 Skill Pos Stats'!A:A,'Skill Pos Compiled'!A78),SUMIFS('Total Rushing Yards'!E:E,'Total Rushing Yards'!A:A,'Skill Pos Compiled'!A78))</f>
        <v>31.875</v>
      </c>
      <c r="F78" s="7">
        <f>IF(SUMIFS('Total Rushing Touchdowns'!B:B,'Total Rushing Touchdowns'!A:A,'Skill Pos Compiled'!A78)=0,SUMIFS('2022 Skill Pos Stats'!N:N,'2022 Skill Pos Stats'!A:A,'Skill Pos Compiled'!A78),SUMIFS('Total Rushing Touchdowns'!B:B,'Total Rushing Touchdowns'!A:A,'Skill Pos Compiled'!A78))</f>
        <v>0</v>
      </c>
      <c r="G78" s="7">
        <f>IF(SUMIFS('Total Receptions'!B:B,'Total Receptions'!A:A,'Skill Pos Compiled'!A78)=0,SUMIFS('2022 Skill Pos Stats'!O:O,'2022 Skill Pos Stats'!A:A,'Skill Pos Compiled'!A78),SUMIFS('Total Receptions'!B:B,'Total Receptions'!A:A,'Skill Pos Compiled'!A78))</f>
        <v>74.5</v>
      </c>
      <c r="H78" s="7">
        <f>IF(SUMIFS('Total Receiving Yards'!E:E,'Total Receiving Yards'!A:A,'Skill Pos Compiled'!A78)=0,SUMIFS('2022 Skill Pos Stats'!P:P,'2022 Skill Pos Stats'!A:A,'Skill Pos Compiled'!A78),SUMIFS('Total Receiving Yards'!E:E,'Total Receiving Yards'!A:A,'Skill Pos Compiled'!A78))</f>
        <v>808.5</v>
      </c>
      <c r="I78" s="7">
        <f>IF(SUMIFS('Total Receiving Touchdowns'!E:E,'Total Receiving Touchdowns'!A:A,'Skill Pos Compiled'!A78)=0,SUMIFS('2022 Skill Pos Stats'!Q:Q,'2022 Skill Pos Stats'!A:A,'Skill Pos Compiled'!A78),SUMIFS('Total Receiving Touchdowns'!E:E,'Total Receiving Touchdowns'!A:A,'Skill Pos Compiled'!A78))</f>
        <v>4.5</v>
      </c>
      <c r="J78" s="5">
        <f>_xlfn.XLOOKUP(E$1,Pt_System[Stat],Pt_System[Pts])*E78</f>
        <v>3.1875</v>
      </c>
      <c r="K78" s="5">
        <f>_xlfn.XLOOKUP(F$1,Pt_System[Stat],Pt_System[Pts])*F78</f>
        <v>0</v>
      </c>
      <c r="L78" s="5">
        <f>_xlfn.XLOOKUP(G$1,Pt_System[Stat],Pt_System[Pts])*G78</f>
        <v>74.5</v>
      </c>
      <c r="M78" s="5">
        <f>_xlfn.XLOOKUP(H$1,Pt_System[Stat],Pt_System[Pts])*H78</f>
        <v>80.850000000000009</v>
      </c>
      <c r="N78" s="5">
        <f>_xlfn.XLOOKUP(I$1,Pt_System[Stat],Pt_System[Pts])*I78</f>
        <v>27</v>
      </c>
      <c r="O78" t="str">
        <f>IF(COUNTIFS('Total Rushing Yards'!A:A,'Skill Pos Compiled'!$A78)=1,"Vegas Odds","2022 Stats / Prediction")</f>
        <v>2022 Stats / Prediction</v>
      </c>
      <c r="P78" t="str">
        <f>IF(COUNTIFS('Total Rushing Touchdowns'!A:A,'Skill Pos Compiled'!$A78)=1,"Vegas Odds","2022 Stats / Prediction")</f>
        <v>2022 Stats / Prediction</v>
      </c>
      <c r="Q78" t="str">
        <f>IF(COUNTIFS('Total Receptions'!A:A,'Skill Pos Compiled'!$A78)=1,"Vegas Odds","2022 Stats / Prediction")</f>
        <v>Vegas Odds</v>
      </c>
      <c r="R78" t="str">
        <f>IF(COUNTIFS('Total Receiving Yards'!A:A,'Skill Pos Compiled'!$A78)=1,"Vegas Odds","2022 Stats / Prediction")</f>
        <v>Vegas Odds</v>
      </c>
      <c r="S78" t="str">
        <f>IF(COUNTIFS('Total Receiving Touchdowns'!A:A,'Skill Pos Compiled'!$A78)=1,"Vegas Odds","2022 Stats / Prediction")</f>
        <v>Vegas Odds</v>
      </c>
      <c r="T78" s="10" t="str">
        <f t="shared" si="7"/>
        <v>OK</v>
      </c>
    </row>
    <row r="79" spans="1:20" x14ac:dyDescent="0.25">
      <c r="A79" t="s">
        <v>17</v>
      </c>
      <c r="B79" t="str">
        <f>_xlfn.XLOOKUP(A79,ADP!A:A,ADP!B:B)</f>
        <v>WR</v>
      </c>
      <c r="C79" s="9">
        <f t="shared" si="5"/>
        <v>215.42692307692306</v>
      </c>
      <c r="D79" s="9">
        <f t="shared" si="6"/>
        <v>1053.8846153846155</v>
      </c>
      <c r="E79" s="7">
        <f>IF(SUMIFS('Total Rushing Yards'!E:E,'Total Rushing Yards'!A:A,'Skill Pos Compiled'!A79)=0,SUMIFS('2022 Skill Pos Stats'!M:M,'2022 Skill Pos Stats'!A:A,'Skill Pos Compiled'!A79),SUMIFS('Total Rushing Yards'!E:E,'Total Rushing Yards'!A:A,'Skill Pos Compiled'!A79))</f>
        <v>303.38461538461542</v>
      </c>
      <c r="F79" s="7">
        <f>IF(SUMIFS('Total Rushing Touchdowns'!B:B,'Total Rushing Touchdowns'!A:A,'Skill Pos Compiled'!A79)=0,SUMIFS('2022 Skill Pos Stats'!N:N,'2022 Skill Pos Stats'!A:A,'Skill Pos Compiled'!A79),SUMIFS('Total Rushing Touchdowns'!B:B,'Total Rushing Touchdowns'!A:A,'Skill Pos Compiled'!A79))</f>
        <v>3.9230769230769234</v>
      </c>
      <c r="G79" s="7">
        <f>IF(SUMIFS('Total Receptions'!B:B,'Total Receptions'!A:A,'Skill Pos Compiled'!A79)=0,SUMIFS('2022 Skill Pos Stats'!O:O,'2022 Skill Pos Stats'!A:A,'Skill Pos Compiled'!A79),SUMIFS('Total Receptions'!B:B,'Total Receptions'!A:A,'Skill Pos Compiled'!A79))</f>
        <v>59.5</v>
      </c>
      <c r="H79" s="7">
        <f>IF(SUMIFS('Total Receiving Yards'!E:E,'Total Receiving Yards'!A:A,'Skill Pos Compiled'!A79)=0,SUMIFS('2022 Skill Pos Stats'!P:P,'2022 Skill Pos Stats'!A:A,'Skill Pos Compiled'!A79),SUMIFS('Total Receiving Yards'!E:E,'Total Receiving Yards'!A:A,'Skill Pos Compiled'!A79))</f>
        <v>750.5</v>
      </c>
      <c r="I79" s="7">
        <f>IF(SUMIFS('Total Receiving Touchdowns'!E:E,'Total Receiving Touchdowns'!A:A,'Skill Pos Compiled'!A79)=0,SUMIFS('2022 Skill Pos Stats'!Q:Q,'2022 Skill Pos Stats'!A:A,'Skill Pos Compiled'!A79),SUMIFS('Total Receiving Touchdowns'!E:E,'Total Receiving Touchdowns'!A:A,'Skill Pos Compiled'!A79))</f>
        <v>4.5</v>
      </c>
      <c r="J79" s="5">
        <f>_xlfn.XLOOKUP(E$1,Pt_System[Stat],Pt_System[Pts])*E79</f>
        <v>30.338461538461544</v>
      </c>
      <c r="K79" s="5">
        <f>_xlfn.XLOOKUP(F$1,Pt_System[Stat],Pt_System[Pts])*F79</f>
        <v>23.53846153846154</v>
      </c>
      <c r="L79" s="5">
        <f>_xlfn.XLOOKUP(G$1,Pt_System[Stat],Pt_System[Pts])*G79</f>
        <v>59.5</v>
      </c>
      <c r="M79" s="5">
        <f>_xlfn.XLOOKUP(H$1,Pt_System[Stat],Pt_System[Pts])*H79</f>
        <v>75.05</v>
      </c>
      <c r="N79" s="5">
        <f>_xlfn.XLOOKUP(I$1,Pt_System[Stat],Pt_System[Pts])*I79</f>
        <v>27</v>
      </c>
      <c r="O79" t="str">
        <f>IF(COUNTIFS('Total Rushing Yards'!A:A,'Skill Pos Compiled'!$A79)=1,"Vegas Odds","2022 Stats / Prediction")</f>
        <v>2022 Stats / Prediction</v>
      </c>
      <c r="P79" t="str">
        <f>IF(COUNTIFS('Total Rushing Touchdowns'!A:A,'Skill Pos Compiled'!$A79)=1,"Vegas Odds","2022 Stats / Prediction")</f>
        <v>2022 Stats / Prediction</v>
      </c>
      <c r="Q79" t="str">
        <f>IF(COUNTIFS('Total Receptions'!A:A,'Skill Pos Compiled'!$A79)=1,"Vegas Odds","2022 Stats / Prediction")</f>
        <v>Vegas Odds</v>
      </c>
      <c r="R79" t="str">
        <f>IF(COUNTIFS('Total Receiving Yards'!A:A,'Skill Pos Compiled'!$A79)=1,"Vegas Odds","2022 Stats / Prediction")</f>
        <v>Vegas Odds</v>
      </c>
      <c r="S79" t="str">
        <f>IF(COUNTIFS('Total Receiving Touchdowns'!A:A,'Skill Pos Compiled'!$A79)=1,"Vegas Odds","2022 Stats / Prediction")</f>
        <v>Vegas Odds</v>
      </c>
      <c r="T79" s="10" t="str">
        <f t="shared" si="7"/>
        <v>OK</v>
      </c>
    </row>
    <row r="80" spans="1:20" x14ac:dyDescent="0.25">
      <c r="A80" t="s">
        <v>279</v>
      </c>
      <c r="B80" t="str">
        <f>_xlfn.XLOOKUP(A80,ADP!A:A,ADP!B:B)</f>
        <v>WR</v>
      </c>
      <c r="C80" s="9">
        <f t="shared" si="5"/>
        <v>221.3642857142857</v>
      </c>
      <c r="D80" s="9">
        <f t="shared" si="6"/>
        <v>962.92857142857133</v>
      </c>
      <c r="E80" s="7">
        <f>IF(SUMIFS('Total Rushing Yards'!E:E,'Total Rushing Yards'!A:A,'Skill Pos Compiled'!A80)=0,SUMIFS('2022 Skill Pos Stats'!M:M,'2022 Skill Pos Stats'!A:A,'Skill Pos Compiled'!A80),SUMIFS('Total Rushing Yards'!E:E,'Total Rushing Yards'!A:A,'Skill Pos Compiled'!A80))</f>
        <v>-13.357142857142856</v>
      </c>
      <c r="F80" s="7">
        <f>IF(SUMIFS('Total Rushing Touchdowns'!B:B,'Total Rushing Touchdowns'!A:A,'Skill Pos Compiled'!A80)=0,SUMIFS('2022 Skill Pos Stats'!N:N,'2022 Skill Pos Stats'!A:A,'Skill Pos Compiled'!A80),SUMIFS('Total Rushing Touchdowns'!B:B,'Total Rushing Touchdowns'!A:A,'Skill Pos Compiled'!A80))</f>
        <v>0</v>
      </c>
      <c r="G80" s="7">
        <f>IF(SUMIFS('Total Receptions'!B:B,'Total Receptions'!A:A,'Skill Pos Compiled'!A80)=0,SUMIFS('2022 Skill Pos Stats'!O:O,'2022 Skill Pos Stats'!A:A,'Skill Pos Compiled'!A80),SUMIFS('Total Receptions'!B:B,'Total Receptions'!A:A,'Skill Pos Compiled'!A80))</f>
        <v>81.357142857142847</v>
      </c>
      <c r="H80" s="7">
        <f>IF(SUMIFS('Total Receiving Yards'!E:E,'Total Receiving Yards'!A:A,'Skill Pos Compiled'!A80)=0,SUMIFS('2022 Skill Pos Stats'!P:P,'2022 Skill Pos Stats'!A:A,'Skill Pos Compiled'!A80),SUMIFS('Total Receiving Yards'!E:E,'Total Receiving Yards'!A:A,'Skill Pos Compiled'!A80))</f>
        <v>976.28571428571422</v>
      </c>
      <c r="I80" s="7">
        <f>IF(SUMIFS('Total Receiving Touchdowns'!E:E,'Total Receiving Touchdowns'!A:A,'Skill Pos Compiled'!A80)=0,SUMIFS('2022 Skill Pos Stats'!Q:Q,'2022 Skill Pos Stats'!A:A,'Skill Pos Compiled'!A80),SUMIFS('Total Receiving Touchdowns'!E:E,'Total Receiving Touchdowns'!A:A,'Skill Pos Compiled'!A80))</f>
        <v>7.2857142857142847</v>
      </c>
      <c r="J80" s="5">
        <f>_xlfn.XLOOKUP(E$1,Pt_System[Stat],Pt_System[Pts])*E80</f>
        <v>-1.3357142857142856</v>
      </c>
      <c r="K80" s="5">
        <f>_xlfn.XLOOKUP(F$1,Pt_System[Stat],Pt_System[Pts])*F80</f>
        <v>0</v>
      </c>
      <c r="L80" s="5">
        <f>_xlfn.XLOOKUP(G$1,Pt_System[Stat],Pt_System[Pts])*G80</f>
        <v>81.357142857142847</v>
      </c>
      <c r="M80" s="5">
        <f>_xlfn.XLOOKUP(H$1,Pt_System[Stat],Pt_System[Pts])*H80</f>
        <v>97.628571428571433</v>
      </c>
      <c r="N80" s="5">
        <f>_xlfn.XLOOKUP(I$1,Pt_System[Stat],Pt_System[Pts])*I80</f>
        <v>43.714285714285708</v>
      </c>
      <c r="O80" t="str">
        <f>IF(COUNTIFS('Total Rushing Yards'!A:A,'Skill Pos Compiled'!$A80)=1,"Vegas Odds","2022 Stats / Prediction")</f>
        <v>2022 Stats / Prediction</v>
      </c>
      <c r="P80" t="str">
        <f>IF(COUNTIFS('Total Rushing Touchdowns'!A:A,'Skill Pos Compiled'!$A80)=1,"Vegas Odds","2022 Stats / Prediction")</f>
        <v>2022 Stats / Prediction</v>
      </c>
      <c r="Q80" t="str">
        <f>IF(COUNTIFS('Total Receptions'!A:A,'Skill Pos Compiled'!$A80)=1,"Vegas Odds","2022 Stats / Prediction")</f>
        <v>2022 Stats / Prediction</v>
      </c>
      <c r="R80" t="str">
        <f>IF(COUNTIFS('Total Receiving Yards'!A:A,'Skill Pos Compiled'!$A80)=1,"Vegas Odds","2022 Stats / Prediction")</f>
        <v>2022 Stats / Prediction</v>
      </c>
      <c r="S80" t="str">
        <f>IF(COUNTIFS('Total Receiving Touchdowns'!A:A,'Skill Pos Compiled'!$A80)=1,"Vegas Odds","2022 Stats / Prediction")</f>
        <v>2022 Stats / Prediction</v>
      </c>
      <c r="T80" s="10" t="str">
        <f t="shared" si="7"/>
        <v>Unpredictable</v>
      </c>
    </row>
    <row r="81" spans="1:20" x14ac:dyDescent="0.25">
      <c r="A81" t="s">
        <v>11</v>
      </c>
      <c r="B81" t="str">
        <f>_xlfn.XLOOKUP(A81,ADP!A:A,ADP!B:B)</f>
        <v>WR</v>
      </c>
      <c r="C81" s="9">
        <f t="shared" si="5"/>
        <v>144.5</v>
      </c>
      <c r="D81" s="9">
        <f t="shared" si="6"/>
        <v>650</v>
      </c>
      <c r="E81" s="7">
        <f>IF(SUMIFS('Total Rushing Yards'!E:E,'Total Rushing Yards'!A:A,'Skill Pos Compiled'!A81)=0,SUMIFS('2022 Skill Pos Stats'!M:M,'2022 Skill Pos Stats'!A:A,'Skill Pos Compiled'!A81),SUMIFS('Total Rushing Yards'!E:E,'Total Rushing Yards'!A:A,'Skill Pos Compiled'!A81))</f>
        <v>0</v>
      </c>
      <c r="F81" s="7">
        <f>IF(SUMIFS('Total Rushing Touchdowns'!B:B,'Total Rushing Touchdowns'!A:A,'Skill Pos Compiled'!A81)=0,SUMIFS('2022 Skill Pos Stats'!N:N,'2022 Skill Pos Stats'!A:A,'Skill Pos Compiled'!A81),SUMIFS('Total Rushing Touchdowns'!B:B,'Total Rushing Touchdowns'!A:A,'Skill Pos Compiled'!A81))</f>
        <v>0</v>
      </c>
      <c r="G81" s="7">
        <f>IF(SUMIFS('Total Receptions'!B:B,'Total Receptions'!A:A,'Skill Pos Compiled'!A81)=0,SUMIFS('2022 Skill Pos Stats'!O:O,'2022 Skill Pos Stats'!A:A,'Skill Pos Compiled'!A81),SUMIFS('Total Receptions'!B:B,'Total Receptions'!A:A,'Skill Pos Compiled'!A81))</f>
        <v>52.5</v>
      </c>
      <c r="H81" s="7">
        <f>IF(SUMIFS('Total Receiving Yards'!E:E,'Total Receiving Yards'!A:A,'Skill Pos Compiled'!A81)=0,SUMIFS('2022 Skill Pos Stats'!P:P,'2022 Skill Pos Stats'!A:A,'Skill Pos Compiled'!A81),SUMIFS('Total Receiving Yards'!E:E,'Total Receiving Yards'!A:A,'Skill Pos Compiled'!A81))</f>
        <v>650</v>
      </c>
      <c r="I81" s="7">
        <f>IF(SUMIFS('Total Receiving Touchdowns'!E:E,'Total Receiving Touchdowns'!A:A,'Skill Pos Compiled'!A81)=0,SUMIFS('2022 Skill Pos Stats'!Q:Q,'2022 Skill Pos Stats'!A:A,'Skill Pos Compiled'!A81),SUMIFS('Total Receiving Touchdowns'!E:E,'Total Receiving Touchdowns'!A:A,'Skill Pos Compiled'!A81))</f>
        <v>4.5</v>
      </c>
      <c r="J81" s="5">
        <f>_xlfn.XLOOKUP(E$1,Pt_System[Stat],Pt_System[Pts])*E81</f>
        <v>0</v>
      </c>
      <c r="K81" s="5">
        <f>_xlfn.XLOOKUP(F$1,Pt_System[Stat],Pt_System[Pts])*F81</f>
        <v>0</v>
      </c>
      <c r="L81" s="5">
        <f>_xlfn.XLOOKUP(G$1,Pt_System[Stat],Pt_System[Pts])*G81</f>
        <v>52.5</v>
      </c>
      <c r="M81" s="5">
        <f>_xlfn.XLOOKUP(H$1,Pt_System[Stat],Pt_System[Pts])*H81</f>
        <v>65</v>
      </c>
      <c r="N81" s="5">
        <f>_xlfn.XLOOKUP(I$1,Pt_System[Stat],Pt_System[Pts])*I81</f>
        <v>27</v>
      </c>
      <c r="O81" t="str">
        <f>IF(COUNTIFS('Total Rushing Yards'!A:A,'Skill Pos Compiled'!$A81)=1,"Vegas Odds","2022 Stats / Prediction")</f>
        <v>2022 Stats / Prediction</v>
      </c>
      <c r="P81" t="str">
        <f>IF(COUNTIFS('Total Rushing Touchdowns'!A:A,'Skill Pos Compiled'!$A81)=1,"Vegas Odds","2022 Stats / Prediction")</f>
        <v>2022 Stats / Prediction</v>
      </c>
      <c r="Q81" t="str">
        <f>IF(COUNTIFS('Total Receptions'!A:A,'Skill Pos Compiled'!$A81)=1,"Vegas Odds","2022 Stats / Prediction")</f>
        <v>Vegas Odds</v>
      </c>
      <c r="R81" t="str">
        <f>IF(COUNTIFS('Total Receiving Yards'!A:A,'Skill Pos Compiled'!$A81)=1,"Vegas Odds","2022 Stats / Prediction")</f>
        <v>Vegas Odds</v>
      </c>
      <c r="S81" t="str">
        <f>IF(COUNTIFS('Total Receiving Touchdowns'!A:A,'Skill Pos Compiled'!$A81)=1,"Vegas Odds","2022 Stats / Prediction")</f>
        <v>Vegas Odds</v>
      </c>
      <c r="T81" s="10" t="str">
        <f t="shared" si="7"/>
        <v>OK</v>
      </c>
    </row>
    <row r="82" spans="1:20" x14ac:dyDescent="0.25">
      <c r="A82" t="s">
        <v>280</v>
      </c>
      <c r="B82" t="str">
        <f>_xlfn.XLOOKUP(A82,ADP!A:A,ADP!B:B)</f>
        <v>WR</v>
      </c>
      <c r="C82" s="9">
        <f t="shared" si="5"/>
        <v>178.3</v>
      </c>
      <c r="D82" s="9">
        <f t="shared" si="6"/>
        <v>843</v>
      </c>
      <c r="E82" s="7">
        <f>IF(SUMIFS('Total Rushing Yards'!E:E,'Total Rushing Yards'!A:A,'Skill Pos Compiled'!A82)=0,SUMIFS('2022 Skill Pos Stats'!M:M,'2022 Skill Pos Stats'!A:A,'Skill Pos Compiled'!A82),SUMIFS('Total Rushing Yards'!E:E,'Total Rushing Yards'!A:A,'Skill Pos Compiled'!A82))</f>
        <v>187</v>
      </c>
      <c r="F82" s="7">
        <f>IF(SUMIFS('Total Rushing Touchdowns'!B:B,'Total Rushing Touchdowns'!A:A,'Skill Pos Compiled'!A82)=0,SUMIFS('2022 Skill Pos Stats'!N:N,'2022 Skill Pos Stats'!A:A,'Skill Pos Compiled'!A82),SUMIFS('Total Rushing Touchdowns'!B:B,'Total Rushing Touchdowns'!A:A,'Skill Pos Compiled'!A82))</f>
        <v>1</v>
      </c>
      <c r="G82" s="7">
        <f>IF(SUMIFS('Total Receptions'!B:B,'Total Receptions'!A:A,'Skill Pos Compiled'!A82)=0,SUMIFS('2022 Skill Pos Stats'!O:O,'2022 Skill Pos Stats'!A:A,'Skill Pos Compiled'!A82),SUMIFS('Total Receptions'!B:B,'Total Receptions'!A:A,'Skill Pos Compiled'!A82))</f>
        <v>64</v>
      </c>
      <c r="H82" s="7">
        <f>IF(SUMIFS('Total Receiving Yards'!E:E,'Total Receiving Yards'!A:A,'Skill Pos Compiled'!A82)=0,SUMIFS('2022 Skill Pos Stats'!P:P,'2022 Skill Pos Stats'!A:A,'Skill Pos Compiled'!A82),SUMIFS('Total Receiving Yards'!E:E,'Total Receiving Yards'!A:A,'Skill Pos Compiled'!A82))</f>
        <v>656</v>
      </c>
      <c r="I82" s="7">
        <f>IF(SUMIFS('Total Receiving Touchdowns'!E:E,'Total Receiving Touchdowns'!A:A,'Skill Pos Compiled'!A82)=0,SUMIFS('2022 Skill Pos Stats'!Q:Q,'2022 Skill Pos Stats'!A:A,'Skill Pos Compiled'!A82),SUMIFS('Total Receiving Touchdowns'!E:E,'Total Receiving Touchdowns'!A:A,'Skill Pos Compiled'!A82))</f>
        <v>4</v>
      </c>
      <c r="J82" s="5">
        <f>_xlfn.XLOOKUP(E$1,Pt_System[Stat],Pt_System[Pts])*E82</f>
        <v>18.7</v>
      </c>
      <c r="K82" s="5">
        <f>_xlfn.XLOOKUP(F$1,Pt_System[Stat],Pt_System[Pts])*F82</f>
        <v>6</v>
      </c>
      <c r="L82" s="5">
        <f>_xlfn.XLOOKUP(G$1,Pt_System[Stat],Pt_System[Pts])*G82</f>
        <v>64</v>
      </c>
      <c r="M82" s="5">
        <f>_xlfn.XLOOKUP(H$1,Pt_System[Stat],Pt_System[Pts])*H82</f>
        <v>65.600000000000009</v>
      </c>
      <c r="N82" s="5">
        <f>_xlfn.XLOOKUP(I$1,Pt_System[Stat],Pt_System[Pts])*I82</f>
        <v>24</v>
      </c>
      <c r="O82" t="str">
        <f>IF(COUNTIFS('Total Rushing Yards'!A:A,'Skill Pos Compiled'!$A82)=1,"Vegas Odds","2022 Stats / Prediction")</f>
        <v>2022 Stats / Prediction</v>
      </c>
      <c r="P82" t="str">
        <f>IF(COUNTIFS('Total Rushing Touchdowns'!A:A,'Skill Pos Compiled'!$A82)=1,"Vegas Odds","2022 Stats / Prediction")</f>
        <v>2022 Stats / Prediction</v>
      </c>
      <c r="Q82" t="str">
        <f>IF(COUNTIFS('Total Receptions'!A:A,'Skill Pos Compiled'!$A82)=1,"Vegas Odds","2022 Stats / Prediction")</f>
        <v>2022 Stats / Prediction</v>
      </c>
      <c r="R82" t="str">
        <f>IF(COUNTIFS('Total Receiving Yards'!A:A,'Skill Pos Compiled'!$A82)=1,"Vegas Odds","2022 Stats / Prediction")</f>
        <v>2022 Stats / Prediction</v>
      </c>
      <c r="S82" t="str">
        <f>IF(COUNTIFS('Total Receiving Touchdowns'!A:A,'Skill Pos Compiled'!$A82)=1,"Vegas Odds","2022 Stats / Prediction")</f>
        <v>2022 Stats / Prediction</v>
      </c>
      <c r="T82" s="10" t="str">
        <f t="shared" si="7"/>
        <v>Unpredictable</v>
      </c>
    </row>
    <row r="83" spans="1:20" x14ac:dyDescent="0.25">
      <c r="A83" t="s">
        <v>281</v>
      </c>
      <c r="B83" t="str">
        <f>_xlfn.XLOOKUP(A83,ADP!A:A,ADP!B:B)</f>
        <v>WR</v>
      </c>
      <c r="C83" s="9">
        <f t="shared" si="5"/>
        <v>208.35624999999999</v>
      </c>
      <c r="D83" s="9">
        <f t="shared" si="6"/>
        <v>893.5625</v>
      </c>
      <c r="E83" s="7">
        <f>IF(SUMIFS('Total Rushing Yards'!E:E,'Total Rushing Yards'!A:A,'Skill Pos Compiled'!A83)=0,SUMIFS('2022 Skill Pos Stats'!M:M,'2022 Skill Pos Stats'!A:A,'Skill Pos Compiled'!A83),SUMIFS('Total Rushing Yards'!E:E,'Total Rushing Yards'!A:A,'Skill Pos Compiled'!A83))</f>
        <v>19.125</v>
      </c>
      <c r="F83" s="7">
        <f>IF(SUMIFS('Total Rushing Touchdowns'!B:B,'Total Rushing Touchdowns'!A:A,'Skill Pos Compiled'!A83)=0,SUMIFS('2022 Skill Pos Stats'!N:N,'2022 Skill Pos Stats'!A:A,'Skill Pos Compiled'!A83),SUMIFS('Total Rushing Touchdowns'!B:B,'Total Rushing Touchdowns'!A:A,'Skill Pos Compiled'!A83))</f>
        <v>0</v>
      </c>
      <c r="G83" s="7">
        <f>IF(SUMIFS('Total Receptions'!B:B,'Total Receptions'!A:A,'Skill Pos Compiled'!A83)=0,SUMIFS('2022 Skill Pos Stats'!O:O,'2022 Skill Pos Stats'!A:A,'Skill Pos Compiled'!A83),SUMIFS('Total Receptions'!B:B,'Total Receptions'!A:A,'Skill Pos Compiled'!A83))</f>
        <v>87.125</v>
      </c>
      <c r="H83" s="7">
        <f>IF(SUMIFS('Total Receiving Yards'!E:E,'Total Receiving Yards'!A:A,'Skill Pos Compiled'!A83)=0,SUMIFS('2022 Skill Pos Stats'!P:P,'2022 Skill Pos Stats'!A:A,'Skill Pos Compiled'!A83),SUMIFS('Total Receiving Yards'!E:E,'Total Receiving Yards'!A:A,'Skill Pos Compiled'!A83))</f>
        <v>874.4375</v>
      </c>
      <c r="I83" s="7">
        <f>IF(SUMIFS('Total Receiving Touchdowns'!E:E,'Total Receiving Touchdowns'!A:A,'Skill Pos Compiled'!A83)=0,SUMIFS('2022 Skill Pos Stats'!Q:Q,'2022 Skill Pos Stats'!A:A,'Skill Pos Compiled'!A83),SUMIFS('Total Receiving Touchdowns'!E:E,'Total Receiving Touchdowns'!A:A,'Skill Pos Compiled'!A83))</f>
        <v>5.3125</v>
      </c>
      <c r="J83" s="5">
        <f>_xlfn.XLOOKUP(E$1,Pt_System[Stat],Pt_System[Pts])*E83</f>
        <v>1.9125000000000001</v>
      </c>
      <c r="K83" s="5">
        <f>_xlfn.XLOOKUP(F$1,Pt_System[Stat],Pt_System[Pts])*F83</f>
        <v>0</v>
      </c>
      <c r="L83" s="5">
        <f>_xlfn.XLOOKUP(G$1,Pt_System[Stat],Pt_System[Pts])*G83</f>
        <v>87.125</v>
      </c>
      <c r="M83" s="5">
        <f>_xlfn.XLOOKUP(H$1,Pt_System[Stat],Pt_System[Pts])*H83</f>
        <v>87.443750000000009</v>
      </c>
      <c r="N83" s="5">
        <f>_xlfn.XLOOKUP(I$1,Pt_System[Stat],Pt_System[Pts])*I83</f>
        <v>31.875</v>
      </c>
      <c r="O83" t="str">
        <f>IF(COUNTIFS('Total Rushing Yards'!A:A,'Skill Pos Compiled'!$A83)=1,"Vegas Odds","2022 Stats / Prediction")</f>
        <v>2022 Stats / Prediction</v>
      </c>
      <c r="P83" t="str">
        <f>IF(COUNTIFS('Total Rushing Touchdowns'!A:A,'Skill Pos Compiled'!$A83)=1,"Vegas Odds","2022 Stats / Prediction")</f>
        <v>2022 Stats / Prediction</v>
      </c>
      <c r="Q83" t="str">
        <f>IF(COUNTIFS('Total Receptions'!A:A,'Skill Pos Compiled'!$A83)=1,"Vegas Odds","2022 Stats / Prediction")</f>
        <v>2022 Stats / Prediction</v>
      </c>
      <c r="R83" t="str">
        <f>IF(COUNTIFS('Total Receiving Yards'!A:A,'Skill Pos Compiled'!$A83)=1,"Vegas Odds","2022 Stats / Prediction")</f>
        <v>2022 Stats / Prediction</v>
      </c>
      <c r="S83" t="str">
        <f>IF(COUNTIFS('Total Receiving Touchdowns'!A:A,'Skill Pos Compiled'!$A83)=1,"Vegas Odds","2022 Stats / Prediction")</f>
        <v>2022 Stats / Prediction</v>
      </c>
      <c r="T83" s="10" t="str">
        <f t="shared" si="7"/>
        <v>Unpredictable</v>
      </c>
    </row>
    <row r="84" spans="1:20" x14ac:dyDescent="0.25">
      <c r="A84" t="s">
        <v>120</v>
      </c>
      <c r="B84" t="str">
        <f>_xlfn.XLOOKUP(A84,ADP!A:A,ADP!B:B)</f>
        <v>WR</v>
      </c>
      <c r="C84" s="9">
        <f t="shared" si="5"/>
        <v>173.85000000000002</v>
      </c>
      <c r="D84" s="9">
        <f t="shared" si="6"/>
        <v>833.5</v>
      </c>
      <c r="E84" s="7">
        <f>IF(SUMIFS('Total Rushing Yards'!E:E,'Total Rushing Yards'!A:A,'Skill Pos Compiled'!A84)=0,SUMIFS('2022 Skill Pos Stats'!M:M,'2022 Skill Pos Stats'!A:A,'Skill Pos Compiled'!A84),SUMIFS('Total Rushing Yards'!E:E,'Total Rushing Yards'!A:A,'Skill Pos Compiled'!A84))</f>
        <v>0</v>
      </c>
      <c r="F84" s="7">
        <f>IF(SUMIFS('Total Rushing Touchdowns'!B:B,'Total Rushing Touchdowns'!A:A,'Skill Pos Compiled'!A84)=0,SUMIFS('2022 Skill Pos Stats'!N:N,'2022 Skill Pos Stats'!A:A,'Skill Pos Compiled'!A84),SUMIFS('Total Rushing Touchdowns'!B:B,'Total Rushing Touchdowns'!A:A,'Skill Pos Compiled'!A84))</f>
        <v>0</v>
      </c>
      <c r="G84" s="7">
        <f>IF(SUMIFS('Total Receptions'!B:B,'Total Receptions'!A:A,'Skill Pos Compiled'!A84)=0,SUMIFS('2022 Skill Pos Stats'!O:O,'2022 Skill Pos Stats'!A:A,'Skill Pos Compiled'!A84),SUMIFS('Total Receptions'!B:B,'Total Receptions'!A:A,'Skill Pos Compiled'!A84))</f>
        <v>57.5</v>
      </c>
      <c r="H84" s="7">
        <f>IF(SUMIFS('Total Receiving Yards'!E:E,'Total Receiving Yards'!A:A,'Skill Pos Compiled'!A84)=0,SUMIFS('2022 Skill Pos Stats'!P:P,'2022 Skill Pos Stats'!A:A,'Skill Pos Compiled'!A84),SUMIFS('Total Receiving Yards'!E:E,'Total Receiving Yards'!A:A,'Skill Pos Compiled'!A84))</f>
        <v>833.5</v>
      </c>
      <c r="I84" s="7">
        <f>IF(SUMIFS('Total Receiving Touchdowns'!E:E,'Total Receiving Touchdowns'!A:A,'Skill Pos Compiled'!A84)=0,SUMIFS('2022 Skill Pos Stats'!Q:Q,'2022 Skill Pos Stats'!A:A,'Skill Pos Compiled'!A84),SUMIFS('Total Receiving Touchdowns'!E:E,'Total Receiving Touchdowns'!A:A,'Skill Pos Compiled'!A84))</f>
        <v>5.5</v>
      </c>
      <c r="J84" s="5">
        <f>_xlfn.XLOOKUP(E$1,Pt_System[Stat],Pt_System[Pts])*E84</f>
        <v>0</v>
      </c>
      <c r="K84" s="5">
        <f>_xlfn.XLOOKUP(F$1,Pt_System[Stat],Pt_System[Pts])*F84</f>
        <v>0</v>
      </c>
      <c r="L84" s="5">
        <f>_xlfn.XLOOKUP(G$1,Pt_System[Stat],Pt_System[Pts])*G84</f>
        <v>57.5</v>
      </c>
      <c r="M84" s="5">
        <f>_xlfn.XLOOKUP(H$1,Pt_System[Stat],Pt_System[Pts])*H84</f>
        <v>83.350000000000009</v>
      </c>
      <c r="N84" s="5">
        <f>_xlfn.XLOOKUP(I$1,Pt_System[Stat],Pt_System[Pts])*I84</f>
        <v>33</v>
      </c>
      <c r="O84" t="str">
        <f>IF(COUNTIFS('Total Rushing Yards'!A:A,'Skill Pos Compiled'!$A84)=1,"Vegas Odds","2022 Stats / Prediction")</f>
        <v>2022 Stats / Prediction</v>
      </c>
      <c r="P84" t="str">
        <f>IF(COUNTIFS('Total Rushing Touchdowns'!A:A,'Skill Pos Compiled'!$A84)=1,"Vegas Odds","2022 Stats / Prediction")</f>
        <v>2022 Stats / Prediction</v>
      </c>
      <c r="Q84" t="str">
        <f>IF(COUNTIFS('Total Receptions'!A:A,'Skill Pos Compiled'!$A84)=1,"Vegas Odds","2022 Stats / Prediction")</f>
        <v>Vegas Odds</v>
      </c>
      <c r="R84" t="str">
        <f>IF(COUNTIFS('Total Receiving Yards'!A:A,'Skill Pos Compiled'!$A84)=1,"Vegas Odds","2022 Stats / Prediction")</f>
        <v>Vegas Odds</v>
      </c>
      <c r="S84" t="str">
        <f>IF(COUNTIFS('Total Receiving Touchdowns'!A:A,'Skill Pos Compiled'!$A84)=1,"Vegas Odds","2022 Stats / Prediction")</f>
        <v>Vegas Odds</v>
      </c>
      <c r="T84" s="10" t="str">
        <f t="shared" si="7"/>
        <v>OK</v>
      </c>
    </row>
    <row r="85" spans="1:20" x14ac:dyDescent="0.25">
      <c r="A85" t="s">
        <v>12</v>
      </c>
      <c r="B85" t="str">
        <f>_xlfn.XLOOKUP(A85,ADP!A:A,ADP!B:B)</f>
        <v>WR</v>
      </c>
      <c r="C85" s="9">
        <f t="shared" si="5"/>
        <v>170.95000000000002</v>
      </c>
      <c r="D85" s="9">
        <f t="shared" si="6"/>
        <v>824.5</v>
      </c>
      <c r="E85" s="7">
        <f>IF(SUMIFS('Total Rushing Yards'!E:E,'Total Rushing Yards'!A:A,'Skill Pos Compiled'!A85)=0,SUMIFS('2022 Skill Pos Stats'!M:M,'2022 Skill Pos Stats'!A:A,'Skill Pos Compiled'!A85),SUMIFS('Total Rushing Yards'!E:E,'Total Rushing Yards'!A:A,'Skill Pos Compiled'!A85))</f>
        <v>24</v>
      </c>
      <c r="F85" s="7">
        <f>IF(SUMIFS('Total Rushing Touchdowns'!B:B,'Total Rushing Touchdowns'!A:A,'Skill Pos Compiled'!A85)=0,SUMIFS('2022 Skill Pos Stats'!N:N,'2022 Skill Pos Stats'!A:A,'Skill Pos Compiled'!A85),SUMIFS('Total Rushing Touchdowns'!B:B,'Total Rushing Touchdowns'!A:A,'Skill Pos Compiled'!A85))</f>
        <v>1</v>
      </c>
      <c r="G85" s="7">
        <f>IF(SUMIFS('Total Receptions'!B:B,'Total Receptions'!A:A,'Skill Pos Compiled'!A85)=0,SUMIFS('2022 Skill Pos Stats'!O:O,'2022 Skill Pos Stats'!A:A,'Skill Pos Compiled'!A85),SUMIFS('Total Receptions'!B:B,'Total Receptions'!A:A,'Skill Pos Compiled'!A85))</f>
        <v>55.5</v>
      </c>
      <c r="H85" s="7">
        <f>IF(SUMIFS('Total Receiving Yards'!E:E,'Total Receiving Yards'!A:A,'Skill Pos Compiled'!A85)=0,SUMIFS('2022 Skill Pos Stats'!P:P,'2022 Skill Pos Stats'!A:A,'Skill Pos Compiled'!A85),SUMIFS('Total Receiving Yards'!E:E,'Total Receiving Yards'!A:A,'Skill Pos Compiled'!A85))</f>
        <v>800.5</v>
      </c>
      <c r="I85" s="7">
        <f>IF(SUMIFS('Total Receiving Touchdowns'!E:E,'Total Receiving Touchdowns'!A:A,'Skill Pos Compiled'!A85)=0,SUMIFS('2022 Skill Pos Stats'!Q:Q,'2022 Skill Pos Stats'!A:A,'Skill Pos Compiled'!A85),SUMIFS('Total Receiving Touchdowns'!E:E,'Total Receiving Touchdowns'!A:A,'Skill Pos Compiled'!A85))</f>
        <v>4.5</v>
      </c>
      <c r="J85" s="5">
        <f>_xlfn.XLOOKUP(E$1,Pt_System[Stat],Pt_System[Pts])*E85</f>
        <v>2.4000000000000004</v>
      </c>
      <c r="K85" s="5">
        <f>_xlfn.XLOOKUP(F$1,Pt_System[Stat],Pt_System[Pts])*F85</f>
        <v>6</v>
      </c>
      <c r="L85" s="5">
        <f>_xlfn.XLOOKUP(G$1,Pt_System[Stat],Pt_System[Pts])*G85</f>
        <v>55.5</v>
      </c>
      <c r="M85" s="5">
        <f>_xlfn.XLOOKUP(H$1,Pt_System[Stat],Pt_System[Pts])*H85</f>
        <v>80.050000000000011</v>
      </c>
      <c r="N85" s="5">
        <f>_xlfn.XLOOKUP(I$1,Pt_System[Stat],Pt_System[Pts])*I85</f>
        <v>27</v>
      </c>
      <c r="O85" t="str">
        <f>IF(COUNTIFS('Total Rushing Yards'!A:A,'Skill Pos Compiled'!$A85)=1,"Vegas Odds","2022 Stats / Prediction")</f>
        <v>2022 Stats / Prediction</v>
      </c>
      <c r="P85" t="str">
        <f>IF(COUNTIFS('Total Rushing Touchdowns'!A:A,'Skill Pos Compiled'!$A85)=1,"Vegas Odds","2022 Stats / Prediction")</f>
        <v>2022 Stats / Prediction</v>
      </c>
      <c r="Q85" t="str">
        <f>IF(COUNTIFS('Total Receptions'!A:A,'Skill Pos Compiled'!$A85)=1,"Vegas Odds","2022 Stats / Prediction")</f>
        <v>Vegas Odds</v>
      </c>
      <c r="R85" t="str">
        <f>IF(COUNTIFS('Total Receiving Yards'!A:A,'Skill Pos Compiled'!$A85)=1,"Vegas Odds","2022 Stats / Prediction")</f>
        <v>Vegas Odds</v>
      </c>
      <c r="S85" t="str">
        <f>IF(COUNTIFS('Total Receiving Touchdowns'!A:A,'Skill Pos Compiled'!$A85)=1,"Vegas Odds","2022 Stats / Prediction")</f>
        <v>Vegas Odds</v>
      </c>
      <c r="T85" s="10" t="str">
        <f t="shared" si="7"/>
        <v>OK</v>
      </c>
    </row>
    <row r="86" spans="1:20" x14ac:dyDescent="0.25">
      <c r="A86" t="s">
        <v>124</v>
      </c>
      <c r="B86" t="str">
        <f>_xlfn.XLOOKUP(A86,ADP!A:A,ADP!B:B)</f>
        <v>WR</v>
      </c>
      <c r="C86" s="9">
        <f t="shared" si="5"/>
        <v>170.75</v>
      </c>
      <c r="D86" s="9">
        <f t="shared" si="6"/>
        <v>687.5</v>
      </c>
      <c r="E86" s="7">
        <f>IF(SUMIFS('Total Rushing Yards'!E:E,'Total Rushing Yards'!A:A,'Skill Pos Compiled'!A86)=0,SUMIFS('2022 Skill Pos Stats'!M:M,'2022 Skill Pos Stats'!A:A,'Skill Pos Compiled'!A86),SUMIFS('Total Rushing Yards'!E:E,'Total Rushing Yards'!A:A,'Skill Pos Compiled'!A86))</f>
        <v>0</v>
      </c>
      <c r="F86" s="7">
        <f>IF(SUMIFS('Total Rushing Touchdowns'!B:B,'Total Rushing Touchdowns'!A:A,'Skill Pos Compiled'!A86)=0,SUMIFS('2022 Skill Pos Stats'!N:N,'2022 Skill Pos Stats'!A:A,'Skill Pos Compiled'!A86),SUMIFS('Total Rushing Touchdowns'!B:B,'Total Rushing Touchdowns'!A:A,'Skill Pos Compiled'!A86))</f>
        <v>0</v>
      </c>
      <c r="G86" s="7">
        <f>IF(SUMIFS('Total Receptions'!B:B,'Total Receptions'!A:A,'Skill Pos Compiled'!A86)=0,SUMIFS('2022 Skill Pos Stats'!O:O,'2022 Skill Pos Stats'!A:A,'Skill Pos Compiled'!A86),SUMIFS('Total Receptions'!B:B,'Total Receptions'!A:A,'Skill Pos Compiled'!A86))</f>
        <v>82.875</v>
      </c>
      <c r="H86" s="7">
        <f>IF(SUMIFS('Total Receiving Yards'!E:E,'Total Receiving Yards'!A:A,'Skill Pos Compiled'!A86)=0,SUMIFS('2022 Skill Pos Stats'!P:P,'2022 Skill Pos Stats'!A:A,'Skill Pos Compiled'!A86),SUMIFS('Total Receiving Yards'!E:E,'Total Receiving Yards'!A:A,'Skill Pos Compiled'!A86))</f>
        <v>687.5</v>
      </c>
      <c r="I86" s="7">
        <f>IF(SUMIFS('Total Receiving Touchdowns'!E:E,'Total Receiving Touchdowns'!A:A,'Skill Pos Compiled'!A86)=0,SUMIFS('2022 Skill Pos Stats'!Q:Q,'2022 Skill Pos Stats'!A:A,'Skill Pos Compiled'!A86),SUMIFS('Total Receiving Touchdowns'!E:E,'Total Receiving Touchdowns'!A:A,'Skill Pos Compiled'!A86))</f>
        <v>3.1875</v>
      </c>
      <c r="J86" s="5">
        <f>_xlfn.XLOOKUP(E$1,Pt_System[Stat],Pt_System[Pts])*E86</f>
        <v>0</v>
      </c>
      <c r="K86" s="5">
        <f>_xlfn.XLOOKUP(F$1,Pt_System[Stat],Pt_System[Pts])*F86</f>
        <v>0</v>
      </c>
      <c r="L86" s="5">
        <f>_xlfn.XLOOKUP(G$1,Pt_System[Stat],Pt_System[Pts])*G86</f>
        <v>82.875</v>
      </c>
      <c r="M86" s="5">
        <f>_xlfn.XLOOKUP(H$1,Pt_System[Stat],Pt_System[Pts])*H86</f>
        <v>68.75</v>
      </c>
      <c r="N86" s="5">
        <f>_xlfn.XLOOKUP(I$1,Pt_System[Stat],Pt_System[Pts])*I86</f>
        <v>19.125</v>
      </c>
      <c r="O86" t="str">
        <f>IF(COUNTIFS('Total Rushing Yards'!A:A,'Skill Pos Compiled'!$A86)=1,"Vegas Odds","2022 Stats / Prediction")</f>
        <v>2022 Stats / Prediction</v>
      </c>
      <c r="P86" t="str">
        <f>IF(COUNTIFS('Total Rushing Touchdowns'!A:A,'Skill Pos Compiled'!$A86)=1,"Vegas Odds","2022 Stats / Prediction")</f>
        <v>2022 Stats / Prediction</v>
      </c>
      <c r="Q86" t="str">
        <f>IF(COUNTIFS('Total Receptions'!A:A,'Skill Pos Compiled'!$A86)=1,"Vegas Odds","2022 Stats / Prediction")</f>
        <v>2022 Stats / Prediction</v>
      </c>
      <c r="R86" t="str">
        <f>IF(COUNTIFS('Total Receiving Yards'!A:A,'Skill Pos Compiled'!$A86)=1,"Vegas Odds","2022 Stats / Prediction")</f>
        <v>Vegas Odds</v>
      </c>
      <c r="S86" t="str">
        <f>IF(COUNTIFS('Total Receiving Touchdowns'!A:A,'Skill Pos Compiled'!$A86)=1,"Vegas Odds","2022 Stats / Prediction")</f>
        <v>2022 Stats / Prediction</v>
      </c>
      <c r="T86" s="10" t="str">
        <f t="shared" si="7"/>
        <v>Unpredictable</v>
      </c>
    </row>
    <row r="87" spans="1:20" x14ac:dyDescent="0.25">
      <c r="A87" t="s">
        <v>14</v>
      </c>
      <c r="B87" t="str">
        <f>_xlfn.XLOOKUP(A87,ADP!A:A,ADP!B:B)</f>
        <v>WR</v>
      </c>
      <c r="C87" s="9">
        <f t="shared" si="5"/>
        <v>180.01666666666665</v>
      </c>
      <c r="D87" s="9">
        <f t="shared" si="6"/>
        <v>825.16666666666663</v>
      </c>
      <c r="E87" s="7">
        <f>IF(SUMIFS('Total Rushing Yards'!E:E,'Total Rushing Yards'!A:A,'Skill Pos Compiled'!A87)=0,SUMIFS('2022 Skill Pos Stats'!M:M,'2022 Skill Pos Stats'!A:A,'Skill Pos Compiled'!A87),SUMIFS('Total Rushing Yards'!E:E,'Total Rushing Yards'!A:A,'Skill Pos Compiled'!A87))</f>
        <v>0</v>
      </c>
      <c r="F87" s="7">
        <f>IF(SUMIFS('Total Rushing Touchdowns'!B:B,'Total Rushing Touchdowns'!A:A,'Skill Pos Compiled'!A87)=0,SUMIFS('2022 Skill Pos Stats'!N:N,'2022 Skill Pos Stats'!A:A,'Skill Pos Compiled'!A87),SUMIFS('Total Rushing Touchdowns'!B:B,'Total Rushing Touchdowns'!A:A,'Skill Pos Compiled'!A87))</f>
        <v>0</v>
      </c>
      <c r="G87" s="7">
        <f>IF(SUMIFS('Total Receptions'!B:B,'Total Receptions'!A:A,'Skill Pos Compiled'!A87)=0,SUMIFS('2022 Skill Pos Stats'!O:O,'2022 Skill Pos Stats'!A:A,'Skill Pos Compiled'!A87),SUMIFS('Total Receptions'!B:B,'Total Receptions'!A:A,'Skill Pos Compiled'!A87))</f>
        <v>70.5</v>
      </c>
      <c r="H87" s="7">
        <f>IF(SUMIFS('Total Receiving Yards'!E:E,'Total Receiving Yards'!A:A,'Skill Pos Compiled'!A87)=0,SUMIFS('2022 Skill Pos Stats'!P:P,'2022 Skill Pos Stats'!A:A,'Skill Pos Compiled'!A87),SUMIFS('Total Receiving Yards'!E:E,'Total Receiving Yards'!A:A,'Skill Pos Compiled'!A87))</f>
        <v>825.16666666666663</v>
      </c>
      <c r="I87" s="7">
        <f>IF(SUMIFS('Total Receiving Touchdowns'!E:E,'Total Receiving Touchdowns'!A:A,'Skill Pos Compiled'!A87)=0,SUMIFS('2022 Skill Pos Stats'!Q:Q,'2022 Skill Pos Stats'!A:A,'Skill Pos Compiled'!A87),SUMIFS('Total Receiving Touchdowns'!E:E,'Total Receiving Touchdowns'!A:A,'Skill Pos Compiled'!A87))</f>
        <v>4.5</v>
      </c>
      <c r="J87" s="5">
        <f>_xlfn.XLOOKUP(E$1,Pt_System[Stat],Pt_System[Pts])*E87</f>
        <v>0</v>
      </c>
      <c r="K87" s="5">
        <f>_xlfn.XLOOKUP(F$1,Pt_System[Stat],Pt_System[Pts])*F87</f>
        <v>0</v>
      </c>
      <c r="L87" s="5">
        <f>_xlfn.XLOOKUP(G$1,Pt_System[Stat],Pt_System[Pts])*G87</f>
        <v>70.5</v>
      </c>
      <c r="M87" s="5">
        <f>_xlfn.XLOOKUP(H$1,Pt_System[Stat],Pt_System[Pts])*H87</f>
        <v>82.516666666666666</v>
      </c>
      <c r="N87" s="5">
        <f>_xlfn.XLOOKUP(I$1,Pt_System[Stat],Pt_System[Pts])*I87</f>
        <v>27</v>
      </c>
      <c r="O87" t="str">
        <f>IF(COUNTIFS('Total Rushing Yards'!A:A,'Skill Pos Compiled'!$A87)=1,"Vegas Odds","2022 Stats / Prediction")</f>
        <v>2022 Stats / Prediction</v>
      </c>
      <c r="P87" t="str">
        <f>IF(COUNTIFS('Total Rushing Touchdowns'!A:A,'Skill Pos Compiled'!$A87)=1,"Vegas Odds","2022 Stats / Prediction")</f>
        <v>2022 Stats / Prediction</v>
      </c>
      <c r="Q87" t="str">
        <f>IF(COUNTIFS('Total Receptions'!A:A,'Skill Pos Compiled'!$A87)=1,"Vegas Odds","2022 Stats / Prediction")</f>
        <v>Vegas Odds</v>
      </c>
      <c r="R87" t="str">
        <f>IF(COUNTIFS('Total Receiving Yards'!A:A,'Skill Pos Compiled'!$A87)=1,"Vegas Odds","2022 Stats / Prediction")</f>
        <v>Vegas Odds</v>
      </c>
      <c r="S87" t="str">
        <f>IF(COUNTIFS('Total Receiving Touchdowns'!A:A,'Skill Pos Compiled'!$A87)=1,"Vegas Odds","2022 Stats / Prediction")</f>
        <v>Vegas Odds</v>
      </c>
      <c r="T87" s="10" t="str">
        <f t="shared" si="7"/>
        <v>OK</v>
      </c>
    </row>
    <row r="88" spans="1:20" x14ac:dyDescent="0.25">
      <c r="A88" t="s">
        <v>18</v>
      </c>
      <c r="B88" t="str">
        <f>_xlfn.XLOOKUP(A88,ADP!A:A,ADP!B:B)</f>
        <v>WR</v>
      </c>
      <c r="C88" s="9">
        <f t="shared" si="5"/>
        <v>137.9</v>
      </c>
      <c r="D88" s="9">
        <f t="shared" si="6"/>
        <v>554</v>
      </c>
      <c r="E88" s="7">
        <f>IF(SUMIFS('Total Rushing Yards'!E:E,'Total Rushing Yards'!A:A,'Skill Pos Compiled'!A88)=0,SUMIFS('2022 Skill Pos Stats'!M:M,'2022 Skill Pos Stats'!A:A,'Skill Pos Compiled'!A88),SUMIFS('Total Rushing Yards'!E:E,'Total Rushing Yards'!A:A,'Skill Pos Compiled'!A88))</f>
        <v>4</v>
      </c>
      <c r="F88" s="7">
        <f>IF(SUMIFS('Total Rushing Touchdowns'!B:B,'Total Rushing Touchdowns'!A:A,'Skill Pos Compiled'!A88)=0,SUMIFS('2022 Skill Pos Stats'!N:N,'2022 Skill Pos Stats'!A:A,'Skill Pos Compiled'!A88),SUMIFS('Total Rushing Touchdowns'!B:B,'Total Rushing Touchdowns'!A:A,'Skill Pos Compiled'!A88))</f>
        <v>0</v>
      </c>
      <c r="G88" s="7">
        <f>IF(SUMIFS('Total Receptions'!B:B,'Total Receptions'!A:A,'Skill Pos Compiled'!A88)=0,SUMIFS('2022 Skill Pos Stats'!O:O,'2022 Skill Pos Stats'!A:A,'Skill Pos Compiled'!A88),SUMIFS('Total Receptions'!B:B,'Total Receptions'!A:A,'Skill Pos Compiled'!A88))</f>
        <v>55.5</v>
      </c>
      <c r="H88" s="7">
        <f>IF(SUMIFS('Total Receiving Yards'!E:E,'Total Receiving Yards'!A:A,'Skill Pos Compiled'!A88)=0,SUMIFS('2022 Skill Pos Stats'!P:P,'2022 Skill Pos Stats'!A:A,'Skill Pos Compiled'!A88),SUMIFS('Total Receiving Yards'!E:E,'Total Receiving Yards'!A:A,'Skill Pos Compiled'!A88))</f>
        <v>550</v>
      </c>
      <c r="I88" s="7">
        <f>IF(SUMIFS('Total Receiving Touchdowns'!E:E,'Total Receiving Touchdowns'!A:A,'Skill Pos Compiled'!A88)=0,SUMIFS('2022 Skill Pos Stats'!Q:Q,'2022 Skill Pos Stats'!A:A,'Skill Pos Compiled'!A88),SUMIFS('Total Receiving Touchdowns'!E:E,'Total Receiving Touchdowns'!A:A,'Skill Pos Compiled'!A88))</f>
        <v>4.5</v>
      </c>
      <c r="J88" s="5">
        <f>_xlfn.XLOOKUP(E$1,Pt_System[Stat],Pt_System[Pts])*E88</f>
        <v>0.4</v>
      </c>
      <c r="K88" s="5">
        <f>_xlfn.XLOOKUP(F$1,Pt_System[Stat],Pt_System[Pts])*F88</f>
        <v>0</v>
      </c>
      <c r="L88" s="5">
        <f>_xlfn.XLOOKUP(G$1,Pt_System[Stat],Pt_System[Pts])*G88</f>
        <v>55.5</v>
      </c>
      <c r="M88" s="5">
        <f>_xlfn.XLOOKUP(H$1,Pt_System[Stat],Pt_System[Pts])*H88</f>
        <v>55</v>
      </c>
      <c r="N88" s="5">
        <f>_xlfn.XLOOKUP(I$1,Pt_System[Stat],Pt_System[Pts])*I88</f>
        <v>27</v>
      </c>
      <c r="O88" t="str">
        <f>IF(COUNTIFS('Total Rushing Yards'!A:A,'Skill Pos Compiled'!$A88)=1,"Vegas Odds","2022 Stats / Prediction")</f>
        <v>2022 Stats / Prediction</v>
      </c>
      <c r="P88" t="str">
        <f>IF(COUNTIFS('Total Rushing Touchdowns'!A:A,'Skill Pos Compiled'!$A88)=1,"Vegas Odds","2022 Stats / Prediction")</f>
        <v>2022 Stats / Prediction</v>
      </c>
      <c r="Q88" t="str">
        <f>IF(COUNTIFS('Total Receptions'!A:A,'Skill Pos Compiled'!$A88)=1,"Vegas Odds","2022 Stats / Prediction")</f>
        <v>Vegas Odds</v>
      </c>
      <c r="R88" t="str">
        <f>IF(COUNTIFS('Total Receiving Yards'!A:A,'Skill Pos Compiled'!$A88)=1,"Vegas Odds","2022 Stats / Prediction")</f>
        <v>Vegas Odds</v>
      </c>
      <c r="S88" t="str">
        <f>IF(COUNTIFS('Total Receiving Touchdowns'!A:A,'Skill Pos Compiled'!$A88)=1,"Vegas Odds","2022 Stats / Prediction")</f>
        <v>Vegas Odds</v>
      </c>
      <c r="T88" s="10" t="str">
        <f t="shared" si="7"/>
        <v>OK</v>
      </c>
    </row>
    <row r="89" spans="1:20" x14ac:dyDescent="0.25">
      <c r="A89" t="s">
        <v>110</v>
      </c>
      <c r="B89" t="str">
        <f>_xlfn.XLOOKUP(A89,ADP!A:A,ADP!B:B)</f>
        <v>WR</v>
      </c>
      <c r="C89" s="9">
        <f t="shared" si="5"/>
        <v>151.92500000000001</v>
      </c>
      <c r="D89" s="9">
        <f t="shared" si="6"/>
        <v>625.5</v>
      </c>
      <c r="E89" s="7">
        <f>IF(SUMIFS('Total Rushing Yards'!E:E,'Total Rushing Yards'!A:A,'Skill Pos Compiled'!A89)=0,SUMIFS('2022 Skill Pos Stats'!M:M,'2022 Skill Pos Stats'!A:A,'Skill Pos Compiled'!A89),SUMIFS('Total Rushing Yards'!E:E,'Total Rushing Yards'!A:A,'Skill Pos Compiled'!A89))</f>
        <v>0</v>
      </c>
      <c r="F89" s="7">
        <f>IF(SUMIFS('Total Rushing Touchdowns'!B:B,'Total Rushing Touchdowns'!A:A,'Skill Pos Compiled'!A89)=0,SUMIFS('2022 Skill Pos Stats'!N:N,'2022 Skill Pos Stats'!A:A,'Skill Pos Compiled'!A89),SUMIFS('Total Rushing Touchdowns'!B:B,'Total Rushing Touchdowns'!A:A,'Skill Pos Compiled'!A89))</f>
        <v>0</v>
      </c>
      <c r="G89" s="7">
        <f>IF(SUMIFS('Total Receptions'!B:B,'Total Receptions'!A:A,'Skill Pos Compiled'!A89)=0,SUMIFS('2022 Skill Pos Stats'!O:O,'2022 Skill Pos Stats'!A:A,'Skill Pos Compiled'!A89),SUMIFS('Total Receptions'!B:B,'Total Receptions'!A:A,'Skill Pos Compiled'!A89))</f>
        <v>57.5</v>
      </c>
      <c r="H89" s="7">
        <f>IF(SUMIFS('Total Receiving Yards'!E:E,'Total Receiving Yards'!A:A,'Skill Pos Compiled'!A89)=0,SUMIFS('2022 Skill Pos Stats'!P:P,'2022 Skill Pos Stats'!A:A,'Skill Pos Compiled'!A89),SUMIFS('Total Receiving Yards'!E:E,'Total Receiving Yards'!A:A,'Skill Pos Compiled'!A89))</f>
        <v>625.5</v>
      </c>
      <c r="I89" s="7">
        <f>IF(SUMIFS('Total Receiving Touchdowns'!E:E,'Total Receiving Touchdowns'!A:A,'Skill Pos Compiled'!A89)=0,SUMIFS('2022 Skill Pos Stats'!Q:Q,'2022 Skill Pos Stats'!A:A,'Skill Pos Compiled'!A89),SUMIFS('Total Receiving Touchdowns'!E:E,'Total Receiving Touchdowns'!A:A,'Skill Pos Compiled'!A89))</f>
        <v>5.3125</v>
      </c>
      <c r="J89" s="5">
        <f>_xlfn.XLOOKUP(E$1,Pt_System[Stat],Pt_System[Pts])*E89</f>
        <v>0</v>
      </c>
      <c r="K89" s="5">
        <f>_xlfn.XLOOKUP(F$1,Pt_System[Stat],Pt_System[Pts])*F89</f>
        <v>0</v>
      </c>
      <c r="L89" s="5">
        <f>_xlfn.XLOOKUP(G$1,Pt_System[Stat],Pt_System[Pts])*G89</f>
        <v>57.5</v>
      </c>
      <c r="M89" s="5">
        <f>_xlfn.XLOOKUP(H$1,Pt_System[Stat],Pt_System[Pts])*H89</f>
        <v>62.550000000000004</v>
      </c>
      <c r="N89" s="5">
        <f>_xlfn.XLOOKUP(I$1,Pt_System[Stat],Pt_System[Pts])*I89</f>
        <v>31.875</v>
      </c>
      <c r="O89" t="str">
        <f>IF(COUNTIFS('Total Rushing Yards'!A:A,'Skill Pos Compiled'!$A89)=1,"Vegas Odds","2022 Stats / Prediction")</f>
        <v>2022 Stats / Prediction</v>
      </c>
      <c r="P89" t="str">
        <f>IF(COUNTIFS('Total Rushing Touchdowns'!A:A,'Skill Pos Compiled'!$A89)=1,"Vegas Odds","2022 Stats / Prediction")</f>
        <v>2022 Stats / Prediction</v>
      </c>
      <c r="Q89" t="str">
        <f>IF(COUNTIFS('Total Receptions'!A:A,'Skill Pos Compiled'!$A89)=1,"Vegas Odds","2022 Stats / Prediction")</f>
        <v>Vegas Odds</v>
      </c>
      <c r="R89" t="str">
        <f>IF(COUNTIFS('Total Receiving Yards'!A:A,'Skill Pos Compiled'!$A89)=1,"Vegas Odds","2022 Stats / Prediction")</f>
        <v>Vegas Odds</v>
      </c>
      <c r="S89" t="str">
        <f>IF(COUNTIFS('Total Receiving Touchdowns'!A:A,'Skill Pos Compiled'!$A89)=1,"Vegas Odds","2022 Stats / Prediction")</f>
        <v>2022 Stats / Prediction</v>
      </c>
      <c r="T89" s="10" t="str">
        <f t="shared" si="7"/>
        <v>Unpredictable</v>
      </c>
    </row>
    <row r="90" spans="1:20" x14ac:dyDescent="0.25">
      <c r="A90" t="s">
        <v>114</v>
      </c>
      <c r="B90" t="str">
        <f>_xlfn.XLOOKUP(A90,ADP!A:A,ADP!B:B)</f>
        <v>WR</v>
      </c>
      <c r="C90" s="9">
        <f t="shared" si="5"/>
        <v>108.75</v>
      </c>
      <c r="D90" s="9">
        <f t="shared" si="6"/>
        <v>502.5</v>
      </c>
      <c r="E90" s="7">
        <f>IF(SUMIFS('Total Rushing Yards'!E:E,'Total Rushing Yards'!A:A,'Skill Pos Compiled'!A90)=0,SUMIFS('2022 Skill Pos Stats'!M:M,'2022 Skill Pos Stats'!A:A,'Skill Pos Compiled'!A90),SUMIFS('Total Rushing Yards'!E:E,'Total Rushing Yards'!A:A,'Skill Pos Compiled'!A90))</f>
        <v>2</v>
      </c>
      <c r="F90" s="7">
        <f>IF(SUMIFS('Total Rushing Touchdowns'!B:B,'Total Rushing Touchdowns'!A:A,'Skill Pos Compiled'!A90)=0,SUMIFS('2022 Skill Pos Stats'!N:N,'2022 Skill Pos Stats'!A:A,'Skill Pos Compiled'!A90),SUMIFS('Total Rushing Touchdowns'!B:B,'Total Rushing Touchdowns'!A:A,'Skill Pos Compiled'!A90))</f>
        <v>0</v>
      </c>
      <c r="G90" s="7">
        <f>IF(SUMIFS('Total Receptions'!B:B,'Total Receptions'!A:A,'Skill Pos Compiled'!A90)=0,SUMIFS('2022 Skill Pos Stats'!O:O,'2022 Skill Pos Stats'!A:A,'Skill Pos Compiled'!A90),SUMIFS('Total Receptions'!B:B,'Total Receptions'!A:A,'Skill Pos Compiled'!A90))</f>
        <v>40.5</v>
      </c>
      <c r="H90" s="7">
        <f>IF(SUMIFS('Total Receiving Yards'!E:E,'Total Receiving Yards'!A:A,'Skill Pos Compiled'!A90)=0,SUMIFS('2022 Skill Pos Stats'!P:P,'2022 Skill Pos Stats'!A:A,'Skill Pos Compiled'!A90),SUMIFS('Total Receiving Yards'!E:E,'Total Receiving Yards'!A:A,'Skill Pos Compiled'!A90))</f>
        <v>500.5</v>
      </c>
      <c r="I90" s="7">
        <f>IF(SUMIFS('Total Receiving Touchdowns'!E:E,'Total Receiving Touchdowns'!A:A,'Skill Pos Compiled'!A90)=0,SUMIFS('2022 Skill Pos Stats'!Q:Q,'2022 Skill Pos Stats'!A:A,'Skill Pos Compiled'!A90),SUMIFS('Total Receiving Touchdowns'!E:E,'Total Receiving Touchdowns'!A:A,'Skill Pos Compiled'!A90))</f>
        <v>3</v>
      </c>
      <c r="J90" s="5">
        <f>_xlfn.XLOOKUP(E$1,Pt_System[Stat],Pt_System[Pts])*E90</f>
        <v>0.2</v>
      </c>
      <c r="K90" s="5">
        <f>_xlfn.XLOOKUP(F$1,Pt_System[Stat],Pt_System[Pts])*F90</f>
        <v>0</v>
      </c>
      <c r="L90" s="5">
        <f>_xlfn.XLOOKUP(G$1,Pt_System[Stat],Pt_System[Pts])*G90</f>
        <v>40.5</v>
      </c>
      <c r="M90" s="5">
        <f>_xlfn.XLOOKUP(H$1,Pt_System[Stat],Pt_System[Pts])*H90</f>
        <v>50.050000000000004</v>
      </c>
      <c r="N90" s="5">
        <f>_xlfn.XLOOKUP(I$1,Pt_System[Stat],Pt_System[Pts])*I90</f>
        <v>18</v>
      </c>
      <c r="O90" t="str">
        <f>IF(COUNTIFS('Total Rushing Yards'!A:A,'Skill Pos Compiled'!$A90)=1,"Vegas Odds","2022 Stats / Prediction")</f>
        <v>2022 Stats / Prediction</v>
      </c>
      <c r="P90" t="str">
        <f>IF(COUNTIFS('Total Rushing Touchdowns'!A:A,'Skill Pos Compiled'!$A90)=1,"Vegas Odds","2022 Stats / Prediction")</f>
        <v>2022 Stats / Prediction</v>
      </c>
      <c r="Q90" t="str">
        <f>IF(COUNTIFS('Total Receptions'!A:A,'Skill Pos Compiled'!$A90)=1,"Vegas Odds","2022 Stats / Prediction")</f>
        <v>Vegas Odds</v>
      </c>
      <c r="R90" t="str">
        <f>IF(COUNTIFS('Total Receiving Yards'!A:A,'Skill Pos Compiled'!$A90)=1,"Vegas Odds","2022 Stats / Prediction")</f>
        <v>Vegas Odds</v>
      </c>
      <c r="S90" t="str">
        <f>IF(COUNTIFS('Total Receiving Touchdowns'!A:A,'Skill Pos Compiled'!$A90)=1,"Vegas Odds","2022 Stats / Prediction")</f>
        <v>2022 Stats / Prediction</v>
      </c>
      <c r="T90" s="10" t="str">
        <f t="shared" si="7"/>
        <v>Unpredictable</v>
      </c>
    </row>
    <row r="91" spans="1:20" x14ac:dyDescent="0.25">
      <c r="A91" t="s">
        <v>41</v>
      </c>
      <c r="B91" t="str">
        <f>_xlfn.XLOOKUP(A91,ADP!A:A,ADP!B:B)</f>
        <v>WR</v>
      </c>
      <c r="C91" s="9">
        <f t="shared" si="5"/>
        <v>229.07666666666665</v>
      </c>
      <c r="D91" s="9">
        <f t="shared" si="6"/>
        <v>905.76666666666665</v>
      </c>
      <c r="E91" s="7">
        <f>IF(SUMIFS('Total Rushing Yards'!E:E,'Total Rushing Yards'!A:A,'Skill Pos Compiled'!A91)=0,SUMIFS('2022 Skill Pos Stats'!M:M,'2022 Skill Pos Stats'!A:A,'Skill Pos Compiled'!A91),SUMIFS('Total Rushing Yards'!E:E,'Total Rushing Yards'!A:A,'Skill Pos Compiled'!A91))</f>
        <v>13.6</v>
      </c>
      <c r="F91" s="7">
        <f>IF(SUMIFS('Total Rushing Touchdowns'!B:B,'Total Rushing Touchdowns'!A:A,'Skill Pos Compiled'!A91)=0,SUMIFS('2022 Skill Pos Stats'!N:N,'2022 Skill Pos Stats'!A:A,'Skill Pos Compiled'!A91),SUMIFS('Total Rushing Touchdowns'!B:B,'Total Rushing Touchdowns'!A:A,'Skill Pos Compiled'!A91))</f>
        <v>0</v>
      </c>
      <c r="G91" s="7">
        <f>IF(SUMIFS('Total Receptions'!B:B,'Total Receptions'!A:A,'Skill Pos Compiled'!A91)=0,SUMIFS('2022 Skill Pos Stats'!O:O,'2022 Skill Pos Stats'!A:A,'Skill Pos Compiled'!A91),SUMIFS('Total Receptions'!B:B,'Total Receptions'!A:A,'Skill Pos Compiled'!A91))</f>
        <v>105.5</v>
      </c>
      <c r="H91" s="7">
        <f>IF(SUMIFS('Total Receiving Yards'!E:E,'Total Receiving Yards'!A:A,'Skill Pos Compiled'!A91)=0,SUMIFS('2022 Skill Pos Stats'!P:P,'2022 Skill Pos Stats'!A:A,'Skill Pos Compiled'!A91),SUMIFS('Total Receiving Yards'!E:E,'Total Receiving Yards'!A:A,'Skill Pos Compiled'!A91))</f>
        <v>892.16666666666663</v>
      </c>
      <c r="I91" s="7">
        <f>IF(SUMIFS('Total Receiving Touchdowns'!E:E,'Total Receiving Touchdowns'!A:A,'Skill Pos Compiled'!A91)=0,SUMIFS('2022 Skill Pos Stats'!Q:Q,'2022 Skill Pos Stats'!A:A,'Skill Pos Compiled'!A91),SUMIFS('Total Receiving Touchdowns'!E:E,'Total Receiving Touchdowns'!A:A,'Skill Pos Compiled'!A91))</f>
        <v>5.5</v>
      </c>
      <c r="J91" s="5">
        <f>_xlfn.XLOOKUP(E$1,Pt_System[Stat],Pt_System[Pts])*E91</f>
        <v>1.36</v>
      </c>
      <c r="K91" s="5">
        <f>_xlfn.XLOOKUP(F$1,Pt_System[Stat],Pt_System[Pts])*F91</f>
        <v>0</v>
      </c>
      <c r="L91" s="5">
        <f>_xlfn.XLOOKUP(G$1,Pt_System[Stat],Pt_System[Pts])*G91</f>
        <v>105.5</v>
      </c>
      <c r="M91" s="5">
        <f>_xlfn.XLOOKUP(H$1,Pt_System[Stat],Pt_System[Pts])*H91</f>
        <v>89.216666666666669</v>
      </c>
      <c r="N91" s="5">
        <f>_xlfn.XLOOKUP(I$1,Pt_System[Stat],Pt_System[Pts])*I91</f>
        <v>33</v>
      </c>
      <c r="O91" t="str">
        <f>IF(COUNTIFS('Total Rushing Yards'!A:A,'Skill Pos Compiled'!$A91)=1,"Vegas Odds","2022 Stats / Prediction")</f>
        <v>2022 Stats / Prediction</v>
      </c>
      <c r="P91" t="str">
        <f>IF(COUNTIFS('Total Rushing Touchdowns'!A:A,'Skill Pos Compiled'!$A91)=1,"Vegas Odds","2022 Stats / Prediction")</f>
        <v>2022 Stats / Prediction</v>
      </c>
      <c r="Q91" t="str">
        <f>IF(COUNTIFS('Total Receptions'!A:A,'Skill Pos Compiled'!$A91)=1,"Vegas Odds","2022 Stats / Prediction")</f>
        <v>Vegas Odds</v>
      </c>
      <c r="R91" t="str">
        <f>IF(COUNTIFS('Total Receiving Yards'!A:A,'Skill Pos Compiled'!$A91)=1,"Vegas Odds","2022 Stats / Prediction")</f>
        <v>Vegas Odds</v>
      </c>
      <c r="S91" t="str">
        <f>IF(COUNTIFS('Total Receiving Touchdowns'!A:A,'Skill Pos Compiled'!$A91)=1,"Vegas Odds","2022 Stats / Prediction")</f>
        <v>Vegas Odds</v>
      </c>
      <c r="T91" s="10" t="str">
        <f t="shared" si="7"/>
        <v>OK</v>
      </c>
    </row>
    <row r="92" spans="1:20" x14ac:dyDescent="0.25">
      <c r="A92" t="s">
        <v>282</v>
      </c>
      <c r="B92" t="str">
        <f>_xlfn.XLOOKUP(A92,ADP!A:A,ADP!B:B)</f>
        <v>WR</v>
      </c>
      <c r="C92" s="9">
        <f t="shared" si="5"/>
        <v>154</v>
      </c>
      <c r="D92" s="9">
        <f t="shared" si="6"/>
        <v>730</v>
      </c>
      <c r="E92" s="7">
        <f>IF(SUMIFS('Total Rushing Yards'!E:E,'Total Rushing Yards'!A:A,'Skill Pos Compiled'!A92)=0,SUMIFS('2022 Skill Pos Stats'!M:M,'2022 Skill Pos Stats'!A:A,'Skill Pos Compiled'!A92),SUMIFS('Total Rushing Yards'!E:E,'Total Rushing Yards'!A:A,'Skill Pos Compiled'!A92))</f>
        <v>40</v>
      </c>
      <c r="F92" s="7">
        <f>IF(SUMIFS('Total Rushing Touchdowns'!B:B,'Total Rushing Touchdowns'!A:A,'Skill Pos Compiled'!A92)=0,SUMIFS('2022 Skill Pos Stats'!N:N,'2022 Skill Pos Stats'!A:A,'Skill Pos Compiled'!A92),SUMIFS('Total Rushing Touchdowns'!B:B,'Total Rushing Touchdowns'!A:A,'Skill Pos Compiled'!A92))</f>
        <v>0</v>
      </c>
      <c r="G92" s="7">
        <f>IF(SUMIFS('Total Receptions'!B:B,'Total Receptions'!A:A,'Skill Pos Compiled'!A92)=0,SUMIFS('2022 Skill Pos Stats'!O:O,'2022 Skill Pos Stats'!A:A,'Skill Pos Compiled'!A92),SUMIFS('Total Receptions'!B:B,'Total Receptions'!A:A,'Skill Pos Compiled'!A92))</f>
        <v>57</v>
      </c>
      <c r="H92" s="7">
        <f>IF(SUMIFS('Total Receiving Yards'!E:E,'Total Receiving Yards'!A:A,'Skill Pos Compiled'!A92)=0,SUMIFS('2022 Skill Pos Stats'!P:P,'2022 Skill Pos Stats'!A:A,'Skill Pos Compiled'!A92),SUMIFS('Total Receiving Yards'!E:E,'Total Receiving Yards'!A:A,'Skill Pos Compiled'!A92))</f>
        <v>690</v>
      </c>
      <c r="I92" s="7">
        <f>IF(SUMIFS('Total Receiving Touchdowns'!E:E,'Total Receiving Touchdowns'!A:A,'Skill Pos Compiled'!A92)=0,SUMIFS('2022 Skill Pos Stats'!Q:Q,'2022 Skill Pos Stats'!A:A,'Skill Pos Compiled'!A92),SUMIFS('Total Receiving Touchdowns'!E:E,'Total Receiving Touchdowns'!A:A,'Skill Pos Compiled'!A92))</f>
        <v>4</v>
      </c>
      <c r="J92" s="5">
        <f>_xlfn.XLOOKUP(E$1,Pt_System[Stat],Pt_System[Pts])*E92</f>
        <v>4</v>
      </c>
      <c r="K92" s="5">
        <f>_xlfn.XLOOKUP(F$1,Pt_System[Stat],Pt_System[Pts])*F92</f>
        <v>0</v>
      </c>
      <c r="L92" s="5">
        <f>_xlfn.XLOOKUP(G$1,Pt_System[Stat],Pt_System[Pts])*G92</f>
        <v>57</v>
      </c>
      <c r="M92" s="5">
        <f>_xlfn.XLOOKUP(H$1,Pt_System[Stat],Pt_System[Pts])*H92</f>
        <v>69</v>
      </c>
      <c r="N92" s="5">
        <f>_xlfn.XLOOKUP(I$1,Pt_System[Stat],Pt_System[Pts])*I92</f>
        <v>24</v>
      </c>
      <c r="O92" t="str">
        <f>IF(COUNTIFS('Total Rushing Yards'!A:A,'Skill Pos Compiled'!$A92)=1,"Vegas Odds","2022 Stats / Prediction")</f>
        <v>2022 Stats / Prediction</v>
      </c>
      <c r="P92" t="str">
        <f>IF(COUNTIFS('Total Rushing Touchdowns'!A:A,'Skill Pos Compiled'!$A92)=1,"Vegas Odds","2022 Stats / Prediction")</f>
        <v>2022 Stats / Prediction</v>
      </c>
      <c r="Q92" t="str">
        <f>IF(COUNTIFS('Total Receptions'!A:A,'Skill Pos Compiled'!$A92)=1,"Vegas Odds","2022 Stats / Prediction")</f>
        <v>2022 Stats / Prediction</v>
      </c>
      <c r="R92" t="str">
        <f>IF(COUNTIFS('Total Receiving Yards'!A:A,'Skill Pos Compiled'!$A92)=1,"Vegas Odds","2022 Stats / Prediction")</f>
        <v>2022 Stats / Prediction</v>
      </c>
      <c r="S92" t="str">
        <f>IF(COUNTIFS('Total Receiving Touchdowns'!A:A,'Skill Pos Compiled'!$A92)=1,"Vegas Odds","2022 Stats / Prediction")</f>
        <v>2022 Stats / Prediction</v>
      </c>
      <c r="T92" s="10" t="str">
        <f t="shared" si="7"/>
        <v>Unpredictable</v>
      </c>
    </row>
    <row r="93" spans="1:20" x14ac:dyDescent="0.25">
      <c r="A93" t="s">
        <v>306</v>
      </c>
      <c r="B93" t="str">
        <f>_xlfn.XLOOKUP(A93,ADP!A:A,ADP!B:B)</f>
        <v>WR</v>
      </c>
      <c r="C93" s="9">
        <f t="shared" si="5"/>
        <v>155.6</v>
      </c>
      <c r="D93" s="9">
        <f t="shared" si="6"/>
        <v>656</v>
      </c>
      <c r="E93" s="7">
        <f>IF(SUMIFS('Total Rushing Yards'!E:E,'Total Rushing Yards'!A:A,'Skill Pos Compiled'!A93)=0,SUMIFS('2022 Skill Pos Stats'!M:M,'2022 Skill Pos Stats'!A:A,'Skill Pos Compiled'!A93),SUMIFS('Total Rushing Yards'!E:E,'Total Rushing Yards'!A:A,'Skill Pos Compiled'!A93))</f>
        <v>6</v>
      </c>
      <c r="F93" s="7">
        <f>IF(SUMIFS('Total Rushing Touchdowns'!B:B,'Total Rushing Touchdowns'!A:A,'Skill Pos Compiled'!A93)=0,SUMIFS('2022 Skill Pos Stats'!N:N,'2022 Skill Pos Stats'!A:A,'Skill Pos Compiled'!A93),SUMIFS('Total Rushing Touchdowns'!B:B,'Total Rushing Touchdowns'!A:A,'Skill Pos Compiled'!A93))</f>
        <v>0</v>
      </c>
      <c r="G93" s="7">
        <f>IF(SUMIFS('Total Receptions'!B:B,'Total Receptions'!A:A,'Skill Pos Compiled'!A93)=0,SUMIFS('2022 Skill Pos Stats'!O:O,'2022 Skill Pos Stats'!A:A,'Skill Pos Compiled'!A93),SUMIFS('Total Receptions'!B:B,'Total Receptions'!A:A,'Skill Pos Compiled'!A93))</f>
        <v>60</v>
      </c>
      <c r="H93" s="7">
        <f>IF(SUMIFS('Total Receiving Yards'!E:E,'Total Receiving Yards'!A:A,'Skill Pos Compiled'!A93)=0,SUMIFS('2022 Skill Pos Stats'!P:P,'2022 Skill Pos Stats'!A:A,'Skill Pos Compiled'!A93),SUMIFS('Total Receiving Yards'!E:E,'Total Receiving Yards'!A:A,'Skill Pos Compiled'!A93))</f>
        <v>650</v>
      </c>
      <c r="I93" s="7">
        <f>IF(SUMIFS('Total Receiving Touchdowns'!E:E,'Total Receiving Touchdowns'!A:A,'Skill Pos Compiled'!A93)=0,SUMIFS('2022 Skill Pos Stats'!Q:Q,'2022 Skill Pos Stats'!A:A,'Skill Pos Compiled'!A93),SUMIFS('Total Receiving Touchdowns'!E:E,'Total Receiving Touchdowns'!A:A,'Skill Pos Compiled'!A93))</f>
        <v>5</v>
      </c>
      <c r="J93" s="5">
        <f>_xlfn.XLOOKUP(E$1,Pt_System[Stat],Pt_System[Pts])*E93</f>
        <v>0.60000000000000009</v>
      </c>
      <c r="K93" s="5">
        <f>_xlfn.XLOOKUP(F$1,Pt_System[Stat],Pt_System[Pts])*F93</f>
        <v>0</v>
      </c>
      <c r="L93" s="5">
        <f>_xlfn.XLOOKUP(G$1,Pt_System[Stat],Pt_System[Pts])*G93</f>
        <v>60</v>
      </c>
      <c r="M93" s="5">
        <f>_xlfn.XLOOKUP(H$1,Pt_System[Stat],Pt_System[Pts])*H93</f>
        <v>65</v>
      </c>
      <c r="N93" s="5">
        <f>_xlfn.XLOOKUP(I$1,Pt_System[Stat],Pt_System[Pts])*I93</f>
        <v>30</v>
      </c>
      <c r="O93" t="str">
        <f>IF(COUNTIFS('Total Rushing Yards'!A:A,'Skill Pos Compiled'!$A93)=1,"Vegas Odds","2022 Stats / Prediction")</f>
        <v>2022 Stats / Prediction</v>
      </c>
      <c r="P93" t="str">
        <f>IF(COUNTIFS('Total Rushing Touchdowns'!A:A,'Skill Pos Compiled'!$A93)=1,"Vegas Odds","2022 Stats / Prediction")</f>
        <v>2022 Stats / Prediction</v>
      </c>
      <c r="Q93" t="str">
        <f>IF(COUNTIFS('Total Receptions'!A:A,'Skill Pos Compiled'!$A93)=1,"Vegas Odds","2022 Stats / Prediction")</f>
        <v>2022 Stats / Prediction</v>
      </c>
      <c r="R93" t="str">
        <f>IF(COUNTIFS('Total Receiving Yards'!A:A,'Skill Pos Compiled'!$A93)=1,"Vegas Odds","2022 Stats / Prediction")</f>
        <v>2022 Stats / Prediction</v>
      </c>
      <c r="S93" t="str">
        <f>IF(COUNTIFS('Total Receiving Touchdowns'!A:A,'Skill Pos Compiled'!$A93)=1,"Vegas Odds","2022 Stats / Prediction")</f>
        <v>2022 Stats / Prediction</v>
      </c>
      <c r="T93" s="10" t="str">
        <f t="shared" si="7"/>
        <v>Unpredictable</v>
      </c>
    </row>
    <row r="94" spans="1:20" x14ac:dyDescent="0.25">
      <c r="A94" t="s">
        <v>283</v>
      </c>
      <c r="B94" t="str">
        <f>_xlfn.XLOOKUP(A94,ADP!A:A,ADP!B:B)</f>
        <v>WR</v>
      </c>
      <c r="C94" s="9">
        <f t="shared" si="5"/>
        <v>180.65333333333334</v>
      </c>
      <c r="D94" s="9">
        <f t="shared" si="6"/>
        <v>945.19999999999993</v>
      </c>
      <c r="E94" s="7">
        <f>IF(SUMIFS('Total Rushing Yards'!E:E,'Total Rushing Yards'!A:A,'Skill Pos Compiled'!A94)=0,SUMIFS('2022 Skill Pos Stats'!M:M,'2022 Skill Pos Stats'!A:A,'Skill Pos Compiled'!A94),SUMIFS('Total Rushing Yards'!E:E,'Total Rushing Yards'!A:A,'Skill Pos Compiled'!A94))</f>
        <v>5.6666666666666661</v>
      </c>
      <c r="F94" s="7">
        <f>IF(SUMIFS('Total Rushing Touchdowns'!B:B,'Total Rushing Touchdowns'!A:A,'Skill Pos Compiled'!A94)=0,SUMIFS('2022 Skill Pos Stats'!N:N,'2022 Skill Pos Stats'!A:A,'Skill Pos Compiled'!A94),SUMIFS('Total Rushing Touchdowns'!B:B,'Total Rushing Touchdowns'!A:A,'Skill Pos Compiled'!A94))</f>
        <v>0</v>
      </c>
      <c r="G94" s="7">
        <f>IF(SUMIFS('Total Receptions'!B:B,'Total Receptions'!A:A,'Skill Pos Compiled'!A94)=0,SUMIFS('2022 Skill Pos Stats'!O:O,'2022 Skill Pos Stats'!A:A,'Skill Pos Compiled'!A94),SUMIFS('Total Receptions'!B:B,'Total Receptions'!A:A,'Skill Pos Compiled'!A94))</f>
        <v>72.533333333333331</v>
      </c>
      <c r="H94" s="7">
        <f>IF(SUMIFS('Total Receiving Yards'!E:E,'Total Receiving Yards'!A:A,'Skill Pos Compiled'!A94)=0,SUMIFS('2022 Skill Pos Stats'!P:P,'2022 Skill Pos Stats'!A:A,'Skill Pos Compiled'!A94),SUMIFS('Total Receiving Yards'!E:E,'Total Receiving Yards'!A:A,'Skill Pos Compiled'!A94))</f>
        <v>939.5333333333333</v>
      </c>
      <c r="I94" s="7">
        <f>IF(SUMIFS('Total Receiving Touchdowns'!E:E,'Total Receiving Touchdowns'!A:A,'Skill Pos Compiled'!A94)=0,SUMIFS('2022 Skill Pos Stats'!Q:Q,'2022 Skill Pos Stats'!A:A,'Skill Pos Compiled'!A94),SUMIFS('Total Receiving Touchdowns'!E:E,'Total Receiving Touchdowns'!A:A,'Skill Pos Compiled'!A94))</f>
        <v>2.2666666666666666</v>
      </c>
      <c r="J94" s="5">
        <f>_xlfn.XLOOKUP(E$1,Pt_System[Stat],Pt_System[Pts])*E94</f>
        <v>0.56666666666666665</v>
      </c>
      <c r="K94" s="5">
        <f>_xlfn.XLOOKUP(F$1,Pt_System[Stat],Pt_System[Pts])*F94</f>
        <v>0</v>
      </c>
      <c r="L94" s="5">
        <f>_xlfn.XLOOKUP(G$1,Pt_System[Stat],Pt_System[Pts])*G94</f>
        <v>72.533333333333331</v>
      </c>
      <c r="M94" s="5">
        <f>_xlfn.XLOOKUP(H$1,Pt_System[Stat],Pt_System[Pts])*H94</f>
        <v>93.953333333333333</v>
      </c>
      <c r="N94" s="5">
        <f>_xlfn.XLOOKUP(I$1,Pt_System[Stat],Pt_System[Pts])*I94</f>
        <v>13.6</v>
      </c>
      <c r="O94" t="str">
        <f>IF(COUNTIFS('Total Rushing Yards'!A:A,'Skill Pos Compiled'!$A94)=1,"Vegas Odds","2022 Stats / Prediction")</f>
        <v>2022 Stats / Prediction</v>
      </c>
      <c r="P94" t="str">
        <f>IF(COUNTIFS('Total Rushing Touchdowns'!A:A,'Skill Pos Compiled'!$A94)=1,"Vegas Odds","2022 Stats / Prediction")</f>
        <v>2022 Stats / Prediction</v>
      </c>
      <c r="Q94" t="str">
        <f>IF(COUNTIFS('Total Receptions'!A:A,'Skill Pos Compiled'!$A94)=1,"Vegas Odds","2022 Stats / Prediction")</f>
        <v>2022 Stats / Prediction</v>
      </c>
      <c r="R94" t="str">
        <f>IF(COUNTIFS('Total Receiving Yards'!A:A,'Skill Pos Compiled'!$A94)=1,"Vegas Odds","2022 Stats / Prediction")</f>
        <v>2022 Stats / Prediction</v>
      </c>
      <c r="S94" t="str">
        <f>IF(COUNTIFS('Total Receiving Touchdowns'!A:A,'Skill Pos Compiled'!$A94)=1,"Vegas Odds","2022 Stats / Prediction")</f>
        <v>2022 Stats / Prediction</v>
      </c>
      <c r="T94" s="10" t="str">
        <f t="shared" si="7"/>
        <v>Unpredictable</v>
      </c>
    </row>
    <row r="95" spans="1:20" x14ac:dyDescent="0.25">
      <c r="A95" t="s">
        <v>284</v>
      </c>
      <c r="B95" t="str">
        <f>_xlfn.XLOOKUP(A95,ADP!A:A,ADP!B:B)</f>
        <v>WR</v>
      </c>
      <c r="C95" s="9">
        <f t="shared" si="5"/>
        <v>177.75625000000002</v>
      </c>
      <c r="D95" s="9">
        <f t="shared" si="6"/>
        <v>821.3125</v>
      </c>
      <c r="E95" s="7">
        <f>IF(SUMIFS('Total Rushing Yards'!E:E,'Total Rushing Yards'!A:A,'Skill Pos Compiled'!A95)=0,SUMIFS('2022 Skill Pos Stats'!M:M,'2022 Skill Pos Stats'!A:A,'Skill Pos Compiled'!A95),SUMIFS('Total Rushing Yards'!E:E,'Total Rushing Yards'!A:A,'Skill Pos Compiled'!A95))</f>
        <v>4.25</v>
      </c>
      <c r="F95" s="7">
        <f>IF(SUMIFS('Total Rushing Touchdowns'!B:B,'Total Rushing Touchdowns'!A:A,'Skill Pos Compiled'!A95)=0,SUMIFS('2022 Skill Pos Stats'!N:N,'2022 Skill Pos Stats'!A:A,'Skill Pos Compiled'!A95),SUMIFS('Total Rushing Touchdowns'!B:B,'Total Rushing Touchdowns'!A:A,'Skill Pos Compiled'!A95))</f>
        <v>0</v>
      </c>
      <c r="G95" s="7">
        <f>IF(SUMIFS('Total Receptions'!B:B,'Total Receptions'!A:A,'Skill Pos Compiled'!A95)=0,SUMIFS('2022 Skill Pos Stats'!O:O,'2022 Skill Pos Stats'!A:A,'Skill Pos Compiled'!A95),SUMIFS('Total Receptions'!B:B,'Total Receptions'!A:A,'Skill Pos Compiled'!A95))</f>
        <v>76.5</v>
      </c>
      <c r="H95" s="7">
        <f>IF(SUMIFS('Total Receiving Yards'!E:E,'Total Receiving Yards'!A:A,'Skill Pos Compiled'!A95)=0,SUMIFS('2022 Skill Pos Stats'!P:P,'2022 Skill Pos Stats'!A:A,'Skill Pos Compiled'!A95),SUMIFS('Total Receiving Yards'!E:E,'Total Receiving Yards'!A:A,'Skill Pos Compiled'!A95))</f>
        <v>817.0625</v>
      </c>
      <c r="I95" s="7">
        <f>IF(SUMIFS('Total Receiving Touchdowns'!E:E,'Total Receiving Touchdowns'!A:A,'Skill Pos Compiled'!A95)=0,SUMIFS('2022 Skill Pos Stats'!Q:Q,'2022 Skill Pos Stats'!A:A,'Skill Pos Compiled'!A95),SUMIFS('Total Receiving Touchdowns'!E:E,'Total Receiving Touchdowns'!A:A,'Skill Pos Compiled'!A95))</f>
        <v>3.1875</v>
      </c>
      <c r="J95" s="5">
        <f>_xlfn.XLOOKUP(E$1,Pt_System[Stat],Pt_System[Pts])*E95</f>
        <v>0.42500000000000004</v>
      </c>
      <c r="K95" s="5">
        <f>_xlfn.XLOOKUP(F$1,Pt_System[Stat],Pt_System[Pts])*F95</f>
        <v>0</v>
      </c>
      <c r="L95" s="5">
        <f>_xlfn.XLOOKUP(G$1,Pt_System[Stat],Pt_System[Pts])*G95</f>
        <v>76.5</v>
      </c>
      <c r="M95" s="5">
        <f>_xlfn.XLOOKUP(H$1,Pt_System[Stat],Pt_System[Pts])*H95</f>
        <v>81.706250000000011</v>
      </c>
      <c r="N95" s="5">
        <f>_xlfn.XLOOKUP(I$1,Pt_System[Stat],Pt_System[Pts])*I95</f>
        <v>19.125</v>
      </c>
      <c r="O95" t="str">
        <f>IF(COUNTIFS('Total Rushing Yards'!A:A,'Skill Pos Compiled'!$A95)=1,"Vegas Odds","2022 Stats / Prediction")</f>
        <v>2022 Stats / Prediction</v>
      </c>
      <c r="P95" t="str">
        <f>IF(COUNTIFS('Total Rushing Touchdowns'!A:A,'Skill Pos Compiled'!$A95)=1,"Vegas Odds","2022 Stats / Prediction")</f>
        <v>2022 Stats / Prediction</v>
      </c>
      <c r="Q95" t="str">
        <f>IF(COUNTIFS('Total Receptions'!A:A,'Skill Pos Compiled'!$A95)=1,"Vegas Odds","2022 Stats / Prediction")</f>
        <v>2022 Stats / Prediction</v>
      </c>
      <c r="R95" t="str">
        <f>IF(COUNTIFS('Total Receiving Yards'!A:A,'Skill Pos Compiled'!$A95)=1,"Vegas Odds","2022 Stats / Prediction")</f>
        <v>2022 Stats / Prediction</v>
      </c>
      <c r="S95" t="str">
        <f>IF(COUNTIFS('Total Receiving Touchdowns'!A:A,'Skill Pos Compiled'!$A95)=1,"Vegas Odds","2022 Stats / Prediction")</f>
        <v>2022 Stats / Prediction</v>
      </c>
      <c r="T95" s="10" t="str">
        <f t="shared" si="7"/>
        <v>Unpredictable</v>
      </c>
    </row>
    <row r="96" spans="1:20" x14ac:dyDescent="0.25">
      <c r="A96" t="s">
        <v>15</v>
      </c>
      <c r="B96" t="str">
        <f>_xlfn.XLOOKUP(A96,ADP!A:A,ADP!B:B)</f>
        <v>WR</v>
      </c>
      <c r="C96" s="9">
        <f t="shared" si="5"/>
        <v>150.64166666666665</v>
      </c>
      <c r="D96" s="9">
        <f t="shared" si="6"/>
        <v>740.58333333333337</v>
      </c>
      <c r="E96" s="7">
        <f>IF(SUMIFS('Total Rushing Yards'!E:E,'Total Rushing Yards'!A:A,'Skill Pos Compiled'!A96)=0,SUMIFS('2022 Skill Pos Stats'!M:M,'2022 Skill Pos Stats'!A:A,'Skill Pos Compiled'!A96),SUMIFS('Total Rushing Yards'!E:E,'Total Rushing Yards'!A:A,'Skill Pos Compiled'!A96))</f>
        <v>-9.9166666666666679</v>
      </c>
      <c r="F96" s="7">
        <f>IF(SUMIFS('Total Rushing Touchdowns'!B:B,'Total Rushing Touchdowns'!A:A,'Skill Pos Compiled'!A96)=0,SUMIFS('2022 Skill Pos Stats'!N:N,'2022 Skill Pos Stats'!A:A,'Skill Pos Compiled'!A96),SUMIFS('Total Rushing Touchdowns'!B:B,'Total Rushing Touchdowns'!A:A,'Skill Pos Compiled'!A96))</f>
        <v>0</v>
      </c>
      <c r="G96" s="7">
        <f>IF(SUMIFS('Total Receptions'!B:B,'Total Receptions'!A:A,'Skill Pos Compiled'!A96)=0,SUMIFS('2022 Skill Pos Stats'!O:O,'2022 Skill Pos Stats'!A:A,'Skill Pos Compiled'!A96),SUMIFS('Total Receptions'!B:B,'Total Receptions'!A:A,'Skill Pos Compiled'!A96))</f>
        <v>49.583333333333336</v>
      </c>
      <c r="H96" s="7">
        <f>IF(SUMIFS('Total Receiving Yards'!E:E,'Total Receiving Yards'!A:A,'Skill Pos Compiled'!A96)=0,SUMIFS('2022 Skill Pos Stats'!P:P,'2022 Skill Pos Stats'!A:A,'Skill Pos Compiled'!A96),SUMIFS('Total Receiving Yards'!E:E,'Total Receiving Yards'!A:A,'Skill Pos Compiled'!A96))</f>
        <v>750.5</v>
      </c>
      <c r="I96" s="7">
        <f>IF(SUMIFS('Total Receiving Touchdowns'!E:E,'Total Receiving Touchdowns'!A:A,'Skill Pos Compiled'!A96)=0,SUMIFS('2022 Skill Pos Stats'!Q:Q,'2022 Skill Pos Stats'!A:A,'Skill Pos Compiled'!A96),SUMIFS('Total Receiving Touchdowns'!E:E,'Total Receiving Touchdowns'!A:A,'Skill Pos Compiled'!A96))</f>
        <v>4.5</v>
      </c>
      <c r="J96" s="5">
        <f>_xlfn.XLOOKUP(E$1,Pt_System[Stat],Pt_System[Pts])*E96</f>
        <v>-0.99166666666666681</v>
      </c>
      <c r="K96" s="5">
        <f>_xlfn.XLOOKUP(F$1,Pt_System[Stat],Pt_System[Pts])*F96</f>
        <v>0</v>
      </c>
      <c r="L96" s="5">
        <f>_xlfn.XLOOKUP(G$1,Pt_System[Stat],Pt_System[Pts])*G96</f>
        <v>49.583333333333336</v>
      </c>
      <c r="M96" s="5">
        <f>_xlfn.XLOOKUP(H$1,Pt_System[Stat],Pt_System[Pts])*H96</f>
        <v>75.05</v>
      </c>
      <c r="N96" s="5">
        <f>_xlfn.XLOOKUP(I$1,Pt_System[Stat],Pt_System[Pts])*I96</f>
        <v>27</v>
      </c>
      <c r="O96" t="str">
        <f>IF(COUNTIFS('Total Rushing Yards'!A:A,'Skill Pos Compiled'!$A96)=1,"Vegas Odds","2022 Stats / Prediction")</f>
        <v>2022 Stats / Prediction</v>
      </c>
      <c r="P96" t="str">
        <f>IF(COUNTIFS('Total Rushing Touchdowns'!A:A,'Skill Pos Compiled'!$A96)=1,"Vegas Odds","2022 Stats / Prediction")</f>
        <v>2022 Stats / Prediction</v>
      </c>
      <c r="Q96" t="str">
        <f>IF(COUNTIFS('Total Receptions'!A:A,'Skill Pos Compiled'!$A96)=1,"Vegas Odds","2022 Stats / Prediction")</f>
        <v>2022 Stats / Prediction</v>
      </c>
      <c r="R96" t="str">
        <f>IF(COUNTIFS('Total Receiving Yards'!A:A,'Skill Pos Compiled'!$A96)=1,"Vegas Odds","2022 Stats / Prediction")</f>
        <v>Vegas Odds</v>
      </c>
      <c r="S96" t="str">
        <f>IF(COUNTIFS('Total Receiving Touchdowns'!A:A,'Skill Pos Compiled'!$A96)=1,"Vegas Odds","2022 Stats / Prediction")</f>
        <v>Vegas Odds</v>
      </c>
      <c r="T96" s="10" t="str">
        <f t="shared" si="7"/>
        <v>Unpredictable</v>
      </c>
    </row>
    <row r="97" spans="1:20" x14ac:dyDescent="0.25">
      <c r="A97" t="s">
        <v>45</v>
      </c>
      <c r="B97" t="str">
        <f>_xlfn.XLOOKUP(A97,ADP!A:A,ADP!B:B)</f>
        <v>WR</v>
      </c>
      <c r="C97" s="9">
        <f t="shared" si="5"/>
        <v>178.85000000000002</v>
      </c>
      <c r="D97" s="9">
        <f t="shared" si="6"/>
        <v>843.5</v>
      </c>
      <c r="E97" s="7">
        <f>IF(SUMIFS('Total Rushing Yards'!E:E,'Total Rushing Yards'!A:A,'Skill Pos Compiled'!A97)=0,SUMIFS('2022 Skill Pos Stats'!M:M,'2022 Skill Pos Stats'!A:A,'Skill Pos Compiled'!A97),SUMIFS('Total Rushing Yards'!E:E,'Total Rushing Yards'!A:A,'Skill Pos Compiled'!A97))</f>
        <v>25</v>
      </c>
      <c r="F97" s="7">
        <f>IF(SUMIFS('Total Rushing Touchdowns'!B:B,'Total Rushing Touchdowns'!A:A,'Skill Pos Compiled'!A97)=0,SUMIFS('2022 Skill Pos Stats'!N:N,'2022 Skill Pos Stats'!A:A,'Skill Pos Compiled'!A97),SUMIFS('Total Rushing Touchdowns'!B:B,'Total Rushing Touchdowns'!A:A,'Skill Pos Compiled'!A97))</f>
        <v>0</v>
      </c>
      <c r="G97" s="7">
        <f>IF(SUMIFS('Total Receptions'!B:B,'Total Receptions'!A:A,'Skill Pos Compiled'!A97)=0,SUMIFS('2022 Skill Pos Stats'!O:O,'2022 Skill Pos Stats'!A:A,'Skill Pos Compiled'!A97),SUMIFS('Total Receptions'!B:B,'Total Receptions'!A:A,'Skill Pos Compiled'!A97))</f>
        <v>82.5</v>
      </c>
      <c r="H97" s="7">
        <f>IF(SUMIFS('Total Receiving Yards'!E:E,'Total Receiving Yards'!A:A,'Skill Pos Compiled'!A97)=0,SUMIFS('2022 Skill Pos Stats'!P:P,'2022 Skill Pos Stats'!A:A,'Skill Pos Compiled'!A97),SUMIFS('Total Receiving Yards'!E:E,'Total Receiving Yards'!A:A,'Skill Pos Compiled'!A97))</f>
        <v>818.5</v>
      </c>
      <c r="I97" s="7">
        <f>IF(SUMIFS('Total Receiving Touchdowns'!E:E,'Total Receiving Touchdowns'!A:A,'Skill Pos Compiled'!A97)=0,SUMIFS('2022 Skill Pos Stats'!Q:Q,'2022 Skill Pos Stats'!A:A,'Skill Pos Compiled'!A97),SUMIFS('Total Receiving Touchdowns'!E:E,'Total Receiving Touchdowns'!A:A,'Skill Pos Compiled'!A97))</f>
        <v>2</v>
      </c>
      <c r="J97" s="5">
        <f>_xlfn.XLOOKUP(E$1,Pt_System[Stat],Pt_System[Pts])*E97</f>
        <v>2.5</v>
      </c>
      <c r="K97" s="5">
        <f>_xlfn.XLOOKUP(F$1,Pt_System[Stat],Pt_System[Pts])*F97</f>
        <v>0</v>
      </c>
      <c r="L97" s="5">
        <f>_xlfn.XLOOKUP(G$1,Pt_System[Stat],Pt_System[Pts])*G97</f>
        <v>82.5</v>
      </c>
      <c r="M97" s="5">
        <f>_xlfn.XLOOKUP(H$1,Pt_System[Stat],Pt_System[Pts])*H97</f>
        <v>81.850000000000009</v>
      </c>
      <c r="N97" s="5">
        <f>_xlfn.XLOOKUP(I$1,Pt_System[Stat],Pt_System[Pts])*I97</f>
        <v>12</v>
      </c>
      <c r="O97" t="str">
        <f>IF(COUNTIFS('Total Rushing Yards'!A:A,'Skill Pos Compiled'!$A97)=1,"Vegas Odds","2022 Stats / Prediction")</f>
        <v>2022 Stats / Prediction</v>
      </c>
      <c r="P97" t="str">
        <f>IF(COUNTIFS('Total Rushing Touchdowns'!A:A,'Skill Pos Compiled'!$A97)=1,"Vegas Odds","2022 Stats / Prediction")</f>
        <v>2022 Stats / Prediction</v>
      </c>
      <c r="Q97" t="str">
        <f>IF(COUNTIFS('Total Receptions'!A:A,'Skill Pos Compiled'!$A97)=1,"Vegas Odds","2022 Stats / Prediction")</f>
        <v>Vegas Odds</v>
      </c>
      <c r="R97" t="str">
        <f>IF(COUNTIFS('Total Receiving Yards'!A:A,'Skill Pos Compiled'!$A97)=1,"Vegas Odds","2022 Stats / Prediction")</f>
        <v>Vegas Odds</v>
      </c>
      <c r="S97" t="str">
        <f>IF(COUNTIFS('Total Receiving Touchdowns'!A:A,'Skill Pos Compiled'!$A97)=1,"Vegas Odds","2022 Stats / Prediction")</f>
        <v>2022 Stats / Prediction</v>
      </c>
      <c r="T97" s="10" t="str">
        <f t="shared" si="7"/>
        <v>Unpredictable</v>
      </c>
    </row>
    <row r="98" spans="1:20" x14ac:dyDescent="0.25">
      <c r="A98" t="s">
        <v>7</v>
      </c>
      <c r="B98" t="str">
        <f>_xlfn.XLOOKUP(A98,ADP!A:A,ADP!B:B)</f>
        <v>WR</v>
      </c>
      <c r="C98" s="9">
        <f t="shared" si="5"/>
        <v>233.1888888888889</v>
      </c>
      <c r="D98" s="9">
        <f t="shared" si="6"/>
        <v>853</v>
      </c>
      <c r="E98" s="7">
        <f>IF(SUMIFS('Total Rushing Yards'!E:E,'Total Rushing Yards'!A:A,'Skill Pos Compiled'!A98)=0,SUMIFS('2022 Skill Pos Stats'!M:M,'2022 Skill Pos Stats'!A:A,'Skill Pos Compiled'!A98),SUMIFS('Total Rushing Yards'!E:E,'Total Rushing Yards'!A:A,'Skill Pos Compiled'!A98))</f>
        <v>0</v>
      </c>
      <c r="F98" s="7">
        <f>IF(SUMIFS('Total Rushing Touchdowns'!B:B,'Total Rushing Touchdowns'!A:A,'Skill Pos Compiled'!A98)=0,SUMIFS('2022 Skill Pos Stats'!N:N,'2022 Skill Pos Stats'!A:A,'Skill Pos Compiled'!A98),SUMIFS('Total Rushing Touchdowns'!B:B,'Total Rushing Touchdowns'!A:A,'Skill Pos Compiled'!A98))</f>
        <v>0</v>
      </c>
      <c r="G98" s="7">
        <f>IF(SUMIFS('Total Receptions'!B:B,'Total Receptions'!A:A,'Skill Pos Compiled'!A98)=0,SUMIFS('2022 Skill Pos Stats'!O:O,'2022 Skill Pos Stats'!A:A,'Skill Pos Compiled'!A98),SUMIFS('Total Receptions'!B:B,'Total Receptions'!A:A,'Skill Pos Compiled'!A98))</f>
        <v>120.88888888888889</v>
      </c>
      <c r="H98" s="7">
        <f>IF(SUMIFS('Total Receiving Yards'!E:E,'Total Receiving Yards'!A:A,'Skill Pos Compiled'!A98)=0,SUMIFS('2022 Skill Pos Stats'!P:P,'2022 Skill Pos Stats'!A:A,'Skill Pos Compiled'!A98),SUMIFS('Total Receiving Yards'!E:E,'Total Receiving Yards'!A:A,'Skill Pos Compiled'!A98))</f>
        <v>853</v>
      </c>
      <c r="I98" s="7">
        <f>IF(SUMIFS('Total Receiving Touchdowns'!E:E,'Total Receiving Touchdowns'!A:A,'Skill Pos Compiled'!A98)=0,SUMIFS('2022 Skill Pos Stats'!Q:Q,'2022 Skill Pos Stats'!A:A,'Skill Pos Compiled'!A98),SUMIFS('Total Receiving Touchdowns'!E:E,'Total Receiving Touchdowns'!A:A,'Skill Pos Compiled'!A98))</f>
        <v>4.5</v>
      </c>
      <c r="J98" s="5">
        <f>_xlfn.XLOOKUP(E$1,Pt_System[Stat],Pt_System[Pts])*E98</f>
        <v>0</v>
      </c>
      <c r="K98" s="5">
        <f>_xlfn.XLOOKUP(F$1,Pt_System[Stat],Pt_System[Pts])*F98</f>
        <v>0</v>
      </c>
      <c r="L98" s="5">
        <f>_xlfn.XLOOKUP(G$1,Pt_System[Stat],Pt_System[Pts])*G98</f>
        <v>120.88888888888889</v>
      </c>
      <c r="M98" s="5">
        <f>_xlfn.XLOOKUP(H$1,Pt_System[Stat],Pt_System[Pts])*H98</f>
        <v>85.300000000000011</v>
      </c>
      <c r="N98" s="5">
        <f>_xlfn.XLOOKUP(I$1,Pt_System[Stat],Pt_System[Pts])*I98</f>
        <v>27</v>
      </c>
      <c r="O98" t="str">
        <f>IF(COUNTIFS('Total Rushing Yards'!A:A,'Skill Pos Compiled'!$A98)=1,"Vegas Odds","2022 Stats / Prediction")</f>
        <v>2022 Stats / Prediction</v>
      </c>
      <c r="P98" t="str">
        <f>IF(COUNTIFS('Total Rushing Touchdowns'!A:A,'Skill Pos Compiled'!$A98)=1,"Vegas Odds","2022 Stats / Prediction")</f>
        <v>2022 Stats / Prediction</v>
      </c>
      <c r="Q98" t="str">
        <f>IF(COUNTIFS('Total Receptions'!A:A,'Skill Pos Compiled'!$A98)=1,"Vegas Odds","2022 Stats / Prediction")</f>
        <v>2022 Stats / Prediction</v>
      </c>
      <c r="R98" t="str">
        <f>IF(COUNTIFS('Total Receiving Yards'!A:A,'Skill Pos Compiled'!$A98)=1,"Vegas Odds","2022 Stats / Prediction")</f>
        <v>Vegas Odds</v>
      </c>
      <c r="S98" t="str">
        <f>IF(COUNTIFS('Total Receiving Touchdowns'!A:A,'Skill Pos Compiled'!$A98)=1,"Vegas Odds","2022 Stats / Prediction")</f>
        <v>Vegas Odds</v>
      </c>
      <c r="T98" s="10" t="str">
        <f t="shared" si="7"/>
        <v>Unpredictable</v>
      </c>
    </row>
    <row r="99" spans="1:20" x14ac:dyDescent="0.25">
      <c r="A99" t="s">
        <v>19</v>
      </c>
      <c r="B99" t="str">
        <f>_xlfn.XLOOKUP(A99,ADP!A:A,ADP!B:B)</f>
        <v>WR</v>
      </c>
      <c r="C99" s="9">
        <f t="shared" si="5"/>
        <v>162.14166666666665</v>
      </c>
      <c r="D99" s="9">
        <f t="shared" si="6"/>
        <v>826.41666666666663</v>
      </c>
      <c r="E99" s="7">
        <f>IF(SUMIFS('Total Rushing Yards'!E:E,'Total Rushing Yards'!A:A,'Skill Pos Compiled'!A99)=0,SUMIFS('2022 Skill Pos Stats'!M:M,'2022 Skill Pos Stats'!A:A,'Skill Pos Compiled'!A99),SUMIFS('Total Rushing Yards'!E:E,'Total Rushing Yards'!A:A,'Skill Pos Compiled'!A99))</f>
        <v>1.4166666666666667</v>
      </c>
      <c r="F99" s="7">
        <f>IF(SUMIFS('Total Rushing Touchdowns'!B:B,'Total Rushing Touchdowns'!A:A,'Skill Pos Compiled'!A99)=0,SUMIFS('2022 Skill Pos Stats'!N:N,'2022 Skill Pos Stats'!A:A,'Skill Pos Compiled'!A99),SUMIFS('Total Rushing Touchdowns'!B:B,'Total Rushing Touchdowns'!A:A,'Skill Pos Compiled'!A99))</f>
        <v>0</v>
      </c>
      <c r="G99" s="7">
        <f>IF(SUMIFS('Total Receptions'!B:B,'Total Receptions'!A:A,'Skill Pos Compiled'!A99)=0,SUMIFS('2022 Skill Pos Stats'!O:O,'2022 Skill Pos Stats'!A:A,'Skill Pos Compiled'!A99),SUMIFS('Total Receptions'!B:B,'Total Receptions'!A:A,'Skill Pos Compiled'!A99))</f>
        <v>52.5</v>
      </c>
      <c r="H99" s="7">
        <f>IF(SUMIFS('Total Receiving Yards'!E:E,'Total Receiving Yards'!A:A,'Skill Pos Compiled'!A99)=0,SUMIFS('2022 Skill Pos Stats'!P:P,'2022 Skill Pos Stats'!A:A,'Skill Pos Compiled'!A99),SUMIFS('Total Receiving Yards'!E:E,'Total Receiving Yards'!A:A,'Skill Pos Compiled'!A99))</f>
        <v>825</v>
      </c>
      <c r="I99" s="7">
        <f>IF(SUMIFS('Total Receiving Touchdowns'!E:E,'Total Receiving Touchdowns'!A:A,'Skill Pos Compiled'!A99)=0,SUMIFS('2022 Skill Pos Stats'!Q:Q,'2022 Skill Pos Stats'!A:A,'Skill Pos Compiled'!A99),SUMIFS('Total Receiving Touchdowns'!E:E,'Total Receiving Touchdowns'!A:A,'Skill Pos Compiled'!A99))</f>
        <v>4.5</v>
      </c>
      <c r="J99" s="5">
        <f>_xlfn.XLOOKUP(E$1,Pt_System[Stat],Pt_System[Pts])*E99</f>
        <v>0.14166666666666669</v>
      </c>
      <c r="K99" s="5">
        <f>_xlfn.XLOOKUP(F$1,Pt_System[Stat],Pt_System[Pts])*F99</f>
        <v>0</v>
      </c>
      <c r="L99" s="5">
        <f>_xlfn.XLOOKUP(G$1,Pt_System[Stat],Pt_System[Pts])*G99</f>
        <v>52.5</v>
      </c>
      <c r="M99" s="5">
        <f>_xlfn.XLOOKUP(H$1,Pt_System[Stat],Pt_System[Pts])*H99</f>
        <v>82.5</v>
      </c>
      <c r="N99" s="5">
        <f>_xlfn.XLOOKUP(I$1,Pt_System[Stat],Pt_System[Pts])*I99</f>
        <v>27</v>
      </c>
      <c r="O99" t="str">
        <f>IF(COUNTIFS('Total Rushing Yards'!A:A,'Skill Pos Compiled'!$A99)=1,"Vegas Odds","2022 Stats / Prediction")</f>
        <v>2022 Stats / Prediction</v>
      </c>
      <c r="P99" t="str">
        <f>IF(COUNTIFS('Total Rushing Touchdowns'!A:A,'Skill Pos Compiled'!$A99)=1,"Vegas Odds","2022 Stats / Prediction")</f>
        <v>2022 Stats / Prediction</v>
      </c>
      <c r="Q99" t="str">
        <f>IF(COUNTIFS('Total Receptions'!A:A,'Skill Pos Compiled'!$A99)=1,"Vegas Odds","2022 Stats / Prediction")</f>
        <v>Vegas Odds</v>
      </c>
      <c r="R99" t="str">
        <f>IF(COUNTIFS('Total Receiving Yards'!A:A,'Skill Pos Compiled'!$A99)=1,"Vegas Odds","2022 Stats / Prediction")</f>
        <v>Vegas Odds</v>
      </c>
      <c r="S99" t="str">
        <f>IF(COUNTIFS('Total Receiving Touchdowns'!A:A,'Skill Pos Compiled'!$A99)=1,"Vegas Odds","2022 Stats / Prediction")</f>
        <v>Vegas Odds</v>
      </c>
      <c r="T99" s="10" t="str">
        <f t="shared" si="7"/>
        <v>OK</v>
      </c>
    </row>
    <row r="100" spans="1:20" x14ac:dyDescent="0.25">
      <c r="A100" t="s">
        <v>6</v>
      </c>
      <c r="B100" t="str">
        <f>_xlfn.XLOOKUP(A100,ADP!A:A,ADP!B:B)</f>
        <v>WR</v>
      </c>
      <c r="C100" s="9">
        <f t="shared" si="5"/>
        <v>165.46538461538461</v>
      </c>
      <c r="D100" s="9">
        <f t="shared" si="6"/>
        <v>759.65384615384619</v>
      </c>
      <c r="E100" s="7">
        <f>IF(SUMIFS('Total Rushing Yards'!E:E,'Total Rushing Yards'!A:A,'Skill Pos Compiled'!A100)=0,SUMIFS('2022 Skill Pos Stats'!M:M,'2022 Skill Pos Stats'!A:A,'Skill Pos Compiled'!A100),SUMIFS('Total Rushing Yards'!E:E,'Total Rushing Yards'!A:A,'Skill Pos Compiled'!A100))</f>
        <v>9.1538461538461533</v>
      </c>
      <c r="F100" s="7">
        <f>IF(SUMIFS('Total Rushing Touchdowns'!B:B,'Total Rushing Touchdowns'!A:A,'Skill Pos Compiled'!A100)=0,SUMIFS('2022 Skill Pos Stats'!N:N,'2022 Skill Pos Stats'!A:A,'Skill Pos Compiled'!A100),SUMIFS('Total Rushing Touchdowns'!B:B,'Total Rushing Touchdowns'!A:A,'Skill Pos Compiled'!A100))</f>
        <v>0</v>
      </c>
      <c r="G100" s="7">
        <f>IF(SUMIFS('Total Receptions'!B:B,'Total Receptions'!A:A,'Skill Pos Compiled'!A100)=0,SUMIFS('2022 Skill Pos Stats'!O:O,'2022 Skill Pos Stats'!A:A,'Skill Pos Compiled'!A100),SUMIFS('Total Receptions'!B:B,'Total Receptions'!A:A,'Skill Pos Compiled'!A100))</f>
        <v>62.5</v>
      </c>
      <c r="H100" s="7">
        <f>IF(SUMIFS('Total Receiving Yards'!E:E,'Total Receiving Yards'!A:A,'Skill Pos Compiled'!A100)=0,SUMIFS('2022 Skill Pos Stats'!P:P,'2022 Skill Pos Stats'!A:A,'Skill Pos Compiled'!A100),SUMIFS('Total Receiving Yards'!E:E,'Total Receiving Yards'!A:A,'Skill Pos Compiled'!A100))</f>
        <v>750.5</v>
      </c>
      <c r="I100" s="7">
        <f>IF(SUMIFS('Total Receiving Touchdowns'!E:E,'Total Receiving Touchdowns'!A:A,'Skill Pos Compiled'!A100)=0,SUMIFS('2022 Skill Pos Stats'!Q:Q,'2022 Skill Pos Stats'!A:A,'Skill Pos Compiled'!A100),SUMIFS('Total Receiving Touchdowns'!E:E,'Total Receiving Touchdowns'!A:A,'Skill Pos Compiled'!A100))</f>
        <v>4.5</v>
      </c>
      <c r="J100" s="5">
        <f>_xlfn.XLOOKUP(E$1,Pt_System[Stat],Pt_System[Pts])*E100</f>
        <v>0.91538461538461535</v>
      </c>
      <c r="K100" s="5">
        <f>_xlfn.XLOOKUP(F$1,Pt_System[Stat],Pt_System[Pts])*F100</f>
        <v>0</v>
      </c>
      <c r="L100" s="5">
        <f>_xlfn.XLOOKUP(G$1,Pt_System[Stat],Pt_System[Pts])*G100</f>
        <v>62.5</v>
      </c>
      <c r="M100" s="5">
        <f>_xlfn.XLOOKUP(H$1,Pt_System[Stat],Pt_System[Pts])*H100</f>
        <v>75.05</v>
      </c>
      <c r="N100" s="5">
        <f>_xlfn.XLOOKUP(I$1,Pt_System[Stat],Pt_System[Pts])*I100</f>
        <v>27</v>
      </c>
      <c r="O100" t="str">
        <f>IF(COUNTIFS('Total Rushing Yards'!A:A,'Skill Pos Compiled'!$A100)=1,"Vegas Odds","2022 Stats / Prediction")</f>
        <v>2022 Stats / Prediction</v>
      </c>
      <c r="P100" t="str">
        <f>IF(COUNTIFS('Total Rushing Touchdowns'!A:A,'Skill Pos Compiled'!$A100)=1,"Vegas Odds","2022 Stats / Prediction")</f>
        <v>2022 Stats / Prediction</v>
      </c>
      <c r="Q100" t="str">
        <f>IF(COUNTIFS('Total Receptions'!A:A,'Skill Pos Compiled'!$A100)=1,"Vegas Odds","2022 Stats / Prediction")</f>
        <v>Vegas Odds</v>
      </c>
      <c r="R100" t="str">
        <f>IF(COUNTIFS('Total Receiving Yards'!A:A,'Skill Pos Compiled'!$A100)=1,"Vegas Odds","2022 Stats / Prediction")</f>
        <v>Vegas Odds</v>
      </c>
      <c r="S100" t="str">
        <f>IF(COUNTIFS('Total Receiving Touchdowns'!A:A,'Skill Pos Compiled'!$A100)=1,"Vegas Odds","2022 Stats / Prediction")</f>
        <v>Vegas Odds</v>
      </c>
      <c r="T100" s="10" t="str">
        <f t="shared" si="7"/>
        <v>OK</v>
      </c>
    </row>
    <row r="101" spans="1:20" x14ac:dyDescent="0.25">
      <c r="A101" t="s">
        <v>285</v>
      </c>
      <c r="B101" t="str">
        <f>_xlfn.XLOOKUP(A101,ADP!A:A,ADP!B:B)</f>
        <v>WR</v>
      </c>
      <c r="C101" s="9">
        <f t="shared" si="5"/>
        <v>149.1</v>
      </c>
      <c r="D101" s="9">
        <f t="shared" si="6"/>
        <v>681</v>
      </c>
      <c r="E101" s="7">
        <f>IF(SUMIFS('Total Rushing Yards'!E:E,'Total Rushing Yards'!A:A,'Skill Pos Compiled'!A101)=0,SUMIFS('2022 Skill Pos Stats'!M:M,'2022 Skill Pos Stats'!A:A,'Skill Pos Compiled'!A101),SUMIFS('Total Rushing Yards'!E:E,'Total Rushing Yards'!A:A,'Skill Pos Compiled'!A101))</f>
        <v>58</v>
      </c>
      <c r="F101" s="7">
        <f>IF(SUMIFS('Total Rushing Touchdowns'!B:B,'Total Rushing Touchdowns'!A:A,'Skill Pos Compiled'!A101)=0,SUMIFS('2022 Skill Pos Stats'!N:N,'2022 Skill Pos Stats'!A:A,'Skill Pos Compiled'!A101),SUMIFS('Total Rushing Touchdowns'!B:B,'Total Rushing Touchdowns'!A:A,'Skill Pos Compiled'!A101))</f>
        <v>0</v>
      </c>
      <c r="G101" s="7">
        <f>IF(SUMIFS('Total Receptions'!B:B,'Total Receptions'!A:A,'Skill Pos Compiled'!A101)=0,SUMIFS('2022 Skill Pos Stats'!O:O,'2022 Skill Pos Stats'!A:A,'Skill Pos Compiled'!A101),SUMIFS('Total Receptions'!B:B,'Total Receptions'!A:A,'Skill Pos Compiled'!A101))</f>
        <v>63</v>
      </c>
      <c r="H101" s="7">
        <f>IF(SUMIFS('Total Receiving Yards'!E:E,'Total Receiving Yards'!A:A,'Skill Pos Compiled'!A101)=0,SUMIFS('2022 Skill Pos Stats'!P:P,'2022 Skill Pos Stats'!A:A,'Skill Pos Compiled'!A101),SUMIFS('Total Receiving Yards'!E:E,'Total Receiving Yards'!A:A,'Skill Pos Compiled'!A101))</f>
        <v>623</v>
      </c>
      <c r="I101" s="7">
        <f>IF(SUMIFS('Total Receiving Touchdowns'!E:E,'Total Receiving Touchdowns'!A:A,'Skill Pos Compiled'!A101)=0,SUMIFS('2022 Skill Pos Stats'!Q:Q,'2022 Skill Pos Stats'!A:A,'Skill Pos Compiled'!A101),SUMIFS('Total Receiving Touchdowns'!E:E,'Total Receiving Touchdowns'!A:A,'Skill Pos Compiled'!A101))</f>
        <v>3</v>
      </c>
      <c r="J101" s="5">
        <f>_xlfn.XLOOKUP(E$1,Pt_System[Stat],Pt_System[Pts])*E101</f>
        <v>5.8000000000000007</v>
      </c>
      <c r="K101" s="5">
        <f>_xlfn.XLOOKUP(F$1,Pt_System[Stat],Pt_System[Pts])*F101</f>
        <v>0</v>
      </c>
      <c r="L101" s="5">
        <f>_xlfn.XLOOKUP(G$1,Pt_System[Stat],Pt_System[Pts])*G101</f>
        <v>63</v>
      </c>
      <c r="M101" s="5">
        <f>_xlfn.XLOOKUP(H$1,Pt_System[Stat],Pt_System[Pts])*H101</f>
        <v>62.300000000000004</v>
      </c>
      <c r="N101" s="5">
        <f>_xlfn.XLOOKUP(I$1,Pt_System[Stat],Pt_System[Pts])*I101</f>
        <v>18</v>
      </c>
      <c r="O101" t="str">
        <f>IF(COUNTIFS('Total Rushing Yards'!A:A,'Skill Pos Compiled'!$A101)=1,"Vegas Odds","2022 Stats / Prediction")</f>
        <v>2022 Stats / Prediction</v>
      </c>
      <c r="P101" t="str">
        <f>IF(COUNTIFS('Total Rushing Touchdowns'!A:A,'Skill Pos Compiled'!$A101)=1,"Vegas Odds","2022 Stats / Prediction")</f>
        <v>2022 Stats / Prediction</v>
      </c>
      <c r="Q101" t="str">
        <f>IF(COUNTIFS('Total Receptions'!A:A,'Skill Pos Compiled'!$A101)=1,"Vegas Odds","2022 Stats / Prediction")</f>
        <v>2022 Stats / Prediction</v>
      </c>
      <c r="R101" t="str">
        <f>IF(COUNTIFS('Total Receiving Yards'!A:A,'Skill Pos Compiled'!$A101)=1,"Vegas Odds","2022 Stats / Prediction")</f>
        <v>2022 Stats / Prediction</v>
      </c>
      <c r="S101" t="str">
        <f>IF(COUNTIFS('Total Receiving Touchdowns'!A:A,'Skill Pos Compiled'!$A101)=1,"Vegas Odds","2022 Stats / Prediction")</f>
        <v>2022 Stats / Prediction</v>
      </c>
      <c r="T101" s="10" t="str">
        <f t="shared" si="7"/>
        <v>Unpredictable</v>
      </c>
    </row>
    <row r="102" spans="1:20" x14ac:dyDescent="0.25">
      <c r="A102" t="s">
        <v>50</v>
      </c>
      <c r="B102" t="str">
        <f>_xlfn.XLOOKUP(A102,ADP!A:A,ADP!B:B)</f>
        <v>RB</v>
      </c>
      <c r="C102" s="9">
        <f t="shared" si="5"/>
        <v>245.3</v>
      </c>
      <c r="D102" s="9">
        <f t="shared" si="6"/>
        <v>1413</v>
      </c>
      <c r="E102" s="7">
        <f>IF(SUMIFS('Total Rushing Yards'!E:E,'Total Rushing Yards'!A:A,'Skill Pos Compiled'!A102)=0,SUMIFS('2022 Skill Pos Stats'!M:M,'2022 Skill Pos Stats'!A:A,'Skill Pos Compiled'!A102),SUMIFS('Total Rushing Yards'!E:E,'Total Rushing Yards'!A:A,'Skill Pos Compiled'!A102))</f>
        <v>1013</v>
      </c>
      <c r="F102" s="7">
        <f>IF(SUMIFS('Total Rushing Touchdowns'!B:B,'Total Rushing Touchdowns'!A:A,'Skill Pos Compiled'!A102)=0,SUMIFS('2022 Skill Pos Stats'!N:N,'2022 Skill Pos Stats'!A:A,'Skill Pos Compiled'!A102),SUMIFS('Total Rushing Touchdowns'!B:B,'Total Rushing Touchdowns'!A:A,'Skill Pos Compiled'!A102))</f>
        <v>8.5</v>
      </c>
      <c r="G102" s="7">
        <f>IF(SUMIFS('Total Receptions'!B:B,'Total Receptions'!A:A,'Skill Pos Compiled'!A102)=0,SUMIFS('2022 Skill Pos Stats'!O:O,'2022 Skill Pos Stats'!A:A,'Skill Pos Compiled'!A102),SUMIFS('Total Receptions'!B:B,'Total Receptions'!A:A,'Skill Pos Compiled'!A102))</f>
        <v>53</v>
      </c>
      <c r="H102" s="7">
        <f>IF(SUMIFS('Total Receiving Yards'!E:E,'Total Receiving Yards'!A:A,'Skill Pos Compiled'!A102)=0,SUMIFS('2022 Skill Pos Stats'!P:P,'2022 Skill Pos Stats'!A:A,'Skill Pos Compiled'!A102),SUMIFS('Total Receiving Yards'!E:E,'Total Receiving Yards'!A:A,'Skill Pos Compiled'!A102))</f>
        <v>400</v>
      </c>
      <c r="I102" s="7">
        <f>IF(SUMIFS('Total Receiving Touchdowns'!E:E,'Total Receiving Touchdowns'!A:A,'Skill Pos Compiled'!A102)=0,SUMIFS('2022 Skill Pos Stats'!Q:Q,'2022 Skill Pos Stats'!A:A,'Skill Pos Compiled'!A102),SUMIFS('Total Receiving Touchdowns'!E:E,'Total Receiving Touchdowns'!A:A,'Skill Pos Compiled'!A102))</f>
        <v>0</v>
      </c>
      <c r="J102" s="5">
        <f>_xlfn.XLOOKUP(E$1,Pt_System[Stat],Pt_System[Pts])*E102</f>
        <v>101.30000000000001</v>
      </c>
      <c r="K102" s="5">
        <f>_xlfn.XLOOKUP(F$1,Pt_System[Stat],Pt_System[Pts])*F102</f>
        <v>51</v>
      </c>
      <c r="L102" s="5">
        <f>_xlfn.XLOOKUP(G$1,Pt_System[Stat],Pt_System[Pts])*G102</f>
        <v>53</v>
      </c>
      <c r="M102" s="5">
        <f>_xlfn.XLOOKUP(H$1,Pt_System[Stat],Pt_System[Pts])*H102</f>
        <v>40</v>
      </c>
      <c r="N102" s="5">
        <f>_xlfn.XLOOKUP(I$1,Pt_System[Stat],Pt_System[Pts])*I102</f>
        <v>0</v>
      </c>
      <c r="O102" t="str">
        <f>IF(COUNTIFS('Total Rushing Yards'!A:A,'Skill Pos Compiled'!$A102)=1,"Vegas Odds","2022 Stats / Prediction")</f>
        <v>Vegas Odds</v>
      </c>
      <c r="P102" t="str">
        <f>IF(COUNTIFS('Total Rushing Touchdowns'!A:A,'Skill Pos Compiled'!$A102)=1,"Vegas Odds","2022 Stats / Prediction")</f>
        <v>Vegas Odds</v>
      </c>
      <c r="Q102" t="str">
        <f>IF(COUNTIFS('Total Receptions'!A:A,'Skill Pos Compiled'!$A102)=1,"Vegas Odds","2022 Stats / Prediction")</f>
        <v>2022 Stats / Prediction</v>
      </c>
      <c r="R102" t="str">
        <f>IF(COUNTIFS('Total Receiving Yards'!A:A,'Skill Pos Compiled'!$A102)=1,"Vegas Odds","2022 Stats / Prediction")</f>
        <v>2022 Stats / Prediction</v>
      </c>
      <c r="S102" t="str">
        <f>IF(COUNTIFS('Total Receiving Touchdowns'!A:A,'Skill Pos Compiled'!$A102)=1,"Vegas Odds","2022 Stats / Prediction")</f>
        <v>2022 Stats / Prediction</v>
      </c>
      <c r="T102" s="10" t="str">
        <f t="shared" si="7"/>
        <v>Unpredictable</v>
      </c>
    </row>
    <row r="103" spans="1:20" x14ac:dyDescent="0.25">
      <c r="A103" t="s">
        <v>65</v>
      </c>
      <c r="B103" t="str">
        <f>_xlfn.XLOOKUP(A103,ADP!A:A,ADP!B:B)</f>
        <v>RB</v>
      </c>
      <c r="C103" s="9">
        <f t="shared" si="5"/>
        <v>323.06666666666666</v>
      </c>
      <c r="D103" s="9">
        <f t="shared" si="6"/>
        <v>1350.6666666666665</v>
      </c>
      <c r="E103" s="7">
        <f>IF(SUMIFS('Total Rushing Yards'!E:E,'Total Rushing Yards'!A:A,'Skill Pos Compiled'!A103)=0,SUMIFS('2022 Skill Pos Stats'!M:M,'2022 Skill Pos Stats'!A:A,'Skill Pos Compiled'!A103),SUMIFS('Total Rushing Yards'!E:E,'Total Rushing Yards'!A:A,'Skill Pos Compiled'!A103))</f>
        <v>775.16666666666663</v>
      </c>
      <c r="F103" s="7">
        <f>IF(SUMIFS('Total Rushing Touchdowns'!B:B,'Total Rushing Touchdowns'!A:A,'Skill Pos Compiled'!A103)=0,SUMIFS('2022 Skill Pos Stats'!N:N,'2022 Skill Pos Stats'!A:A,'Skill Pos Compiled'!A103),SUMIFS('Total Rushing Touchdowns'!B:B,'Total Rushing Touchdowns'!A:A,'Skill Pos Compiled'!A103))</f>
        <v>8.5</v>
      </c>
      <c r="G103" s="7">
        <f>IF(SUMIFS('Total Receptions'!B:B,'Total Receptions'!A:A,'Skill Pos Compiled'!A103)=0,SUMIFS('2022 Skill Pos Stats'!O:O,'2022 Skill Pos Stats'!A:A,'Skill Pos Compiled'!A103),SUMIFS('Total Receptions'!B:B,'Total Receptions'!A:A,'Skill Pos Compiled'!A103))</f>
        <v>107</v>
      </c>
      <c r="H103" s="7">
        <f>IF(SUMIFS('Total Receiving Yards'!E:E,'Total Receiving Yards'!A:A,'Skill Pos Compiled'!A103)=0,SUMIFS('2022 Skill Pos Stats'!P:P,'2022 Skill Pos Stats'!A:A,'Skill Pos Compiled'!A103),SUMIFS('Total Receiving Yards'!E:E,'Total Receiving Yards'!A:A,'Skill Pos Compiled'!A103))</f>
        <v>575.5</v>
      </c>
      <c r="I103" s="7">
        <f>IF(SUMIFS('Total Receiving Touchdowns'!E:E,'Total Receiving Touchdowns'!A:A,'Skill Pos Compiled'!A103)=0,SUMIFS('2022 Skill Pos Stats'!Q:Q,'2022 Skill Pos Stats'!A:A,'Skill Pos Compiled'!A103),SUMIFS('Total Receiving Touchdowns'!E:E,'Total Receiving Touchdowns'!A:A,'Skill Pos Compiled'!A103))</f>
        <v>5</v>
      </c>
      <c r="J103" s="5">
        <f>_xlfn.XLOOKUP(E$1,Pt_System[Stat],Pt_System[Pts])*E103</f>
        <v>77.516666666666666</v>
      </c>
      <c r="K103" s="5">
        <f>_xlfn.XLOOKUP(F$1,Pt_System[Stat],Pt_System[Pts])*F103</f>
        <v>51</v>
      </c>
      <c r="L103" s="5">
        <f>_xlfn.XLOOKUP(G$1,Pt_System[Stat],Pt_System[Pts])*G103</f>
        <v>107</v>
      </c>
      <c r="M103" s="5">
        <f>_xlfn.XLOOKUP(H$1,Pt_System[Stat],Pt_System[Pts])*H103</f>
        <v>57.550000000000004</v>
      </c>
      <c r="N103" s="5">
        <f>_xlfn.XLOOKUP(I$1,Pt_System[Stat],Pt_System[Pts])*I103</f>
        <v>30</v>
      </c>
      <c r="O103" t="str">
        <f>IF(COUNTIFS('Total Rushing Yards'!A:A,'Skill Pos Compiled'!$A103)=1,"Vegas Odds","2022 Stats / Prediction")</f>
        <v>Vegas Odds</v>
      </c>
      <c r="P103" t="str">
        <f>IF(COUNTIFS('Total Rushing Touchdowns'!A:A,'Skill Pos Compiled'!$A103)=1,"Vegas Odds","2022 Stats / Prediction")</f>
        <v>Vegas Odds</v>
      </c>
      <c r="Q103" t="str">
        <f>IF(COUNTIFS('Total Receptions'!A:A,'Skill Pos Compiled'!$A103)=1,"Vegas Odds","2022 Stats / Prediction")</f>
        <v>2022 Stats / Prediction</v>
      </c>
      <c r="R103" t="str">
        <f>IF(COUNTIFS('Total Receiving Yards'!A:A,'Skill Pos Compiled'!$A103)=1,"Vegas Odds","2022 Stats / Prediction")</f>
        <v>Vegas Odds</v>
      </c>
      <c r="S103" t="str">
        <f>IF(COUNTIFS('Total Receiving Touchdowns'!A:A,'Skill Pos Compiled'!$A103)=1,"Vegas Odds","2022 Stats / Prediction")</f>
        <v>2022 Stats / Prediction</v>
      </c>
      <c r="T103" s="10" t="str">
        <f t="shared" si="7"/>
        <v>OK</v>
      </c>
    </row>
    <row r="104" spans="1:20" x14ac:dyDescent="0.25">
      <c r="A104" t="s">
        <v>47</v>
      </c>
      <c r="B104" t="str">
        <f>_xlfn.XLOOKUP(A104,ADP!A:A,ADP!B:B)</f>
        <v>RB</v>
      </c>
      <c r="C104" s="9">
        <f t="shared" si="5"/>
        <v>249.4</v>
      </c>
      <c r="D104" s="9">
        <f t="shared" si="6"/>
        <v>1573.375</v>
      </c>
      <c r="E104" s="7">
        <f>IF(SUMIFS('Total Rushing Yards'!E:E,'Total Rushing Yards'!A:A,'Skill Pos Compiled'!A104)=0,SUMIFS('2022 Skill Pos Stats'!M:M,'2022 Skill Pos Stats'!A:A,'Skill Pos Compiled'!A104),SUMIFS('Total Rushing Yards'!E:E,'Total Rushing Yards'!A:A,'Skill Pos Compiled'!A104))</f>
        <v>1150.5</v>
      </c>
      <c r="F104" s="7">
        <f>IF(SUMIFS('Total Rushing Touchdowns'!B:B,'Total Rushing Touchdowns'!A:A,'Skill Pos Compiled'!A104)=0,SUMIFS('2022 Skill Pos Stats'!N:N,'2022 Skill Pos Stats'!A:A,'Skill Pos Compiled'!A104),SUMIFS('Total Rushing Touchdowns'!B:B,'Total Rushing Touchdowns'!A:A,'Skill Pos Compiled'!A104))</f>
        <v>9.5</v>
      </c>
      <c r="G104" s="7">
        <f>IF(SUMIFS('Total Receptions'!B:B,'Total Receptions'!A:A,'Skill Pos Compiled'!A104)=0,SUMIFS('2022 Skill Pos Stats'!O:O,'2022 Skill Pos Stats'!A:A,'Skill Pos Compiled'!A104),SUMIFS('Total Receptions'!B:B,'Total Receptions'!A:A,'Skill Pos Compiled'!A104))</f>
        <v>35.0625</v>
      </c>
      <c r="H104" s="7">
        <f>IF(SUMIFS('Total Receiving Yards'!E:E,'Total Receiving Yards'!A:A,'Skill Pos Compiled'!A104)=0,SUMIFS('2022 Skill Pos Stats'!P:P,'2022 Skill Pos Stats'!A:A,'Skill Pos Compiled'!A104),SUMIFS('Total Receiving Yards'!E:E,'Total Receiving Yards'!A:A,'Skill Pos Compiled'!A104))</f>
        <v>422.875</v>
      </c>
      <c r="I104" s="7">
        <f>IF(SUMIFS('Total Receiving Touchdowns'!E:E,'Total Receiving Touchdowns'!A:A,'Skill Pos Compiled'!A104)=0,SUMIFS('2022 Skill Pos Stats'!Q:Q,'2022 Skill Pos Stats'!A:A,'Skill Pos Compiled'!A104),SUMIFS('Total Receiving Touchdowns'!E:E,'Total Receiving Touchdowns'!A:A,'Skill Pos Compiled'!A104))</f>
        <v>0</v>
      </c>
      <c r="J104" s="5">
        <f>_xlfn.XLOOKUP(E$1,Pt_System[Stat],Pt_System[Pts])*E104</f>
        <v>115.05000000000001</v>
      </c>
      <c r="K104" s="5">
        <f>_xlfn.XLOOKUP(F$1,Pt_System[Stat],Pt_System[Pts])*F104</f>
        <v>57</v>
      </c>
      <c r="L104" s="5">
        <f>_xlfn.XLOOKUP(G$1,Pt_System[Stat],Pt_System[Pts])*G104</f>
        <v>35.0625</v>
      </c>
      <c r="M104" s="5">
        <f>_xlfn.XLOOKUP(H$1,Pt_System[Stat],Pt_System[Pts])*H104</f>
        <v>42.287500000000001</v>
      </c>
      <c r="N104" s="5">
        <f>_xlfn.XLOOKUP(I$1,Pt_System[Stat],Pt_System[Pts])*I104</f>
        <v>0</v>
      </c>
      <c r="O104" t="str">
        <f>IF(COUNTIFS('Total Rushing Yards'!A:A,'Skill Pos Compiled'!$A104)=1,"Vegas Odds","2022 Stats / Prediction")</f>
        <v>Vegas Odds</v>
      </c>
      <c r="P104" t="str">
        <f>IF(COUNTIFS('Total Rushing Touchdowns'!A:A,'Skill Pos Compiled'!$A104)=1,"Vegas Odds","2022 Stats / Prediction")</f>
        <v>Vegas Odds</v>
      </c>
      <c r="Q104" t="str">
        <f>IF(COUNTIFS('Total Receptions'!A:A,'Skill Pos Compiled'!$A104)=1,"Vegas Odds","2022 Stats / Prediction")</f>
        <v>2022 Stats / Prediction</v>
      </c>
      <c r="R104" t="str">
        <f>IF(COUNTIFS('Total Receiving Yards'!A:A,'Skill Pos Compiled'!$A104)=1,"Vegas Odds","2022 Stats / Prediction")</f>
        <v>2022 Stats / Prediction</v>
      </c>
      <c r="S104" t="str">
        <f>IF(COUNTIFS('Total Receiving Touchdowns'!A:A,'Skill Pos Compiled'!$A104)=1,"Vegas Odds","2022 Stats / Prediction")</f>
        <v>2022 Stats / Prediction</v>
      </c>
      <c r="T104" s="10" t="str">
        <f t="shared" si="7"/>
        <v>Unpredictable</v>
      </c>
    </row>
    <row r="105" spans="1:20" x14ac:dyDescent="0.25">
      <c r="A105" t="s">
        <v>56</v>
      </c>
      <c r="B105" t="str">
        <f>_xlfn.XLOOKUP(A105,ADP!A:A,ADP!B:B)</f>
        <v>RB</v>
      </c>
      <c r="C105" s="9">
        <f t="shared" si="5"/>
        <v>307.56666666666666</v>
      </c>
      <c r="D105" s="9">
        <f t="shared" si="6"/>
        <v>1475.6666666666665</v>
      </c>
      <c r="E105" s="7">
        <f>IF(SUMIFS('Total Rushing Yards'!E:E,'Total Rushing Yards'!A:A,'Skill Pos Compiled'!A105)=0,SUMIFS('2022 Skill Pos Stats'!M:M,'2022 Skill Pos Stats'!A:A,'Skill Pos Compiled'!A105),SUMIFS('Total Rushing Yards'!E:E,'Total Rushing Yards'!A:A,'Skill Pos Compiled'!A105))</f>
        <v>875.16666666666663</v>
      </c>
      <c r="F105" s="7">
        <f>IF(SUMIFS('Total Rushing Touchdowns'!B:B,'Total Rushing Touchdowns'!A:A,'Skill Pos Compiled'!A105)=0,SUMIFS('2022 Skill Pos Stats'!N:N,'2022 Skill Pos Stats'!A:A,'Skill Pos Compiled'!A105),SUMIFS('Total Rushing Touchdowns'!B:B,'Total Rushing Touchdowns'!A:A,'Skill Pos Compiled'!A105))</f>
        <v>7.5</v>
      </c>
      <c r="G105" s="7">
        <f>IF(SUMIFS('Total Receptions'!B:B,'Total Receptions'!A:A,'Skill Pos Compiled'!A105)=0,SUMIFS('2022 Skill Pos Stats'!O:O,'2022 Skill Pos Stats'!A:A,'Skill Pos Compiled'!A105),SUMIFS('Total Receptions'!B:B,'Total Receptions'!A:A,'Skill Pos Compiled'!A105))</f>
        <v>85</v>
      </c>
      <c r="H105" s="7">
        <f>IF(SUMIFS('Total Receiving Yards'!E:E,'Total Receiving Yards'!A:A,'Skill Pos Compiled'!A105)=0,SUMIFS('2022 Skill Pos Stats'!P:P,'2022 Skill Pos Stats'!A:A,'Skill Pos Compiled'!A105),SUMIFS('Total Receiving Yards'!E:E,'Total Receiving Yards'!A:A,'Skill Pos Compiled'!A105))</f>
        <v>600.5</v>
      </c>
      <c r="I105" s="7">
        <f>IF(SUMIFS('Total Receiving Touchdowns'!E:E,'Total Receiving Touchdowns'!A:A,'Skill Pos Compiled'!A105)=0,SUMIFS('2022 Skill Pos Stats'!Q:Q,'2022 Skill Pos Stats'!A:A,'Skill Pos Compiled'!A105),SUMIFS('Total Receiving Touchdowns'!E:E,'Total Receiving Touchdowns'!A:A,'Skill Pos Compiled'!A105))</f>
        <v>5</v>
      </c>
      <c r="J105" s="5">
        <f>_xlfn.XLOOKUP(E$1,Pt_System[Stat],Pt_System[Pts])*E105</f>
        <v>87.516666666666666</v>
      </c>
      <c r="K105" s="5">
        <f>_xlfn.XLOOKUP(F$1,Pt_System[Stat],Pt_System[Pts])*F105</f>
        <v>45</v>
      </c>
      <c r="L105" s="5">
        <f>_xlfn.XLOOKUP(G$1,Pt_System[Stat],Pt_System[Pts])*G105</f>
        <v>85</v>
      </c>
      <c r="M105" s="5">
        <f>_xlfn.XLOOKUP(H$1,Pt_System[Stat],Pt_System[Pts])*H105</f>
        <v>60.050000000000004</v>
      </c>
      <c r="N105" s="5">
        <f>_xlfn.XLOOKUP(I$1,Pt_System[Stat],Pt_System[Pts])*I105</f>
        <v>30</v>
      </c>
      <c r="O105" t="str">
        <f>IF(COUNTIFS('Total Rushing Yards'!A:A,'Skill Pos Compiled'!$A105)=1,"Vegas Odds","2022 Stats / Prediction")</f>
        <v>Vegas Odds</v>
      </c>
      <c r="P105" t="str">
        <f>IF(COUNTIFS('Total Rushing Touchdowns'!A:A,'Skill Pos Compiled'!$A105)=1,"Vegas Odds","2022 Stats / Prediction")</f>
        <v>Vegas Odds</v>
      </c>
      <c r="Q105" t="str">
        <f>IF(COUNTIFS('Total Receptions'!A:A,'Skill Pos Compiled'!$A105)=1,"Vegas Odds","2022 Stats / Prediction")</f>
        <v>2022 Stats / Prediction</v>
      </c>
      <c r="R105" t="str">
        <f>IF(COUNTIFS('Total Receiving Yards'!A:A,'Skill Pos Compiled'!$A105)=1,"Vegas Odds","2022 Stats / Prediction")</f>
        <v>Vegas Odds</v>
      </c>
      <c r="S105" t="str">
        <f>IF(COUNTIFS('Total Receiving Touchdowns'!A:A,'Skill Pos Compiled'!$A105)=1,"Vegas Odds","2022 Stats / Prediction")</f>
        <v>2022 Stats / Prediction</v>
      </c>
      <c r="T105" s="10" t="str">
        <f t="shared" si="7"/>
        <v>OK</v>
      </c>
    </row>
    <row r="106" spans="1:20" x14ac:dyDescent="0.25">
      <c r="A106" t="s">
        <v>46</v>
      </c>
      <c r="B106" t="str">
        <f>_xlfn.XLOOKUP(A106,ADP!A:A,ADP!B:B)</f>
        <v>RB</v>
      </c>
      <c r="C106" s="9">
        <f t="shared" si="5"/>
        <v>228.75000000000003</v>
      </c>
      <c r="D106" s="9">
        <f t="shared" si="6"/>
        <v>1447.5</v>
      </c>
      <c r="E106" s="7">
        <f>IF(SUMIFS('Total Rushing Yards'!E:E,'Total Rushing Yards'!A:A,'Skill Pos Compiled'!A106)=0,SUMIFS('2022 Skill Pos Stats'!M:M,'2022 Skill Pos Stats'!A:A,'Skill Pos Compiled'!A106),SUMIFS('Total Rushing Yards'!E:E,'Total Rushing Yards'!A:A,'Skill Pos Compiled'!A106))</f>
        <v>1208.5</v>
      </c>
      <c r="F106" s="7">
        <f>IF(SUMIFS('Total Rushing Touchdowns'!B:B,'Total Rushing Touchdowns'!A:A,'Skill Pos Compiled'!A106)=0,SUMIFS('2022 Skill Pos Stats'!N:N,'2022 Skill Pos Stats'!A:A,'Skill Pos Compiled'!A106),SUMIFS('Total Rushing Touchdowns'!B:B,'Total Rushing Touchdowns'!A:A,'Skill Pos Compiled'!A106))</f>
        <v>8.5</v>
      </c>
      <c r="G106" s="7">
        <f>IF(SUMIFS('Total Receptions'!B:B,'Total Receptions'!A:A,'Skill Pos Compiled'!A106)=0,SUMIFS('2022 Skill Pos Stats'!O:O,'2022 Skill Pos Stats'!A:A,'Skill Pos Compiled'!A106),SUMIFS('Total Receptions'!B:B,'Total Receptions'!A:A,'Skill Pos Compiled'!A106))</f>
        <v>27</v>
      </c>
      <c r="H106" s="7">
        <f>IF(SUMIFS('Total Receiving Yards'!E:E,'Total Receiving Yards'!A:A,'Skill Pos Compiled'!A106)=0,SUMIFS('2022 Skill Pos Stats'!P:P,'2022 Skill Pos Stats'!A:A,'Skill Pos Compiled'!A106),SUMIFS('Total Receiving Yards'!E:E,'Total Receiving Yards'!A:A,'Skill Pos Compiled'!A106))</f>
        <v>239</v>
      </c>
      <c r="I106" s="7">
        <f>IF(SUMIFS('Total Receiving Touchdowns'!E:E,'Total Receiving Touchdowns'!A:A,'Skill Pos Compiled'!A106)=0,SUMIFS('2022 Skill Pos Stats'!Q:Q,'2022 Skill Pos Stats'!A:A,'Skill Pos Compiled'!A106),SUMIFS('Total Receiving Touchdowns'!E:E,'Total Receiving Touchdowns'!A:A,'Skill Pos Compiled'!A106))</f>
        <v>1</v>
      </c>
      <c r="J106" s="5">
        <f>_xlfn.XLOOKUP(E$1,Pt_System[Stat],Pt_System[Pts])*E106</f>
        <v>120.85000000000001</v>
      </c>
      <c r="K106" s="5">
        <f>_xlfn.XLOOKUP(F$1,Pt_System[Stat],Pt_System[Pts])*F106</f>
        <v>51</v>
      </c>
      <c r="L106" s="5">
        <f>_xlfn.XLOOKUP(G$1,Pt_System[Stat],Pt_System[Pts])*G106</f>
        <v>27</v>
      </c>
      <c r="M106" s="5">
        <f>_xlfn.XLOOKUP(H$1,Pt_System[Stat],Pt_System[Pts])*H106</f>
        <v>23.900000000000002</v>
      </c>
      <c r="N106" s="5">
        <f>_xlfn.XLOOKUP(I$1,Pt_System[Stat],Pt_System[Pts])*I106</f>
        <v>6</v>
      </c>
      <c r="O106" t="str">
        <f>IF(COUNTIFS('Total Rushing Yards'!A:A,'Skill Pos Compiled'!$A106)=1,"Vegas Odds","2022 Stats / Prediction")</f>
        <v>Vegas Odds</v>
      </c>
      <c r="P106" t="str">
        <f>IF(COUNTIFS('Total Rushing Touchdowns'!A:A,'Skill Pos Compiled'!$A106)=1,"Vegas Odds","2022 Stats / Prediction")</f>
        <v>Vegas Odds</v>
      </c>
      <c r="Q106" t="str">
        <f>IF(COUNTIFS('Total Receptions'!A:A,'Skill Pos Compiled'!$A106)=1,"Vegas Odds","2022 Stats / Prediction")</f>
        <v>2022 Stats / Prediction</v>
      </c>
      <c r="R106" t="str">
        <f>IF(COUNTIFS('Total Receiving Yards'!A:A,'Skill Pos Compiled'!$A106)=1,"Vegas Odds","2022 Stats / Prediction")</f>
        <v>2022 Stats / Prediction</v>
      </c>
      <c r="S106" t="str">
        <f>IF(COUNTIFS('Total Receiving Touchdowns'!A:A,'Skill Pos Compiled'!$A106)=1,"Vegas Odds","2022 Stats / Prediction")</f>
        <v>2022 Stats / Prediction</v>
      </c>
      <c r="T106" s="10" t="str">
        <f t="shared" si="7"/>
        <v>Unpredictable</v>
      </c>
    </row>
    <row r="107" spans="1:20" x14ac:dyDescent="0.25">
      <c r="A107" t="s">
        <v>49</v>
      </c>
      <c r="B107" t="str">
        <f>_xlfn.XLOOKUP(A107,ADP!A:A,ADP!B:B)</f>
        <v>RB</v>
      </c>
      <c r="C107" s="9">
        <f t="shared" si="5"/>
        <v>245.22499999999999</v>
      </c>
      <c r="D107" s="9">
        <f t="shared" si="6"/>
        <v>1396.625</v>
      </c>
      <c r="E107" s="7">
        <f>IF(SUMIFS('Total Rushing Yards'!E:E,'Total Rushing Yards'!A:A,'Skill Pos Compiled'!A107)=0,SUMIFS('2022 Skill Pos Stats'!M:M,'2022 Skill Pos Stats'!A:A,'Skill Pos Compiled'!A107),SUMIFS('Total Rushing Yards'!E:E,'Total Rushing Yards'!A:A,'Skill Pos Compiled'!A107))</f>
        <v>1037.5</v>
      </c>
      <c r="F107" s="7">
        <f>IF(SUMIFS('Total Rushing Touchdowns'!B:B,'Total Rushing Touchdowns'!A:A,'Skill Pos Compiled'!A107)=0,SUMIFS('2022 Skill Pos Stats'!N:N,'2022 Skill Pos Stats'!A:A,'Skill Pos Compiled'!A107),SUMIFS('Total Rushing Touchdowns'!B:B,'Total Rushing Touchdowns'!A:A,'Skill Pos Compiled'!A107))</f>
        <v>7.5</v>
      </c>
      <c r="G107" s="7">
        <f>IF(SUMIFS('Total Receptions'!B:B,'Total Receptions'!A:A,'Skill Pos Compiled'!A107)=0,SUMIFS('2022 Skill Pos Stats'!O:O,'2022 Skill Pos Stats'!A:A,'Skill Pos Compiled'!A107),SUMIFS('Total Receptions'!B:B,'Total Receptions'!A:A,'Skill Pos Compiled'!A107))</f>
        <v>60.5625</v>
      </c>
      <c r="H107" s="7">
        <f>IF(SUMIFS('Total Receiving Yards'!E:E,'Total Receiving Yards'!A:A,'Skill Pos Compiled'!A107)=0,SUMIFS('2022 Skill Pos Stats'!P:P,'2022 Skill Pos Stats'!A:A,'Skill Pos Compiled'!A107),SUMIFS('Total Receiving Yards'!E:E,'Total Receiving Yards'!A:A,'Skill Pos Compiled'!A107))</f>
        <v>359.125</v>
      </c>
      <c r="I107" s="7">
        <f>IF(SUMIFS('Total Receiving Touchdowns'!E:E,'Total Receiving Touchdowns'!A:A,'Skill Pos Compiled'!A107)=0,SUMIFS('2022 Skill Pos Stats'!Q:Q,'2022 Skill Pos Stats'!A:A,'Skill Pos Compiled'!A107),SUMIFS('Total Receiving Touchdowns'!E:E,'Total Receiving Touchdowns'!A:A,'Skill Pos Compiled'!A107))</f>
        <v>0</v>
      </c>
      <c r="J107" s="5">
        <f>_xlfn.XLOOKUP(E$1,Pt_System[Stat],Pt_System[Pts])*E107</f>
        <v>103.75</v>
      </c>
      <c r="K107" s="5">
        <f>_xlfn.XLOOKUP(F$1,Pt_System[Stat],Pt_System[Pts])*F107</f>
        <v>45</v>
      </c>
      <c r="L107" s="5">
        <f>_xlfn.XLOOKUP(G$1,Pt_System[Stat],Pt_System[Pts])*G107</f>
        <v>60.5625</v>
      </c>
      <c r="M107" s="5">
        <f>_xlfn.XLOOKUP(H$1,Pt_System[Stat],Pt_System[Pts])*H107</f>
        <v>35.912500000000001</v>
      </c>
      <c r="N107" s="5">
        <f>_xlfn.XLOOKUP(I$1,Pt_System[Stat],Pt_System[Pts])*I107</f>
        <v>0</v>
      </c>
      <c r="O107" t="str">
        <f>IF(COUNTIFS('Total Rushing Yards'!A:A,'Skill Pos Compiled'!$A107)=1,"Vegas Odds","2022 Stats / Prediction")</f>
        <v>Vegas Odds</v>
      </c>
      <c r="P107" t="str">
        <f>IF(COUNTIFS('Total Rushing Touchdowns'!A:A,'Skill Pos Compiled'!$A107)=1,"Vegas Odds","2022 Stats / Prediction")</f>
        <v>Vegas Odds</v>
      </c>
      <c r="Q107" t="str">
        <f>IF(COUNTIFS('Total Receptions'!A:A,'Skill Pos Compiled'!$A107)=1,"Vegas Odds","2022 Stats / Prediction")</f>
        <v>2022 Stats / Prediction</v>
      </c>
      <c r="R107" t="str">
        <f>IF(COUNTIFS('Total Receiving Yards'!A:A,'Skill Pos Compiled'!$A107)=1,"Vegas Odds","2022 Stats / Prediction")</f>
        <v>2022 Stats / Prediction</v>
      </c>
      <c r="S107" t="str">
        <f>IF(COUNTIFS('Total Receiving Touchdowns'!A:A,'Skill Pos Compiled'!$A107)=1,"Vegas Odds","2022 Stats / Prediction")</f>
        <v>2022 Stats / Prediction</v>
      </c>
      <c r="T107" s="10" t="str">
        <f t="shared" si="7"/>
        <v>Unpredictable</v>
      </c>
    </row>
    <row r="108" spans="1:20" x14ac:dyDescent="0.25">
      <c r="A108" t="s">
        <v>302</v>
      </c>
      <c r="B108" t="str">
        <f>_xlfn.XLOOKUP(A108,ADP!A:A,ADP!B:B)</f>
        <v>RB</v>
      </c>
      <c r="C108" s="9">
        <f t="shared" si="5"/>
        <v>227.90000000000003</v>
      </c>
      <c r="D108" s="9">
        <f t="shared" si="6"/>
        <v>1139</v>
      </c>
      <c r="E108" s="7">
        <f>IF(SUMIFS('Total Rushing Yards'!E:E,'Total Rushing Yards'!A:A,'Skill Pos Compiled'!A108)=0,SUMIFS('2022 Skill Pos Stats'!M:M,'2022 Skill Pos Stats'!A:A,'Skill Pos Compiled'!A108),SUMIFS('Total Rushing Yards'!E:E,'Total Rushing Yards'!A:A,'Skill Pos Compiled'!A108))</f>
        <v>1066</v>
      </c>
      <c r="F108" s="7">
        <f>IF(SUMIFS('Total Rushing Touchdowns'!B:B,'Total Rushing Touchdowns'!A:A,'Skill Pos Compiled'!A108)=0,SUMIFS('2022 Skill Pos Stats'!N:N,'2022 Skill Pos Stats'!A:A,'Skill Pos Compiled'!A108),SUMIFS('Total Rushing Touchdowns'!B:B,'Total Rushing Touchdowns'!A:A,'Skill Pos Compiled'!A108))</f>
        <v>17</v>
      </c>
      <c r="G108" s="7">
        <f>IF(SUMIFS('Total Receptions'!B:B,'Total Receptions'!A:A,'Skill Pos Compiled'!A108)=0,SUMIFS('2022 Skill Pos Stats'!O:O,'2022 Skill Pos Stats'!A:A,'Skill Pos Compiled'!A108),SUMIFS('Total Receptions'!B:B,'Total Receptions'!A:A,'Skill Pos Compiled'!A108))</f>
        <v>12</v>
      </c>
      <c r="H108" s="7">
        <f>IF(SUMIFS('Total Receiving Yards'!E:E,'Total Receiving Yards'!A:A,'Skill Pos Compiled'!A108)=0,SUMIFS('2022 Skill Pos Stats'!P:P,'2022 Skill Pos Stats'!A:A,'Skill Pos Compiled'!A108),SUMIFS('Total Receiving Yards'!E:E,'Total Receiving Yards'!A:A,'Skill Pos Compiled'!A108))</f>
        <v>73</v>
      </c>
      <c r="I108" s="7">
        <f>IF(SUMIFS('Total Receiving Touchdowns'!E:E,'Total Receiving Touchdowns'!A:A,'Skill Pos Compiled'!A108)=0,SUMIFS('2022 Skill Pos Stats'!Q:Q,'2022 Skill Pos Stats'!A:A,'Skill Pos Compiled'!A108),SUMIFS('Total Receiving Touchdowns'!E:E,'Total Receiving Touchdowns'!A:A,'Skill Pos Compiled'!A108))</f>
        <v>0</v>
      </c>
      <c r="J108" s="5">
        <f>_xlfn.XLOOKUP(E$1,Pt_System[Stat],Pt_System[Pts])*E108</f>
        <v>106.60000000000001</v>
      </c>
      <c r="K108" s="5">
        <f>_xlfn.XLOOKUP(F$1,Pt_System[Stat],Pt_System[Pts])*F108</f>
        <v>102</v>
      </c>
      <c r="L108" s="5">
        <f>_xlfn.XLOOKUP(G$1,Pt_System[Stat],Pt_System[Pts])*G108</f>
        <v>12</v>
      </c>
      <c r="M108" s="5">
        <f>_xlfn.XLOOKUP(H$1,Pt_System[Stat],Pt_System[Pts])*H108</f>
        <v>7.3000000000000007</v>
      </c>
      <c r="N108" s="5">
        <f>_xlfn.XLOOKUP(I$1,Pt_System[Stat],Pt_System[Pts])*I108</f>
        <v>0</v>
      </c>
      <c r="O108" t="str">
        <f>IF(COUNTIFS('Total Rushing Yards'!A:A,'Skill Pos Compiled'!$A108)=1,"Vegas Odds","2022 Stats / Prediction")</f>
        <v>2022 Stats / Prediction</v>
      </c>
      <c r="P108" t="str">
        <f>IF(COUNTIFS('Total Rushing Touchdowns'!A:A,'Skill Pos Compiled'!$A108)=1,"Vegas Odds","2022 Stats / Prediction")</f>
        <v>2022 Stats / Prediction</v>
      </c>
      <c r="Q108" t="str">
        <f>IF(COUNTIFS('Total Receptions'!A:A,'Skill Pos Compiled'!$A108)=1,"Vegas Odds","2022 Stats / Prediction")</f>
        <v>2022 Stats / Prediction</v>
      </c>
      <c r="R108" t="str">
        <f>IF(COUNTIFS('Total Receiving Yards'!A:A,'Skill Pos Compiled'!$A108)=1,"Vegas Odds","2022 Stats / Prediction")</f>
        <v>2022 Stats / Prediction</v>
      </c>
      <c r="S108" t="str">
        <f>IF(COUNTIFS('Total Receiving Touchdowns'!A:A,'Skill Pos Compiled'!$A108)=1,"Vegas Odds","2022 Stats / Prediction")</f>
        <v>2022 Stats / Prediction</v>
      </c>
      <c r="T108" s="10" t="str">
        <f t="shared" si="7"/>
        <v>Unpredictable</v>
      </c>
    </row>
    <row r="109" spans="1:20" x14ac:dyDescent="0.25">
      <c r="A109" t="s">
        <v>51</v>
      </c>
      <c r="B109" t="str">
        <f>_xlfn.XLOOKUP(A109,ADP!A:A,ADP!B:B)</f>
        <v>RB</v>
      </c>
      <c r="C109" s="9">
        <f t="shared" si="5"/>
        <v>251.03125</v>
      </c>
      <c r="D109" s="9">
        <f t="shared" si="6"/>
        <v>1394.6875</v>
      </c>
      <c r="E109" s="7">
        <f>IF(SUMIFS('Total Rushing Yards'!E:E,'Total Rushing Yards'!A:A,'Skill Pos Compiled'!A109)=0,SUMIFS('2022 Skill Pos Stats'!M:M,'2022 Skill Pos Stats'!A:A,'Skill Pos Compiled'!A109),SUMIFS('Total Rushing Yards'!E:E,'Total Rushing Yards'!A:A,'Skill Pos Compiled'!A109))</f>
        <v>1000.5</v>
      </c>
      <c r="F109" s="7">
        <f>IF(SUMIFS('Total Rushing Touchdowns'!B:B,'Total Rushing Touchdowns'!A:A,'Skill Pos Compiled'!A109)=0,SUMIFS('2022 Skill Pos Stats'!N:N,'2022 Skill Pos Stats'!A:A,'Skill Pos Compiled'!A109),SUMIFS('Total Rushing Touchdowns'!B:B,'Total Rushing Touchdowns'!A:A,'Skill Pos Compiled'!A109))</f>
        <v>8.5</v>
      </c>
      <c r="G109" s="7">
        <f>IF(SUMIFS('Total Receptions'!B:B,'Total Receptions'!A:A,'Skill Pos Compiled'!A109)=0,SUMIFS('2022 Skill Pos Stats'!O:O,'2022 Skill Pos Stats'!A:A,'Skill Pos Compiled'!A109),SUMIFS('Total Receptions'!B:B,'Total Receptions'!A:A,'Skill Pos Compiled'!A109))</f>
        <v>41.4375</v>
      </c>
      <c r="H109" s="7">
        <f>IF(SUMIFS('Total Receiving Yards'!E:E,'Total Receiving Yards'!A:A,'Skill Pos Compiled'!A109)=0,SUMIFS('2022 Skill Pos Stats'!P:P,'2022 Skill Pos Stats'!A:A,'Skill Pos Compiled'!A109),SUMIFS('Total Receiving Yards'!E:E,'Total Receiving Yards'!A:A,'Skill Pos Compiled'!A109))</f>
        <v>394.1875</v>
      </c>
      <c r="I109" s="7">
        <f>IF(SUMIFS('Total Receiving Touchdowns'!E:E,'Total Receiving Touchdowns'!A:A,'Skill Pos Compiled'!A109)=0,SUMIFS('2022 Skill Pos Stats'!Q:Q,'2022 Skill Pos Stats'!A:A,'Skill Pos Compiled'!A109),SUMIFS('Total Receiving Touchdowns'!E:E,'Total Receiving Touchdowns'!A:A,'Skill Pos Compiled'!A109))</f>
        <v>3.1875</v>
      </c>
      <c r="J109" s="5">
        <f>_xlfn.XLOOKUP(E$1,Pt_System[Stat],Pt_System[Pts])*E109</f>
        <v>100.05000000000001</v>
      </c>
      <c r="K109" s="5">
        <f>_xlfn.XLOOKUP(F$1,Pt_System[Stat],Pt_System[Pts])*F109</f>
        <v>51</v>
      </c>
      <c r="L109" s="5">
        <f>_xlfn.XLOOKUP(G$1,Pt_System[Stat],Pt_System[Pts])*G109</f>
        <v>41.4375</v>
      </c>
      <c r="M109" s="5">
        <f>_xlfn.XLOOKUP(H$1,Pt_System[Stat],Pt_System[Pts])*H109</f>
        <v>39.418750000000003</v>
      </c>
      <c r="N109" s="5">
        <f>_xlfn.XLOOKUP(I$1,Pt_System[Stat],Pt_System[Pts])*I109</f>
        <v>19.125</v>
      </c>
      <c r="O109" t="str">
        <f>IF(COUNTIFS('Total Rushing Yards'!A:A,'Skill Pos Compiled'!$A109)=1,"Vegas Odds","2022 Stats / Prediction")</f>
        <v>Vegas Odds</v>
      </c>
      <c r="P109" t="str">
        <f>IF(COUNTIFS('Total Rushing Touchdowns'!A:A,'Skill Pos Compiled'!$A109)=1,"Vegas Odds","2022 Stats / Prediction")</f>
        <v>Vegas Odds</v>
      </c>
      <c r="Q109" t="str">
        <f>IF(COUNTIFS('Total Receptions'!A:A,'Skill Pos Compiled'!$A109)=1,"Vegas Odds","2022 Stats / Prediction")</f>
        <v>2022 Stats / Prediction</v>
      </c>
      <c r="R109" t="str">
        <f>IF(COUNTIFS('Total Receiving Yards'!A:A,'Skill Pos Compiled'!$A109)=1,"Vegas Odds","2022 Stats / Prediction")</f>
        <v>2022 Stats / Prediction</v>
      </c>
      <c r="S109" t="str">
        <f>IF(COUNTIFS('Total Receiving Touchdowns'!A:A,'Skill Pos Compiled'!$A109)=1,"Vegas Odds","2022 Stats / Prediction")</f>
        <v>2022 Stats / Prediction</v>
      </c>
      <c r="T109" s="10" t="str">
        <f t="shared" si="7"/>
        <v>Unpredictable</v>
      </c>
    </row>
    <row r="110" spans="1:20" x14ac:dyDescent="0.25">
      <c r="A110" t="s">
        <v>70</v>
      </c>
      <c r="B110" t="str">
        <f>_xlfn.XLOOKUP(A110,ADP!A:A,ADP!B:B)</f>
        <v>RB</v>
      </c>
      <c r="C110" s="9">
        <f t="shared" si="5"/>
        <v>177.3</v>
      </c>
      <c r="D110" s="9">
        <f t="shared" si="6"/>
        <v>933</v>
      </c>
      <c r="E110" s="7">
        <f>IF(SUMIFS('Total Rushing Yards'!E:E,'Total Rushing Yards'!A:A,'Skill Pos Compiled'!A110)=0,SUMIFS('2022 Skill Pos Stats'!M:M,'2022 Skill Pos Stats'!A:A,'Skill Pos Compiled'!A110),SUMIFS('Total Rushing Yards'!E:E,'Total Rushing Yards'!A:A,'Skill Pos Compiled'!A110))</f>
        <v>638</v>
      </c>
      <c r="F110" s="7">
        <f>IF(SUMIFS('Total Rushing Touchdowns'!B:B,'Total Rushing Touchdowns'!A:A,'Skill Pos Compiled'!A110)=0,SUMIFS('2022 Skill Pos Stats'!N:N,'2022 Skill Pos Stats'!A:A,'Skill Pos Compiled'!A110),SUMIFS('Total Rushing Touchdowns'!B:B,'Total Rushing Touchdowns'!A:A,'Skill Pos Compiled'!A110))</f>
        <v>5.5</v>
      </c>
      <c r="G110" s="7">
        <f>IF(SUMIFS('Total Receptions'!B:B,'Total Receptions'!A:A,'Skill Pos Compiled'!A110)=0,SUMIFS('2022 Skill Pos Stats'!O:O,'2022 Skill Pos Stats'!A:A,'Skill Pos Compiled'!A110),SUMIFS('Total Receptions'!B:B,'Total Receptions'!A:A,'Skill Pos Compiled'!A110))</f>
        <v>39</v>
      </c>
      <c r="H110" s="7">
        <f>IF(SUMIFS('Total Receiving Yards'!E:E,'Total Receiving Yards'!A:A,'Skill Pos Compiled'!A110)=0,SUMIFS('2022 Skill Pos Stats'!P:P,'2022 Skill Pos Stats'!A:A,'Skill Pos Compiled'!A110),SUMIFS('Total Receiving Yards'!E:E,'Total Receiving Yards'!A:A,'Skill Pos Compiled'!A110))</f>
        <v>295</v>
      </c>
      <c r="I110" s="7">
        <f>IF(SUMIFS('Total Receiving Touchdowns'!E:E,'Total Receiving Touchdowns'!A:A,'Skill Pos Compiled'!A110)=0,SUMIFS('2022 Skill Pos Stats'!Q:Q,'2022 Skill Pos Stats'!A:A,'Skill Pos Compiled'!A110),SUMIFS('Total Receiving Touchdowns'!E:E,'Total Receiving Touchdowns'!A:A,'Skill Pos Compiled'!A110))</f>
        <v>2</v>
      </c>
      <c r="J110" s="5">
        <f>_xlfn.XLOOKUP(E$1,Pt_System[Stat],Pt_System[Pts])*E110</f>
        <v>63.800000000000004</v>
      </c>
      <c r="K110" s="5">
        <f>_xlfn.XLOOKUP(F$1,Pt_System[Stat],Pt_System[Pts])*F110</f>
        <v>33</v>
      </c>
      <c r="L110" s="5">
        <f>_xlfn.XLOOKUP(G$1,Pt_System[Stat],Pt_System[Pts])*G110</f>
        <v>39</v>
      </c>
      <c r="M110" s="5">
        <f>_xlfn.XLOOKUP(H$1,Pt_System[Stat],Pt_System[Pts])*H110</f>
        <v>29.5</v>
      </c>
      <c r="N110" s="5">
        <f>_xlfn.XLOOKUP(I$1,Pt_System[Stat],Pt_System[Pts])*I110</f>
        <v>12</v>
      </c>
      <c r="O110" t="str">
        <f>IF(COUNTIFS('Total Rushing Yards'!A:A,'Skill Pos Compiled'!$A110)=1,"Vegas Odds","2022 Stats / Prediction")</f>
        <v>Vegas Odds</v>
      </c>
      <c r="P110" t="str">
        <f>IF(COUNTIFS('Total Rushing Touchdowns'!A:A,'Skill Pos Compiled'!$A110)=1,"Vegas Odds","2022 Stats / Prediction")</f>
        <v>Vegas Odds</v>
      </c>
      <c r="Q110" t="str">
        <f>IF(COUNTIFS('Total Receptions'!A:A,'Skill Pos Compiled'!$A110)=1,"Vegas Odds","2022 Stats / Prediction")</f>
        <v>2022 Stats / Prediction</v>
      </c>
      <c r="R110" t="str">
        <f>IF(COUNTIFS('Total Receiving Yards'!A:A,'Skill Pos Compiled'!$A110)=1,"Vegas Odds","2022 Stats / Prediction")</f>
        <v>2022 Stats / Prediction</v>
      </c>
      <c r="S110" t="str">
        <f>IF(COUNTIFS('Total Receiving Touchdowns'!A:A,'Skill Pos Compiled'!$A110)=1,"Vegas Odds","2022 Stats / Prediction")</f>
        <v>2022 Stats / Prediction</v>
      </c>
      <c r="T110" s="10" t="str">
        <f t="shared" si="7"/>
        <v>Unpredictable</v>
      </c>
    </row>
    <row r="111" spans="1:20" x14ac:dyDescent="0.25">
      <c r="A111" t="s">
        <v>54</v>
      </c>
      <c r="B111" t="str">
        <f>_xlfn.XLOOKUP(A111,ADP!A:A,ADP!B:B)</f>
        <v>RB</v>
      </c>
      <c r="C111" s="9">
        <f t="shared" si="5"/>
        <v>154.35000000000002</v>
      </c>
      <c r="D111" s="9">
        <f t="shared" si="6"/>
        <v>953.5</v>
      </c>
      <c r="E111" s="7">
        <f>IF(SUMIFS('Total Rushing Yards'!E:E,'Total Rushing Yards'!A:A,'Skill Pos Compiled'!A111)=0,SUMIFS('2022 Skill Pos Stats'!M:M,'2022 Skill Pos Stats'!A:A,'Skill Pos Compiled'!A111),SUMIFS('Total Rushing Yards'!E:E,'Total Rushing Yards'!A:A,'Skill Pos Compiled'!A111))</f>
        <v>875.5</v>
      </c>
      <c r="F111" s="7">
        <f>IF(SUMIFS('Total Rushing Touchdowns'!B:B,'Total Rushing Touchdowns'!A:A,'Skill Pos Compiled'!A111)=0,SUMIFS('2022 Skill Pos Stats'!N:N,'2022 Skill Pos Stats'!A:A,'Skill Pos Compiled'!A111),SUMIFS('Total Rushing Touchdowns'!B:B,'Total Rushing Touchdowns'!A:A,'Skill Pos Compiled'!A111))</f>
        <v>6.5</v>
      </c>
      <c r="G111" s="7">
        <f>IF(SUMIFS('Total Receptions'!B:B,'Total Receptions'!A:A,'Skill Pos Compiled'!A111)=0,SUMIFS('2022 Skill Pos Stats'!O:O,'2022 Skill Pos Stats'!A:A,'Skill Pos Compiled'!A111),SUMIFS('Total Receptions'!B:B,'Total Receptions'!A:A,'Skill Pos Compiled'!A111))</f>
        <v>20</v>
      </c>
      <c r="H111" s="7">
        <f>IF(SUMIFS('Total Receiving Yards'!E:E,'Total Receiving Yards'!A:A,'Skill Pos Compiled'!A111)=0,SUMIFS('2022 Skill Pos Stats'!P:P,'2022 Skill Pos Stats'!A:A,'Skill Pos Compiled'!A111),SUMIFS('Total Receiving Yards'!E:E,'Total Receiving Yards'!A:A,'Skill Pos Compiled'!A111))</f>
        <v>78</v>
      </c>
      <c r="I111" s="7">
        <f>IF(SUMIFS('Total Receiving Touchdowns'!E:E,'Total Receiving Touchdowns'!A:A,'Skill Pos Compiled'!A111)=0,SUMIFS('2022 Skill Pos Stats'!Q:Q,'2022 Skill Pos Stats'!A:A,'Skill Pos Compiled'!A111),SUMIFS('Total Receiving Touchdowns'!E:E,'Total Receiving Touchdowns'!A:A,'Skill Pos Compiled'!A111))</f>
        <v>0</v>
      </c>
      <c r="J111" s="5">
        <f>_xlfn.XLOOKUP(E$1,Pt_System[Stat],Pt_System[Pts])*E111</f>
        <v>87.550000000000011</v>
      </c>
      <c r="K111" s="5">
        <f>_xlfn.XLOOKUP(F$1,Pt_System[Stat],Pt_System[Pts])*F111</f>
        <v>39</v>
      </c>
      <c r="L111" s="5">
        <f>_xlfn.XLOOKUP(G$1,Pt_System[Stat],Pt_System[Pts])*G111</f>
        <v>20</v>
      </c>
      <c r="M111" s="5">
        <f>_xlfn.XLOOKUP(H$1,Pt_System[Stat],Pt_System[Pts])*H111</f>
        <v>7.8000000000000007</v>
      </c>
      <c r="N111" s="5">
        <f>_xlfn.XLOOKUP(I$1,Pt_System[Stat],Pt_System[Pts])*I111</f>
        <v>0</v>
      </c>
      <c r="O111" t="str">
        <f>IF(COUNTIFS('Total Rushing Yards'!A:A,'Skill Pos Compiled'!$A111)=1,"Vegas Odds","2022 Stats / Prediction")</f>
        <v>Vegas Odds</v>
      </c>
      <c r="P111" t="str">
        <f>IF(COUNTIFS('Total Rushing Touchdowns'!A:A,'Skill Pos Compiled'!$A111)=1,"Vegas Odds","2022 Stats / Prediction")</f>
        <v>Vegas Odds</v>
      </c>
      <c r="Q111" t="str">
        <f>IF(COUNTIFS('Total Receptions'!A:A,'Skill Pos Compiled'!$A111)=1,"Vegas Odds","2022 Stats / Prediction")</f>
        <v>2022 Stats / Prediction</v>
      </c>
      <c r="R111" t="str">
        <f>IF(COUNTIFS('Total Receiving Yards'!A:A,'Skill Pos Compiled'!$A111)=1,"Vegas Odds","2022 Stats / Prediction")</f>
        <v>2022 Stats / Prediction</v>
      </c>
      <c r="S111" t="str">
        <f>IF(COUNTIFS('Total Receiving Touchdowns'!A:A,'Skill Pos Compiled'!$A111)=1,"Vegas Odds","2022 Stats / Prediction")</f>
        <v>2022 Stats / Prediction</v>
      </c>
      <c r="T111" s="10" t="str">
        <f t="shared" si="7"/>
        <v>Unpredictable</v>
      </c>
    </row>
    <row r="112" spans="1:20" x14ac:dyDescent="0.25">
      <c r="A112" t="s">
        <v>58</v>
      </c>
      <c r="B112" t="str">
        <f>_xlfn.XLOOKUP(A112,ADP!A:A,ADP!B:B)</f>
        <v>RB</v>
      </c>
      <c r="C112" s="9">
        <f t="shared" si="5"/>
        <v>247.18333333333334</v>
      </c>
      <c r="D112" s="9">
        <f t="shared" si="6"/>
        <v>1251.8333333333335</v>
      </c>
      <c r="E112" s="7">
        <f>IF(SUMIFS('Total Rushing Yards'!E:E,'Total Rushing Yards'!A:A,'Skill Pos Compiled'!A112)=0,SUMIFS('2022 Skill Pos Stats'!M:M,'2022 Skill Pos Stats'!A:A,'Skill Pos Compiled'!A112),SUMIFS('Total Rushing Yards'!E:E,'Total Rushing Yards'!A:A,'Skill Pos Compiled'!A112))</f>
        <v>856.83333333333337</v>
      </c>
      <c r="F112" s="7">
        <f>IF(SUMIFS('Total Rushing Touchdowns'!B:B,'Total Rushing Touchdowns'!A:A,'Skill Pos Compiled'!A112)=0,SUMIFS('2022 Skill Pos Stats'!N:N,'2022 Skill Pos Stats'!A:A,'Skill Pos Compiled'!A112),SUMIFS('Total Rushing Touchdowns'!B:B,'Total Rushing Touchdowns'!A:A,'Skill Pos Compiled'!A112))</f>
        <v>5.5</v>
      </c>
      <c r="G112" s="7">
        <f>IF(SUMIFS('Total Receptions'!B:B,'Total Receptions'!A:A,'Skill Pos Compiled'!A112)=0,SUMIFS('2022 Skill Pos Stats'!O:O,'2022 Skill Pos Stats'!A:A,'Skill Pos Compiled'!A112),SUMIFS('Total Receptions'!B:B,'Total Receptions'!A:A,'Skill Pos Compiled'!A112))</f>
        <v>59</v>
      </c>
      <c r="H112" s="7">
        <f>IF(SUMIFS('Total Receiving Yards'!E:E,'Total Receiving Yards'!A:A,'Skill Pos Compiled'!A112)=0,SUMIFS('2022 Skill Pos Stats'!P:P,'2022 Skill Pos Stats'!A:A,'Skill Pos Compiled'!A112),SUMIFS('Total Receiving Yards'!E:E,'Total Receiving Yards'!A:A,'Skill Pos Compiled'!A112))</f>
        <v>395</v>
      </c>
      <c r="I112" s="7">
        <f>IF(SUMIFS('Total Receiving Touchdowns'!E:E,'Total Receiving Touchdowns'!A:A,'Skill Pos Compiled'!A112)=0,SUMIFS('2022 Skill Pos Stats'!Q:Q,'2022 Skill Pos Stats'!A:A,'Skill Pos Compiled'!A112),SUMIFS('Total Receiving Touchdowns'!E:E,'Total Receiving Touchdowns'!A:A,'Skill Pos Compiled'!A112))</f>
        <v>5</v>
      </c>
      <c r="J112" s="5">
        <f>_xlfn.XLOOKUP(E$1,Pt_System[Stat],Pt_System[Pts])*E112</f>
        <v>85.683333333333337</v>
      </c>
      <c r="K112" s="5">
        <f>_xlfn.XLOOKUP(F$1,Pt_System[Stat],Pt_System[Pts])*F112</f>
        <v>33</v>
      </c>
      <c r="L112" s="5">
        <f>_xlfn.XLOOKUP(G$1,Pt_System[Stat],Pt_System[Pts])*G112</f>
        <v>59</v>
      </c>
      <c r="M112" s="5">
        <f>_xlfn.XLOOKUP(H$1,Pt_System[Stat],Pt_System[Pts])*H112</f>
        <v>39.5</v>
      </c>
      <c r="N112" s="5">
        <f>_xlfn.XLOOKUP(I$1,Pt_System[Stat],Pt_System[Pts])*I112</f>
        <v>30</v>
      </c>
      <c r="O112" t="str">
        <f>IF(COUNTIFS('Total Rushing Yards'!A:A,'Skill Pos Compiled'!$A112)=1,"Vegas Odds","2022 Stats / Prediction")</f>
        <v>Vegas Odds</v>
      </c>
      <c r="P112" t="str">
        <f>IF(COUNTIFS('Total Rushing Touchdowns'!A:A,'Skill Pos Compiled'!$A112)=1,"Vegas Odds","2022 Stats / Prediction")</f>
        <v>Vegas Odds</v>
      </c>
      <c r="Q112" t="str">
        <f>IF(COUNTIFS('Total Receptions'!A:A,'Skill Pos Compiled'!$A112)=1,"Vegas Odds","2022 Stats / Prediction")</f>
        <v>2022 Stats / Prediction</v>
      </c>
      <c r="R112" t="str">
        <f>IF(COUNTIFS('Total Receiving Yards'!A:A,'Skill Pos Compiled'!$A112)=1,"Vegas Odds","2022 Stats / Prediction")</f>
        <v>2022 Stats / Prediction</v>
      </c>
      <c r="S112" t="str">
        <f>IF(COUNTIFS('Total Receiving Touchdowns'!A:A,'Skill Pos Compiled'!$A112)=1,"Vegas Odds","2022 Stats / Prediction")</f>
        <v>2022 Stats / Prediction</v>
      </c>
      <c r="T112" s="10" t="str">
        <f t="shared" si="7"/>
        <v>Unpredictable</v>
      </c>
    </row>
    <row r="113" spans="1:20" x14ac:dyDescent="0.25">
      <c r="A113" t="s">
        <v>53</v>
      </c>
      <c r="B113" t="str">
        <f>_xlfn.XLOOKUP(A113,ADP!A:A,ADP!B:B)</f>
        <v>RB</v>
      </c>
      <c r="C113" s="9">
        <f t="shared" si="5"/>
        <v>216.78333333333333</v>
      </c>
      <c r="D113" s="9">
        <f t="shared" si="6"/>
        <v>1127.8333333333335</v>
      </c>
      <c r="E113" s="7">
        <f>IF(SUMIFS('Total Rushing Yards'!E:E,'Total Rushing Yards'!A:A,'Skill Pos Compiled'!A113)=0,SUMIFS('2022 Skill Pos Stats'!M:M,'2022 Skill Pos Stats'!A:A,'Skill Pos Compiled'!A113),SUMIFS('Total Rushing Yards'!E:E,'Total Rushing Yards'!A:A,'Skill Pos Compiled'!A113))</f>
        <v>898.83333333333337</v>
      </c>
      <c r="F113" s="7">
        <f>IF(SUMIFS('Total Rushing Touchdowns'!B:B,'Total Rushing Touchdowns'!A:A,'Skill Pos Compiled'!A113)=0,SUMIFS('2022 Skill Pos Stats'!N:N,'2022 Skill Pos Stats'!A:A,'Skill Pos Compiled'!A113),SUMIFS('Total Rushing Touchdowns'!B:B,'Total Rushing Touchdowns'!A:A,'Skill Pos Compiled'!A113))</f>
        <v>7.5</v>
      </c>
      <c r="G113" s="7">
        <f>IF(SUMIFS('Total Receptions'!B:B,'Total Receptions'!A:A,'Skill Pos Compiled'!A113)=0,SUMIFS('2022 Skill Pos Stats'!O:O,'2022 Skill Pos Stats'!A:A,'Skill Pos Compiled'!A113),SUMIFS('Total Receptions'!B:B,'Total Receptions'!A:A,'Skill Pos Compiled'!A113))</f>
        <v>41</v>
      </c>
      <c r="H113" s="7">
        <f>IF(SUMIFS('Total Receiving Yards'!E:E,'Total Receiving Yards'!A:A,'Skill Pos Compiled'!A113)=0,SUMIFS('2022 Skill Pos Stats'!P:P,'2022 Skill Pos Stats'!A:A,'Skill Pos Compiled'!A113),SUMIFS('Total Receiving Yards'!E:E,'Total Receiving Yards'!A:A,'Skill Pos Compiled'!A113))</f>
        <v>229</v>
      </c>
      <c r="I113" s="7">
        <f>IF(SUMIFS('Total Receiving Touchdowns'!E:E,'Total Receiving Touchdowns'!A:A,'Skill Pos Compiled'!A113)=0,SUMIFS('2022 Skill Pos Stats'!Q:Q,'2022 Skill Pos Stats'!A:A,'Skill Pos Compiled'!A113),SUMIFS('Total Receiving Touchdowns'!E:E,'Total Receiving Touchdowns'!A:A,'Skill Pos Compiled'!A113))</f>
        <v>3</v>
      </c>
      <c r="J113" s="5">
        <f>_xlfn.XLOOKUP(E$1,Pt_System[Stat],Pt_System[Pts])*E113</f>
        <v>89.88333333333334</v>
      </c>
      <c r="K113" s="5">
        <f>_xlfn.XLOOKUP(F$1,Pt_System[Stat],Pt_System[Pts])*F113</f>
        <v>45</v>
      </c>
      <c r="L113" s="5">
        <f>_xlfn.XLOOKUP(G$1,Pt_System[Stat],Pt_System[Pts])*G113</f>
        <v>41</v>
      </c>
      <c r="M113" s="5">
        <f>_xlfn.XLOOKUP(H$1,Pt_System[Stat],Pt_System[Pts])*H113</f>
        <v>22.900000000000002</v>
      </c>
      <c r="N113" s="5">
        <f>_xlfn.XLOOKUP(I$1,Pt_System[Stat],Pt_System[Pts])*I113</f>
        <v>18</v>
      </c>
      <c r="O113" t="str">
        <f>IF(COUNTIFS('Total Rushing Yards'!A:A,'Skill Pos Compiled'!$A113)=1,"Vegas Odds","2022 Stats / Prediction")</f>
        <v>Vegas Odds</v>
      </c>
      <c r="P113" t="str">
        <f>IF(COUNTIFS('Total Rushing Touchdowns'!A:A,'Skill Pos Compiled'!$A113)=1,"Vegas Odds","2022 Stats / Prediction")</f>
        <v>Vegas Odds</v>
      </c>
      <c r="Q113" t="str">
        <f>IF(COUNTIFS('Total Receptions'!A:A,'Skill Pos Compiled'!$A113)=1,"Vegas Odds","2022 Stats / Prediction")</f>
        <v>2022 Stats / Prediction</v>
      </c>
      <c r="R113" t="str">
        <f>IF(COUNTIFS('Total Receiving Yards'!A:A,'Skill Pos Compiled'!$A113)=1,"Vegas Odds","2022 Stats / Prediction")</f>
        <v>2022 Stats / Prediction</v>
      </c>
      <c r="S113" t="str">
        <f>IF(COUNTIFS('Total Receiving Touchdowns'!A:A,'Skill Pos Compiled'!$A113)=1,"Vegas Odds","2022 Stats / Prediction")</f>
        <v>2022 Stats / Prediction</v>
      </c>
      <c r="T113" s="10" t="str">
        <f t="shared" si="7"/>
        <v>Unpredictable</v>
      </c>
    </row>
    <row r="114" spans="1:20" x14ac:dyDescent="0.25">
      <c r="A114" t="s">
        <v>55</v>
      </c>
      <c r="B114" t="str">
        <f>_xlfn.XLOOKUP(A114,ADP!A:A,ADP!B:B)</f>
        <v>RB</v>
      </c>
      <c r="C114" s="9">
        <f t="shared" si="5"/>
        <v>235.95000000000002</v>
      </c>
      <c r="D114" s="9">
        <f t="shared" si="6"/>
        <v>1279.5</v>
      </c>
      <c r="E114" s="7">
        <f>IF(SUMIFS('Total Rushing Yards'!E:E,'Total Rushing Yards'!A:A,'Skill Pos Compiled'!A114)=0,SUMIFS('2022 Skill Pos Stats'!M:M,'2022 Skill Pos Stats'!A:A,'Skill Pos Compiled'!A114),SUMIFS('Total Rushing Yards'!E:E,'Total Rushing Yards'!A:A,'Skill Pos Compiled'!A114))</f>
        <v>858.5</v>
      </c>
      <c r="F114" s="7">
        <f>IF(SUMIFS('Total Rushing Touchdowns'!B:B,'Total Rushing Touchdowns'!A:A,'Skill Pos Compiled'!A114)=0,SUMIFS('2022 Skill Pos Stats'!N:N,'2022 Skill Pos Stats'!A:A,'Skill Pos Compiled'!A114),SUMIFS('Total Rushing Touchdowns'!B:B,'Total Rushing Touchdowns'!A:A,'Skill Pos Compiled'!A114))</f>
        <v>5.5</v>
      </c>
      <c r="G114" s="7">
        <f>IF(SUMIFS('Total Receptions'!B:B,'Total Receptions'!A:A,'Skill Pos Compiled'!A114)=0,SUMIFS('2022 Skill Pos Stats'!O:O,'2022 Skill Pos Stats'!A:A,'Skill Pos Compiled'!A114),SUMIFS('Total Receptions'!B:B,'Total Receptions'!A:A,'Skill Pos Compiled'!A114))</f>
        <v>69</v>
      </c>
      <c r="H114" s="7">
        <f>IF(SUMIFS('Total Receiving Yards'!E:E,'Total Receiving Yards'!A:A,'Skill Pos Compiled'!A114)=0,SUMIFS('2022 Skill Pos Stats'!P:P,'2022 Skill Pos Stats'!A:A,'Skill Pos Compiled'!A114),SUMIFS('Total Receiving Yards'!E:E,'Total Receiving Yards'!A:A,'Skill Pos Compiled'!A114))</f>
        <v>421</v>
      </c>
      <c r="I114" s="7">
        <f>IF(SUMIFS('Total Receiving Touchdowns'!E:E,'Total Receiving Touchdowns'!A:A,'Skill Pos Compiled'!A114)=0,SUMIFS('2022 Skill Pos Stats'!Q:Q,'2022 Skill Pos Stats'!A:A,'Skill Pos Compiled'!A114),SUMIFS('Total Receiving Touchdowns'!E:E,'Total Receiving Touchdowns'!A:A,'Skill Pos Compiled'!A114))</f>
        <v>1</v>
      </c>
      <c r="J114" s="5">
        <f>_xlfn.XLOOKUP(E$1,Pt_System[Stat],Pt_System[Pts])*E114</f>
        <v>85.850000000000009</v>
      </c>
      <c r="K114" s="5">
        <f>_xlfn.XLOOKUP(F$1,Pt_System[Stat],Pt_System[Pts])*F114</f>
        <v>33</v>
      </c>
      <c r="L114" s="5">
        <f>_xlfn.XLOOKUP(G$1,Pt_System[Stat],Pt_System[Pts])*G114</f>
        <v>69</v>
      </c>
      <c r="M114" s="5">
        <f>_xlfn.XLOOKUP(H$1,Pt_System[Stat],Pt_System[Pts])*H114</f>
        <v>42.1</v>
      </c>
      <c r="N114" s="5">
        <f>_xlfn.XLOOKUP(I$1,Pt_System[Stat],Pt_System[Pts])*I114</f>
        <v>6</v>
      </c>
      <c r="O114" t="str">
        <f>IF(COUNTIFS('Total Rushing Yards'!A:A,'Skill Pos Compiled'!$A114)=1,"Vegas Odds","2022 Stats / Prediction")</f>
        <v>Vegas Odds</v>
      </c>
      <c r="P114" t="str">
        <f>IF(COUNTIFS('Total Rushing Touchdowns'!A:A,'Skill Pos Compiled'!$A114)=1,"Vegas Odds","2022 Stats / Prediction")</f>
        <v>Vegas Odds</v>
      </c>
      <c r="Q114" t="str">
        <f>IF(COUNTIFS('Total Receptions'!A:A,'Skill Pos Compiled'!$A114)=1,"Vegas Odds","2022 Stats / Prediction")</f>
        <v>2022 Stats / Prediction</v>
      </c>
      <c r="R114" t="str">
        <f>IF(COUNTIFS('Total Receiving Yards'!A:A,'Skill Pos Compiled'!$A114)=1,"Vegas Odds","2022 Stats / Prediction")</f>
        <v>2022 Stats / Prediction</v>
      </c>
      <c r="S114" t="str">
        <f>IF(COUNTIFS('Total Receiving Touchdowns'!A:A,'Skill Pos Compiled'!$A114)=1,"Vegas Odds","2022 Stats / Prediction")</f>
        <v>2022 Stats / Prediction</v>
      </c>
      <c r="T114" s="10" t="str">
        <f t="shared" si="7"/>
        <v>Unpredictable</v>
      </c>
    </row>
    <row r="115" spans="1:20" x14ac:dyDescent="0.25">
      <c r="A115" t="s">
        <v>60</v>
      </c>
      <c r="B115" t="str">
        <f>_xlfn.XLOOKUP(A115,ADP!A:A,ADP!B:B)</f>
        <v>RB</v>
      </c>
      <c r="C115" s="9">
        <f t="shared" si="5"/>
        <v>267.27857142857141</v>
      </c>
      <c r="D115" s="9">
        <f t="shared" si="6"/>
        <v>1348.5</v>
      </c>
      <c r="E115" s="7">
        <f>IF(SUMIFS('Total Rushing Yards'!E:E,'Total Rushing Yards'!A:A,'Skill Pos Compiled'!A115)=0,SUMIFS('2022 Skill Pos Stats'!M:M,'2022 Skill Pos Stats'!A:A,'Skill Pos Compiled'!A115),SUMIFS('Total Rushing Yards'!E:E,'Total Rushing Yards'!A:A,'Skill Pos Compiled'!A115))</f>
        <v>813</v>
      </c>
      <c r="F115" s="7">
        <f>IF(SUMIFS('Total Rushing Touchdowns'!B:B,'Total Rushing Touchdowns'!A:A,'Skill Pos Compiled'!A115)=0,SUMIFS('2022 Skill Pos Stats'!N:N,'2022 Skill Pos Stats'!A:A,'Skill Pos Compiled'!A115),SUMIFS('Total Rushing Touchdowns'!B:B,'Total Rushing Touchdowns'!A:A,'Skill Pos Compiled'!A115))</f>
        <v>7.5</v>
      </c>
      <c r="G115" s="7">
        <f>IF(SUMIFS('Total Receptions'!B:B,'Total Receptions'!A:A,'Skill Pos Compiled'!A115)=0,SUMIFS('2022 Skill Pos Stats'!O:O,'2022 Skill Pos Stats'!A:A,'Skill Pos Compiled'!A115),SUMIFS('Total Receptions'!B:B,'Total Receptions'!A:A,'Skill Pos Compiled'!A115))</f>
        <v>72.857142857142847</v>
      </c>
      <c r="H115" s="7">
        <f>IF(SUMIFS('Total Receiving Yards'!E:E,'Total Receiving Yards'!A:A,'Skill Pos Compiled'!A115)=0,SUMIFS('2022 Skill Pos Stats'!P:P,'2022 Skill Pos Stats'!A:A,'Skill Pos Compiled'!A115),SUMIFS('Total Receiving Yards'!E:E,'Total Receiving Yards'!A:A,'Skill Pos Compiled'!A115))</f>
        <v>535.5</v>
      </c>
      <c r="I115" s="7">
        <f>IF(SUMIFS('Total Receiving Touchdowns'!E:E,'Total Receiving Touchdowns'!A:A,'Skill Pos Compiled'!A115)=0,SUMIFS('2022 Skill Pos Stats'!Q:Q,'2022 Skill Pos Stats'!A:A,'Skill Pos Compiled'!A115),SUMIFS('Total Receiving Touchdowns'!E:E,'Total Receiving Touchdowns'!A:A,'Skill Pos Compiled'!A115))</f>
        <v>2.4285714285714284</v>
      </c>
      <c r="J115" s="5">
        <f>_xlfn.XLOOKUP(E$1,Pt_System[Stat],Pt_System[Pts])*E115</f>
        <v>81.300000000000011</v>
      </c>
      <c r="K115" s="5">
        <f>_xlfn.XLOOKUP(F$1,Pt_System[Stat],Pt_System[Pts])*F115</f>
        <v>45</v>
      </c>
      <c r="L115" s="5">
        <f>_xlfn.XLOOKUP(G$1,Pt_System[Stat],Pt_System[Pts])*G115</f>
        <v>72.857142857142847</v>
      </c>
      <c r="M115" s="5">
        <f>_xlfn.XLOOKUP(H$1,Pt_System[Stat],Pt_System[Pts])*H115</f>
        <v>53.550000000000004</v>
      </c>
      <c r="N115" s="5">
        <f>_xlfn.XLOOKUP(I$1,Pt_System[Stat],Pt_System[Pts])*I115</f>
        <v>14.571428571428569</v>
      </c>
      <c r="O115" t="str">
        <f>IF(COUNTIFS('Total Rushing Yards'!A:A,'Skill Pos Compiled'!$A115)=1,"Vegas Odds","2022 Stats / Prediction")</f>
        <v>Vegas Odds</v>
      </c>
      <c r="P115" t="str">
        <f>IF(COUNTIFS('Total Rushing Touchdowns'!A:A,'Skill Pos Compiled'!$A115)=1,"Vegas Odds","2022 Stats / Prediction")</f>
        <v>Vegas Odds</v>
      </c>
      <c r="Q115" t="str">
        <f>IF(COUNTIFS('Total Receptions'!A:A,'Skill Pos Compiled'!$A115)=1,"Vegas Odds","2022 Stats / Prediction")</f>
        <v>2022 Stats / Prediction</v>
      </c>
      <c r="R115" t="str">
        <f>IF(COUNTIFS('Total Receiving Yards'!A:A,'Skill Pos Compiled'!$A115)=1,"Vegas Odds","2022 Stats / Prediction")</f>
        <v>2022 Stats / Prediction</v>
      </c>
      <c r="S115" t="str">
        <f>IF(COUNTIFS('Total Receiving Touchdowns'!A:A,'Skill Pos Compiled'!$A115)=1,"Vegas Odds","2022 Stats / Prediction")</f>
        <v>2022 Stats / Prediction</v>
      </c>
      <c r="T115" s="10" t="str">
        <f t="shared" si="7"/>
        <v>Unpredictable</v>
      </c>
    </row>
    <row r="116" spans="1:20" x14ac:dyDescent="0.25">
      <c r="A116" t="s">
        <v>286</v>
      </c>
      <c r="B116" t="str">
        <f>_xlfn.XLOOKUP(A116,ADP!A:A,ADP!B:B)</f>
        <v>RB</v>
      </c>
      <c r="C116" s="9">
        <f t="shared" si="5"/>
        <v>229.49999999999997</v>
      </c>
      <c r="D116" s="9">
        <f t="shared" si="6"/>
        <v>1377</v>
      </c>
      <c r="E116" s="7">
        <f>IF(SUMIFS('Total Rushing Yards'!E:E,'Total Rushing Yards'!A:A,'Skill Pos Compiled'!A116)=0,SUMIFS('2022 Skill Pos Stats'!M:M,'2022 Skill Pos Stats'!A:A,'Skill Pos Compiled'!A116),SUMIFS('Total Rushing Yards'!E:E,'Total Rushing Yards'!A:A,'Skill Pos Compiled'!A116))</f>
        <v>1190</v>
      </c>
      <c r="F116" s="7">
        <f>IF(SUMIFS('Total Rushing Touchdowns'!B:B,'Total Rushing Touchdowns'!A:A,'Skill Pos Compiled'!A116)=0,SUMIFS('2022 Skill Pos Stats'!N:N,'2022 Skill Pos Stats'!A:A,'Skill Pos Compiled'!A116),SUMIFS('Total Rushing Touchdowns'!B:B,'Total Rushing Touchdowns'!A:A,'Skill Pos Compiled'!A116))</f>
        <v>10.199999999999999</v>
      </c>
      <c r="G116" s="7">
        <f>IF(SUMIFS('Total Receptions'!B:B,'Total Receptions'!A:A,'Skill Pos Compiled'!A116)=0,SUMIFS('2022 Skill Pos Stats'!O:O,'2022 Skill Pos Stats'!A:A,'Skill Pos Compiled'!A116),SUMIFS('Total Receptions'!B:B,'Total Receptions'!A:A,'Skill Pos Compiled'!A116))</f>
        <v>30.599999999999998</v>
      </c>
      <c r="H116" s="7">
        <f>IF(SUMIFS('Total Receiving Yards'!E:E,'Total Receiving Yards'!A:A,'Skill Pos Compiled'!A116)=0,SUMIFS('2022 Skill Pos Stats'!P:P,'2022 Skill Pos Stats'!A:A,'Skill Pos Compiled'!A116),SUMIFS('Total Receiving Yards'!E:E,'Total Receiving Yards'!A:A,'Skill Pos Compiled'!A116))</f>
        <v>187</v>
      </c>
      <c r="I116" s="7">
        <f>IF(SUMIFS('Total Receiving Touchdowns'!E:E,'Total Receiving Touchdowns'!A:A,'Skill Pos Compiled'!A116)=0,SUMIFS('2022 Skill Pos Stats'!Q:Q,'2022 Skill Pos Stats'!A:A,'Skill Pos Compiled'!A116),SUMIFS('Total Receiving Touchdowns'!E:E,'Total Receiving Touchdowns'!A:A,'Skill Pos Compiled'!A116))</f>
        <v>0</v>
      </c>
      <c r="J116" s="5">
        <f>_xlfn.XLOOKUP(E$1,Pt_System[Stat],Pt_System[Pts])*E116</f>
        <v>119</v>
      </c>
      <c r="K116" s="5">
        <f>_xlfn.XLOOKUP(F$1,Pt_System[Stat],Pt_System[Pts])*F116</f>
        <v>61.199999999999996</v>
      </c>
      <c r="L116" s="5">
        <f>_xlfn.XLOOKUP(G$1,Pt_System[Stat],Pt_System[Pts])*G116</f>
        <v>30.599999999999998</v>
      </c>
      <c r="M116" s="5">
        <f>_xlfn.XLOOKUP(H$1,Pt_System[Stat],Pt_System[Pts])*H116</f>
        <v>18.7</v>
      </c>
      <c r="N116" s="5">
        <f>_xlfn.XLOOKUP(I$1,Pt_System[Stat],Pt_System[Pts])*I116</f>
        <v>0</v>
      </c>
      <c r="O116" t="str">
        <f>IF(COUNTIFS('Total Rushing Yards'!A:A,'Skill Pos Compiled'!$A116)=1,"Vegas Odds","2022 Stats / Prediction")</f>
        <v>2022 Stats / Prediction</v>
      </c>
      <c r="P116" t="str">
        <f>IF(COUNTIFS('Total Rushing Touchdowns'!A:A,'Skill Pos Compiled'!$A116)=1,"Vegas Odds","2022 Stats / Prediction")</f>
        <v>2022 Stats / Prediction</v>
      </c>
      <c r="Q116" t="str">
        <f>IF(COUNTIFS('Total Receptions'!A:A,'Skill Pos Compiled'!$A116)=1,"Vegas Odds","2022 Stats / Prediction")</f>
        <v>2022 Stats / Prediction</v>
      </c>
      <c r="R116" t="str">
        <f>IF(COUNTIFS('Total Receiving Yards'!A:A,'Skill Pos Compiled'!$A116)=1,"Vegas Odds","2022 Stats / Prediction")</f>
        <v>2022 Stats / Prediction</v>
      </c>
      <c r="S116" t="str">
        <f>IF(COUNTIFS('Total Receiving Touchdowns'!A:A,'Skill Pos Compiled'!$A116)=1,"Vegas Odds","2022 Stats / Prediction")</f>
        <v>2022 Stats / Prediction</v>
      </c>
      <c r="T116" s="10" t="str">
        <f t="shared" si="7"/>
        <v>Unpredictable</v>
      </c>
    </row>
    <row r="117" spans="1:20" x14ac:dyDescent="0.25">
      <c r="A117" t="s">
        <v>52</v>
      </c>
      <c r="B117" t="str">
        <f>_xlfn.XLOOKUP(A117,ADP!A:A,ADP!B:B)</f>
        <v>RB</v>
      </c>
      <c r="C117" s="9">
        <f t="shared" si="5"/>
        <v>209.1</v>
      </c>
      <c r="D117" s="9">
        <f t="shared" si="6"/>
        <v>1441</v>
      </c>
      <c r="E117" s="7">
        <f>IF(SUMIFS('Total Rushing Yards'!E:E,'Total Rushing Yards'!A:A,'Skill Pos Compiled'!A117)=0,SUMIFS('2022 Skill Pos Stats'!M:M,'2022 Skill Pos Stats'!A:A,'Skill Pos Compiled'!A117),SUMIFS('Total Rushing Yards'!E:E,'Total Rushing Yards'!A:A,'Skill Pos Compiled'!A117))</f>
        <v>1125</v>
      </c>
      <c r="F117" s="7">
        <f>IF(SUMIFS('Total Rushing Touchdowns'!B:B,'Total Rushing Touchdowns'!A:A,'Skill Pos Compiled'!A117)=0,SUMIFS('2022 Skill Pos Stats'!N:N,'2022 Skill Pos Stats'!A:A,'Skill Pos Compiled'!A117),SUMIFS('Total Rushing Touchdowns'!B:B,'Total Rushing Touchdowns'!A:A,'Skill Pos Compiled'!A117))</f>
        <v>5</v>
      </c>
      <c r="G117" s="7">
        <f>IF(SUMIFS('Total Receptions'!B:B,'Total Receptions'!A:A,'Skill Pos Compiled'!A117)=0,SUMIFS('2022 Skill Pos Stats'!O:O,'2022 Skill Pos Stats'!A:A,'Skill Pos Compiled'!A117),SUMIFS('Total Receptions'!B:B,'Total Receptions'!A:A,'Skill Pos Compiled'!A117))</f>
        <v>35</v>
      </c>
      <c r="H117" s="7">
        <f>IF(SUMIFS('Total Receiving Yards'!E:E,'Total Receiving Yards'!A:A,'Skill Pos Compiled'!A117)=0,SUMIFS('2022 Skill Pos Stats'!P:P,'2022 Skill Pos Stats'!A:A,'Skill Pos Compiled'!A117),SUMIFS('Total Receiving Yards'!E:E,'Total Receiving Yards'!A:A,'Skill Pos Compiled'!A117))</f>
        <v>316</v>
      </c>
      <c r="I117" s="7">
        <f>IF(SUMIFS('Total Receiving Touchdowns'!E:E,'Total Receiving Touchdowns'!A:A,'Skill Pos Compiled'!A117)=0,SUMIFS('2022 Skill Pos Stats'!Q:Q,'2022 Skill Pos Stats'!A:A,'Skill Pos Compiled'!A117),SUMIFS('Total Receiving Touchdowns'!E:E,'Total Receiving Touchdowns'!A:A,'Skill Pos Compiled'!A117))</f>
        <v>0</v>
      </c>
      <c r="J117" s="5">
        <f>_xlfn.XLOOKUP(E$1,Pt_System[Stat],Pt_System[Pts])*E117</f>
        <v>112.5</v>
      </c>
      <c r="K117" s="5">
        <f>_xlfn.XLOOKUP(F$1,Pt_System[Stat],Pt_System[Pts])*F117</f>
        <v>30</v>
      </c>
      <c r="L117" s="5">
        <f>_xlfn.XLOOKUP(G$1,Pt_System[Stat],Pt_System[Pts])*G117</f>
        <v>35</v>
      </c>
      <c r="M117" s="5">
        <f>_xlfn.XLOOKUP(H$1,Pt_System[Stat],Pt_System[Pts])*H117</f>
        <v>31.6</v>
      </c>
      <c r="N117" s="5">
        <f>_xlfn.XLOOKUP(I$1,Pt_System[Stat],Pt_System[Pts])*I117</f>
        <v>0</v>
      </c>
      <c r="O117" t="str">
        <f>IF(COUNTIFS('Total Rushing Yards'!A:A,'Skill Pos Compiled'!$A117)=1,"Vegas Odds","2022 Stats / Prediction")</f>
        <v>2022 Stats / Prediction</v>
      </c>
      <c r="P117" t="str">
        <f>IF(COUNTIFS('Total Rushing Touchdowns'!A:A,'Skill Pos Compiled'!$A117)=1,"Vegas Odds","2022 Stats / Prediction")</f>
        <v>2022 Stats / Prediction</v>
      </c>
      <c r="Q117" t="str">
        <f>IF(COUNTIFS('Total Receptions'!A:A,'Skill Pos Compiled'!$A117)=1,"Vegas Odds","2022 Stats / Prediction")</f>
        <v>2022 Stats / Prediction</v>
      </c>
      <c r="R117" t="str">
        <f>IF(COUNTIFS('Total Receiving Yards'!A:A,'Skill Pos Compiled'!$A117)=1,"Vegas Odds","2022 Stats / Prediction")</f>
        <v>2022 Stats / Prediction</v>
      </c>
      <c r="S117" t="str">
        <f>IF(COUNTIFS('Total Receiving Touchdowns'!A:A,'Skill Pos Compiled'!$A117)=1,"Vegas Odds","2022 Stats / Prediction")</f>
        <v>2022 Stats / Prediction</v>
      </c>
      <c r="T117" s="10" t="str">
        <f t="shared" si="7"/>
        <v>Unpredictable</v>
      </c>
    </row>
    <row r="118" spans="1:20" x14ac:dyDescent="0.25">
      <c r="A118" t="s">
        <v>76</v>
      </c>
      <c r="B118" t="str">
        <f>_xlfn.XLOOKUP(A118,ADP!A:A,ADP!B:B)</f>
        <v>RB</v>
      </c>
      <c r="C118" s="9">
        <f t="shared" si="5"/>
        <v>94.243333333333339</v>
      </c>
      <c r="D118" s="9">
        <f t="shared" si="6"/>
        <v>479.76666666666665</v>
      </c>
      <c r="E118" s="7">
        <f>IF(SUMIFS('Total Rushing Yards'!E:E,'Total Rushing Yards'!A:A,'Skill Pos Compiled'!A118)=0,SUMIFS('2022 Skill Pos Stats'!M:M,'2022 Skill Pos Stats'!A:A,'Skill Pos Compiled'!A118),SUMIFS('Total Rushing Yards'!E:E,'Total Rushing Yards'!A:A,'Skill Pos Compiled'!A118))</f>
        <v>375.5</v>
      </c>
      <c r="F118" s="7">
        <f>IF(SUMIFS('Total Rushing Touchdowns'!B:B,'Total Rushing Touchdowns'!A:A,'Skill Pos Compiled'!A118)=0,SUMIFS('2022 Skill Pos Stats'!N:N,'2022 Skill Pos Stats'!A:A,'Skill Pos Compiled'!A118),SUMIFS('Total Rushing Touchdowns'!B:B,'Total Rushing Touchdowns'!A:A,'Skill Pos Compiled'!A118))</f>
        <v>4.5</v>
      </c>
      <c r="G118" s="7">
        <f>IF(SUMIFS('Total Receptions'!B:B,'Total Receptions'!A:A,'Skill Pos Compiled'!A118)=0,SUMIFS('2022 Skill Pos Stats'!O:O,'2022 Skill Pos Stats'!A:A,'Skill Pos Compiled'!A118),SUMIFS('Total Receptions'!B:B,'Total Receptions'!A:A,'Skill Pos Compiled'!A118))</f>
        <v>19.266666666666666</v>
      </c>
      <c r="H118" s="7">
        <f>IF(SUMIFS('Total Receiving Yards'!E:E,'Total Receiving Yards'!A:A,'Skill Pos Compiled'!A118)=0,SUMIFS('2022 Skill Pos Stats'!P:P,'2022 Skill Pos Stats'!A:A,'Skill Pos Compiled'!A118),SUMIFS('Total Receiving Yards'!E:E,'Total Receiving Yards'!A:A,'Skill Pos Compiled'!A118))</f>
        <v>104.26666666666667</v>
      </c>
      <c r="I118" s="7">
        <f>IF(SUMIFS('Total Receiving Touchdowns'!E:E,'Total Receiving Touchdowns'!A:A,'Skill Pos Compiled'!A118)=0,SUMIFS('2022 Skill Pos Stats'!Q:Q,'2022 Skill Pos Stats'!A:A,'Skill Pos Compiled'!A118),SUMIFS('Total Receiving Touchdowns'!E:E,'Total Receiving Touchdowns'!A:A,'Skill Pos Compiled'!A118))</f>
        <v>0</v>
      </c>
      <c r="J118" s="5">
        <f>_xlfn.XLOOKUP(E$1,Pt_System[Stat],Pt_System[Pts])*E118</f>
        <v>37.550000000000004</v>
      </c>
      <c r="K118" s="5">
        <f>_xlfn.XLOOKUP(F$1,Pt_System[Stat],Pt_System[Pts])*F118</f>
        <v>27</v>
      </c>
      <c r="L118" s="5">
        <f>_xlfn.XLOOKUP(G$1,Pt_System[Stat],Pt_System[Pts])*G118</f>
        <v>19.266666666666666</v>
      </c>
      <c r="M118" s="5">
        <f>_xlfn.XLOOKUP(H$1,Pt_System[Stat],Pt_System[Pts])*H118</f>
        <v>10.426666666666668</v>
      </c>
      <c r="N118" s="5">
        <f>_xlfn.XLOOKUP(I$1,Pt_System[Stat],Pt_System[Pts])*I118</f>
        <v>0</v>
      </c>
      <c r="O118" t="str">
        <f>IF(COUNTIFS('Total Rushing Yards'!A:A,'Skill Pos Compiled'!$A118)=1,"Vegas Odds","2022 Stats / Prediction")</f>
        <v>Vegas Odds</v>
      </c>
      <c r="P118" t="str">
        <f>IF(COUNTIFS('Total Rushing Touchdowns'!A:A,'Skill Pos Compiled'!$A118)=1,"Vegas Odds","2022 Stats / Prediction")</f>
        <v>Vegas Odds</v>
      </c>
      <c r="Q118" t="str">
        <f>IF(COUNTIFS('Total Receptions'!A:A,'Skill Pos Compiled'!$A118)=1,"Vegas Odds","2022 Stats / Prediction")</f>
        <v>2022 Stats / Prediction</v>
      </c>
      <c r="R118" t="str">
        <f>IF(COUNTIFS('Total Receiving Yards'!A:A,'Skill Pos Compiled'!$A118)=1,"Vegas Odds","2022 Stats / Prediction")</f>
        <v>2022 Stats / Prediction</v>
      </c>
      <c r="S118" t="str">
        <f>IF(COUNTIFS('Total Receiving Touchdowns'!A:A,'Skill Pos Compiled'!$A118)=1,"Vegas Odds","2022 Stats / Prediction")</f>
        <v>2022 Stats / Prediction</v>
      </c>
      <c r="T118" s="10" t="str">
        <f t="shared" si="7"/>
        <v>Unpredictable</v>
      </c>
    </row>
    <row r="119" spans="1:20" x14ac:dyDescent="0.25">
      <c r="A119" t="s">
        <v>129</v>
      </c>
      <c r="B119" t="str">
        <f>_xlfn.XLOOKUP(A119,ADP!A:A,ADP!B:B)</f>
        <v>RB</v>
      </c>
      <c r="C119" s="9">
        <f t="shared" si="5"/>
        <v>206.88333333333333</v>
      </c>
      <c r="D119" s="9">
        <f t="shared" si="6"/>
        <v>1150.8333333333335</v>
      </c>
      <c r="E119" s="7">
        <f>IF(SUMIFS('Total Rushing Yards'!E:E,'Total Rushing Yards'!A:A,'Skill Pos Compiled'!A119)=0,SUMIFS('2022 Skill Pos Stats'!M:M,'2022 Skill Pos Stats'!A:A,'Skill Pos Compiled'!A119),SUMIFS('Total Rushing Yards'!E:E,'Total Rushing Yards'!A:A,'Skill Pos Compiled'!A119))</f>
        <v>595.5</v>
      </c>
      <c r="F119" s="7">
        <f>IF(SUMIFS('Total Rushing Touchdowns'!B:B,'Total Rushing Touchdowns'!A:A,'Skill Pos Compiled'!A119)=0,SUMIFS('2022 Skill Pos Stats'!N:N,'2022 Skill Pos Stats'!A:A,'Skill Pos Compiled'!A119),SUMIFS('Total Rushing Touchdowns'!B:B,'Total Rushing Touchdowns'!A:A,'Skill Pos Compiled'!A119))</f>
        <v>2.2666666666666666</v>
      </c>
      <c r="G119" s="7">
        <f>IF(SUMIFS('Total Receptions'!B:B,'Total Receptions'!A:A,'Skill Pos Compiled'!A119)=0,SUMIFS('2022 Skill Pos Stats'!O:O,'2022 Skill Pos Stats'!A:A,'Skill Pos Compiled'!A119),SUMIFS('Total Receptions'!B:B,'Total Receptions'!A:A,'Skill Pos Compiled'!A119))</f>
        <v>64.599999999999994</v>
      </c>
      <c r="H119" s="7">
        <f>IF(SUMIFS('Total Receiving Yards'!E:E,'Total Receiving Yards'!A:A,'Skill Pos Compiled'!A119)=0,SUMIFS('2022 Skill Pos Stats'!P:P,'2022 Skill Pos Stats'!A:A,'Skill Pos Compiled'!A119),SUMIFS('Total Receiving Yards'!E:E,'Total Receiving Yards'!A:A,'Skill Pos Compiled'!A119))</f>
        <v>555.33333333333337</v>
      </c>
      <c r="I119" s="7">
        <f>IF(SUMIFS('Total Receiving Touchdowns'!E:E,'Total Receiving Touchdowns'!A:A,'Skill Pos Compiled'!A119)=0,SUMIFS('2022 Skill Pos Stats'!Q:Q,'2022 Skill Pos Stats'!A:A,'Skill Pos Compiled'!A119),SUMIFS('Total Receiving Touchdowns'!E:E,'Total Receiving Touchdowns'!A:A,'Skill Pos Compiled'!A119))</f>
        <v>2.2666666666666666</v>
      </c>
      <c r="J119" s="5">
        <f>_xlfn.XLOOKUP(E$1,Pt_System[Stat],Pt_System[Pts])*E119</f>
        <v>59.550000000000004</v>
      </c>
      <c r="K119" s="5">
        <f>_xlfn.XLOOKUP(F$1,Pt_System[Stat],Pt_System[Pts])*F119</f>
        <v>13.6</v>
      </c>
      <c r="L119" s="5">
        <f>_xlfn.XLOOKUP(G$1,Pt_System[Stat],Pt_System[Pts])*G119</f>
        <v>64.599999999999994</v>
      </c>
      <c r="M119" s="5">
        <f>_xlfn.XLOOKUP(H$1,Pt_System[Stat],Pt_System[Pts])*H119</f>
        <v>55.533333333333339</v>
      </c>
      <c r="N119" s="5">
        <f>_xlfn.XLOOKUP(I$1,Pt_System[Stat],Pt_System[Pts])*I119</f>
        <v>13.6</v>
      </c>
      <c r="O119" t="str">
        <f>IF(COUNTIFS('Total Rushing Yards'!A:A,'Skill Pos Compiled'!$A119)=1,"Vegas Odds","2022 Stats / Prediction")</f>
        <v>Vegas Odds</v>
      </c>
      <c r="P119" t="str">
        <f>IF(COUNTIFS('Total Rushing Touchdowns'!A:A,'Skill Pos Compiled'!$A119)=1,"Vegas Odds","2022 Stats / Prediction")</f>
        <v>2022 Stats / Prediction</v>
      </c>
      <c r="Q119" t="str">
        <f>IF(COUNTIFS('Total Receptions'!A:A,'Skill Pos Compiled'!$A119)=1,"Vegas Odds","2022 Stats / Prediction")</f>
        <v>2022 Stats / Prediction</v>
      </c>
      <c r="R119" t="str">
        <f>IF(COUNTIFS('Total Receiving Yards'!A:A,'Skill Pos Compiled'!$A119)=1,"Vegas Odds","2022 Stats / Prediction")</f>
        <v>2022 Stats / Prediction</v>
      </c>
      <c r="S119" t="str">
        <f>IF(COUNTIFS('Total Receiving Touchdowns'!A:A,'Skill Pos Compiled'!$A119)=1,"Vegas Odds","2022 Stats / Prediction")</f>
        <v>2022 Stats / Prediction</v>
      </c>
      <c r="T119" s="10" t="str">
        <f t="shared" si="7"/>
        <v>Unpredictable</v>
      </c>
    </row>
    <row r="120" spans="1:20" x14ac:dyDescent="0.25">
      <c r="A120" t="s">
        <v>69</v>
      </c>
      <c r="B120" t="str">
        <f>_xlfn.XLOOKUP(A120,ADP!A:A,ADP!B:B)</f>
        <v>RB</v>
      </c>
      <c r="C120" s="9">
        <f t="shared" si="5"/>
        <v>217.11410256410255</v>
      </c>
      <c r="D120" s="9">
        <f t="shared" si="6"/>
        <v>1101.1410256410256</v>
      </c>
      <c r="E120" s="7">
        <f>IF(SUMIFS('Total Rushing Yards'!E:E,'Total Rushing Yards'!A:A,'Skill Pos Compiled'!A120)=0,SUMIFS('2022 Skill Pos Stats'!M:M,'2022 Skill Pos Stats'!A:A,'Skill Pos Compiled'!A120),SUMIFS('Total Rushing Yards'!E:E,'Total Rushing Yards'!A:A,'Skill Pos Compiled'!A120))</f>
        <v>708.83333333333337</v>
      </c>
      <c r="F120" s="7">
        <f>IF(SUMIFS('Total Rushing Touchdowns'!B:B,'Total Rushing Touchdowns'!A:A,'Skill Pos Compiled'!A120)=0,SUMIFS('2022 Skill Pos Stats'!N:N,'2022 Skill Pos Stats'!A:A,'Skill Pos Compiled'!A120),SUMIFS('Total Rushing Touchdowns'!B:B,'Total Rushing Touchdowns'!A:A,'Skill Pos Compiled'!A120))</f>
        <v>6.5</v>
      </c>
      <c r="G120" s="7">
        <f>IF(SUMIFS('Total Receptions'!B:B,'Total Receptions'!A:A,'Skill Pos Compiled'!A120)=0,SUMIFS('2022 Skill Pos Stats'!O:O,'2022 Skill Pos Stats'!A:A,'Skill Pos Compiled'!A120),SUMIFS('Total Receptions'!B:B,'Total Receptions'!A:A,'Skill Pos Compiled'!A120))</f>
        <v>60.153846153846153</v>
      </c>
      <c r="H120" s="7">
        <f>IF(SUMIFS('Total Receiving Yards'!E:E,'Total Receiving Yards'!A:A,'Skill Pos Compiled'!A120)=0,SUMIFS('2022 Skill Pos Stats'!P:P,'2022 Skill Pos Stats'!A:A,'Skill Pos Compiled'!A120),SUMIFS('Total Receiving Yards'!E:E,'Total Receiving Yards'!A:A,'Skill Pos Compiled'!A120))</f>
        <v>392.30769230769232</v>
      </c>
      <c r="I120" s="7">
        <f>IF(SUMIFS('Total Receiving Touchdowns'!E:E,'Total Receiving Touchdowns'!A:A,'Skill Pos Compiled'!A120)=0,SUMIFS('2022 Skill Pos Stats'!Q:Q,'2022 Skill Pos Stats'!A:A,'Skill Pos Compiled'!A120),SUMIFS('Total Receiving Touchdowns'!E:E,'Total Receiving Touchdowns'!A:A,'Skill Pos Compiled'!A120))</f>
        <v>1.3076923076923077</v>
      </c>
      <c r="J120" s="5">
        <f>_xlfn.XLOOKUP(E$1,Pt_System[Stat],Pt_System[Pts])*E120</f>
        <v>70.88333333333334</v>
      </c>
      <c r="K120" s="5">
        <f>_xlfn.XLOOKUP(F$1,Pt_System[Stat],Pt_System[Pts])*F120</f>
        <v>39</v>
      </c>
      <c r="L120" s="5">
        <f>_xlfn.XLOOKUP(G$1,Pt_System[Stat],Pt_System[Pts])*G120</f>
        <v>60.153846153846153</v>
      </c>
      <c r="M120" s="5">
        <f>_xlfn.XLOOKUP(H$1,Pt_System[Stat],Pt_System[Pts])*H120</f>
        <v>39.230769230769234</v>
      </c>
      <c r="N120" s="5">
        <f>_xlfn.XLOOKUP(I$1,Pt_System[Stat],Pt_System[Pts])*I120</f>
        <v>7.8461538461538467</v>
      </c>
      <c r="O120" t="str">
        <f>IF(COUNTIFS('Total Rushing Yards'!A:A,'Skill Pos Compiled'!$A120)=1,"Vegas Odds","2022 Stats / Prediction")</f>
        <v>Vegas Odds</v>
      </c>
      <c r="P120" t="str">
        <f>IF(COUNTIFS('Total Rushing Touchdowns'!A:A,'Skill Pos Compiled'!$A120)=1,"Vegas Odds","2022 Stats / Prediction")</f>
        <v>Vegas Odds</v>
      </c>
      <c r="Q120" t="str">
        <f>IF(COUNTIFS('Total Receptions'!A:A,'Skill Pos Compiled'!$A120)=1,"Vegas Odds","2022 Stats / Prediction")</f>
        <v>2022 Stats / Prediction</v>
      </c>
      <c r="R120" t="str">
        <f>IF(COUNTIFS('Total Receiving Yards'!A:A,'Skill Pos Compiled'!$A120)=1,"Vegas Odds","2022 Stats / Prediction")</f>
        <v>2022 Stats / Prediction</v>
      </c>
      <c r="S120" t="str">
        <f>IF(COUNTIFS('Total Receiving Touchdowns'!A:A,'Skill Pos Compiled'!$A120)=1,"Vegas Odds","2022 Stats / Prediction")</f>
        <v>2022 Stats / Prediction</v>
      </c>
      <c r="T120" s="10" t="str">
        <f t="shared" si="7"/>
        <v>Unpredictable</v>
      </c>
    </row>
    <row r="121" spans="1:20" x14ac:dyDescent="0.25">
      <c r="A121" t="s">
        <v>287</v>
      </c>
      <c r="B121" t="str">
        <f>_xlfn.XLOOKUP(A121,ADP!A:A,ADP!B:B)</f>
        <v>RB</v>
      </c>
      <c r="C121" s="9">
        <f t="shared" si="5"/>
        <v>242.35625000000002</v>
      </c>
      <c r="D121" s="9">
        <f t="shared" si="6"/>
        <v>1265.4375</v>
      </c>
      <c r="E121" s="7">
        <f>IF(SUMIFS('Total Rushing Yards'!E:E,'Total Rushing Yards'!A:A,'Skill Pos Compiled'!A121)=0,SUMIFS('2022 Skill Pos Stats'!M:M,'2022 Skill Pos Stats'!A:A,'Skill Pos Compiled'!A121),SUMIFS('Total Rushing Yards'!E:E,'Total Rushing Yards'!A:A,'Skill Pos Compiled'!A121))</f>
        <v>709.75</v>
      </c>
      <c r="F121" s="7">
        <f>IF(SUMIFS('Total Rushing Touchdowns'!B:B,'Total Rushing Touchdowns'!A:A,'Skill Pos Compiled'!A121)=0,SUMIFS('2022 Skill Pos Stats'!N:N,'2022 Skill Pos Stats'!A:A,'Skill Pos Compiled'!A121),SUMIFS('Total Rushing Touchdowns'!B:B,'Total Rushing Touchdowns'!A:A,'Skill Pos Compiled'!A121))</f>
        <v>3.1875</v>
      </c>
      <c r="G121" s="7">
        <f>IF(SUMIFS('Total Receptions'!B:B,'Total Receptions'!A:A,'Skill Pos Compiled'!A121)=0,SUMIFS('2022 Skill Pos Stats'!O:O,'2022 Skill Pos Stats'!A:A,'Skill Pos Compiled'!A121),SUMIFS('Total Receptions'!B:B,'Total Receptions'!A:A,'Skill Pos Compiled'!A121))</f>
        <v>77.5625</v>
      </c>
      <c r="H121" s="7">
        <f>IF(SUMIFS('Total Receiving Yards'!E:E,'Total Receiving Yards'!A:A,'Skill Pos Compiled'!A121)=0,SUMIFS('2022 Skill Pos Stats'!P:P,'2022 Skill Pos Stats'!A:A,'Skill Pos Compiled'!A121),SUMIFS('Total Receiving Yards'!E:E,'Total Receiving Yards'!A:A,'Skill Pos Compiled'!A121))</f>
        <v>555.6875</v>
      </c>
      <c r="I121" s="7">
        <f>IF(SUMIFS('Total Receiving Touchdowns'!E:E,'Total Receiving Touchdowns'!A:A,'Skill Pos Compiled'!A121)=0,SUMIFS('2022 Skill Pos Stats'!Q:Q,'2022 Skill Pos Stats'!A:A,'Skill Pos Compiled'!A121),SUMIFS('Total Receiving Touchdowns'!E:E,'Total Receiving Touchdowns'!A:A,'Skill Pos Compiled'!A121))</f>
        <v>3.1875</v>
      </c>
      <c r="J121" s="5">
        <f>_xlfn.XLOOKUP(E$1,Pt_System[Stat],Pt_System[Pts])*E121</f>
        <v>70.975000000000009</v>
      </c>
      <c r="K121" s="5">
        <f>_xlfn.XLOOKUP(F$1,Pt_System[Stat],Pt_System[Pts])*F121</f>
        <v>19.125</v>
      </c>
      <c r="L121" s="5">
        <f>_xlfn.XLOOKUP(G$1,Pt_System[Stat],Pt_System[Pts])*G121</f>
        <v>77.5625</v>
      </c>
      <c r="M121" s="5">
        <f>_xlfn.XLOOKUP(H$1,Pt_System[Stat],Pt_System[Pts])*H121</f>
        <v>55.568750000000001</v>
      </c>
      <c r="N121" s="5">
        <f>_xlfn.XLOOKUP(I$1,Pt_System[Stat],Pt_System[Pts])*I121</f>
        <v>19.125</v>
      </c>
      <c r="O121" t="str">
        <f>IF(COUNTIFS('Total Rushing Yards'!A:A,'Skill Pos Compiled'!$A121)=1,"Vegas Odds","2022 Stats / Prediction")</f>
        <v>2022 Stats / Prediction</v>
      </c>
      <c r="P121" t="str">
        <f>IF(COUNTIFS('Total Rushing Touchdowns'!A:A,'Skill Pos Compiled'!$A121)=1,"Vegas Odds","2022 Stats / Prediction")</f>
        <v>2022 Stats / Prediction</v>
      </c>
      <c r="Q121" t="str">
        <f>IF(COUNTIFS('Total Receptions'!A:A,'Skill Pos Compiled'!$A121)=1,"Vegas Odds","2022 Stats / Prediction")</f>
        <v>2022 Stats / Prediction</v>
      </c>
      <c r="R121" t="str">
        <f>IF(COUNTIFS('Total Receiving Yards'!A:A,'Skill Pos Compiled'!$A121)=1,"Vegas Odds","2022 Stats / Prediction")</f>
        <v>2022 Stats / Prediction</v>
      </c>
      <c r="S121" t="str">
        <f>IF(COUNTIFS('Total Receiving Touchdowns'!A:A,'Skill Pos Compiled'!$A121)=1,"Vegas Odds","2022 Stats / Prediction")</f>
        <v>2022 Stats / Prediction</v>
      </c>
      <c r="T121" s="10" t="str">
        <f t="shared" si="7"/>
        <v>Unpredictable</v>
      </c>
    </row>
    <row r="122" spans="1:20" x14ac:dyDescent="0.25">
      <c r="A122" t="s">
        <v>68</v>
      </c>
      <c r="B122" t="str">
        <f>_xlfn.XLOOKUP(A122,ADP!A:A,ADP!B:B)</f>
        <v>RB</v>
      </c>
      <c r="C122" s="9">
        <f t="shared" si="5"/>
        <v>188.75833333333333</v>
      </c>
      <c r="D122" s="9">
        <f t="shared" si="6"/>
        <v>1072.5833333333335</v>
      </c>
      <c r="E122" s="7">
        <f>IF(SUMIFS('Total Rushing Yards'!E:E,'Total Rushing Yards'!A:A,'Skill Pos Compiled'!A122)=0,SUMIFS('2022 Skill Pos Stats'!M:M,'2022 Skill Pos Stats'!A:A,'Skill Pos Compiled'!A122),SUMIFS('Total Rushing Yards'!E:E,'Total Rushing Yards'!A:A,'Skill Pos Compiled'!A122))</f>
        <v>736.83333333333337</v>
      </c>
      <c r="F122" s="7">
        <f>IF(SUMIFS('Total Rushing Touchdowns'!B:B,'Total Rushing Touchdowns'!A:A,'Skill Pos Compiled'!A122)=0,SUMIFS('2022 Skill Pos Stats'!N:N,'2022 Skill Pos Stats'!A:A,'Skill Pos Compiled'!A122),SUMIFS('Total Rushing Touchdowns'!B:B,'Total Rushing Touchdowns'!A:A,'Skill Pos Compiled'!A122))</f>
        <v>6.5</v>
      </c>
      <c r="G122" s="7">
        <f>IF(SUMIFS('Total Receptions'!B:B,'Total Receptions'!A:A,'Skill Pos Compiled'!A122)=0,SUMIFS('2022 Skill Pos Stats'!O:O,'2022 Skill Pos Stats'!A:A,'Skill Pos Compiled'!A122),SUMIFS('Total Receptions'!B:B,'Total Receptions'!A:A,'Skill Pos Compiled'!A122))</f>
        <v>36.125</v>
      </c>
      <c r="H122" s="7">
        <f>IF(SUMIFS('Total Receiving Yards'!E:E,'Total Receiving Yards'!A:A,'Skill Pos Compiled'!A122)=0,SUMIFS('2022 Skill Pos Stats'!P:P,'2022 Skill Pos Stats'!A:A,'Skill Pos Compiled'!A122),SUMIFS('Total Receiving Yards'!E:E,'Total Receiving Yards'!A:A,'Skill Pos Compiled'!A122))</f>
        <v>335.75</v>
      </c>
      <c r="I122" s="7">
        <f>IF(SUMIFS('Total Receiving Touchdowns'!E:E,'Total Receiving Touchdowns'!A:A,'Skill Pos Compiled'!A122)=0,SUMIFS('2022 Skill Pos Stats'!Q:Q,'2022 Skill Pos Stats'!A:A,'Skill Pos Compiled'!A122),SUMIFS('Total Receiving Touchdowns'!E:E,'Total Receiving Touchdowns'!A:A,'Skill Pos Compiled'!A122))</f>
        <v>1.0625</v>
      </c>
      <c r="J122" s="5">
        <f>_xlfn.XLOOKUP(E$1,Pt_System[Stat],Pt_System[Pts])*E122</f>
        <v>73.683333333333337</v>
      </c>
      <c r="K122" s="5">
        <f>_xlfn.XLOOKUP(F$1,Pt_System[Stat],Pt_System[Pts])*F122</f>
        <v>39</v>
      </c>
      <c r="L122" s="5">
        <f>_xlfn.XLOOKUP(G$1,Pt_System[Stat],Pt_System[Pts])*G122</f>
        <v>36.125</v>
      </c>
      <c r="M122" s="5">
        <f>_xlfn.XLOOKUP(H$1,Pt_System[Stat],Pt_System[Pts])*H122</f>
        <v>33.575000000000003</v>
      </c>
      <c r="N122" s="5">
        <f>_xlfn.XLOOKUP(I$1,Pt_System[Stat],Pt_System[Pts])*I122</f>
        <v>6.375</v>
      </c>
      <c r="O122" t="str">
        <f>IF(COUNTIFS('Total Rushing Yards'!A:A,'Skill Pos Compiled'!$A122)=1,"Vegas Odds","2022 Stats / Prediction")</f>
        <v>Vegas Odds</v>
      </c>
      <c r="P122" t="str">
        <f>IF(COUNTIFS('Total Rushing Touchdowns'!A:A,'Skill Pos Compiled'!$A122)=1,"Vegas Odds","2022 Stats / Prediction")</f>
        <v>Vegas Odds</v>
      </c>
      <c r="Q122" t="str">
        <f>IF(COUNTIFS('Total Receptions'!A:A,'Skill Pos Compiled'!$A122)=1,"Vegas Odds","2022 Stats / Prediction")</f>
        <v>2022 Stats / Prediction</v>
      </c>
      <c r="R122" t="str">
        <f>IF(COUNTIFS('Total Receiving Yards'!A:A,'Skill Pos Compiled'!$A122)=1,"Vegas Odds","2022 Stats / Prediction")</f>
        <v>2022 Stats / Prediction</v>
      </c>
      <c r="S122" t="str">
        <f>IF(COUNTIFS('Total Receiving Touchdowns'!A:A,'Skill Pos Compiled'!$A122)=1,"Vegas Odds","2022 Stats / Prediction")</f>
        <v>2022 Stats / Prediction</v>
      </c>
      <c r="T122" s="10" t="str">
        <f t="shared" si="7"/>
        <v>Unpredictable</v>
      </c>
    </row>
    <row r="123" spans="1:20" x14ac:dyDescent="0.25">
      <c r="A123" t="s">
        <v>288</v>
      </c>
      <c r="B123" t="str">
        <f>_xlfn.XLOOKUP(A123,ADP!A:A,ADP!B:B)</f>
        <v>RB</v>
      </c>
      <c r="C123" s="9">
        <f t="shared" si="5"/>
        <v>195.39375000000001</v>
      </c>
      <c r="D123" s="9">
        <f t="shared" si="6"/>
        <v>1167.6875</v>
      </c>
      <c r="E123" s="7">
        <f>IF(SUMIFS('Total Rushing Yards'!E:E,'Total Rushing Yards'!A:A,'Skill Pos Compiled'!A123)=0,SUMIFS('2022 Skill Pos Stats'!M:M,'2022 Skill Pos Stats'!A:A,'Skill Pos Compiled'!A123),SUMIFS('Total Rushing Yards'!E:E,'Total Rushing Yards'!A:A,'Skill Pos Compiled'!A123))</f>
        <v>870.1875</v>
      </c>
      <c r="F123" s="7">
        <f>IF(SUMIFS('Total Rushing Touchdowns'!B:B,'Total Rushing Touchdowns'!A:A,'Skill Pos Compiled'!A123)=0,SUMIFS('2022 Skill Pos Stats'!N:N,'2022 Skill Pos Stats'!A:A,'Skill Pos Compiled'!A123),SUMIFS('Total Rushing Touchdowns'!B:B,'Total Rushing Touchdowns'!A:A,'Skill Pos Compiled'!A123))</f>
        <v>5.3125</v>
      </c>
      <c r="G123" s="7">
        <f>IF(SUMIFS('Total Receptions'!B:B,'Total Receptions'!A:A,'Skill Pos Compiled'!A123)=0,SUMIFS('2022 Skill Pos Stats'!O:O,'2022 Skill Pos Stats'!A:A,'Skill Pos Compiled'!A123),SUMIFS('Total Receptions'!B:B,'Total Receptions'!A:A,'Skill Pos Compiled'!A123))</f>
        <v>40.375</v>
      </c>
      <c r="H123" s="7">
        <f>IF(SUMIFS('Total Receiving Yards'!E:E,'Total Receiving Yards'!A:A,'Skill Pos Compiled'!A123)=0,SUMIFS('2022 Skill Pos Stats'!P:P,'2022 Skill Pos Stats'!A:A,'Skill Pos Compiled'!A123),SUMIFS('Total Receiving Yards'!E:E,'Total Receiving Yards'!A:A,'Skill Pos Compiled'!A123))</f>
        <v>297.5</v>
      </c>
      <c r="I123" s="7">
        <f>IF(SUMIFS('Total Receiving Touchdowns'!E:E,'Total Receiving Touchdowns'!A:A,'Skill Pos Compiled'!A123)=0,SUMIFS('2022 Skill Pos Stats'!Q:Q,'2022 Skill Pos Stats'!A:A,'Skill Pos Compiled'!A123),SUMIFS('Total Receiving Touchdowns'!E:E,'Total Receiving Touchdowns'!A:A,'Skill Pos Compiled'!A123))</f>
        <v>1.0625</v>
      </c>
      <c r="J123" s="5">
        <f>_xlfn.XLOOKUP(E$1,Pt_System[Stat],Pt_System[Pts])*E123</f>
        <v>87.018750000000011</v>
      </c>
      <c r="K123" s="5">
        <f>_xlfn.XLOOKUP(F$1,Pt_System[Stat],Pt_System[Pts])*F123</f>
        <v>31.875</v>
      </c>
      <c r="L123" s="5">
        <f>_xlfn.XLOOKUP(G$1,Pt_System[Stat],Pt_System[Pts])*G123</f>
        <v>40.375</v>
      </c>
      <c r="M123" s="5">
        <f>_xlfn.XLOOKUP(H$1,Pt_System[Stat],Pt_System[Pts])*H123</f>
        <v>29.75</v>
      </c>
      <c r="N123" s="5">
        <f>_xlfn.XLOOKUP(I$1,Pt_System[Stat],Pt_System[Pts])*I123</f>
        <v>6.375</v>
      </c>
      <c r="O123" t="str">
        <f>IF(COUNTIFS('Total Rushing Yards'!A:A,'Skill Pos Compiled'!$A123)=1,"Vegas Odds","2022 Stats / Prediction")</f>
        <v>2022 Stats / Prediction</v>
      </c>
      <c r="P123" t="str">
        <f>IF(COUNTIFS('Total Rushing Touchdowns'!A:A,'Skill Pos Compiled'!$A123)=1,"Vegas Odds","2022 Stats / Prediction")</f>
        <v>2022 Stats / Prediction</v>
      </c>
      <c r="Q123" t="str">
        <f>IF(COUNTIFS('Total Receptions'!A:A,'Skill Pos Compiled'!$A123)=1,"Vegas Odds","2022 Stats / Prediction")</f>
        <v>2022 Stats / Prediction</v>
      </c>
      <c r="R123" t="str">
        <f>IF(COUNTIFS('Total Receiving Yards'!A:A,'Skill Pos Compiled'!$A123)=1,"Vegas Odds","2022 Stats / Prediction")</f>
        <v>2022 Stats / Prediction</v>
      </c>
      <c r="S123" t="str">
        <f>IF(COUNTIFS('Total Receiving Touchdowns'!A:A,'Skill Pos Compiled'!$A123)=1,"Vegas Odds","2022 Stats / Prediction")</f>
        <v>2022 Stats / Prediction</v>
      </c>
      <c r="T123" s="10" t="str">
        <f t="shared" si="7"/>
        <v>Unpredictable</v>
      </c>
    </row>
    <row r="124" spans="1:20" x14ac:dyDescent="0.25">
      <c r="A124" t="s">
        <v>132</v>
      </c>
      <c r="B124" t="str">
        <f>_xlfn.XLOOKUP(A124,ADP!A:A,ADP!B:B)</f>
        <v>RB</v>
      </c>
      <c r="C124" s="9">
        <f t="shared" si="5"/>
        <v>107.31875000000001</v>
      </c>
      <c r="D124" s="9">
        <f t="shared" si="6"/>
        <v>648.1875</v>
      </c>
      <c r="E124" s="7">
        <f>IF(SUMIFS('Total Rushing Yards'!E:E,'Total Rushing Yards'!A:A,'Skill Pos Compiled'!A124)=0,SUMIFS('2022 Skill Pos Stats'!M:M,'2022 Skill Pos Stats'!A:A,'Skill Pos Compiled'!A124),SUMIFS('Total Rushing Yards'!E:E,'Total Rushing Yards'!A:A,'Skill Pos Compiled'!A124))</f>
        <v>500.5</v>
      </c>
      <c r="F124" s="7">
        <f>IF(SUMIFS('Total Rushing Touchdowns'!B:B,'Total Rushing Touchdowns'!A:A,'Skill Pos Compiled'!A124)=0,SUMIFS('2022 Skill Pos Stats'!N:N,'2022 Skill Pos Stats'!A:A,'Skill Pos Compiled'!A124),SUMIFS('Total Rushing Touchdowns'!B:B,'Total Rushing Touchdowns'!A:A,'Skill Pos Compiled'!A124))</f>
        <v>3.1875</v>
      </c>
      <c r="G124" s="7">
        <f>IF(SUMIFS('Total Receptions'!B:B,'Total Receptions'!A:A,'Skill Pos Compiled'!A124)=0,SUMIFS('2022 Skill Pos Stats'!O:O,'2022 Skill Pos Stats'!A:A,'Skill Pos Compiled'!A124),SUMIFS('Total Receptions'!B:B,'Total Receptions'!A:A,'Skill Pos Compiled'!A124))</f>
        <v>17</v>
      </c>
      <c r="H124" s="7">
        <f>IF(SUMIFS('Total Receiving Yards'!E:E,'Total Receiving Yards'!A:A,'Skill Pos Compiled'!A124)=0,SUMIFS('2022 Skill Pos Stats'!P:P,'2022 Skill Pos Stats'!A:A,'Skill Pos Compiled'!A124),SUMIFS('Total Receiving Yards'!E:E,'Total Receiving Yards'!A:A,'Skill Pos Compiled'!A124))</f>
        <v>147.6875</v>
      </c>
      <c r="I124" s="7">
        <f>IF(SUMIFS('Total Receiving Touchdowns'!E:E,'Total Receiving Touchdowns'!A:A,'Skill Pos Compiled'!A124)=0,SUMIFS('2022 Skill Pos Stats'!Q:Q,'2022 Skill Pos Stats'!A:A,'Skill Pos Compiled'!A124),SUMIFS('Total Receiving Touchdowns'!E:E,'Total Receiving Touchdowns'!A:A,'Skill Pos Compiled'!A124))</f>
        <v>1.0625</v>
      </c>
      <c r="J124" s="5">
        <f>_xlfn.XLOOKUP(E$1,Pt_System[Stat],Pt_System[Pts])*E124</f>
        <v>50.050000000000004</v>
      </c>
      <c r="K124" s="5">
        <f>_xlfn.XLOOKUP(F$1,Pt_System[Stat],Pt_System[Pts])*F124</f>
        <v>19.125</v>
      </c>
      <c r="L124" s="5">
        <f>_xlfn.XLOOKUP(G$1,Pt_System[Stat],Pt_System[Pts])*G124</f>
        <v>17</v>
      </c>
      <c r="M124" s="5">
        <f>_xlfn.XLOOKUP(H$1,Pt_System[Stat],Pt_System[Pts])*H124</f>
        <v>14.768750000000001</v>
      </c>
      <c r="N124" s="5">
        <f>_xlfn.XLOOKUP(I$1,Pt_System[Stat],Pt_System[Pts])*I124</f>
        <v>6.375</v>
      </c>
      <c r="O124" t="str">
        <f>IF(COUNTIFS('Total Rushing Yards'!A:A,'Skill Pos Compiled'!$A124)=1,"Vegas Odds","2022 Stats / Prediction")</f>
        <v>Vegas Odds</v>
      </c>
      <c r="P124" t="str">
        <f>IF(COUNTIFS('Total Rushing Touchdowns'!A:A,'Skill Pos Compiled'!$A124)=1,"Vegas Odds","2022 Stats / Prediction")</f>
        <v>2022 Stats / Prediction</v>
      </c>
      <c r="Q124" t="str">
        <f>IF(COUNTIFS('Total Receptions'!A:A,'Skill Pos Compiled'!$A124)=1,"Vegas Odds","2022 Stats / Prediction")</f>
        <v>2022 Stats / Prediction</v>
      </c>
      <c r="R124" t="str">
        <f>IF(COUNTIFS('Total Receiving Yards'!A:A,'Skill Pos Compiled'!$A124)=1,"Vegas Odds","2022 Stats / Prediction")</f>
        <v>2022 Stats / Prediction</v>
      </c>
      <c r="S124" t="str">
        <f>IF(COUNTIFS('Total Receiving Touchdowns'!A:A,'Skill Pos Compiled'!$A124)=1,"Vegas Odds","2022 Stats / Prediction")</f>
        <v>2022 Stats / Prediction</v>
      </c>
      <c r="T124" s="10" t="str">
        <f t="shared" si="7"/>
        <v>Unpredictable</v>
      </c>
    </row>
    <row r="125" spans="1:20" x14ac:dyDescent="0.25">
      <c r="A125" t="s">
        <v>75</v>
      </c>
      <c r="B125" t="str">
        <f>_xlfn.XLOOKUP(A125,ADP!A:A,ADP!B:B)</f>
        <v>RB</v>
      </c>
      <c r="C125" s="9">
        <f t="shared" si="5"/>
        <v>213.85714285714286</v>
      </c>
      <c r="D125" s="9">
        <f t="shared" si="6"/>
        <v>972.85714285714289</v>
      </c>
      <c r="E125" s="7">
        <f>IF(SUMIFS('Total Rushing Yards'!E:E,'Total Rushing Yards'!A:A,'Skill Pos Compiled'!A125)=0,SUMIFS('2022 Skill Pos Stats'!M:M,'2022 Skill Pos Stats'!A:A,'Skill Pos Compiled'!A125),SUMIFS('Total Rushing Yards'!E:E,'Total Rushing Yards'!A:A,'Skill Pos Compiled'!A125))</f>
        <v>500.5</v>
      </c>
      <c r="F125" s="7">
        <f>IF(SUMIFS('Total Rushing Touchdowns'!B:B,'Total Rushing Touchdowns'!A:A,'Skill Pos Compiled'!A125)=0,SUMIFS('2022 Skill Pos Stats'!N:N,'2022 Skill Pos Stats'!A:A,'Skill Pos Compiled'!A125),SUMIFS('Total Rushing Touchdowns'!B:B,'Total Rushing Touchdowns'!A:A,'Skill Pos Compiled'!A125))</f>
        <v>6.0714285714285712</v>
      </c>
      <c r="G125" s="7">
        <f>IF(SUMIFS('Total Receptions'!B:B,'Total Receptions'!A:A,'Skill Pos Compiled'!A125)=0,SUMIFS('2022 Skill Pos Stats'!O:O,'2022 Skill Pos Stats'!A:A,'Skill Pos Compiled'!A125),SUMIFS('Total Receptions'!B:B,'Total Receptions'!A:A,'Skill Pos Compiled'!A125))</f>
        <v>58.285714285714278</v>
      </c>
      <c r="H125" s="7">
        <f>IF(SUMIFS('Total Receiving Yards'!E:E,'Total Receiving Yards'!A:A,'Skill Pos Compiled'!A125)=0,SUMIFS('2022 Skill Pos Stats'!P:P,'2022 Skill Pos Stats'!A:A,'Skill Pos Compiled'!A125),SUMIFS('Total Receiving Yards'!E:E,'Total Receiving Yards'!A:A,'Skill Pos Compiled'!A125))</f>
        <v>472.35714285714283</v>
      </c>
      <c r="I125" s="7">
        <f>IF(SUMIFS('Total Receiving Touchdowns'!E:E,'Total Receiving Touchdowns'!A:A,'Skill Pos Compiled'!A125)=0,SUMIFS('2022 Skill Pos Stats'!Q:Q,'2022 Skill Pos Stats'!A:A,'Skill Pos Compiled'!A125),SUMIFS('Total Receiving Touchdowns'!E:E,'Total Receiving Touchdowns'!A:A,'Skill Pos Compiled'!A125))</f>
        <v>3.6428571428571423</v>
      </c>
      <c r="J125" s="5">
        <f>_xlfn.XLOOKUP(E$1,Pt_System[Stat],Pt_System[Pts])*E125</f>
        <v>50.050000000000004</v>
      </c>
      <c r="K125" s="5">
        <f>_xlfn.XLOOKUP(F$1,Pt_System[Stat],Pt_System[Pts])*F125</f>
        <v>36.428571428571431</v>
      </c>
      <c r="L125" s="5">
        <f>_xlfn.XLOOKUP(G$1,Pt_System[Stat],Pt_System[Pts])*G125</f>
        <v>58.285714285714278</v>
      </c>
      <c r="M125" s="5">
        <f>_xlfn.XLOOKUP(H$1,Pt_System[Stat],Pt_System[Pts])*H125</f>
        <v>47.235714285714288</v>
      </c>
      <c r="N125" s="5">
        <f>_xlfn.XLOOKUP(I$1,Pt_System[Stat],Pt_System[Pts])*I125</f>
        <v>21.857142857142854</v>
      </c>
      <c r="O125" t="str">
        <f>IF(COUNTIFS('Total Rushing Yards'!A:A,'Skill Pos Compiled'!$A125)=1,"Vegas Odds","2022 Stats / Prediction")</f>
        <v>Vegas Odds</v>
      </c>
      <c r="P125" t="str">
        <f>IF(COUNTIFS('Total Rushing Touchdowns'!A:A,'Skill Pos Compiled'!$A125)=1,"Vegas Odds","2022 Stats / Prediction")</f>
        <v>2022 Stats / Prediction</v>
      </c>
      <c r="Q125" t="str">
        <f>IF(COUNTIFS('Total Receptions'!A:A,'Skill Pos Compiled'!$A125)=1,"Vegas Odds","2022 Stats / Prediction")</f>
        <v>2022 Stats / Prediction</v>
      </c>
      <c r="R125" t="str">
        <f>IF(COUNTIFS('Total Receiving Yards'!A:A,'Skill Pos Compiled'!$A125)=1,"Vegas Odds","2022 Stats / Prediction")</f>
        <v>2022 Stats / Prediction</v>
      </c>
      <c r="S125" t="str">
        <f>IF(COUNTIFS('Total Receiving Touchdowns'!A:A,'Skill Pos Compiled'!$A125)=1,"Vegas Odds","2022 Stats / Prediction")</f>
        <v>2022 Stats / Prediction</v>
      </c>
      <c r="T125" s="10" t="str">
        <f t="shared" si="7"/>
        <v>Unpredictable</v>
      </c>
    </row>
    <row r="126" spans="1:20" x14ac:dyDescent="0.25">
      <c r="A126" t="s">
        <v>289</v>
      </c>
      <c r="B126" t="str">
        <f>_xlfn.XLOOKUP(A126,ADP!A:A,ADP!B:B)</f>
        <v>RB</v>
      </c>
      <c r="C126" s="9">
        <f t="shared" si="5"/>
        <v>172.65625</v>
      </c>
      <c r="D126" s="9">
        <f t="shared" si="6"/>
        <v>1110.3125</v>
      </c>
      <c r="E126" s="7">
        <f>IF(SUMIFS('Total Rushing Yards'!E:E,'Total Rushing Yards'!A:A,'Skill Pos Compiled'!A126)=0,SUMIFS('2022 Skill Pos Stats'!M:M,'2022 Skill Pos Stats'!A:A,'Skill Pos Compiled'!A126),SUMIFS('Total Rushing Yards'!E:E,'Total Rushing Yards'!A:A,'Skill Pos Compiled'!A126))</f>
        <v>913.75</v>
      </c>
      <c r="F126" s="7">
        <f>IF(SUMIFS('Total Rushing Touchdowns'!B:B,'Total Rushing Touchdowns'!A:A,'Skill Pos Compiled'!A126)=0,SUMIFS('2022 Skill Pos Stats'!N:N,'2022 Skill Pos Stats'!A:A,'Skill Pos Compiled'!A126),SUMIFS('Total Rushing Touchdowns'!B:B,'Total Rushing Touchdowns'!A:A,'Skill Pos Compiled'!A126))</f>
        <v>5.3125</v>
      </c>
      <c r="G126" s="7">
        <f>IF(SUMIFS('Total Receptions'!B:B,'Total Receptions'!A:A,'Skill Pos Compiled'!A126)=0,SUMIFS('2022 Skill Pos Stats'!O:O,'2022 Skill Pos Stats'!A:A,'Skill Pos Compiled'!A126),SUMIFS('Total Receptions'!B:B,'Total Receptions'!A:A,'Skill Pos Compiled'!A126))</f>
        <v>23.375</v>
      </c>
      <c r="H126" s="7">
        <f>IF(SUMIFS('Total Receiving Yards'!E:E,'Total Receiving Yards'!A:A,'Skill Pos Compiled'!A126)=0,SUMIFS('2022 Skill Pos Stats'!P:P,'2022 Skill Pos Stats'!A:A,'Skill Pos Compiled'!A126),SUMIFS('Total Receiving Yards'!E:E,'Total Receiving Yards'!A:A,'Skill Pos Compiled'!A126))</f>
        <v>196.5625</v>
      </c>
      <c r="I126" s="7">
        <f>IF(SUMIFS('Total Receiving Touchdowns'!E:E,'Total Receiving Touchdowns'!A:A,'Skill Pos Compiled'!A126)=0,SUMIFS('2022 Skill Pos Stats'!Q:Q,'2022 Skill Pos Stats'!A:A,'Skill Pos Compiled'!A126),SUMIFS('Total Receiving Touchdowns'!E:E,'Total Receiving Touchdowns'!A:A,'Skill Pos Compiled'!A126))</f>
        <v>1.0625</v>
      </c>
      <c r="J126" s="5">
        <f>_xlfn.XLOOKUP(E$1,Pt_System[Stat],Pt_System[Pts])*E126</f>
        <v>91.375</v>
      </c>
      <c r="K126" s="5">
        <f>_xlfn.XLOOKUP(F$1,Pt_System[Stat],Pt_System[Pts])*F126</f>
        <v>31.875</v>
      </c>
      <c r="L126" s="5">
        <f>_xlfn.XLOOKUP(G$1,Pt_System[Stat],Pt_System[Pts])*G126</f>
        <v>23.375</v>
      </c>
      <c r="M126" s="5">
        <f>_xlfn.XLOOKUP(H$1,Pt_System[Stat],Pt_System[Pts])*H126</f>
        <v>19.65625</v>
      </c>
      <c r="N126" s="5">
        <f>_xlfn.XLOOKUP(I$1,Pt_System[Stat],Pt_System[Pts])*I126</f>
        <v>6.375</v>
      </c>
      <c r="O126" t="str">
        <f>IF(COUNTIFS('Total Rushing Yards'!A:A,'Skill Pos Compiled'!$A126)=1,"Vegas Odds","2022 Stats / Prediction")</f>
        <v>2022 Stats / Prediction</v>
      </c>
      <c r="P126" t="str">
        <f>IF(COUNTIFS('Total Rushing Touchdowns'!A:A,'Skill Pos Compiled'!$A126)=1,"Vegas Odds","2022 Stats / Prediction")</f>
        <v>2022 Stats / Prediction</v>
      </c>
      <c r="Q126" t="str">
        <f>IF(COUNTIFS('Total Receptions'!A:A,'Skill Pos Compiled'!$A126)=1,"Vegas Odds","2022 Stats / Prediction")</f>
        <v>2022 Stats / Prediction</v>
      </c>
      <c r="R126" t="str">
        <f>IF(COUNTIFS('Total Receiving Yards'!A:A,'Skill Pos Compiled'!$A126)=1,"Vegas Odds","2022 Stats / Prediction")</f>
        <v>2022 Stats / Prediction</v>
      </c>
      <c r="S126" t="str">
        <f>IF(COUNTIFS('Total Receiving Touchdowns'!A:A,'Skill Pos Compiled'!$A126)=1,"Vegas Odds","2022 Stats / Prediction")</f>
        <v>2022 Stats / Prediction</v>
      </c>
      <c r="T126" s="10" t="str">
        <f t="shared" si="7"/>
        <v>Unpredictable</v>
      </c>
    </row>
    <row r="127" spans="1:20" x14ac:dyDescent="0.25">
      <c r="A127" t="s">
        <v>57</v>
      </c>
      <c r="B127" t="str">
        <f>_xlfn.XLOOKUP(A127,ADP!A:A,ADP!B:B)</f>
        <v>RB</v>
      </c>
      <c r="C127" s="9">
        <f t="shared" si="5"/>
        <v>188.3371794871795</v>
      </c>
      <c r="D127" s="9">
        <f t="shared" si="6"/>
        <v>1082.6025641025642</v>
      </c>
      <c r="E127" s="7">
        <f>IF(SUMIFS('Total Rushing Yards'!E:E,'Total Rushing Yards'!A:A,'Skill Pos Compiled'!A127)=0,SUMIFS('2022 Skill Pos Stats'!M:M,'2022 Skill Pos Stats'!A:A,'Skill Pos Compiled'!A127),SUMIFS('Total Rushing Yards'!E:E,'Total Rushing Yards'!A:A,'Skill Pos Compiled'!A127))</f>
        <v>866.83333333333337</v>
      </c>
      <c r="F127" s="7">
        <f>IF(SUMIFS('Total Rushing Touchdowns'!B:B,'Total Rushing Touchdowns'!A:A,'Skill Pos Compiled'!A127)=0,SUMIFS('2022 Skill Pos Stats'!N:N,'2022 Skill Pos Stats'!A:A,'Skill Pos Compiled'!A127),SUMIFS('Total Rushing Touchdowns'!B:B,'Total Rushing Touchdowns'!A:A,'Skill Pos Compiled'!A127))</f>
        <v>5.5</v>
      </c>
      <c r="G127" s="7">
        <f>IF(SUMIFS('Total Receptions'!B:B,'Total Receptions'!A:A,'Skill Pos Compiled'!A127)=0,SUMIFS('2022 Skill Pos Stats'!O:O,'2022 Skill Pos Stats'!A:A,'Skill Pos Compiled'!A127),SUMIFS('Total Receptions'!B:B,'Total Receptions'!A:A,'Skill Pos Compiled'!A127))</f>
        <v>39.230769230769234</v>
      </c>
      <c r="H127" s="7">
        <f>IF(SUMIFS('Total Receiving Yards'!E:E,'Total Receiving Yards'!A:A,'Skill Pos Compiled'!A127)=0,SUMIFS('2022 Skill Pos Stats'!P:P,'2022 Skill Pos Stats'!A:A,'Skill Pos Compiled'!A127),SUMIFS('Total Receiving Yards'!E:E,'Total Receiving Yards'!A:A,'Skill Pos Compiled'!A127))</f>
        <v>215.76923076923077</v>
      </c>
      <c r="I127" s="7">
        <f>IF(SUMIFS('Total Receiving Touchdowns'!E:E,'Total Receiving Touchdowns'!A:A,'Skill Pos Compiled'!A127)=0,SUMIFS('2022 Skill Pos Stats'!Q:Q,'2022 Skill Pos Stats'!A:A,'Skill Pos Compiled'!A127),SUMIFS('Total Receiving Touchdowns'!E:E,'Total Receiving Touchdowns'!A:A,'Skill Pos Compiled'!A127))</f>
        <v>1.3076923076923077</v>
      </c>
      <c r="J127" s="5">
        <f>_xlfn.XLOOKUP(E$1,Pt_System[Stat],Pt_System[Pts])*E127</f>
        <v>86.683333333333337</v>
      </c>
      <c r="K127" s="5">
        <f>_xlfn.XLOOKUP(F$1,Pt_System[Stat],Pt_System[Pts])*F127</f>
        <v>33</v>
      </c>
      <c r="L127" s="5">
        <f>_xlfn.XLOOKUP(G$1,Pt_System[Stat],Pt_System[Pts])*G127</f>
        <v>39.230769230769234</v>
      </c>
      <c r="M127" s="5">
        <f>_xlfn.XLOOKUP(H$1,Pt_System[Stat],Pt_System[Pts])*H127</f>
        <v>21.57692307692308</v>
      </c>
      <c r="N127" s="5">
        <f>_xlfn.XLOOKUP(I$1,Pt_System[Stat],Pt_System[Pts])*I127</f>
        <v>7.8461538461538467</v>
      </c>
      <c r="O127" t="str">
        <f>IF(COUNTIFS('Total Rushing Yards'!A:A,'Skill Pos Compiled'!$A127)=1,"Vegas Odds","2022 Stats / Prediction")</f>
        <v>Vegas Odds</v>
      </c>
      <c r="P127" t="str">
        <f>IF(COUNTIFS('Total Rushing Touchdowns'!A:A,'Skill Pos Compiled'!$A127)=1,"Vegas Odds","2022 Stats / Prediction")</f>
        <v>Vegas Odds</v>
      </c>
      <c r="Q127" t="str">
        <f>IF(COUNTIFS('Total Receptions'!A:A,'Skill Pos Compiled'!$A127)=1,"Vegas Odds","2022 Stats / Prediction")</f>
        <v>2022 Stats / Prediction</v>
      </c>
      <c r="R127" t="str">
        <f>IF(COUNTIFS('Total Receiving Yards'!A:A,'Skill Pos Compiled'!$A127)=1,"Vegas Odds","2022 Stats / Prediction")</f>
        <v>2022 Stats / Prediction</v>
      </c>
      <c r="S127" t="str">
        <f>IF(COUNTIFS('Total Receiving Touchdowns'!A:A,'Skill Pos Compiled'!$A127)=1,"Vegas Odds","2022 Stats / Prediction")</f>
        <v>2022 Stats / Prediction</v>
      </c>
      <c r="T127" s="10" t="str">
        <f t="shared" si="7"/>
        <v>Unpredictable</v>
      </c>
    </row>
    <row r="128" spans="1:20" x14ac:dyDescent="0.25">
      <c r="A128" t="s">
        <v>290</v>
      </c>
      <c r="B128" t="str">
        <f>_xlfn.XLOOKUP(A128,ADP!A:A,ADP!B:B)</f>
        <v>RB</v>
      </c>
      <c r="C128" s="9">
        <f t="shared" si="5"/>
        <v>187.65</v>
      </c>
      <c r="D128" s="9">
        <f t="shared" si="6"/>
        <v>716.5</v>
      </c>
      <c r="E128" s="7">
        <f>IF(SUMIFS('Total Rushing Yards'!E:E,'Total Rushing Yards'!A:A,'Skill Pos Compiled'!A128)=0,SUMIFS('2022 Skill Pos Stats'!M:M,'2022 Skill Pos Stats'!A:A,'Skill Pos Compiled'!A128),SUMIFS('Total Rushing Yards'!E:E,'Total Rushing Yards'!A:A,'Skill Pos Compiled'!A128))</f>
        <v>291</v>
      </c>
      <c r="F128" s="7">
        <f>IF(SUMIFS('Total Rushing Touchdowns'!B:B,'Total Rushing Touchdowns'!A:A,'Skill Pos Compiled'!A128)=0,SUMIFS('2022 Skill Pos Stats'!N:N,'2022 Skill Pos Stats'!A:A,'Skill Pos Compiled'!A128),SUMIFS('Total Rushing Touchdowns'!B:B,'Total Rushing Touchdowns'!A:A,'Skill Pos Compiled'!A128))</f>
        <v>1</v>
      </c>
      <c r="G128" s="7">
        <f>IF(SUMIFS('Total Receptions'!B:B,'Total Receptions'!A:A,'Skill Pos Compiled'!A128)=0,SUMIFS('2022 Skill Pos Stats'!O:O,'2022 Skill Pos Stats'!A:A,'Skill Pos Compiled'!A128),SUMIFS('Total Receptions'!B:B,'Total Receptions'!A:A,'Skill Pos Compiled'!A128))</f>
        <v>56</v>
      </c>
      <c r="H128" s="7">
        <f>IF(SUMIFS('Total Receiving Yards'!E:E,'Total Receiving Yards'!A:A,'Skill Pos Compiled'!A128)=0,SUMIFS('2022 Skill Pos Stats'!P:P,'2022 Skill Pos Stats'!A:A,'Skill Pos Compiled'!A128),SUMIFS('Total Receiving Yards'!E:E,'Total Receiving Yards'!A:A,'Skill Pos Compiled'!A128))</f>
        <v>425.5</v>
      </c>
      <c r="I128" s="7">
        <f>IF(SUMIFS('Total Receiving Touchdowns'!E:E,'Total Receiving Touchdowns'!A:A,'Skill Pos Compiled'!A128)=0,SUMIFS('2022 Skill Pos Stats'!Q:Q,'2022 Skill Pos Stats'!A:A,'Skill Pos Compiled'!A128),SUMIFS('Total Receiving Touchdowns'!E:E,'Total Receiving Touchdowns'!A:A,'Skill Pos Compiled'!A128))</f>
        <v>9</v>
      </c>
      <c r="J128" s="5">
        <f>_xlfn.XLOOKUP(E$1,Pt_System[Stat],Pt_System[Pts])*E128</f>
        <v>29.1</v>
      </c>
      <c r="K128" s="5">
        <f>_xlfn.XLOOKUP(F$1,Pt_System[Stat],Pt_System[Pts])*F128</f>
        <v>6</v>
      </c>
      <c r="L128" s="5">
        <f>_xlfn.XLOOKUP(G$1,Pt_System[Stat],Pt_System[Pts])*G128</f>
        <v>56</v>
      </c>
      <c r="M128" s="5">
        <f>_xlfn.XLOOKUP(H$1,Pt_System[Stat],Pt_System[Pts])*H128</f>
        <v>42.550000000000004</v>
      </c>
      <c r="N128" s="5">
        <f>_xlfn.XLOOKUP(I$1,Pt_System[Stat],Pt_System[Pts])*I128</f>
        <v>54</v>
      </c>
      <c r="O128" t="str">
        <f>IF(COUNTIFS('Total Rushing Yards'!A:A,'Skill Pos Compiled'!$A128)=1,"Vegas Odds","2022 Stats / Prediction")</f>
        <v>2022 Stats / Prediction</v>
      </c>
      <c r="P128" t="str">
        <f>IF(COUNTIFS('Total Rushing Touchdowns'!A:A,'Skill Pos Compiled'!$A128)=1,"Vegas Odds","2022 Stats / Prediction")</f>
        <v>2022 Stats / Prediction</v>
      </c>
      <c r="Q128" t="str">
        <f>IF(COUNTIFS('Total Receptions'!A:A,'Skill Pos Compiled'!$A128)=1,"Vegas Odds","2022 Stats / Prediction")</f>
        <v>2022 Stats / Prediction</v>
      </c>
      <c r="R128" t="str">
        <f>IF(COUNTIFS('Total Receiving Yards'!A:A,'Skill Pos Compiled'!$A128)=1,"Vegas Odds","2022 Stats / Prediction")</f>
        <v>Vegas Odds</v>
      </c>
      <c r="S128" t="str">
        <f>IF(COUNTIFS('Total Receiving Touchdowns'!A:A,'Skill Pos Compiled'!$A128)=1,"Vegas Odds","2022 Stats / Prediction")</f>
        <v>2022 Stats / Prediction</v>
      </c>
      <c r="T128" s="10" t="str">
        <f t="shared" si="7"/>
        <v>Unpredictable</v>
      </c>
    </row>
    <row r="129" spans="1:20" x14ac:dyDescent="0.25">
      <c r="A129" t="s">
        <v>71</v>
      </c>
      <c r="B129" t="str">
        <f>_xlfn.XLOOKUP(A129,ADP!A:A,ADP!B:B)</f>
        <v>RB</v>
      </c>
      <c r="C129" s="9">
        <f t="shared" si="5"/>
        <v>150.15</v>
      </c>
      <c r="D129" s="9">
        <f t="shared" si="6"/>
        <v>831.5</v>
      </c>
      <c r="E129" s="7">
        <f>IF(SUMIFS('Total Rushing Yards'!E:E,'Total Rushing Yards'!A:A,'Skill Pos Compiled'!A129)=0,SUMIFS('2022 Skill Pos Stats'!M:M,'2022 Skill Pos Stats'!A:A,'Skill Pos Compiled'!A129),SUMIFS('Total Rushing Yards'!E:E,'Total Rushing Yards'!A:A,'Skill Pos Compiled'!A129))</f>
        <v>625.5</v>
      </c>
      <c r="F129" s="7">
        <f>IF(SUMIFS('Total Rushing Touchdowns'!B:B,'Total Rushing Touchdowns'!A:A,'Skill Pos Compiled'!A129)=0,SUMIFS('2022 Skill Pos Stats'!N:N,'2022 Skill Pos Stats'!A:A,'Skill Pos Compiled'!A129),SUMIFS('Total Rushing Touchdowns'!B:B,'Total Rushing Touchdowns'!A:A,'Skill Pos Compiled'!A129))</f>
        <v>6.5</v>
      </c>
      <c r="G129" s="7">
        <f>IF(SUMIFS('Total Receptions'!B:B,'Total Receptions'!A:A,'Skill Pos Compiled'!A129)=0,SUMIFS('2022 Skill Pos Stats'!O:O,'2022 Skill Pos Stats'!A:A,'Skill Pos Compiled'!A129),SUMIFS('Total Receptions'!B:B,'Total Receptions'!A:A,'Skill Pos Compiled'!A129))</f>
        <v>28</v>
      </c>
      <c r="H129" s="7">
        <f>IF(SUMIFS('Total Receiving Yards'!E:E,'Total Receiving Yards'!A:A,'Skill Pos Compiled'!A129)=0,SUMIFS('2022 Skill Pos Stats'!P:P,'2022 Skill Pos Stats'!A:A,'Skill Pos Compiled'!A129),SUMIFS('Total Receiving Yards'!E:E,'Total Receiving Yards'!A:A,'Skill Pos Compiled'!A129))</f>
        <v>206</v>
      </c>
      <c r="I129" s="7">
        <f>IF(SUMIFS('Total Receiving Touchdowns'!E:E,'Total Receiving Touchdowns'!A:A,'Skill Pos Compiled'!A129)=0,SUMIFS('2022 Skill Pos Stats'!Q:Q,'2022 Skill Pos Stats'!A:A,'Skill Pos Compiled'!A129),SUMIFS('Total Receiving Touchdowns'!E:E,'Total Receiving Touchdowns'!A:A,'Skill Pos Compiled'!A129))</f>
        <v>0</v>
      </c>
      <c r="J129" s="5">
        <f>_xlfn.XLOOKUP(E$1,Pt_System[Stat],Pt_System[Pts])*E129</f>
        <v>62.550000000000004</v>
      </c>
      <c r="K129" s="5">
        <f>_xlfn.XLOOKUP(F$1,Pt_System[Stat],Pt_System[Pts])*F129</f>
        <v>39</v>
      </c>
      <c r="L129" s="5">
        <f>_xlfn.XLOOKUP(G$1,Pt_System[Stat],Pt_System[Pts])*G129</f>
        <v>28</v>
      </c>
      <c r="M129" s="5">
        <f>_xlfn.XLOOKUP(H$1,Pt_System[Stat],Pt_System[Pts])*H129</f>
        <v>20.6</v>
      </c>
      <c r="N129" s="5">
        <f>_xlfn.XLOOKUP(I$1,Pt_System[Stat],Pt_System[Pts])*I129</f>
        <v>0</v>
      </c>
      <c r="O129" t="str">
        <f>IF(COUNTIFS('Total Rushing Yards'!A:A,'Skill Pos Compiled'!$A129)=1,"Vegas Odds","2022 Stats / Prediction")</f>
        <v>Vegas Odds</v>
      </c>
      <c r="P129" t="str">
        <f>IF(COUNTIFS('Total Rushing Touchdowns'!A:A,'Skill Pos Compiled'!$A129)=1,"Vegas Odds","2022 Stats / Prediction")</f>
        <v>Vegas Odds</v>
      </c>
      <c r="Q129" t="str">
        <f>IF(COUNTIFS('Total Receptions'!A:A,'Skill Pos Compiled'!$A129)=1,"Vegas Odds","2022 Stats / Prediction")</f>
        <v>2022 Stats / Prediction</v>
      </c>
      <c r="R129" t="str">
        <f>IF(COUNTIFS('Total Receiving Yards'!A:A,'Skill Pos Compiled'!$A129)=1,"Vegas Odds","2022 Stats / Prediction")</f>
        <v>2022 Stats / Prediction</v>
      </c>
      <c r="S129" t="str">
        <f>IF(COUNTIFS('Total Receiving Touchdowns'!A:A,'Skill Pos Compiled'!$A129)=1,"Vegas Odds","2022 Stats / Prediction")</f>
        <v>2022 Stats / Prediction</v>
      </c>
      <c r="T129" s="10" t="str">
        <f t="shared" si="7"/>
        <v>Unpredictable</v>
      </c>
    </row>
    <row r="130" spans="1:20" x14ac:dyDescent="0.25">
      <c r="A130" t="s">
        <v>134</v>
      </c>
      <c r="B130" t="str">
        <f>_xlfn.XLOOKUP(A130,ADP!A:A,ADP!B:B)</f>
        <v>RB</v>
      </c>
      <c r="C130" s="9">
        <f t="shared" si="5"/>
        <v>151.32499999999999</v>
      </c>
      <c r="D130" s="9">
        <f t="shared" si="6"/>
        <v>865.125</v>
      </c>
      <c r="E130" s="7">
        <f>IF(SUMIFS('Total Rushing Yards'!E:E,'Total Rushing Yards'!A:A,'Skill Pos Compiled'!A130)=0,SUMIFS('2022 Skill Pos Stats'!M:M,'2022 Skill Pos Stats'!A:A,'Skill Pos Compiled'!A130),SUMIFS('Total Rushing Yards'!E:E,'Total Rushing Yards'!A:A,'Skill Pos Compiled'!A130))</f>
        <v>650.5</v>
      </c>
      <c r="F130" s="7">
        <f>IF(SUMIFS('Total Rushing Touchdowns'!B:B,'Total Rushing Touchdowns'!A:A,'Skill Pos Compiled'!A130)=0,SUMIFS('2022 Skill Pos Stats'!N:N,'2022 Skill Pos Stats'!A:A,'Skill Pos Compiled'!A130),SUMIFS('Total Rushing Touchdowns'!B:B,'Total Rushing Touchdowns'!A:A,'Skill Pos Compiled'!A130))</f>
        <v>3.1875</v>
      </c>
      <c r="G130" s="7">
        <f>IF(SUMIFS('Total Receptions'!B:B,'Total Receptions'!A:A,'Skill Pos Compiled'!A130)=0,SUMIFS('2022 Skill Pos Stats'!O:O,'2022 Skill Pos Stats'!A:A,'Skill Pos Compiled'!A130),SUMIFS('Total Receptions'!B:B,'Total Receptions'!A:A,'Skill Pos Compiled'!A130))</f>
        <v>32.9375</v>
      </c>
      <c r="H130" s="7">
        <f>IF(SUMIFS('Total Receiving Yards'!E:E,'Total Receiving Yards'!A:A,'Skill Pos Compiled'!A130)=0,SUMIFS('2022 Skill Pos Stats'!P:P,'2022 Skill Pos Stats'!A:A,'Skill Pos Compiled'!A130),SUMIFS('Total Receiving Yards'!E:E,'Total Receiving Yards'!A:A,'Skill Pos Compiled'!A130))</f>
        <v>214.625</v>
      </c>
      <c r="I130" s="7">
        <f>IF(SUMIFS('Total Receiving Touchdowns'!E:E,'Total Receiving Touchdowns'!A:A,'Skill Pos Compiled'!A130)=0,SUMIFS('2022 Skill Pos Stats'!Q:Q,'2022 Skill Pos Stats'!A:A,'Skill Pos Compiled'!A130),SUMIFS('Total Receiving Touchdowns'!E:E,'Total Receiving Touchdowns'!A:A,'Skill Pos Compiled'!A130))</f>
        <v>2.125</v>
      </c>
      <c r="J130" s="5">
        <f>_xlfn.XLOOKUP(E$1,Pt_System[Stat],Pt_System[Pts])*E130</f>
        <v>65.05</v>
      </c>
      <c r="K130" s="5">
        <f>_xlfn.XLOOKUP(F$1,Pt_System[Stat],Pt_System[Pts])*F130</f>
        <v>19.125</v>
      </c>
      <c r="L130" s="5">
        <f>_xlfn.XLOOKUP(G$1,Pt_System[Stat],Pt_System[Pts])*G130</f>
        <v>32.9375</v>
      </c>
      <c r="M130" s="5">
        <f>_xlfn.XLOOKUP(H$1,Pt_System[Stat],Pt_System[Pts])*H130</f>
        <v>21.462500000000002</v>
      </c>
      <c r="N130" s="5">
        <f>_xlfn.XLOOKUP(I$1,Pt_System[Stat],Pt_System[Pts])*I130</f>
        <v>12.75</v>
      </c>
      <c r="O130" t="str">
        <f>IF(COUNTIFS('Total Rushing Yards'!A:A,'Skill Pos Compiled'!$A130)=1,"Vegas Odds","2022 Stats / Prediction")</f>
        <v>Vegas Odds</v>
      </c>
      <c r="P130" t="str">
        <f>IF(COUNTIFS('Total Rushing Touchdowns'!A:A,'Skill Pos Compiled'!$A130)=1,"Vegas Odds","2022 Stats / Prediction")</f>
        <v>2022 Stats / Prediction</v>
      </c>
      <c r="Q130" t="str">
        <f>IF(COUNTIFS('Total Receptions'!A:A,'Skill Pos Compiled'!$A130)=1,"Vegas Odds","2022 Stats / Prediction")</f>
        <v>2022 Stats / Prediction</v>
      </c>
      <c r="R130" t="str">
        <f>IF(COUNTIFS('Total Receiving Yards'!A:A,'Skill Pos Compiled'!$A130)=1,"Vegas Odds","2022 Stats / Prediction")</f>
        <v>2022 Stats / Prediction</v>
      </c>
      <c r="S130" t="str">
        <f>IF(COUNTIFS('Total Receiving Touchdowns'!A:A,'Skill Pos Compiled'!$A130)=1,"Vegas Odds","2022 Stats / Prediction")</f>
        <v>2022 Stats / Prediction</v>
      </c>
      <c r="T130" s="10" t="str">
        <f t="shared" si="7"/>
        <v>Unpredictable</v>
      </c>
    </row>
    <row r="131" spans="1:20" x14ac:dyDescent="0.25">
      <c r="A131" t="s">
        <v>62</v>
      </c>
      <c r="B131" t="str">
        <f>_xlfn.XLOOKUP(A131,ADP!A:A,ADP!B:B)</f>
        <v>RB</v>
      </c>
      <c r="C131" s="9">
        <f t="shared" ref="C131:C167" si="8">SUM(J131:N131)</f>
        <v>143.74333333333331</v>
      </c>
      <c r="D131" s="9">
        <f t="shared" ref="D131:D167" si="9">+E131+H131</f>
        <v>900.1</v>
      </c>
      <c r="E131" s="7">
        <f>IF(SUMIFS('Total Rushing Yards'!E:E,'Total Rushing Yards'!A:A,'Skill Pos Compiled'!A131)=0,SUMIFS('2022 Skill Pos Stats'!M:M,'2022 Skill Pos Stats'!A:A,'Skill Pos Compiled'!A131),SUMIFS('Total Rushing Yards'!E:E,'Total Rushing Yards'!A:A,'Skill Pos Compiled'!A131))</f>
        <v>767.5</v>
      </c>
      <c r="F131" s="7">
        <f>IF(SUMIFS('Total Rushing Touchdowns'!B:B,'Total Rushing Touchdowns'!A:A,'Skill Pos Compiled'!A131)=0,SUMIFS('2022 Skill Pos Stats'!N:N,'2022 Skill Pos Stats'!A:A,'Skill Pos Compiled'!A131),SUMIFS('Total Rushing Touchdowns'!B:B,'Total Rushing Touchdowns'!A:A,'Skill Pos Compiled'!A131))</f>
        <v>6.5</v>
      </c>
      <c r="G131" s="7">
        <f>IF(SUMIFS('Total Receptions'!B:B,'Total Receptions'!A:A,'Skill Pos Compiled'!A131)=0,SUMIFS('2022 Skill Pos Stats'!O:O,'2022 Skill Pos Stats'!A:A,'Skill Pos Compiled'!A131),SUMIFS('Total Receptions'!B:B,'Total Receptions'!A:A,'Skill Pos Compiled'!A131))</f>
        <v>14.733333333333333</v>
      </c>
      <c r="H131" s="7">
        <f>IF(SUMIFS('Total Receiving Yards'!E:E,'Total Receiving Yards'!A:A,'Skill Pos Compiled'!A131)=0,SUMIFS('2022 Skill Pos Stats'!P:P,'2022 Skill Pos Stats'!A:A,'Skill Pos Compiled'!A131),SUMIFS('Total Receiving Yards'!E:E,'Total Receiving Yards'!A:A,'Skill Pos Compiled'!A131))</f>
        <v>132.6</v>
      </c>
      <c r="I131" s="7">
        <f>IF(SUMIFS('Total Receiving Touchdowns'!E:E,'Total Receiving Touchdowns'!A:A,'Skill Pos Compiled'!A131)=0,SUMIFS('2022 Skill Pos Stats'!Q:Q,'2022 Skill Pos Stats'!A:A,'Skill Pos Compiled'!A131),SUMIFS('Total Receiving Touchdowns'!E:E,'Total Receiving Touchdowns'!A:A,'Skill Pos Compiled'!A131))</f>
        <v>0</v>
      </c>
      <c r="J131" s="5">
        <f>_xlfn.XLOOKUP(E$1,Pt_System[Stat],Pt_System[Pts])*E131</f>
        <v>76.75</v>
      </c>
      <c r="K131" s="5">
        <f>_xlfn.XLOOKUP(F$1,Pt_System[Stat],Pt_System[Pts])*F131</f>
        <v>39</v>
      </c>
      <c r="L131" s="5">
        <f>_xlfn.XLOOKUP(G$1,Pt_System[Stat],Pt_System[Pts])*G131</f>
        <v>14.733333333333333</v>
      </c>
      <c r="M131" s="5">
        <f>_xlfn.XLOOKUP(H$1,Pt_System[Stat],Pt_System[Pts])*H131</f>
        <v>13.26</v>
      </c>
      <c r="N131" s="5">
        <f>_xlfn.XLOOKUP(I$1,Pt_System[Stat],Pt_System[Pts])*I131</f>
        <v>0</v>
      </c>
      <c r="O131" t="str">
        <f>IF(COUNTIFS('Total Rushing Yards'!A:A,'Skill Pos Compiled'!$A131)=1,"Vegas Odds","2022 Stats / Prediction")</f>
        <v>Vegas Odds</v>
      </c>
      <c r="P131" t="str">
        <f>IF(COUNTIFS('Total Rushing Touchdowns'!A:A,'Skill Pos Compiled'!$A131)=1,"Vegas Odds","2022 Stats / Prediction")</f>
        <v>Vegas Odds</v>
      </c>
      <c r="Q131" t="str">
        <f>IF(COUNTIFS('Total Receptions'!A:A,'Skill Pos Compiled'!$A131)=1,"Vegas Odds","2022 Stats / Prediction")</f>
        <v>2022 Stats / Prediction</v>
      </c>
      <c r="R131" t="str">
        <f>IF(COUNTIFS('Total Receiving Yards'!A:A,'Skill Pos Compiled'!$A131)=1,"Vegas Odds","2022 Stats / Prediction")</f>
        <v>2022 Stats / Prediction</v>
      </c>
      <c r="S131" t="str">
        <f>IF(COUNTIFS('Total Receiving Touchdowns'!A:A,'Skill Pos Compiled'!$A131)=1,"Vegas Odds","2022 Stats / Prediction")</f>
        <v>2022 Stats / Prediction</v>
      </c>
      <c r="T131" s="10" t="str">
        <f t="shared" ref="T131:T167" si="10">IF(COUNTIFS(O131:S131,"Vegas Odds")&gt;2,"OK","Unpredictable")</f>
        <v>Unpredictable</v>
      </c>
    </row>
    <row r="132" spans="1:20" x14ac:dyDescent="0.25">
      <c r="A132" t="s">
        <v>291</v>
      </c>
      <c r="B132" t="str">
        <f>_xlfn.XLOOKUP(A132,ADP!A:A,ADP!B:B)</f>
        <v>RB</v>
      </c>
      <c r="C132" s="9">
        <f t="shared" si="8"/>
        <v>197.06923076923076</v>
      </c>
      <c r="D132" s="9">
        <f t="shared" si="9"/>
        <v>1068.3846153846152</v>
      </c>
      <c r="E132" s="7">
        <f>IF(SUMIFS('Total Rushing Yards'!E:E,'Total Rushing Yards'!A:A,'Skill Pos Compiled'!A132)=0,SUMIFS('2022 Skill Pos Stats'!M:M,'2022 Skill Pos Stats'!A:A,'Skill Pos Compiled'!A132),SUMIFS('Total Rushing Yards'!E:E,'Total Rushing Yards'!A:A,'Skill Pos Compiled'!A132))</f>
        <v>908.84615384615381</v>
      </c>
      <c r="F132" s="7">
        <f>IF(SUMIFS('Total Rushing Touchdowns'!B:B,'Total Rushing Touchdowns'!A:A,'Skill Pos Compiled'!A132)=0,SUMIFS('2022 Skill Pos Stats'!N:N,'2022 Skill Pos Stats'!A:A,'Skill Pos Compiled'!A132),SUMIFS('Total Rushing Touchdowns'!B:B,'Total Rushing Touchdowns'!A:A,'Skill Pos Compiled'!A132))</f>
        <v>10.461538461538462</v>
      </c>
      <c r="G132" s="7">
        <f>IF(SUMIFS('Total Receptions'!B:B,'Total Receptions'!A:A,'Skill Pos Compiled'!A132)=0,SUMIFS('2022 Skill Pos Stats'!O:O,'2022 Skill Pos Stats'!A:A,'Skill Pos Compiled'!A132),SUMIFS('Total Receptions'!B:B,'Total Receptions'!A:A,'Skill Pos Compiled'!A132))</f>
        <v>27.461538461538463</v>
      </c>
      <c r="H132" s="7">
        <f>IF(SUMIFS('Total Receiving Yards'!E:E,'Total Receiving Yards'!A:A,'Skill Pos Compiled'!A132)=0,SUMIFS('2022 Skill Pos Stats'!P:P,'2022 Skill Pos Stats'!A:A,'Skill Pos Compiled'!A132),SUMIFS('Total Receiving Yards'!E:E,'Total Receiving Yards'!A:A,'Skill Pos Compiled'!A132))</f>
        <v>159.53846153846155</v>
      </c>
      <c r="I132" s="7">
        <f>IF(SUMIFS('Total Receiving Touchdowns'!E:E,'Total Receiving Touchdowns'!A:A,'Skill Pos Compiled'!A132)=0,SUMIFS('2022 Skill Pos Stats'!Q:Q,'2022 Skill Pos Stats'!A:A,'Skill Pos Compiled'!A132),SUMIFS('Total Receiving Touchdowns'!E:E,'Total Receiving Touchdowns'!A:A,'Skill Pos Compiled'!A132))</f>
        <v>0</v>
      </c>
      <c r="J132" s="5">
        <f>_xlfn.XLOOKUP(E$1,Pt_System[Stat],Pt_System[Pts])*E132</f>
        <v>90.884615384615387</v>
      </c>
      <c r="K132" s="5">
        <f>_xlfn.XLOOKUP(F$1,Pt_System[Stat],Pt_System[Pts])*F132</f>
        <v>62.769230769230774</v>
      </c>
      <c r="L132" s="5">
        <f>_xlfn.XLOOKUP(G$1,Pt_System[Stat],Pt_System[Pts])*G132</f>
        <v>27.461538461538463</v>
      </c>
      <c r="M132" s="5">
        <f>_xlfn.XLOOKUP(H$1,Pt_System[Stat],Pt_System[Pts])*H132</f>
        <v>15.953846153846156</v>
      </c>
      <c r="N132" s="5">
        <f>_xlfn.XLOOKUP(I$1,Pt_System[Stat],Pt_System[Pts])*I132</f>
        <v>0</v>
      </c>
      <c r="O132" t="str">
        <f>IF(COUNTIFS('Total Rushing Yards'!A:A,'Skill Pos Compiled'!$A132)=1,"Vegas Odds","2022 Stats / Prediction")</f>
        <v>2022 Stats / Prediction</v>
      </c>
      <c r="P132" t="str">
        <f>IF(COUNTIFS('Total Rushing Touchdowns'!A:A,'Skill Pos Compiled'!$A132)=1,"Vegas Odds","2022 Stats / Prediction")</f>
        <v>2022 Stats / Prediction</v>
      </c>
      <c r="Q132" t="str">
        <f>IF(COUNTIFS('Total Receptions'!A:A,'Skill Pos Compiled'!$A132)=1,"Vegas Odds","2022 Stats / Prediction")</f>
        <v>2022 Stats / Prediction</v>
      </c>
      <c r="R132" t="str">
        <f>IF(COUNTIFS('Total Receiving Yards'!A:A,'Skill Pos Compiled'!$A132)=1,"Vegas Odds","2022 Stats / Prediction")</f>
        <v>2022 Stats / Prediction</v>
      </c>
      <c r="S132" t="str">
        <f>IF(COUNTIFS('Total Receiving Touchdowns'!A:A,'Skill Pos Compiled'!$A132)=1,"Vegas Odds","2022 Stats / Prediction")</f>
        <v>2022 Stats / Prediction</v>
      </c>
      <c r="T132" s="10" t="str">
        <f t="shared" si="10"/>
        <v>Unpredictable</v>
      </c>
    </row>
    <row r="133" spans="1:20" x14ac:dyDescent="0.25">
      <c r="A133" t="s">
        <v>64</v>
      </c>
      <c r="B133" t="str">
        <f>_xlfn.XLOOKUP(A133,ADP!A:A,ADP!B:B)</f>
        <v>RB</v>
      </c>
      <c r="C133" s="9">
        <f t="shared" si="8"/>
        <v>136.51666666666665</v>
      </c>
      <c r="D133" s="9">
        <f t="shared" si="9"/>
        <v>905.16666666666663</v>
      </c>
      <c r="E133" s="7">
        <f>IF(SUMIFS('Total Rushing Yards'!E:E,'Total Rushing Yards'!A:A,'Skill Pos Compiled'!A133)=0,SUMIFS('2022 Skill Pos Stats'!M:M,'2022 Skill Pos Stats'!A:A,'Skill Pos Compiled'!A133),SUMIFS('Total Rushing Yards'!E:E,'Total Rushing Yards'!A:A,'Skill Pos Compiled'!A133))</f>
        <v>775.16666666666663</v>
      </c>
      <c r="F133" s="7">
        <f>IF(SUMIFS('Total Rushing Touchdowns'!B:B,'Total Rushing Touchdowns'!A:A,'Skill Pos Compiled'!A133)=0,SUMIFS('2022 Skill Pos Stats'!N:N,'2022 Skill Pos Stats'!A:A,'Skill Pos Compiled'!A133),SUMIFS('Total Rushing Touchdowns'!B:B,'Total Rushing Touchdowns'!A:A,'Skill Pos Compiled'!A133))</f>
        <v>5.5</v>
      </c>
      <c r="G133" s="7">
        <f>IF(SUMIFS('Total Receptions'!B:B,'Total Receptions'!A:A,'Skill Pos Compiled'!A133)=0,SUMIFS('2022 Skill Pos Stats'!O:O,'2022 Skill Pos Stats'!A:A,'Skill Pos Compiled'!A133),SUMIFS('Total Receptions'!B:B,'Total Receptions'!A:A,'Skill Pos Compiled'!A133))</f>
        <v>13</v>
      </c>
      <c r="H133" s="7">
        <f>IF(SUMIFS('Total Receiving Yards'!E:E,'Total Receiving Yards'!A:A,'Skill Pos Compiled'!A133)=0,SUMIFS('2022 Skill Pos Stats'!P:P,'2022 Skill Pos Stats'!A:A,'Skill Pos Compiled'!A133),SUMIFS('Total Receiving Yards'!E:E,'Total Receiving Yards'!A:A,'Skill Pos Compiled'!A133))</f>
        <v>130</v>
      </c>
      <c r="I133" s="7">
        <f>IF(SUMIFS('Total Receiving Touchdowns'!E:E,'Total Receiving Touchdowns'!A:A,'Skill Pos Compiled'!A133)=0,SUMIFS('2022 Skill Pos Stats'!Q:Q,'2022 Skill Pos Stats'!A:A,'Skill Pos Compiled'!A133),SUMIFS('Total Receiving Touchdowns'!E:E,'Total Receiving Touchdowns'!A:A,'Skill Pos Compiled'!A133))</f>
        <v>0</v>
      </c>
      <c r="J133" s="5">
        <f>_xlfn.XLOOKUP(E$1,Pt_System[Stat],Pt_System[Pts])*E133</f>
        <v>77.516666666666666</v>
      </c>
      <c r="K133" s="5">
        <f>_xlfn.XLOOKUP(F$1,Pt_System[Stat],Pt_System[Pts])*F133</f>
        <v>33</v>
      </c>
      <c r="L133" s="5">
        <f>_xlfn.XLOOKUP(G$1,Pt_System[Stat],Pt_System[Pts])*G133</f>
        <v>13</v>
      </c>
      <c r="M133" s="5">
        <f>_xlfn.XLOOKUP(H$1,Pt_System[Stat],Pt_System[Pts])*H133</f>
        <v>13</v>
      </c>
      <c r="N133" s="5">
        <f>_xlfn.XLOOKUP(I$1,Pt_System[Stat],Pt_System[Pts])*I133</f>
        <v>0</v>
      </c>
      <c r="O133" t="str">
        <f>IF(COUNTIFS('Total Rushing Yards'!A:A,'Skill Pos Compiled'!$A133)=1,"Vegas Odds","2022 Stats / Prediction")</f>
        <v>Vegas Odds</v>
      </c>
      <c r="P133" t="str">
        <f>IF(COUNTIFS('Total Rushing Touchdowns'!A:A,'Skill Pos Compiled'!$A133)=1,"Vegas Odds","2022 Stats / Prediction")</f>
        <v>Vegas Odds</v>
      </c>
      <c r="Q133" t="str">
        <f>IF(COUNTIFS('Total Receptions'!A:A,'Skill Pos Compiled'!$A133)=1,"Vegas Odds","2022 Stats / Prediction")</f>
        <v>2022 Stats / Prediction</v>
      </c>
      <c r="R133" t="str">
        <f>IF(COUNTIFS('Total Receiving Yards'!A:A,'Skill Pos Compiled'!$A133)=1,"Vegas Odds","2022 Stats / Prediction")</f>
        <v>2022 Stats / Prediction</v>
      </c>
      <c r="S133" t="str">
        <f>IF(COUNTIFS('Total Receiving Touchdowns'!A:A,'Skill Pos Compiled'!$A133)=1,"Vegas Odds","2022 Stats / Prediction")</f>
        <v>2022 Stats / Prediction</v>
      </c>
      <c r="T133" s="10" t="str">
        <f t="shared" si="10"/>
        <v>Unpredictable</v>
      </c>
    </row>
    <row r="134" spans="1:20" x14ac:dyDescent="0.25">
      <c r="A134" t="s">
        <v>292</v>
      </c>
      <c r="B134" t="str">
        <f>_xlfn.XLOOKUP(A134,ADP!A:A,ADP!B:B)</f>
        <v>RB</v>
      </c>
      <c r="C134" s="9">
        <f t="shared" si="8"/>
        <v>199.03076923076924</v>
      </c>
      <c r="D134" s="9">
        <f t="shared" si="9"/>
        <v>1166.4615384615383</v>
      </c>
      <c r="E134" s="7">
        <f>IF(SUMIFS('Total Rushing Yards'!E:E,'Total Rushing Yards'!A:A,'Skill Pos Compiled'!A134)=0,SUMIFS('2022 Skill Pos Stats'!M:M,'2022 Skill Pos Stats'!A:A,'Skill Pos Compiled'!A134),SUMIFS('Total Rushing Yards'!E:E,'Total Rushing Yards'!A:A,'Skill Pos Compiled'!A134))</f>
        <v>993.84615384615381</v>
      </c>
      <c r="F134" s="7">
        <f>IF(SUMIFS('Total Rushing Touchdowns'!B:B,'Total Rushing Touchdowns'!A:A,'Skill Pos Compiled'!A134)=0,SUMIFS('2022 Skill Pos Stats'!N:N,'2022 Skill Pos Stats'!A:A,'Skill Pos Compiled'!A134),SUMIFS('Total Rushing Touchdowns'!B:B,'Total Rushing Touchdowns'!A:A,'Skill Pos Compiled'!A134))</f>
        <v>7.8461538461538467</v>
      </c>
      <c r="G134" s="7">
        <f>IF(SUMIFS('Total Receptions'!B:B,'Total Receptions'!A:A,'Skill Pos Compiled'!A134)=0,SUMIFS('2022 Skill Pos Stats'!O:O,'2022 Skill Pos Stats'!A:A,'Skill Pos Compiled'!A134),SUMIFS('Total Receptions'!B:B,'Total Receptions'!A:A,'Skill Pos Compiled'!A134))</f>
        <v>35.307692307692307</v>
      </c>
      <c r="H134" s="7">
        <f>IF(SUMIFS('Total Receiving Yards'!E:E,'Total Receiving Yards'!A:A,'Skill Pos Compiled'!A134)=0,SUMIFS('2022 Skill Pos Stats'!P:P,'2022 Skill Pos Stats'!A:A,'Skill Pos Compiled'!A134),SUMIFS('Total Receiving Yards'!E:E,'Total Receiving Yards'!A:A,'Skill Pos Compiled'!A134))</f>
        <v>172.61538461538461</v>
      </c>
      <c r="I134" s="7">
        <f>IF(SUMIFS('Total Receiving Touchdowns'!E:E,'Total Receiving Touchdowns'!A:A,'Skill Pos Compiled'!A134)=0,SUMIFS('2022 Skill Pos Stats'!Q:Q,'2022 Skill Pos Stats'!A:A,'Skill Pos Compiled'!A134),SUMIFS('Total Receiving Touchdowns'!E:E,'Total Receiving Touchdowns'!A:A,'Skill Pos Compiled'!A134))</f>
        <v>0</v>
      </c>
      <c r="J134" s="5">
        <f>_xlfn.XLOOKUP(E$1,Pt_System[Stat],Pt_System[Pts])*E134</f>
        <v>99.384615384615387</v>
      </c>
      <c r="K134" s="5">
        <f>_xlfn.XLOOKUP(F$1,Pt_System[Stat],Pt_System[Pts])*F134</f>
        <v>47.07692307692308</v>
      </c>
      <c r="L134" s="5">
        <f>_xlfn.XLOOKUP(G$1,Pt_System[Stat],Pt_System[Pts])*G134</f>
        <v>35.307692307692307</v>
      </c>
      <c r="M134" s="5">
        <f>_xlfn.XLOOKUP(H$1,Pt_System[Stat],Pt_System[Pts])*H134</f>
        <v>17.261538461538461</v>
      </c>
      <c r="N134" s="5">
        <f>_xlfn.XLOOKUP(I$1,Pt_System[Stat],Pt_System[Pts])*I134</f>
        <v>0</v>
      </c>
      <c r="O134" t="str">
        <f>IF(COUNTIFS('Total Rushing Yards'!A:A,'Skill Pos Compiled'!$A134)=1,"Vegas Odds","2022 Stats / Prediction")</f>
        <v>2022 Stats / Prediction</v>
      </c>
      <c r="P134" t="str">
        <f>IF(COUNTIFS('Total Rushing Touchdowns'!A:A,'Skill Pos Compiled'!$A134)=1,"Vegas Odds","2022 Stats / Prediction")</f>
        <v>2022 Stats / Prediction</v>
      </c>
      <c r="Q134" t="str">
        <f>IF(COUNTIFS('Total Receptions'!A:A,'Skill Pos Compiled'!$A134)=1,"Vegas Odds","2022 Stats / Prediction")</f>
        <v>2022 Stats / Prediction</v>
      </c>
      <c r="R134" t="str">
        <f>IF(COUNTIFS('Total Receiving Yards'!A:A,'Skill Pos Compiled'!$A134)=1,"Vegas Odds","2022 Stats / Prediction")</f>
        <v>2022 Stats / Prediction</v>
      </c>
      <c r="S134" t="str">
        <f>IF(COUNTIFS('Total Receiving Touchdowns'!A:A,'Skill Pos Compiled'!$A134)=1,"Vegas Odds","2022 Stats / Prediction")</f>
        <v>2022 Stats / Prediction</v>
      </c>
      <c r="T134" s="10" t="str">
        <f t="shared" si="10"/>
        <v>Unpredictable</v>
      </c>
    </row>
    <row r="135" spans="1:20" x14ac:dyDescent="0.25">
      <c r="A135" t="s">
        <v>293</v>
      </c>
      <c r="B135" t="str">
        <f>_xlfn.XLOOKUP(A135,ADP!A:A,ADP!B:B)</f>
        <v>RB</v>
      </c>
      <c r="C135" s="9">
        <f t="shared" si="8"/>
        <v>235.52727272727273</v>
      </c>
      <c r="D135" s="9">
        <f t="shared" si="9"/>
        <v>1551.6363636363635</v>
      </c>
      <c r="E135" s="7">
        <f>IF(SUMIFS('Total Rushing Yards'!E:E,'Total Rushing Yards'!A:A,'Skill Pos Compiled'!A135)=0,SUMIFS('2022 Skill Pos Stats'!M:M,'2022 Skill Pos Stats'!A:A,'Skill Pos Compiled'!A135),SUMIFS('Total Rushing Yards'!E:E,'Total Rushing Yards'!A:A,'Skill Pos Compiled'!A135))</f>
        <v>1330.6363636363635</v>
      </c>
      <c r="F135" s="7">
        <f>IF(SUMIFS('Total Rushing Touchdowns'!B:B,'Total Rushing Touchdowns'!A:A,'Skill Pos Compiled'!A135)=0,SUMIFS('2022 Skill Pos Stats'!N:N,'2022 Skill Pos Stats'!A:A,'Skill Pos Compiled'!A135),SUMIFS('Total Rushing Touchdowns'!B:B,'Total Rushing Touchdowns'!A:A,'Skill Pos Compiled'!A135))</f>
        <v>6.1818181818181817</v>
      </c>
      <c r="G135" s="7">
        <f>IF(SUMIFS('Total Receptions'!B:B,'Total Receptions'!A:A,'Skill Pos Compiled'!A135)=0,SUMIFS('2022 Skill Pos Stats'!O:O,'2022 Skill Pos Stats'!A:A,'Skill Pos Compiled'!A135),SUMIFS('Total Receptions'!B:B,'Total Receptions'!A:A,'Skill Pos Compiled'!A135))</f>
        <v>43.272727272727273</v>
      </c>
      <c r="H135" s="7">
        <f>IF(SUMIFS('Total Receiving Yards'!E:E,'Total Receiving Yards'!A:A,'Skill Pos Compiled'!A135)=0,SUMIFS('2022 Skill Pos Stats'!P:P,'2022 Skill Pos Stats'!A:A,'Skill Pos Compiled'!A135),SUMIFS('Total Receiving Yards'!E:E,'Total Receiving Yards'!A:A,'Skill Pos Compiled'!A135))</f>
        <v>221</v>
      </c>
      <c r="I135" s="7">
        <f>IF(SUMIFS('Total Receiving Touchdowns'!E:E,'Total Receiving Touchdowns'!A:A,'Skill Pos Compiled'!A135)=0,SUMIFS('2022 Skill Pos Stats'!Q:Q,'2022 Skill Pos Stats'!A:A,'Skill Pos Compiled'!A135),SUMIFS('Total Receiving Touchdowns'!E:E,'Total Receiving Touchdowns'!A:A,'Skill Pos Compiled'!A135))</f>
        <v>0</v>
      </c>
      <c r="J135" s="5">
        <f>_xlfn.XLOOKUP(E$1,Pt_System[Stat],Pt_System[Pts])*E135</f>
        <v>133.06363636363636</v>
      </c>
      <c r="K135" s="5">
        <f>_xlfn.XLOOKUP(F$1,Pt_System[Stat],Pt_System[Pts])*F135</f>
        <v>37.090909090909093</v>
      </c>
      <c r="L135" s="5">
        <f>_xlfn.XLOOKUP(G$1,Pt_System[Stat],Pt_System[Pts])*G135</f>
        <v>43.272727272727273</v>
      </c>
      <c r="M135" s="5">
        <f>_xlfn.XLOOKUP(H$1,Pt_System[Stat],Pt_System[Pts])*H135</f>
        <v>22.1</v>
      </c>
      <c r="N135" s="5">
        <f>_xlfn.XLOOKUP(I$1,Pt_System[Stat],Pt_System[Pts])*I135</f>
        <v>0</v>
      </c>
      <c r="O135" t="str">
        <f>IF(COUNTIFS('Total Rushing Yards'!A:A,'Skill Pos Compiled'!$A135)=1,"Vegas Odds","2022 Stats / Prediction")</f>
        <v>2022 Stats / Prediction</v>
      </c>
      <c r="P135" t="str">
        <f>IF(COUNTIFS('Total Rushing Touchdowns'!A:A,'Skill Pos Compiled'!$A135)=1,"Vegas Odds","2022 Stats / Prediction")</f>
        <v>2022 Stats / Prediction</v>
      </c>
      <c r="Q135" t="str">
        <f>IF(COUNTIFS('Total Receptions'!A:A,'Skill Pos Compiled'!$A135)=1,"Vegas Odds","2022 Stats / Prediction")</f>
        <v>2022 Stats / Prediction</v>
      </c>
      <c r="R135" t="str">
        <f>IF(COUNTIFS('Total Receiving Yards'!A:A,'Skill Pos Compiled'!$A135)=1,"Vegas Odds","2022 Stats / Prediction")</f>
        <v>2022 Stats / Prediction</v>
      </c>
      <c r="S135" t="str">
        <f>IF(COUNTIFS('Total Receiving Touchdowns'!A:A,'Skill Pos Compiled'!$A135)=1,"Vegas Odds","2022 Stats / Prediction")</f>
        <v>2022 Stats / Prediction</v>
      </c>
      <c r="T135" s="10" t="str">
        <f t="shared" si="10"/>
        <v>Unpredictable</v>
      </c>
    </row>
    <row r="136" spans="1:20" x14ac:dyDescent="0.25">
      <c r="A136" t="s">
        <v>561</v>
      </c>
      <c r="B136" t="str">
        <f>_xlfn.XLOOKUP(A136,ADP!A:A,ADP!B:B)</f>
        <v>RB</v>
      </c>
      <c r="C136" s="9">
        <f t="shared" si="8"/>
        <v>137.0625</v>
      </c>
      <c r="D136" s="9">
        <f t="shared" si="9"/>
        <v>998.75</v>
      </c>
      <c r="E136" s="7">
        <f>IF(SUMIFS('Total Rushing Yards'!E:E,'Total Rushing Yards'!A:A,'Skill Pos Compiled'!A136)=0,SUMIFS('2022 Skill Pos Stats'!M:M,'2022 Skill Pos Stats'!A:A,'Skill Pos Compiled'!A136),SUMIFS('Total Rushing Yards'!E:E,'Total Rushing Yards'!A:A,'Skill Pos Compiled'!A136))</f>
        <v>971.125</v>
      </c>
      <c r="F136" s="7">
        <f>IF(SUMIFS('Total Rushing Touchdowns'!B:B,'Total Rushing Touchdowns'!A:A,'Skill Pos Compiled'!A136)=0,SUMIFS('2022 Skill Pos Stats'!N:N,'2022 Skill Pos Stats'!A:A,'Skill Pos Compiled'!A136),SUMIFS('Total Rushing Touchdowns'!B:B,'Total Rushing Touchdowns'!A:A,'Skill Pos Compiled'!A136))</f>
        <v>5.3125</v>
      </c>
      <c r="G136" s="7">
        <f>IF(SUMIFS('Total Receptions'!B:B,'Total Receptions'!A:A,'Skill Pos Compiled'!A136)=0,SUMIFS('2022 Skill Pos Stats'!O:O,'2022 Skill Pos Stats'!A:A,'Skill Pos Compiled'!A136),SUMIFS('Total Receptions'!B:B,'Total Receptions'!A:A,'Skill Pos Compiled'!A136))</f>
        <v>5.3125</v>
      </c>
      <c r="H136" s="7">
        <f>IF(SUMIFS('Total Receiving Yards'!E:E,'Total Receiving Yards'!A:A,'Skill Pos Compiled'!A136)=0,SUMIFS('2022 Skill Pos Stats'!P:P,'2022 Skill Pos Stats'!A:A,'Skill Pos Compiled'!A136),SUMIFS('Total Receiving Yards'!E:E,'Total Receiving Yards'!A:A,'Skill Pos Compiled'!A136))</f>
        <v>27.625</v>
      </c>
      <c r="I136" s="7">
        <f>IF(SUMIFS('Total Receiving Touchdowns'!E:E,'Total Receiving Touchdowns'!A:A,'Skill Pos Compiled'!A136)=0,SUMIFS('2022 Skill Pos Stats'!Q:Q,'2022 Skill Pos Stats'!A:A,'Skill Pos Compiled'!A136),SUMIFS('Total Receiving Touchdowns'!E:E,'Total Receiving Touchdowns'!A:A,'Skill Pos Compiled'!A136))</f>
        <v>0</v>
      </c>
      <c r="J136" s="5">
        <f>_xlfn.XLOOKUP(E$1,Pt_System[Stat],Pt_System[Pts])*E136</f>
        <v>97.112500000000011</v>
      </c>
      <c r="K136" s="5">
        <f>_xlfn.XLOOKUP(F$1,Pt_System[Stat],Pt_System[Pts])*F136</f>
        <v>31.875</v>
      </c>
      <c r="L136" s="5">
        <f>_xlfn.XLOOKUP(G$1,Pt_System[Stat],Pt_System[Pts])*G136</f>
        <v>5.3125</v>
      </c>
      <c r="M136" s="5">
        <f>_xlfn.XLOOKUP(H$1,Pt_System[Stat],Pt_System[Pts])*H136</f>
        <v>2.7625000000000002</v>
      </c>
      <c r="N136" s="5">
        <f>_xlfn.XLOOKUP(I$1,Pt_System[Stat],Pt_System[Pts])*I136</f>
        <v>0</v>
      </c>
      <c r="O136" t="str">
        <f>IF(COUNTIFS('Total Rushing Yards'!A:A,'Skill Pos Compiled'!$A136)=1,"Vegas Odds","2022 Stats / Prediction")</f>
        <v>2022 Stats / Prediction</v>
      </c>
      <c r="P136" t="str">
        <f>IF(COUNTIFS('Total Rushing Touchdowns'!A:A,'Skill Pos Compiled'!$A136)=1,"Vegas Odds","2022 Stats / Prediction")</f>
        <v>2022 Stats / Prediction</v>
      </c>
      <c r="Q136" t="str">
        <f>IF(COUNTIFS('Total Receptions'!A:A,'Skill Pos Compiled'!$A136)=1,"Vegas Odds","2022 Stats / Prediction")</f>
        <v>2022 Stats / Prediction</v>
      </c>
      <c r="R136" t="str">
        <f>IF(COUNTIFS('Total Receiving Yards'!A:A,'Skill Pos Compiled'!$A136)=1,"Vegas Odds","2022 Stats / Prediction")</f>
        <v>2022 Stats / Prediction</v>
      </c>
      <c r="S136" t="str">
        <f>IF(COUNTIFS('Total Receiving Touchdowns'!A:A,'Skill Pos Compiled'!$A136)=1,"Vegas Odds","2022 Stats / Prediction")</f>
        <v>2022 Stats / Prediction</v>
      </c>
      <c r="T136" s="10" t="str">
        <f t="shared" si="10"/>
        <v>Unpredictable</v>
      </c>
    </row>
    <row r="137" spans="1:20" x14ac:dyDescent="0.25">
      <c r="A137" t="s">
        <v>294</v>
      </c>
      <c r="B137" t="str">
        <f>_xlfn.XLOOKUP(A137,ADP!A:A,ADP!B:B)</f>
        <v>RB</v>
      </c>
      <c r="C137" s="9">
        <f t="shared" si="8"/>
        <v>188.01999999999998</v>
      </c>
      <c r="D137" s="9">
        <f t="shared" si="9"/>
        <v>1018.8666666666666</v>
      </c>
      <c r="E137" s="7">
        <f>IF(SUMIFS('Total Rushing Yards'!E:E,'Total Rushing Yards'!A:A,'Skill Pos Compiled'!A137)=0,SUMIFS('2022 Skill Pos Stats'!M:M,'2022 Skill Pos Stats'!A:A,'Skill Pos Compiled'!A137),SUMIFS('Total Rushing Yards'!E:E,'Total Rushing Yards'!A:A,'Skill Pos Compiled'!A137))</f>
        <v>618.79999999999995</v>
      </c>
      <c r="F137" s="7">
        <f>IF(SUMIFS('Total Rushing Touchdowns'!B:B,'Total Rushing Touchdowns'!A:A,'Skill Pos Compiled'!A137)=0,SUMIFS('2022 Skill Pos Stats'!N:N,'2022 Skill Pos Stats'!A:A,'Skill Pos Compiled'!A137),SUMIFS('Total Rushing Touchdowns'!B:B,'Total Rushing Touchdowns'!A:A,'Skill Pos Compiled'!A137))</f>
        <v>3.4</v>
      </c>
      <c r="G137" s="7">
        <f>IF(SUMIFS('Total Receptions'!B:B,'Total Receptions'!A:A,'Skill Pos Compiled'!A137)=0,SUMIFS('2022 Skill Pos Stats'!O:O,'2022 Skill Pos Stats'!A:A,'Skill Pos Compiled'!A137),SUMIFS('Total Receptions'!B:B,'Total Receptions'!A:A,'Skill Pos Compiled'!A137))</f>
        <v>52.133333333333333</v>
      </c>
      <c r="H137" s="7">
        <f>IF(SUMIFS('Total Receiving Yards'!E:E,'Total Receiving Yards'!A:A,'Skill Pos Compiled'!A137)=0,SUMIFS('2022 Skill Pos Stats'!P:P,'2022 Skill Pos Stats'!A:A,'Skill Pos Compiled'!A137),SUMIFS('Total Receiving Yards'!E:E,'Total Receiving Yards'!A:A,'Skill Pos Compiled'!A137))</f>
        <v>400.06666666666666</v>
      </c>
      <c r="I137" s="7">
        <f>IF(SUMIFS('Total Receiving Touchdowns'!E:E,'Total Receiving Touchdowns'!A:A,'Skill Pos Compiled'!A137)=0,SUMIFS('2022 Skill Pos Stats'!Q:Q,'2022 Skill Pos Stats'!A:A,'Skill Pos Compiled'!A137),SUMIFS('Total Receiving Touchdowns'!E:E,'Total Receiving Touchdowns'!A:A,'Skill Pos Compiled'!A137))</f>
        <v>2.2666666666666666</v>
      </c>
      <c r="J137" s="5">
        <f>_xlfn.XLOOKUP(E$1,Pt_System[Stat],Pt_System[Pts])*E137</f>
        <v>61.879999999999995</v>
      </c>
      <c r="K137" s="5">
        <f>_xlfn.XLOOKUP(F$1,Pt_System[Stat],Pt_System[Pts])*F137</f>
        <v>20.399999999999999</v>
      </c>
      <c r="L137" s="5">
        <f>_xlfn.XLOOKUP(G$1,Pt_System[Stat],Pt_System[Pts])*G137</f>
        <v>52.133333333333333</v>
      </c>
      <c r="M137" s="5">
        <f>_xlfn.XLOOKUP(H$1,Pt_System[Stat],Pt_System[Pts])*H137</f>
        <v>40.006666666666668</v>
      </c>
      <c r="N137" s="5">
        <f>_xlfn.XLOOKUP(I$1,Pt_System[Stat],Pt_System[Pts])*I137</f>
        <v>13.6</v>
      </c>
      <c r="O137" t="str">
        <f>IF(COUNTIFS('Total Rushing Yards'!A:A,'Skill Pos Compiled'!$A137)=1,"Vegas Odds","2022 Stats / Prediction")</f>
        <v>2022 Stats / Prediction</v>
      </c>
      <c r="P137" t="str">
        <f>IF(COUNTIFS('Total Rushing Touchdowns'!A:A,'Skill Pos Compiled'!$A137)=1,"Vegas Odds","2022 Stats / Prediction")</f>
        <v>2022 Stats / Prediction</v>
      </c>
      <c r="Q137" t="str">
        <f>IF(COUNTIFS('Total Receptions'!A:A,'Skill Pos Compiled'!$A137)=1,"Vegas Odds","2022 Stats / Prediction")</f>
        <v>2022 Stats / Prediction</v>
      </c>
      <c r="R137" t="str">
        <f>IF(COUNTIFS('Total Receiving Yards'!A:A,'Skill Pos Compiled'!$A137)=1,"Vegas Odds","2022 Stats / Prediction")</f>
        <v>2022 Stats / Prediction</v>
      </c>
      <c r="S137" t="str">
        <f>IF(COUNTIFS('Total Receiving Touchdowns'!A:A,'Skill Pos Compiled'!$A137)=1,"Vegas Odds","2022 Stats / Prediction")</f>
        <v>2022 Stats / Prediction</v>
      </c>
      <c r="T137" s="10" t="str">
        <f t="shared" si="10"/>
        <v>Unpredictable</v>
      </c>
    </row>
    <row r="138" spans="1:20" x14ac:dyDescent="0.25">
      <c r="A138" t="s">
        <v>128</v>
      </c>
      <c r="B138" t="str">
        <f>_xlfn.XLOOKUP(A138,ADP!A:A,ADP!B:B)</f>
        <v>RB</v>
      </c>
      <c r="C138" s="9">
        <f t="shared" si="8"/>
        <v>126.00384615384615</v>
      </c>
      <c r="D138" s="9">
        <f t="shared" si="9"/>
        <v>750.03846153846155</v>
      </c>
      <c r="E138" s="7">
        <f>IF(SUMIFS('Total Rushing Yards'!E:E,'Total Rushing Yards'!A:A,'Skill Pos Compiled'!A138)=0,SUMIFS('2022 Skill Pos Stats'!M:M,'2022 Skill Pos Stats'!A:A,'Skill Pos Compiled'!A138),SUMIFS('Total Rushing Yards'!E:E,'Total Rushing Yards'!A:A,'Skill Pos Compiled'!A138))</f>
        <v>675.5</v>
      </c>
      <c r="F138" s="7">
        <f>IF(SUMIFS('Total Rushing Touchdowns'!B:B,'Total Rushing Touchdowns'!A:A,'Skill Pos Compiled'!A138)=0,SUMIFS('2022 Skill Pos Stats'!N:N,'2022 Skill Pos Stats'!A:A,'Skill Pos Compiled'!A138),SUMIFS('Total Rushing Touchdowns'!B:B,'Total Rushing Touchdowns'!A:A,'Skill Pos Compiled'!A138))</f>
        <v>5.2307692307692308</v>
      </c>
      <c r="G138" s="7">
        <f>IF(SUMIFS('Total Receptions'!B:B,'Total Receptions'!A:A,'Skill Pos Compiled'!A138)=0,SUMIFS('2022 Skill Pos Stats'!O:O,'2022 Skill Pos Stats'!A:A,'Skill Pos Compiled'!A138),SUMIFS('Total Receptions'!B:B,'Total Receptions'!A:A,'Skill Pos Compiled'!A138))</f>
        <v>11.76923076923077</v>
      </c>
      <c r="H138" s="7">
        <f>IF(SUMIFS('Total Receiving Yards'!E:E,'Total Receiving Yards'!A:A,'Skill Pos Compiled'!A138)=0,SUMIFS('2022 Skill Pos Stats'!P:P,'2022 Skill Pos Stats'!A:A,'Skill Pos Compiled'!A138),SUMIFS('Total Receiving Yards'!E:E,'Total Receiving Yards'!A:A,'Skill Pos Compiled'!A138))</f>
        <v>74.538461538461533</v>
      </c>
      <c r="I138" s="7">
        <f>IF(SUMIFS('Total Receiving Touchdowns'!E:E,'Total Receiving Touchdowns'!A:A,'Skill Pos Compiled'!A138)=0,SUMIFS('2022 Skill Pos Stats'!Q:Q,'2022 Skill Pos Stats'!A:A,'Skill Pos Compiled'!A138),SUMIFS('Total Receiving Touchdowns'!E:E,'Total Receiving Touchdowns'!A:A,'Skill Pos Compiled'!A138))</f>
        <v>1.3076923076923077</v>
      </c>
      <c r="J138" s="5">
        <f>_xlfn.XLOOKUP(E$1,Pt_System[Stat],Pt_System[Pts])*E138</f>
        <v>67.55</v>
      </c>
      <c r="K138" s="5">
        <f>_xlfn.XLOOKUP(F$1,Pt_System[Stat],Pt_System[Pts])*F138</f>
        <v>31.384615384615387</v>
      </c>
      <c r="L138" s="5">
        <f>_xlfn.XLOOKUP(G$1,Pt_System[Stat],Pt_System[Pts])*G138</f>
        <v>11.76923076923077</v>
      </c>
      <c r="M138" s="5">
        <f>_xlfn.XLOOKUP(H$1,Pt_System[Stat],Pt_System[Pts])*H138</f>
        <v>7.453846153846154</v>
      </c>
      <c r="N138" s="5">
        <f>_xlfn.XLOOKUP(I$1,Pt_System[Stat],Pt_System[Pts])*I138</f>
        <v>7.8461538461538467</v>
      </c>
      <c r="O138" t="str">
        <f>IF(COUNTIFS('Total Rushing Yards'!A:A,'Skill Pos Compiled'!$A138)=1,"Vegas Odds","2022 Stats / Prediction")</f>
        <v>Vegas Odds</v>
      </c>
      <c r="P138" t="str">
        <f>IF(COUNTIFS('Total Rushing Touchdowns'!A:A,'Skill Pos Compiled'!$A138)=1,"Vegas Odds","2022 Stats / Prediction")</f>
        <v>2022 Stats / Prediction</v>
      </c>
      <c r="Q138" t="str">
        <f>IF(COUNTIFS('Total Receptions'!A:A,'Skill Pos Compiled'!$A138)=1,"Vegas Odds","2022 Stats / Prediction")</f>
        <v>2022 Stats / Prediction</v>
      </c>
      <c r="R138" t="str">
        <f>IF(COUNTIFS('Total Receiving Yards'!A:A,'Skill Pos Compiled'!$A138)=1,"Vegas Odds","2022 Stats / Prediction")</f>
        <v>2022 Stats / Prediction</v>
      </c>
      <c r="S138" t="str">
        <f>IF(COUNTIFS('Total Receiving Touchdowns'!A:A,'Skill Pos Compiled'!$A138)=1,"Vegas Odds","2022 Stats / Prediction")</f>
        <v>2022 Stats / Prediction</v>
      </c>
      <c r="T138" s="10" t="str">
        <f t="shared" si="10"/>
        <v>Unpredictable</v>
      </c>
    </row>
    <row r="139" spans="1:20" x14ac:dyDescent="0.25">
      <c r="A139" t="s">
        <v>127</v>
      </c>
      <c r="B139" t="str">
        <f>_xlfn.XLOOKUP(A139,ADP!A:A,ADP!B:B)</f>
        <v>RB</v>
      </c>
      <c r="C139" s="9">
        <f t="shared" si="8"/>
        <v>166.66875000000002</v>
      </c>
      <c r="D139" s="9">
        <f t="shared" si="9"/>
        <v>880.4375</v>
      </c>
      <c r="E139" s="7">
        <f>IF(SUMIFS('Total Rushing Yards'!E:E,'Total Rushing Yards'!A:A,'Skill Pos Compiled'!A139)=0,SUMIFS('2022 Skill Pos Stats'!M:M,'2022 Skill Pos Stats'!A:A,'Skill Pos Compiled'!A139),SUMIFS('Total Rushing Yards'!E:E,'Total Rushing Yards'!A:A,'Skill Pos Compiled'!A139))</f>
        <v>575.5</v>
      </c>
      <c r="F139" s="7">
        <f>IF(SUMIFS('Total Rushing Touchdowns'!B:B,'Total Rushing Touchdowns'!A:A,'Skill Pos Compiled'!A139)=0,SUMIFS('2022 Skill Pos Stats'!N:N,'2022 Skill Pos Stats'!A:A,'Skill Pos Compiled'!A139),SUMIFS('Total Rushing Touchdowns'!B:B,'Total Rushing Touchdowns'!A:A,'Skill Pos Compiled'!A139))</f>
        <v>2.125</v>
      </c>
      <c r="G139" s="7">
        <f>IF(SUMIFS('Total Receptions'!B:B,'Total Receptions'!A:A,'Skill Pos Compiled'!A139)=0,SUMIFS('2022 Skill Pos Stats'!O:O,'2022 Skill Pos Stats'!A:A,'Skill Pos Compiled'!A139),SUMIFS('Total Receptions'!B:B,'Total Receptions'!A:A,'Skill Pos Compiled'!A139))</f>
        <v>40.375</v>
      </c>
      <c r="H139" s="7">
        <f>IF(SUMIFS('Total Receiving Yards'!E:E,'Total Receiving Yards'!A:A,'Skill Pos Compiled'!A139)=0,SUMIFS('2022 Skill Pos Stats'!P:P,'2022 Skill Pos Stats'!A:A,'Skill Pos Compiled'!A139),SUMIFS('Total Receiving Yards'!E:E,'Total Receiving Yards'!A:A,'Skill Pos Compiled'!A139))</f>
        <v>304.9375</v>
      </c>
      <c r="I139" s="7">
        <f>IF(SUMIFS('Total Receiving Touchdowns'!E:E,'Total Receiving Touchdowns'!A:A,'Skill Pos Compiled'!A139)=0,SUMIFS('2022 Skill Pos Stats'!Q:Q,'2022 Skill Pos Stats'!A:A,'Skill Pos Compiled'!A139),SUMIFS('Total Receiving Touchdowns'!E:E,'Total Receiving Touchdowns'!A:A,'Skill Pos Compiled'!A139))</f>
        <v>4.25</v>
      </c>
      <c r="J139" s="5">
        <f>_xlfn.XLOOKUP(E$1,Pt_System[Stat],Pt_System[Pts])*E139</f>
        <v>57.550000000000004</v>
      </c>
      <c r="K139" s="5">
        <f>_xlfn.XLOOKUP(F$1,Pt_System[Stat],Pt_System[Pts])*F139</f>
        <v>12.75</v>
      </c>
      <c r="L139" s="5">
        <f>_xlfn.XLOOKUP(G$1,Pt_System[Stat],Pt_System[Pts])*G139</f>
        <v>40.375</v>
      </c>
      <c r="M139" s="5">
        <f>_xlfn.XLOOKUP(H$1,Pt_System[Stat],Pt_System[Pts])*H139</f>
        <v>30.493750000000002</v>
      </c>
      <c r="N139" s="5">
        <f>_xlfn.XLOOKUP(I$1,Pt_System[Stat],Pt_System[Pts])*I139</f>
        <v>25.5</v>
      </c>
      <c r="O139" t="str">
        <f>IF(COUNTIFS('Total Rushing Yards'!A:A,'Skill Pos Compiled'!$A139)=1,"Vegas Odds","2022 Stats / Prediction")</f>
        <v>Vegas Odds</v>
      </c>
      <c r="P139" t="str">
        <f>IF(COUNTIFS('Total Rushing Touchdowns'!A:A,'Skill Pos Compiled'!$A139)=1,"Vegas Odds","2022 Stats / Prediction")</f>
        <v>2022 Stats / Prediction</v>
      </c>
      <c r="Q139" t="str">
        <f>IF(COUNTIFS('Total Receptions'!A:A,'Skill Pos Compiled'!$A139)=1,"Vegas Odds","2022 Stats / Prediction")</f>
        <v>2022 Stats / Prediction</v>
      </c>
      <c r="R139" t="str">
        <f>IF(COUNTIFS('Total Receiving Yards'!A:A,'Skill Pos Compiled'!$A139)=1,"Vegas Odds","2022 Stats / Prediction")</f>
        <v>2022 Stats / Prediction</v>
      </c>
      <c r="S139" t="str">
        <f>IF(COUNTIFS('Total Receiving Touchdowns'!A:A,'Skill Pos Compiled'!$A139)=1,"Vegas Odds","2022 Stats / Prediction")</f>
        <v>2022 Stats / Prediction</v>
      </c>
      <c r="T139" s="10" t="str">
        <f t="shared" si="10"/>
        <v>Unpredictable</v>
      </c>
    </row>
    <row r="140" spans="1:20" x14ac:dyDescent="0.25">
      <c r="A140" t="s">
        <v>66</v>
      </c>
      <c r="B140" t="str">
        <f>_xlfn.XLOOKUP(A140,ADP!A:A,ADP!B:B)</f>
        <v>RB</v>
      </c>
      <c r="C140" s="9">
        <f t="shared" si="8"/>
        <v>147.93333333333334</v>
      </c>
      <c r="D140" s="9">
        <f t="shared" si="9"/>
        <v>816.83333333333337</v>
      </c>
      <c r="E140" s="7">
        <f>IF(SUMIFS('Total Rushing Yards'!E:E,'Total Rushing Yards'!A:A,'Skill Pos Compiled'!A140)=0,SUMIFS('2022 Skill Pos Stats'!M:M,'2022 Skill Pos Stats'!A:A,'Skill Pos Compiled'!A140),SUMIFS('Total Rushing Yards'!E:E,'Total Rushing Yards'!A:A,'Skill Pos Compiled'!A140))</f>
        <v>731.83333333333337</v>
      </c>
      <c r="F140" s="7">
        <f>IF(SUMIFS('Total Rushing Touchdowns'!B:B,'Total Rushing Touchdowns'!A:A,'Skill Pos Compiled'!A140)=0,SUMIFS('2022 Skill Pos Stats'!N:N,'2022 Skill Pos Stats'!A:A,'Skill Pos Compiled'!A140),SUMIFS('Total Rushing Touchdowns'!B:B,'Total Rushing Touchdowns'!A:A,'Skill Pos Compiled'!A140))</f>
        <v>7.5</v>
      </c>
      <c r="G140" s="7">
        <f>IF(SUMIFS('Total Receptions'!B:B,'Total Receptions'!A:A,'Skill Pos Compiled'!A140)=0,SUMIFS('2022 Skill Pos Stats'!O:O,'2022 Skill Pos Stats'!A:A,'Skill Pos Compiled'!A140),SUMIFS('Total Receptions'!B:B,'Total Receptions'!A:A,'Skill Pos Compiled'!A140))</f>
        <v>12.75</v>
      </c>
      <c r="H140" s="7">
        <f>IF(SUMIFS('Total Receiving Yards'!E:E,'Total Receiving Yards'!A:A,'Skill Pos Compiled'!A140)=0,SUMIFS('2022 Skill Pos Stats'!P:P,'2022 Skill Pos Stats'!A:A,'Skill Pos Compiled'!A140),SUMIFS('Total Receiving Yards'!E:E,'Total Receiving Yards'!A:A,'Skill Pos Compiled'!A140))</f>
        <v>85</v>
      </c>
      <c r="I140" s="7">
        <f>IF(SUMIFS('Total Receiving Touchdowns'!E:E,'Total Receiving Touchdowns'!A:A,'Skill Pos Compiled'!A140)=0,SUMIFS('2022 Skill Pos Stats'!Q:Q,'2022 Skill Pos Stats'!A:A,'Skill Pos Compiled'!A140),SUMIFS('Total Receiving Touchdowns'!E:E,'Total Receiving Touchdowns'!A:A,'Skill Pos Compiled'!A140))</f>
        <v>1.4166666666666667</v>
      </c>
      <c r="J140" s="5">
        <f>_xlfn.XLOOKUP(E$1,Pt_System[Stat],Pt_System[Pts])*E140</f>
        <v>73.183333333333337</v>
      </c>
      <c r="K140" s="5">
        <f>_xlfn.XLOOKUP(F$1,Pt_System[Stat],Pt_System[Pts])*F140</f>
        <v>45</v>
      </c>
      <c r="L140" s="5">
        <f>_xlfn.XLOOKUP(G$1,Pt_System[Stat],Pt_System[Pts])*G140</f>
        <v>12.75</v>
      </c>
      <c r="M140" s="5">
        <f>_xlfn.XLOOKUP(H$1,Pt_System[Stat],Pt_System[Pts])*H140</f>
        <v>8.5</v>
      </c>
      <c r="N140" s="5">
        <f>_xlfn.XLOOKUP(I$1,Pt_System[Stat],Pt_System[Pts])*I140</f>
        <v>8.5</v>
      </c>
      <c r="O140" t="str">
        <f>IF(COUNTIFS('Total Rushing Yards'!A:A,'Skill Pos Compiled'!$A140)=1,"Vegas Odds","2022 Stats / Prediction")</f>
        <v>Vegas Odds</v>
      </c>
      <c r="P140" t="str">
        <f>IF(COUNTIFS('Total Rushing Touchdowns'!A:A,'Skill Pos Compiled'!$A140)=1,"Vegas Odds","2022 Stats / Prediction")</f>
        <v>Vegas Odds</v>
      </c>
      <c r="Q140" t="str">
        <f>IF(COUNTIFS('Total Receptions'!A:A,'Skill Pos Compiled'!$A140)=1,"Vegas Odds","2022 Stats / Prediction")</f>
        <v>2022 Stats / Prediction</v>
      </c>
      <c r="R140" t="str">
        <f>IF(COUNTIFS('Total Receiving Yards'!A:A,'Skill Pos Compiled'!$A140)=1,"Vegas Odds","2022 Stats / Prediction")</f>
        <v>2022 Stats / Prediction</v>
      </c>
      <c r="S140" t="str">
        <f>IF(COUNTIFS('Total Receiving Touchdowns'!A:A,'Skill Pos Compiled'!$A140)=1,"Vegas Odds","2022 Stats / Prediction")</f>
        <v>2022 Stats / Prediction</v>
      </c>
      <c r="T140" s="10" t="str">
        <f t="shared" si="10"/>
        <v>Unpredictable</v>
      </c>
    </row>
    <row r="141" spans="1:20" x14ac:dyDescent="0.25">
      <c r="A141" t="s">
        <v>133</v>
      </c>
      <c r="B141" t="str">
        <f>_xlfn.XLOOKUP(A141,ADP!A:A,ADP!B:B)</f>
        <v>RB</v>
      </c>
      <c r="C141" s="9">
        <f t="shared" si="8"/>
        <v>239.49285714285708</v>
      </c>
      <c r="D141" s="9">
        <f t="shared" si="9"/>
        <v>1204.9285714285713</v>
      </c>
      <c r="E141" s="7">
        <f>IF(SUMIFS('Total Rushing Yards'!E:E,'Total Rushing Yards'!A:A,'Skill Pos Compiled'!A141)=0,SUMIFS('2022 Skill Pos Stats'!M:M,'2022 Skill Pos Stats'!A:A,'Skill Pos Compiled'!A141),SUMIFS('Total Rushing Yards'!E:E,'Total Rushing Yards'!A:A,'Skill Pos Compiled'!A141))</f>
        <v>675.5</v>
      </c>
      <c r="F141" s="7">
        <f>IF(SUMIFS('Total Rushing Touchdowns'!B:B,'Total Rushing Touchdowns'!A:A,'Skill Pos Compiled'!A141)=0,SUMIFS('2022 Skill Pos Stats'!N:N,'2022 Skill Pos Stats'!A:A,'Skill Pos Compiled'!A141),SUMIFS('Total Rushing Touchdowns'!B:B,'Total Rushing Touchdowns'!A:A,'Skill Pos Compiled'!A141))</f>
        <v>9.7142857142857135</v>
      </c>
      <c r="G141" s="7">
        <f>IF(SUMIFS('Total Receptions'!B:B,'Total Receptions'!A:A,'Skill Pos Compiled'!A141)=0,SUMIFS('2022 Skill Pos Stats'!O:O,'2022 Skill Pos Stats'!A:A,'Skill Pos Compiled'!A141),SUMIFS('Total Receptions'!B:B,'Total Receptions'!A:A,'Skill Pos Compiled'!A141))</f>
        <v>46.142857142857139</v>
      </c>
      <c r="H141" s="7">
        <f>IF(SUMIFS('Total Receiving Yards'!E:E,'Total Receiving Yards'!A:A,'Skill Pos Compiled'!A141)=0,SUMIFS('2022 Skill Pos Stats'!P:P,'2022 Skill Pos Stats'!A:A,'Skill Pos Compiled'!A141),SUMIFS('Total Receiving Yards'!E:E,'Total Receiving Yards'!A:A,'Skill Pos Compiled'!A141))</f>
        <v>529.42857142857133</v>
      </c>
      <c r="I141" s="7">
        <f>IF(SUMIFS('Total Receiving Touchdowns'!E:E,'Total Receiving Touchdowns'!A:A,'Skill Pos Compiled'!A141)=0,SUMIFS('2022 Skill Pos Stats'!Q:Q,'2022 Skill Pos Stats'!A:A,'Skill Pos Compiled'!A141),SUMIFS('Total Receiving Touchdowns'!E:E,'Total Receiving Touchdowns'!A:A,'Skill Pos Compiled'!A141))</f>
        <v>2.4285714285714284</v>
      </c>
      <c r="J141" s="5">
        <f>_xlfn.XLOOKUP(E$1,Pt_System[Stat],Pt_System[Pts])*E141</f>
        <v>67.55</v>
      </c>
      <c r="K141" s="5">
        <f>_xlfn.XLOOKUP(F$1,Pt_System[Stat],Pt_System[Pts])*F141</f>
        <v>58.285714285714278</v>
      </c>
      <c r="L141" s="5">
        <f>_xlfn.XLOOKUP(G$1,Pt_System[Stat],Pt_System[Pts])*G141</f>
        <v>46.142857142857139</v>
      </c>
      <c r="M141" s="5">
        <f>_xlfn.XLOOKUP(H$1,Pt_System[Stat],Pt_System[Pts])*H141</f>
        <v>52.942857142857136</v>
      </c>
      <c r="N141" s="5">
        <f>_xlfn.XLOOKUP(I$1,Pt_System[Stat],Pt_System[Pts])*I141</f>
        <v>14.571428571428569</v>
      </c>
      <c r="O141" t="str">
        <f>IF(COUNTIFS('Total Rushing Yards'!A:A,'Skill Pos Compiled'!$A141)=1,"Vegas Odds","2022 Stats / Prediction")</f>
        <v>Vegas Odds</v>
      </c>
      <c r="P141" t="str">
        <f>IF(COUNTIFS('Total Rushing Touchdowns'!A:A,'Skill Pos Compiled'!$A141)=1,"Vegas Odds","2022 Stats / Prediction")</f>
        <v>2022 Stats / Prediction</v>
      </c>
      <c r="Q141" t="str">
        <f>IF(COUNTIFS('Total Receptions'!A:A,'Skill Pos Compiled'!$A141)=1,"Vegas Odds","2022 Stats / Prediction")</f>
        <v>2022 Stats / Prediction</v>
      </c>
      <c r="R141" t="str">
        <f>IF(COUNTIFS('Total Receiving Yards'!A:A,'Skill Pos Compiled'!$A141)=1,"Vegas Odds","2022 Stats / Prediction")</f>
        <v>2022 Stats / Prediction</v>
      </c>
      <c r="S141" t="str">
        <f>IF(COUNTIFS('Total Receiving Touchdowns'!A:A,'Skill Pos Compiled'!$A141)=1,"Vegas Odds","2022 Stats / Prediction")</f>
        <v>2022 Stats / Prediction</v>
      </c>
      <c r="T141" s="10" t="str">
        <f t="shared" si="10"/>
        <v>Unpredictable</v>
      </c>
    </row>
    <row r="142" spans="1:20" x14ac:dyDescent="0.25">
      <c r="A142" t="s">
        <v>126</v>
      </c>
      <c r="B142" t="str">
        <f>_xlfn.XLOOKUP(A142,ADP!A:A,ADP!B:B)</f>
        <v>RB</v>
      </c>
      <c r="C142" s="9">
        <f t="shared" si="8"/>
        <v>191.13749999999999</v>
      </c>
      <c r="D142" s="9">
        <f t="shared" si="9"/>
        <v>982.625</v>
      </c>
      <c r="E142" s="7">
        <f>IF(SUMIFS('Total Rushing Yards'!E:E,'Total Rushing Yards'!A:A,'Skill Pos Compiled'!A142)=0,SUMIFS('2022 Skill Pos Stats'!M:M,'2022 Skill Pos Stats'!A:A,'Skill Pos Compiled'!A142),SUMIFS('Total Rushing Yards'!E:E,'Total Rushing Yards'!A:A,'Skill Pos Compiled'!A142))</f>
        <v>674.5</v>
      </c>
      <c r="F142" s="7">
        <f>IF(SUMIFS('Total Rushing Touchdowns'!B:B,'Total Rushing Touchdowns'!A:A,'Skill Pos Compiled'!A142)=0,SUMIFS('2022 Skill Pos Stats'!N:N,'2022 Skill Pos Stats'!A:A,'Skill Pos Compiled'!A142),SUMIFS('Total Rushing Touchdowns'!B:B,'Total Rushing Touchdowns'!A:A,'Skill Pos Compiled'!A142))</f>
        <v>4.5</v>
      </c>
      <c r="G142" s="7">
        <f>IF(SUMIFS('Total Receptions'!B:B,'Total Receptions'!A:A,'Skill Pos Compiled'!A142)=0,SUMIFS('2022 Skill Pos Stats'!O:O,'2022 Skill Pos Stats'!A:A,'Skill Pos Compiled'!A142),SUMIFS('Total Receptions'!B:B,'Total Receptions'!A:A,'Skill Pos Compiled'!A142))</f>
        <v>53.125</v>
      </c>
      <c r="H142" s="7">
        <f>IF(SUMIFS('Total Receiving Yards'!E:E,'Total Receiving Yards'!A:A,'Skill Pos Compiled'!A142)=0,SUMIFS('2022 Skill Pos Stats'!P:P,'2022 Skill Pos Stats'!A:A,'Skill Pos Compiled'!A142),SUMIFS('Total Receiving Yards'!E:E,'Total Receiving Yards'!A:A,'Skill Pos Compiled'!A142))</f>
        <v>308.125</v>
      </c>
      <c r="I142" s="7">
        <f>IF(SUMIFS('Total Receiving Touchdowns'!E:E,'Total Receiving Touchdowns'!A:A,'Skill Pos Compiled'!A142)=0,SUMIFS('2022 Skill Pos Stats'!Q:Q,'2022 Skill Pos Stats'!A:A,'Skill Pos Compiled'!A142),SUMIFS('Total Receiving Touchdowns'!E:E,'Total Receiving Touchdowns'!A:A,'Skill Pos Compiled'!A142))</f>
        <v>2.125</v>
      </c>
      <c r="J142" s="5">
        <f>_xlfn.XLOOKUP(E$1,Pt_System[Stat],Pt_System[Pts])*E142</f>
        <v>67.45</v>
      </c>
      <c r="K142" s="5">
        <f>_xlfn.XLOOKUP(F$1,Pt_System[Stat],Pt_System[Pts])*F142</f>
        <v>27</v>
      </c>
      <c r="L142" s="5">
        <f>_xlfn.XLOOKUP(G$1,Pt_System[Stat],Pt_System[Pts])*G142</f>
        <v>53.125</v>
      </c>
      <c r="M142" s="5">
        <f>_xlfn.XLOOKUP(H$1,Pt_System[Stat],Pt_System[Pts])*H142</f>
        <v>30.8125</v>
      </c>
      <c r="N142" s="5">
        <f>_xlfn.XLOOKUP(I$1,Pt_System[Stat],Pt_System[Pts])*I142</f>
        <v>12.75</v>
      </c>
      <c r="O142" t="str">
        <f>IF(COUNTIFS('Total Rushing Yards'!A:A,'Skill Pos Compiled'!$A142)=1,"Vegas Odds","2022 Stats / Prediction")</f>
        <v>Vegas Odds</v>
      </c>
      <c r="P142" t="str">
        <f>IF(COUNTIFS('Total Rushing Touchdowns'!A:A,'Skill Pos Compiled'!$A142)=1,"Vegas Odds","2022 Stats / Prediction")</f>
        <v>Vegas Odds</v>
      </c>
      <c r="Q142" t="str">
        <f>IF(COUNTIFS('Total Receptions'!A:A,'Skill Pos Compiled'!$A142)=1,"Vegas Odds","2022 Stats / Prediction")</f>
        <v>2022 Stats / Prediction</v>
      </c>
      <c r="R142" t="str">
        <f>IF(COUNTIFS('Total Receiving Yards'!A:A,'Skill Pos Compiled'!$A142)=1,"Vegas Odds","2022 Stats / Prediction")</f>
        <v>2022 Stats / Prediction</v>
      </c>
      <c r="S142" t="str">
        <f>IF(COUNTIFS('Total Receiving Touchdowns'!A:A,'Skill Pos Compiled'!$A142)=1,"Vegas Odds","2022 Stats / Prediction")</f>
        <v>2022 Stats / Prediction</v>
      </c>
      <c r="T142" s="10" t="str">
        <f t="shared" si="10"/>
        <v>Unpredictable</v>
      </c>
    </row>
    <row r="143" spans="1:20" x14ac:dyDescent="0.25">
      <c r="A143" t="s">
        <v>295</v>
      </c>
      <c r="B143" t="str">
        <f>_xlfn.XLOOKUP(A143,ADP!A:A,ADP!B:B)</f>
        <v>RB</v>
      </c>
      <c r="C143" s="9">
        <f t="shared" si="8"/>
        <v>126.80000000000001</v>
      </c>
      <c r="D143" s="9">
        <f t="shared" si="9"/>
        <v>678</v>
      </c>
      <c r="E143" s="7">
        <f>IF(SUMIFS('Total Rushing Yards'!E:E,'Total Rushing Yards'!A:A,'Skill Pos Compiled'!A143)=0,SUMIFS('2022 Skill Pos Stats'!M:M,'2022 Skill Pos Stats'!A:A,'Skill Pos Compiled'!A143),SUMIFS('Total Rushing Yards'!E:E,'Total Rushing Yards'!A:A,'Skill Pos Compiled'!A143))</f>
        <v>468</v>
      </c>
      <c r="F143" s="7">
        <f>IF(SUMIFS('Total Rushing Touchdowns'!B:B,'Total Rushing Touchdowns'!A:A,'Skill Pos Compiled'!A143)=0,SUMIFS('2022 Skill Pos Stats'!N:N,'2022 Skill Pos Stats'!A:A,'Skill Pos Compiled'!A143),SUMIFS('Total Rushing Touchdowns'!B:B,'Total Rushing Touchdowns'!A:A,'Skill Pos Compiled'!A143))</f>
        <v>3</v>
      </c>
      <c r="G143" s="7">
        <f>IF(SUMIFS('Total Receptions'!B:B,'Total Receptions'!A:A,'Skill Pos Compiled'!A143)=0,SUMIFS('2022 Skill Pos Stats'!O:O,'2022 Skill Pos Stats'!A:A,'Skill Pos Compiled'!A143),SUMIFS('Total Receptions'!B:B,'Total Receptions'!A:A,'Skill Pos Compiled'!A143))</f>
        <v>35</v>
      </c>
      <c r="H143" s="7">
        <f>IF(SUMIFS('Total Receiving Yards'!E:E,'Total Receiving Yards'!A:A,'Skill Pos Compiled'!A143)=0,SUMIFS('2022 Skill Pos Stats'!P:P,'2022 Skill Pos Stats'!A:A,'Skill Pos Compiled'!A143),SUMIFS('Total Receiving Yards'!E:E,'Total Receiving Yards'!A:A,'Skill Pos Compiled'!A143))</f>
        <v>210</v>
      </c>
      <c r="I143" s="7">
        <f>IF(SUMIFS('Total Receiving Touchdowns'!E:E,'Total Receiving Touchdowns'!A:A,'Skill Pos Compiled'!A143)=0,SUMIFS('2022 Skill Pos Stats'!Q:Q,'2022 Skill Pos Stats'!A:A,'Skill Pos Compiled'!A143),SUMIFS('Total Receiving Touchdowns'!E:E,'Total Receiving Touchdowns'!A:A,'Skill Pos Compiled'!A143))</f>
        <v>1</v>
      </c>
      <c r="J143" s="5">
        <f>_xlfn.XLOOKUP(E$1,Pt_System[Stat],Pt_System[Pts])*E143</f>
        <v>46.800000000000004</v>
      </c>
      <c r="K143" s="5">
        <f>_xlfn.XLOOKUP(F$1,Pt_System[Stat],Pt_System[Pts])*F143</f>
        <v>18</v>
      </c>
      <c r="L143" s="5">
        <f>_xlfn.XLOOKUP(G$1,Pt_System[Stat],Pt_System[Pts])*G143</f>
        <v>35</v>
      </c>
      <c r="M143" s="5">
        <f>_xlfn.XLOOKUP(H$1,Pt_System[Stat],Pt_System[Pts])*H143</f>
        <v>21</v>
      </c>
      <c r="N143" s="5">
        <f>_xlfn.XLOOKUP(I$1,Pt_System[Stat],Pt_System[Pts])*I143</f>
        <v>6</v>
      </c>
      <c r="O143" t="str">
        <f>IF(COUNTIFS('Total Rushing Yards'!A:A,'Skill Pos Compiled'!$A143)=1,"Vegas Odds","2022 Stats / Prediction")</f>
        <v>2022 Stats / Prediction</v>
      </c>
      <c r="P143" t="str">
        <f>IF(COUNTIFS('Total Rushing Touchdowns'!A:A,'Skill Pos Compiled'!$A143)=1,"Vegas Odds","2022 Stats / Prediction")</f>
        <v>2022 Stats / Prediction</v>
      </c>
      <c r="Q143" t="str">
        <f>IF(COUNTIFS('Total Receptions'!A:A,'Skill Pos Compiled'!$A143)=1,"Vegas Odds","2022 Stats / Prediction")</f>
        <v>2022 Stats / Prediction</v>
      </c>
      <c r="R143" t="str">
        <f>IF(COUNTIFS('Total Receiving Yards'!A:A,'Skill Pos Compiled'!$A143)=1,"Vegas Odds","2022 Stats / Prediction")</f>
        <v>2022 Stats / Prediction</v>
      </c>
      <c r="S143" t="str">
        <f>IF(COUNTIFS('Total Receiving Touchdowns'!A:A,'Skill Pos Compiled'!$A143)=1,"Vegas Odds","2022 Stats / Prediction")</f>
        <v>2022 Stats / Prediction</v>
      </c>
      <c r="T143" s="10" t="str">
        <f t="shared" si="10"/>
        <v>Unpredictable</v>
      </c>
    </row>
    <row r="144" spans="1:20" x14ac:dyDescent="0.25">
      <c r="A144" t="s">
        <v>297</v>
      </c>
      <c r="B144" t="str">
        <f>_xlfn.XLOOKUP(A144,ADP!A:A,ADP!B:B)</f>
        <v>RB</v>
      </c>
      <c r="C144" s="9">
        <f t="shared" si="8"/>
        <v>136</v>
      </c>
      <c r="D144" s="9">
        <f t="shared" si="9"/>
        <v>733.125</v>
      </c>
      <c r="E144" s="7">
        <f>IF(SUMIFS('Total Rushing Yards'!E:E,'Total Rushing Yards'!A:A,'Skill Pos Compiled'!A144)=0,SUMIFS('2022 Skill Pos Stats'!M:M,'2022 Skill Pos Stats'!A:A,'Skill Pos Compiled'!A144),SUMIFS('Total Rushing Yards'!E:E,'Total Rushing Yards'!A:A,'Skill Pos Compiled'!A144))</f>
        <v>427.125</v>
      </c>
      <c r="F144" s="7">
        <f>IF(SUMIFS('Total Rushing Touchdowns'!B:B,'Total Rushing Touchdowns'!A:A,'Skill Pos Compiled'!A144)=0,SUMIFS('2022 Skill Pos Stats'!N:N,'2022 Skill Pos Stats'!A:A,'Skill Pos Compiled'!A144),SUMIFS('Total Rushing Touchdowns'!B:B,'Total Rushing Touchdowns'!A:A,'Skill Pos Compiled'!A144))</f>
        <v>3.1875</v>
      </c>
      <c r="G144" s="7">
        <f>IF(SUMIFS('Total Receptions'!B:B,'Total Receptions'!A:A,'Skill Pos Compiled'!A144)=0,SUMIFS('2022 Skill Pos Stats'!O:O,'2022 Skill Pos Stats'!A:A,'Skill Pos Compiled'!A144),SUMIFS('Total Receptions'!B:B,'Total Receptions'!A:A,'Skill Pos Compiled'!A144))</f>
        <v>43.5625</v>
      </c>
      <c r="H144" s="7">
        <f>IF(SUMIFS('Total Receiving Yards'!E:E,'Total Receiving Yards'!A:A,'Skill Pos Compiled'!A144)=0,SUMIFS('2022 Skill Pos Stats'!P:P,'2022 Skill Pos Stats'!A:A,'Skill Pos Compiled'!A144),SUMIFS('Total Receiving Yards'!E:E,'Total Receiving Yards'!A:A,'Skill Pos Compiled'!A144))</f>
        <v>306</v>
      </c>
      <c r="I144" s="7">
        <f>IF(SUMIFS('Total Receiving Touchdowns'!E:E,'Total Receiving Touchdowns'!A:A,'Skill Pos Compiled'!A144)=0,SUMIFS('2022 Skill Pos Stats'!Q:Q,'2022 Skill Pos Stats'!A:A,'Skill Pos Compiled'!A144),SUMIFS('Total Receiving Touchdowns'!E:E,'Total Receiving Touchdowns'!A:A,'Skill Pos Compiled'!A144))</f>
        <v>0</v>
      </c>
      <c r="J144" s="5">
        <f>_xlfn.XLOOKUP(E$1,Pt_System[Stat],Pt_System[Pts])*E144</f>
        <v>42.712500000000006</v>
      </c>
      <c r="K144" s="5">
        <f>_xlfn.XLOOKUP(F$1,Pt_System[Stat],Pt_System[Pts])*F144</f>
        <v>19.125</v>
      </c>
      <c r="L144" s="5">
        <f>_xlfn.XLOOKUP(G$1,Pt_System[Stat],Pt_System[Pts])*G144</f>
        <v>43.5625</v>
      </c>
      <c r="M144" s="5">
        <f>_xlfn.XLOOKUP(H$1,Pt_System[Stat],Pt_System[Pts])*H144</f>
        <v>30.6</v>
      </c>
      <c r="N144" s="5">
        <f>_xlfn.XLOOKUP(I$1,Pt_System[Stat],Pt_System[Pts])*I144</f>
        <v>0</v>
      </c>
      <c r="O144" t="str">
        <f>IF(COUNTIFS('Total Rushing Yards'!A:A,'Skill Pos Compiled'!$A144)=1,"Vegas Odds","2022 Stats / Prediction")</f>
        <v>2022 Stats / Prediction</v>
      </c>
      <c r="P144" t="str">
        <f>IF(COUNTIFS('Total Rushing Touchdowns'!A:A,'Skill Pos Compiled'!$A144)=1,"Vegas Odds","2022 Stats / Prediction")</f>
        <v>2022 Stats / Prediction</v>
      </c>
      <c r="Q144" t="str">
        <f>IF(COUNTIFS('Total Receptions'!A:A,'Skill Pos Compiled'!$A144)=1,"Vegas Odds","2022 Stats / Prediction")</f>
        <v>2022 Stats / Prediction</v>
      </c>
      <c r="R144" t="str">
        <f>IF(COUNTIFS('Total Receiving Yards'!A:A,'Skill Pos Compiled'!$A144)=1,"Vegas Odds","2022 Stats / Prediction")</f>
        <v>2022 Stats / Prediction</v>
      </c>
      <c r="S144" t="str">
        <f>IF(COUNTIFS('Total Receiving Touchdowns'!A:A,'Skill Pos Compiled'!$A144)=1,"Vegas Odds","2022 Stats / Prediction")</f>
        <v>2022 Stats / Prediction</v>
      </c>
      <c r="T144" s="10" t="str">
        <f t="shared" si="10"/>
        <v>Unpredictable</v>
      </c>
    </row>
    <row r="145" spans="1:20" x14ac:dyDescent="0.25">
      <c r="A145" t="s">
        <v>131</v>
      </c>
      <c r="B145" t="str">
        <f>_xlfn.XLOOKUP(A145,ADP!A:A,ADP!B:B)</f>
        <v>RB</v>
      </c>
      <c r="C145" s="9">
        <f t="shared" si="8"/>
        <v>136.36250000000001</v>
      </c>
      <c r="D145" s="9">
        <f t="shared" si="9"/>
        <v>866.75</v>
      </c>
      <c r="E145" s="7">
        <f>IF(SUMIFS('Total Rushing Yards'!E:E,'Total Rushing Yards'!A:A,'Skill Pos Compiled'!A145)=0,SUMIFS('2022 Skill Pos Stats'!M:M,'2022 Skill Pos Stats'!A:A,'Skill Pos Compiled'!A145),SUMIFS('Total Rushing Yards'!E:E,'Total Rushing Yards'!A:A,'Skill Pos Compiled'!A145))</f>
        <v>675.5</v>
      </c>
      <c r="F145" s="7">
        <f>IF(SUMIFS('Total Rushing Touchdowns'!B:B,'Total Rushing Touchdowns'!A:A,'Skill Pos Compiled'!A145)=0,SUMIFS('2022 Skill Pos Stats'!N:N,'2022 Skill Pos Stats'!A:A,'Skill Pos Compiled'!A145),SUMIFS('Total Rushing Touchdowns'!B:B,'Total Rushing Touchdowns'!A:A,'Skill Pos Compiled'!A145))</f>
        <v>3.5</v>
      </c>
      <c r="G145" s="7">
        <f>IF(SUMIFS('Total Receptions'!B:B,'Total Receptions'!A:A,'Skill Pos Compiled'!A145)=0,SUMIFS('2022 Skill Pos Stats'!O:O,'2022 Skill Pos Stats'!A:A,'Skill Pos Compiled'!A145),SUMIFS('Total Receptions'!B:B,'Total Receptions'!A:A,'Skill Pos Compiled'!A145))</f>
        <v>22.3125</v>
      </c>
      <c r="H145" s="7">
        <f>IF(SUMIFS('Total Receiving Yards'!E:E,'Total Receiving Yards'!A:A,'Skill Pos Compiled'!A145)=0,SUMIFS('2022 Skill Pos Stats'!P:P,'2022 Skill Pos Stats'!A:A,'Skill Pos Compiled'!A145),SUMIFS('Total Receiving Yards'!E:E,'Total Receiving Yards'!A:A,'Skill Pos Compiled'!A145))</f>
        <v>191.25</v>
      </c>
      <c r="I145" s="7">
        <f>IF(SUMIFS('Total Receiving Touchdowns'!E:E,'Total Receiving Touchdowns'!A:A,'Skill Pos Compiled'!A145)=0,SUMIFS('2022 Skill Pos Stats'!Q:Q,'2022 Skill Pos Stats'!A:A,'Skill Pos Compiled'!A145),SUMIFS('Total Receiving Touchdowns'!E:E,'Total Receiving Touchdowns'!A:A,'Skill Pos Compiled'!A145))</f>
        <v>1.0625</v>
      </c>
      <c r="J145" s="5">
        <f>_xlfn.XLOOKUP(E$1,Pt_System[Stat],Pt_System[Pts])*E145</f>
        <v>67.55</v>
      </c>
      <c r="K145" s="5">
        <f>_xlfn.XLOOKUP(F$1,Pt_System[Stat],Pt_System[Pts])*F145</f>
        <v>21</v>
      </c>
      <c r="L145" s="5">
        <f>_xlfn.XLOOKUP(G$1,Pt_System[Stat],Pt_System[Pts])*G145</f>
        <v>22.3125</v>
      </c>
      <c r="M145" s="5">
        <f>_xlfn.XLOOKUP(H$1,Pt_System[Stat],Pt_System[Pts])*H145</f>
        <v>19.125</v>
      </c>
      <c r="N145" s="5">
        <f>_xlfn.XLOOKUP(I$1,Pt_System[Stat],Pt_System[Pts])*I145</f>
        <v>6.375</v>
      </c>
      <c r="O145" t="str">
        <f>IF(COUNTIFS('Total Rushing Yards'!A:A,'Skill Pos Compiled'!$A145)=1,"Vegas Odds","2022 Stats / Prediction")</f>
        <v>Vegas Odds</v>
      </c>
      <c r="P145" t="str">
        <f>IF(COUNTIFS('Total Rushing Touchdowns'!A:A,'Skill Pos Compiled'!$A145)=1,"Vegas Odds","2022 Stats / Prediction")</f>
        <v>Vegas Odds</v>
      </c>
      <c r="Q145" t="str">
        <f>IF(COUNTIFS('Total Receptions'!A:A,'Skill Pos Compiled'!$A145)=1,"Vegas Odds","2022 Stats / Prediction")</f>
        <v>2022 Stats / Prediction</v>
      </c>
      <c r="R145" t="str">
        <f>IF(COUNTIFS('Total Receiving Yards'!A:A,'Skill Pos Compiled'!$A145)=1,"Vegas Odds","2022 Stats / Prediction")</f>
        <v>2022 Stats / Prediction</v>
      </c>
      <c r="S145" t="str">
        <f>IF(COUNTIFS('Total Receiving Touchdowns'!A:A,'Skill Pos Compiled'!$A145)=1,"Vegas Odds","2022 Stats / Prediction")</f>
        <v>2022 Stats / Prediction</v>
      </c>
      <c r="T145" s="10" t="str">
        <f t="shared" si="10"/>
        <v>Unpredictable</v>
      </c>
    </row>
    <row r="146" spans="1:20" x14ac:dyDescent="0.25">
      <c r="A146" t="s">
        <v>298</v>
      </c>
      <c r="B146" t="str">
        <f>_xlfn.XLOOKUP(A146,ADP!A:A,ADP!B:B)</f>
        <v>RB</v>
      </c>
      <c r="C146" s="9">
        <f t="shared" si="8"/>
        <v>167.10999999999999</v>
      </c>
      <c r="D146" s="9">
        <f t="shared" si="9"/>
        <v>770.09999999999991</v>
      </c>
      <c r="E146" s="7">
        <f>IF(SUMIFS('Total Rushing Yards'!E:E,'Total Rushing Yards'!A:A,'Skill Pos Compiled'!A146)=0,SUMIFS('2022 Skill Pos Stats'!M:M,'2022 Skill Pos Stats'!A:A,'Skill Pos Compiled'!A146),SUMIFS('Total Rushing Yards'!E:E,'Total Rushing Yards'!A:A,'Skill Pos Compiled'!A146))</f>
        <v>513.4</v>
      </c>
      <c r="F146" s="7">
        <f>IF(SUMIFS('Total Rushing Touchdowns'!B:B,'Total Rushing Touchdowns'!A:A,'Skill Pos Compiled'!A146)=0,SUMIFS('2022 Skill Pos Stats'!N:N,'2022 Skill Pos Stats'!A:A,'Skill Pos Compiled'!A146),SUMIFS('Total Rushing Touchdowns'!B:B,'Total Rushing Touchdowns'!A:A,'Skill Pos Compiled'!A146))</f>
        <v>5.0999999999999996</v>
      </c>
      <c r="G146" s="7">
        <f>IF(SUMIFS('Total Receptions'!B:B,'Total Receptions'!A:A,'Skill Pos Compiled'!A146)=0,SUMIFS('2022 Skill Pos Stats'!O:O,'2022 Skill Pos Stats'!A:A,'Skill Pos Compiled'!A146),SUMIFS('Total Receptions'!B:B,'Total Receptions'!A:A,'Skill Pos Compiled'!A146))</f>
        <v>28.9</v>
      </c>
      <c r="H146" s="7">
        <f>IF(SUMIFS('Total Receiving Yards'!E:E,'Total Receiving Yards'!A:A,'Skill Pos Compiled'!A146)=0,SUMIFS('2022 Skill Pos Stats'!P:P,'2022 Skill Pos Stats'!A:A,'Skill Pos Compiled'!A146),SUMIFS('Total Receiving Yards'!E:E,'Total Receiving Yards'!A:A,'Skill Pos Compiled'!A146))</f>
        <v>256.7</v>
      </c>
      <c r="I146" s="7">
        <f>IF(SUMIFS('Total Receiving Touchdowns'!E:E,'Total Receiving Touchdowns'!A:A,'Skill Pos Compiled'!A146)=0,SUMIFS('2022 Skill Pos Stats'!Q:Q,'2022 Skill Pos Stats'!A:A,'Skill Pos Compiled'!A146),SUMIFS('Total Receiving Touchdowns'!E:E,'Total Receiving Touchdowns'!A:A,'Skill Pos Compiled'!A146))</f>
        <v>5.0999999999999996</v>
      </c>
      <c r="J146" s="5">
        <f>_xlfn.XLOOKUP(E$1,Pt_System[Stat],Pt_System[Pts])*E146</f>
        <v>51.34</v>
      </c>
      <c r="K146" s="5">
        <f>_xlfn.XLOOKUP(F$1,Pt_System[Stat],Pt_System[Pts])*F146</f>
        <v>30.599999999999998</v>
      </c>
      <c r="L146" s="5">
        <f>_xlfn.XLOOKUP(G$1,Pt_System[Stat],Pt_System[Pts])*G146</f>
        <v>28.9</v>
      </c>
      <c r="M146" s="5">
        <f>_xlfn.XLOOKUP(H$1,Pt_System[Stat],Pt_System[Pts])*H146</f>
        <v>25.67</v>
      </c>
      <c r="N146" s="5">
        <f>_xlfn.XLOOKUP(I$1,Pt_System[Stat],Pt_System[Pts])*I146</f>
        <v>30.599999999999998</v>
      </c>
      <c r="O146" t="str">
        <f>IF(COUNTIFS('Total Rushing Yards'!A:A,'Skill Pos Compiled'!$A146)=1,"Vegas Odds","2022 Stats / Prediction")</f>
        <v>2022 Stats / Prediction</v>
      </c>
      <c r="P146" t="str">
        <f>IF(COUNTIFS('Total Rushing Touchdowns'!A:A,'Skill Pos Compiled'!$A146)=1,"Vegas Odds","2022 Stats / Prediction")</f>
        <v>2022 Stats / Prediction</v>
      </c>
      <c r="Q146" t="str">
        <f>IF(COUNTIFS('Total Receptions'!A:A,'Skill Pos Compiled'!$A146)=1,"Vegas Odds","2022 Stats / Prediction")</f>
        <v>2022 Stats / Prediction</v>
      </c>
      <c r="R146" t="str">
        <f>IF(COUNTIFS('Total Receiving Yards'!A:A,'Skill Pos Compiled'!$A146)=1,"Vegas Odds","2022 Stats / Prediction")</f>
        <v>2022 Stats / Prediction</v>
      </c>
      <c r="S146" t="str">
        <f>IF(COUNTIFS('Total Receiving Touchdowns'!A:A,'Skill Pos Compiled'!$A146)=1,"Vegas Odds","2022 Stats / Prediction")</f>
        <v>2022 Stats / Prediction</v>
      </c>
      <c r="T146" s="10" t="str">
        <f t="shared" si="10"/>
        <v>Unpredictable</v>
      </c>
    </row>
    <row r="147" spans="1:20" x14ac:dyDescent="0.25">
      <c r="A147" t="s">
        <v>299</v>
      </c>
      <c r="B147" t="str">
        <f>_xlfn.XLOOKUP(A147,ADP!A:A,ADP!B:B)</f>
        <v>RB</v>
      </c>
      <c r="C147" s="9">
        <f t="shared" si="8"/>
        <v>136.92727272727274</v>
      </c>
      <c r="D147" s="9">
        <f t="shared" si="9"/>
        <v>735.63636363636351</v>
      </c>
      <c r="E147" s="7">
        <f>IF(SUMIFS('Total Rushing Yards'!E:E,'Total Rushing Yards'!A:A,'Skill Pos Compiled'!A147)=0,SUMIFS('2022 Skill Pos Stats'!M:M,'2022 Skill Pos Stats'!A:A,'Skill Pos Compiled'!A147),SUMIFS('Total Rushing Yards'!E:E,'Total Rushing Yards'!A:A,'Skill Pos Compiled'!A147))</f>
        <v>656.81818181818176</v>
      </c>
      <c r="F147" s="7">
        <f>IF(SUMIFS('Total Rushing Touchdowns'!B:B,'Total Rushing Touchdowns'!A:A,'Skill Pos Compiled'!A147)=0,SUMIFS('2022 Skill Pos Stats'!N:N,'2022 Skill Pos Stats'!A:A,'Skill Pos Compiled'!A147),SUMIFS('Total Rushing Touchdowns'!B:B,'Total Rushing Touchdowns'!A:A,'Skill Pos Compiled'!A147))</f>
        <v>4.6363636363636367</v>
      </c>
      <c r="G147" s="7">
        <f>IF(SUMIFS('Total Receptions'!B:B,'Total Receptions'!A:A,'Skill Pos Compiled'!A147)=0,SUMIFS('2022 Skill Pos Stats'!O:O,'2022 Skill Pos Stats'!A:A,'Skill Pos Compiled'!A147),SUMIFS('Total Receptions'!B:B,'Total Receptions'!A:A,'Skill Pos Compiled'!A147))</f>
        <v>17</v>
      </c>
      <c r="H147" s="7">
        <f>IF(SUMIFS('Total Receiving Yards'!E:E,'Total Receiving Yards'!A:A,'Skill Pos Compiled'!A147)=0,SUMIFS('2022 Skill Pos Stats'!P:P,'2022 Skill Pos Stats'!A:A,'Skill Pos Compiled'!A147),SUMIFS('Total Receiving Yards'!E:E,'Total Receiving Yards'!A:A,'Skill Pos Compiled'!A147))</f>
        <v>78.818181818181813</v>
      </c>
      <c r="I147" s="7">
        <f>IF(SUMIFS('Total Receiving Touchdowns'!E:E,'Total Receiving Touchdowns'!A:A,'Skill Pos Compiled'!A147)=0,SUMIFS('2022 Skill Pos Stats'!Q:Q,'2022 Skill Pos Stats'!A:A,'Skill Pos Compiled'!A147),SUMIFS('Total Receiving Touchdowns'!E:E,'Total Receiving Touchdowns'!A:A,'Skill Pos Compiled'!A147))</f>
        <v>3.0909090909090908</v>
      </c>
      <c r="J147" s="5">
        <f>_xlfn.XLOOKUP(E$1,Pt_System[Stat],Pt_System[Pts])*E147</f>
        <v>65.681818181818173</v>
      </c>
      <c r="K147" s="5">
        <f>_xlfn.XLOOKUP(F$1,Pt_System[Stat],Pt_System[Pts])*F147</f>
        <v>27.81818181818182</v>
      </c>
      <c r="L147" s="5">
        <f>_xlfn.XLOOKUP(G$1,Pt_System[Stat],Pt_System[Pts])*G147</f>
        <v>17</v>
      </c>
      <c r="M147" s="5">
        <f>_xlfn.XLOOKUP(H$1,Pt_System[Stat],Pt_System[Pts])*H147</f>
        <v>7.8818181818181818</v>
      </c>
      <c r="N147" s="5">
        <f>_xlfn.XLOOKUP(I$1,Pt_System[Stat],Pt_System[Pts])*I147</f>
        <v>18.545454545454547</v>
      </c>
      <c r="O147" t="str">
        <f>IF(COUNTIFS('Total Rushing Yards'!A:A,'Skill Pos Compiled'!$A147)=1,"Vegas Odds","2022 Stats / Prediction")</f>
        <v>2022 Stats / Prediction</v>
      </c>
      <c r="P147" t="str">
        <f>IF(COUNTIFS('Total Rushing Touchdowns'!A:A,'Skill Pos Compiled'!$A147)=1,"Vegas Odds","2022 Stats / Prediction")</f>
        <v>2022 Stats / Prediction</v>
      </c>
      <c r="Q147" t="str">
        <f>IF(COUNTIFS('Total Receptions'!A:A,'Skill Pos Compiled'!$A147)=1,"Vegas Odds","2022 Stats / Prediction")</f>
        <v>2022 Stats / Prediction</v>
      </c>
      <c r="R147" t="str">
        <f>IF(COUNTIFS('Total Receiving Yards'!A:A,'Skill Pos Compiled'!$A147)=1,"Vegas Odds","2022 Stats / Prediction")</f>
        <v>2022 Stats / Prediction</v>
      </c>
      <c r="S147" t="str">
        <f>IF(COUNTIFS('Total Receiving Touchdowns'!A:A,'Skill Pos Compiled'!$A147)=1,"Vegas Odds","2022 Stats / Prediction")</f>
        <v>2022 Stats / Prediction</v>
      </c>
      <c r="T147" s="10" t="str">
        <f t="shared" si="10"/>
        <v>Unpredictable</v>
      </c>
    </row>
    <row r="148" spans="1:20" x14ac:dyDescent="0.25">
      <c r="A148" t="s">
        <v>300</v>
      </c>
      <c r="B148" t="str">
        <f>_xlfn.XLOOKUP(A148,ADP!A:A,ADP!B:B)</f>
        <v>RB</v>
      </c>
      <c r="C148" s="9">
        <f t="shared" si="8"/>
        <v>117.3</v>
      </c>
      <c r="D148" s="9">
        <f t="shared" si="9"/>
        <v>833</v>
      </c>
      <c r="E148" s="7">
        <f>IF(SUMIFS('Total Rushing Yards'!E:E,'Total Rushing Yards'!A:A,'Skill Pos Compiled'!A148)=0,SUMIFS('2022 Skill Pos Stats'!M:M,'2022 Skill Pos Stats'!A:A,'Skill Pos Compiled'!A148),SUMIFS('Total Rushing Yards'!E:E,'Total Rushing Yards'!A:A,'Skill Pos Compiled'!A148))</f>
        <v>609.38461538461536</v>
      </c>
      <c r="F148" s="7">
        <f>IF(SUMIFS('Total Rushing Touchdowns'!B:B,'Total Rushing Touchdowns'!A:A,'Skill Pos Compiled'!A148)=0,SUMIFS('2022 Skill Pos Stats'!N:N,'2022 Skill Pos Stats'!A:A,'Skill Pos Compiled'!A148),SUMIFS('Total Rushing Touchdowns'!B:B,'Total Rushing Touchdowns'!A:A,'Skill Pos Compiled'!A148))</f>
        <v>2.6153846153846154</v>
      </c>
      <c r="G148" s="7">
        <f>IF(SUMIFS('Total Receptions'!B:B,'Total Receptions'!A:A,'Skill Pos Compiled'!A148)=0,SUMIFS('2022 Skill Pos Stats'!O:O,'2022 Skill Pos Stats'!A:A,'Skill Pos Compiled'!A148),SUMIFS('Total Receptions'!B:B,'Total Receptions'!A:A,'Skill Pos Compiled'!A148))</f>
        <v>18.307692307692307</v>
      </c>
      <c r="H148" s="7">
        <f>IF(SUMIFS('Total Receiving Yards'!E:E,'Total Receiving Yards'!A:A,'Skill Pos Compiled'!A148)=0,SUMIFS('2022 Skill Pos Stats'!P:P,'2022 Skill Pos Stats'!A:A,'Skill Pos Compiled'!A148),SUMIFS('Total Receiving Yards'!E:E,'Total Receiving Yards'!A:A,'Skill Pos Compiled'!A148))</f>
        <v>223.61538461538461</v>
      </c>
      <c r="I148" s="7">
        <f>IF(SUMIFS('Total Receiving Touchdowns'!E:E,'Total Receiving Touchdowns'!A:A,'Skill Pos Compiled'!A148)=0,SUMIFS('2022 Skill Pos Stats'!Q:Q,'2022 Skill Pos Stats'!A:A,'Skill Pos Compiled'!A148),SUMIFS('Total Receiving Touchdowns'!E:E,'Total Receiving Touchdowns'!A:A,'Skill Pos Compiled'!A148))</f>
        <v>0</v>
      </c>
      <c r="J148" s="5">
        <f>_xlfn.XLOOKUP(E$1,Pt_System[Stat],Pt_System[Pts])*E148</f>
        <v>60.938461538461539</v>
      </c>
      <c r="K148" s="5">
        <f>_xlfn.XLOOKUP(F$1,Pt_System[Stat],Pt_System[Pts])*F148</f>
        <v>15.692307692307693</v>
      </c>
      <c r="L148" s="5">
        <f>_xlfn.XLOOKUP(G$1,Pt_System[Stat],Pt_System[Pts])*G148</f>
        <v>18.307692307692307</v>
      </c>
      <c r="M148" s="5">
        <f>_xlfn.XLOOKUP(H$1,Pt_System[Stat],Pt_System[Pts])*H148</f>
        <v>22.361538461538462</v>
      </c>
      <c r="N148" s="5">
        <f>_xlfn.XLOOKUP(I$1,Pt_System[Stat],Pt_System[Pts])*I148</f>
        <v>0</v>
      </c>
      <c r="O148" t="str">
        <f>IF(COUNTIFS('Total Rushing Yards'!A:A,'Skill Pos Compiled'!$A148)=1,"Vegas Odds","2022 Stats / Prediction")</f>
        <v>2022 Stats / Prediction</v>
      </c>
      <c r="P148" t="str">
        <f>IF(COUNTIFS('Total Rushing Touchdowns'!A:A,'Skill Pos Compiled'!$A148)=1,"Vegas Odds","2022 Stats / Prediction")</f>
        <v>2022 Stats / Prediction</v>
      </c>
      <c r="Q148" t="str">
        <f>IF(COUNTIFS('Total Receptions'!A:A,'Skill Pos Compiled'!$A148)=1,"Vegas Odds","2022 Stats / Prediction")</f>
        <v>2022 Stats / Prediction</v>
      </c>
      <c r="R148" t="str">
        <f>IF(COUNTIFS('Total Receiving Yards'!A:A,'Skill Pos Compiled'!$A148)=1,"Vegas Odds","2022 Stats / Prediction")</f>
        <v>2022 Stats / Prediction</v>
      </c>
      <c r="S148" t="str">
        <f>IF(COUNTIFS('Total Receiving Touchdowns'!A:A,'Skill Pos Compiled'!$A148)=1,"Vegas Odds","2022 Stats / Prediction")</f>
        <v>2022 Stats / Prediction</v>
      </c>
      <c r="T148" s="10" t="str">
        <f t="shared" si="10"/>
        <v>Unpredictable</v>
      </c>
    </row>
    <row r="149" spans="1:20" x14ac:dyDescent="0.25">
      <c r="A149" t="s">
        <v>307</v>
      </c>
      <c r="B149" t="str">
        <f>_xlfn.XLOOKUP(A149,ADP!A:A,ADP!B:B)</f>
        <v>RB</v>
      </c>
      <c r="C149" s="9">
        <f t="shared" si="8"/>
        <v>148.1</v>
      </c>
      <c r="D149" s="9">
        <f t="shared" si="9"/>
        <v>814.75</v>
      </c>
      <c r="E149" s="7">
        <f>IF(SUMIFS('Total Rushing Yards'!E:E,'Total Rushing Yards'!A:A,'Skill Pos Compiled'!A149)=0,SUMIFS('2022 Skill Pos Stats'!M:M,'2022 Skill Pos Stats'!A:A,'Skill Pos Compiled'!A149),SUMIFS('Total Rushing Yards'!E:E,'Total Rushing Yards'!A:A,'Skill Pos Compiled'!A149))</f>
        <v>725.5</v>
      </c>
      <c r="F149" s="7">
        <f>IF(SUMIFS('Total Rushing Touchdowns'!B:B,'Total Rushing Touchdowns'!A:A,'Skill Pos Compiled'!A149)=0,SUMIFS('2022 Skill Pos Stats'!N:N,'2022 Skill Pos Stats'!A:A,'Skill Pos Compiled'!A149),SUMIFS('Total Rushing Touchdowns'!B:B,'Total Rushing Touchdowns'!A:A,'Skill Pos Compiled'!A149))</f>
        <v>6.5</v>
      </c>
      <c r="G149" s="7">
        <f>IF(SUMIFS('Total Receptions'!B:B,'Total Receptions'!A:A,'Skill Pos Compiled'!A149)=0,SUMIFS('2022 Skill Pos Stats'!O:O,'2022 Skill Pos Stats'!A:A,'Skill Pos Compiled'!A149),SUMIFS('Total Receptions'!B:B,'Total Receptions'!A:A,'Skill Pos Compiled'!A149))</f>
        <v>14.875</v>
      </c>
      <c r="H149" s="7">
        <f>IF(SUMIFS('Total Receiving Yards'!E:E,'Total Receiving Yards'!A:A,'Skill Pos Compiled'!A149)=0,SUMIFS('2022 Skill Pos Stats'!P:P,'2022 Skill Pos Stats'!A:A,'Skill Pos Compiled'!A149),SUMIFS('Total Receiving Yards'!E:E,'Total Receiving Yards'!A:A,'Skill Pos Compiled'!A149))</f>
        <v>89.25</v>
      </c>
      <c r="I149" s="7">
        <f>IF(SUMIFS('Total Receiving Touchdowns'!E:E,'Total Receiving Touchdowns'!A:A,'Skill Pos Compiled'!A149)=0,SUMIFS('2022 Skill Pos Stats'!Q:Q,'2022 Skill Pos Stats'!A:A,'Skill Pos Compiled'!A149),SUMIFS('Total Receiving Touchdowns'!E:E,'Total Receiving Touchdowns'!A:A,'Skill Pos Compiled'!A149))</f>
        <v>2.125</v>
      </c>
      <c r="J149" s="5">
        <f>_xlfn.XLOOKUP(E$1,Pt_System[Stat],Pt_System[Pts])*E149</f>
        <v>72.55</v>
      </c>
      <c r="K149" s="5">
        <f>_xlfn.XLOOKUP(F$1,Pt_System[Stat],Pt_System[Pts])*F149</f>
        <v>39</v>
      </c>
      <c r="L149" s="5">
        <f>_xlfn.XLOOKUP(G$1,Pt_System[Stat],Pt_System[Pts])*G149</f>
        <v>14.875</v>
      </c>
      <c r="M149" s="5">
        <f>_xlfn.XLOOKUP(H$1,Pt_System[Stat],Pt_System[Pts])*H149</f>
        <v>8.9250000000000007</v>
      </c>
      <c r="N149" s="5">
        <f>_xlfn.XLOOKUP(I$1,Pt_System[Stat],Pt_System[Pts])*I149</f>
        <v>12.75</v>
      </c>
      <c r="O149" t="str">
        <f>IF(COUNTIFS('Total Rushing Yards'!A:A,'Skill Pos Compiled'!$A149)=1,"Vegas Odds","2022 Stats / Prediction")</f>
        <v>Vegas Odds</v>
      </c>
      <c r="P149" t="str">
        <f>IF(COUNTIFS('Total Rushing Touchdowns'!A:A,'Skill Pos Compiled'!$A149)=1,"Vegas Odds","2022 Stats / Prediction")</f>
        <v>Vegas Odds</v>
      </c>
      <c r="Q149" t="str">
        <f>IF(COUNTIFS('Total Receptions'!A:A,'Skill Pos Compiled'!$A149)=1,"Vegas Odds","2022 Stats / Prediction")</f>
        <v>2022 Stats / Prediction</v>
      </c>
      <c r="R149" t="str">
        <f>IF(COUNTIFS('Total Receiving Yards'!A:A,'Skill Pos Compiled'!$A149)=1,"Vegas Odds","2022 Stats / Prediction")</f>
        <v>2022 Stats / Prediction</v>
      </c>
      <c r="S149" t="str">
        <f>IF(COUNTIFS('Total Receiving Touchdowns'!A:A,'Skill Pos Compiled'!$A149)=1,"Vegas Odds","2022 Stats / Prediction")</f>
        <v>2022 Stats / Prediction</v>
      </c>
      <c r="T149" s="10" t="str">
        <f t="shared" si="10"/>
        <v>Unpredictable</v>
      </c>
    </row>
    <row r="150" spans="1:20" x14ac:dyDescent="0.25">
      <c r="A150" t="s">
        <v>130</v>
      </c>
      <c r="B150" t="str">
        <f>_xlfn.XLOOKUP(A150,ADP!A:A,ADP!B:B)</f>
        <v>RB</v>
      </c>
      <c r="C150" s="9">
        <f t="shared" si="8"/>
        <v>121.6318181818182</v>
      </c>
      <c r="D150" s="9">
        <f t="shared" si="9"/>
        <v>675.40909090909088</v>
      </c>
      <c r="E150" s="7">
        <f>IF(SUMIFS('Total Rushing Yards'!E:E,'Total Rushing Yards'!A:A,'Skill Pos Compiled'!A150)=0,SUMIFS('2022 Skill Pos Stats'!M:M,'2022 Skill Pos Stats'!A:A,'Skill Pos Compiled'!A150),SUMIFS('Total Rushing Yards'!E:E,'Total Rushing Yards'!A:A,'Skill Pos Compiled'!A150))</f>
        <v>525.5</v>
      </c>
      <c r="F150" s="7">
        <f>IF(SUMIFS('Total Rushing Touchdowns'!B:B,'Total Rushing Touchdowns'!A:A,'Skill Pos Compiled'!A150)=0,SUMIFS('2022 Skill Pos Stats'!N:N,'2022 Skill Pos Stats'!A:A,'Skill Pos Compiled'!A150),SUMIFS('Total Rushing Touchdowns'!B:B,'Total Rushing Touchdowns'!A:A,'Skill Pos Compiled'!A150))</f>
        <v>4.6363636363636367</v>
      </c>
      <c r="G150" s="7">
        <f>IF(SUMIFS('Total Receptions'!B:B,'Total Receptions'!A:A,'Skill Pos Compiled'!A150)=0,SUMIFS('2022 Skill Pos Stats'!O:O,'2022 Skill Pos Stats'!A:A,'Skill Pos Compiled'!A150),SUMIFS('Total Receptions'!B:B,'Total Receptions'!A:A,'Skill Pos Compiled'!A150))</f>
        <v>26.272727272727273</v>
      </c>
      <c r="H150" s="7">
        <f>IF(SUMIFS('Total Receiving Yards'!E:E,'Total Receiving Yards'!A:A,'Skill Pos Compiled'!A150)=0,SUMIFS('2022 Skill Pos Stats'!P:P,'2022 Skill Pos Stats'!A:A,'Skill Pos Compiled'!A150),SUMIFS('Total Receiving Yards'!E:E,'Total Receiving Yards'!A:A,'Skill Pos Compiled'!A150))</f>
        <v>149.90909090909091</v>
      </c>
      <c r="I150" s="7">
        <f>IF(SUMIFS('Total Receiving Touchdowns'!E:E,'Total Receiving Touchdowns'!A:A,'Skill Pos Compiled'!A150)=0,SUMIFS('2022 Skill Pos Stats'!Q:Q,'2022 Skill Pos Stats'!A:A,'Skill Pos Compiled'!A150),SUMIFS('Total Receiving Touchdowns'!E:E,'Total Receiving Touchdowns'!A:A,'Skill Pos Compiled'!A150))</f>
        <v>0</v>
      </c>
      <c r="J150" s="5">
        <f>_xlfn.XLOOKUP(E$1,Pt_System[Stat],Pt_System[Pts])*E150</f>
        <v>52.550000000000004</v>
      </c>
      <c r="K150" s="5">
        <f>_xlfn.XLOOKUP(F$1,Pt_System[Stat],Pt_System[Pts])*F150</f>
        <v>27.81818181818182</v>
      </c>
      <c r="L150" s="5">
        <f>_xlfn.XLOOKUP(G$1,Pt_System[Stat],Pt_System[Pts])*G150</f>
        <v>26.272727272727273</v>
      </c>
      <c r="M150" s="5">
        <f>_xlfn.XLOOKUP(H$1,Pt_System[Stat],Pt_System[Pts])*H150</f>
        <v>14.990909090909092</v>
      </c>
      <c r="N150" s="5">
        <f>_xlfn.XLOOKUP(I$1,Pt_System[Stat],Pt_System[Pts])*I150</f>
        <v>0</v>
      </c>
      <c r="O150" t="str">
        <f>IF(COUNTIFS('Total Rushing Yards'!A:A,'Skill Pos Compiled'!$A150)=1,"Vegas Odds","2022 Stats / Prediction")</f>
        <v>Vegas Odds</v>
      </c>
      <c r="P150" t="str">
        <f>IF(COUNTIFS('Total Rushing Touchdowns'!A:A,'Skill Pos Compiled'!$A150)=1,"Vegas Odds","2022 Stats / Prediction")</f>
        <v>2022 Stats / Prediction</v>
      </c>
      <c r="Q150" t="str">
        <f>IF(COUNTIFS('Total Receptions'!A:A,'Skill Pos Compiled'!$A150)=1,"Vegas Odds","2022 Stats / Prediction")</f>
        <v>2022 Stats / Prediction</v>
      </c>
      <c r="R150" t="str">
        <f>IF(COUNTIFS('Total Receiving Yards'!A:A,'Skill Pos Compiled'!$A150)=1,"Vegas Odds","2022 Stats / Prediction")</f>
        <v>2022 Stats / Prediction</v>
      </c>
      <c r="S150" t="str">
        <f>IF(COUNTIFS('Total Receiving Touchdowns'!A:A,'Skill Pos Compiled'!$A150)=1,"Vegas Odds","2022 Stats / Prediction")</f>
        <v>2022 Stats / Prediction</v>
      </c>
      <c r="T150" s="10" t="str">
        <f t="shared" si="10"/>
        <v>Unpredictable</v>
      </c>
    </row>
    <row r="151" spans="1:20" x14ac:dyDescent="0.25">
      <c r="A151" t="s">
        <v>116</v>
      </c>
      <c r="B151" t="str">
        <f>_xlfn.XLOOKUP(A151,ADP!A:A,ADP!B:B)</f>
        <v>WR</v>
      </c>
      <c r="C151" s="9">
        <f t="shared" si="8"/>
        <v>110.30000000000001</v>
      </c>
      <c r="D151" s="9">
        <f t="shared" si="9"/>
        <v>550.5</v>
      </c>
      <c r="E151" s="7">
        <f>IF(SUMIFS('Total Rushing Yards'!E:E,'Total Rushing Yards'!A:A,'Skill Pos Compiled'!A151)=0,SUMIFS('2022 Skill Pos Stats'!M:M,'2022 Skill Pos Stats'!A:A,'Skill Pos Compiled'!A151),SUMIFS('Total Rushing Yards'!E:E,'Total Rushing Yards'!A:A,'Skill Pos Compiled'!A151))</f>
        <v>0</v>
      </c>
      <c r="F151" s="7">
        <f>IF(SUMIFS('Total Rushing Touchdowns'!B:B,'Total Rushing Touchdowns'!A:A,'Skill Pos Compiled'!A151)=0,SUMIFS('2022 Skill Pos Stats'!N:N,'2022 Skill Pos Stats'!A:A,'Skill Pos Compiled'!A151),SUMIFS('Total Rushing Touchdowns'!B:B,'Total Rushing Touchdowns'!A:A,'Skill Pos Compiled'!A151))</f>
        <v>0</v>
      </c>
      <c r="G151" s="7">
        <f>IF(SUMIFS('Total Receptions'!B:B,'Total Receptions'!A:A,'Skill Pos Compiled'!A151)=0,SUMIFS('2022 Skill Pos Stats'!O:O,'2022 Skill Pos Stats'!A:A,'Skill Pos Compiled'!A151),SUMIFS('Total Receptions'!B:B,'Total Receptions'!A:A,'Skill Pos Compiled'!A151))</f>
        <v>42.5</v>
      </c>
      <c r="H151" s="7">
        <f>IF(SUMIFS('Total Receiving Yards'!E:E,'Total Receiving Yards'!A:A,'Skill Pos Compiled'!A151)=0,SUMIFS('2022 Skill Pos Stats'!P:P,'2022 Skill Pos Stats'!A:A,'Skill Pos Compiled'!A151),SUMIFS('Total Receiving Yards'!E:E,'Total Receiving Yards'!A:A,'Skill Pos Compiled'!A151))</f>
        <v>550.5</v>
      </c>
      <c r="I151" s="7">
        <f>IF(SUMIFS('Total Receiving Touchdowns'!E:E,'Total Receiving Touchdowns'!A:A,'Skill Pos Compiled'!A151)=0,SUMIFS('2022 Skill Pos Stats'!Q:Q,'2022 Skill Pos Stats'!A:A,'Skill Pos Compiled'!A151),SUMIFS('Total Receiving Touchdowns'!E:E,'Total Receiving Touchdowns'!A:A,'Skill Pos Compiled'!A151))</f>
        <v>2.125</v>
      </c>
      <c r="J151" s="5">
        <f>_xlfn.XLOOKUP(E$1,Pt_System[Stat],Pt_System[Pts])*E151</f>
        <v>0</v>
      </c>
      <c r="K151" s="5">
        <f>_xlfn.XLOOKUP(F$1,Pt_System[Stat],Pt_System[Pts])*F151</f>
        <v>0</v>
      </c>
      <c r="L151" s="5">
        <f>_xlfn.XLOOKUP(G$1,Pt_System[Stat],Pt_System[Pts])*G151</f>
        <v>42.5</v>
      </c>
      <c r="M151" s="5">
        <f>_xlfn.XLOOKUP(H$1,Pt_System[Stat],Pt_System[Pts])*H151</f>
        <v>55.050000000000004</v>
      </c>
      <c r="N151" s="5">
        <f>_xlfn.XLOOKUP(I$1,Pt_System[Stat],Pt_System[Pts])*I151</f>
        <v>12.75</v>
      </c>
      <c r="O151" t="str">
        <f>IF(COUNTIFS('Total Rushing Yards'!A:A,'Skill Pos Compiled'!$A151)=1,"Vegas Odds","2022 Stats / Prediction")</f>
        <v>2022 Stats / Prediction</v>
      </c>
      <c r="P151" t="str">
        <f>IF(COUNTIFS('Total Rushing Touchdowns'!A:A,'Skill Pos Compiled'!$A151)=1,"Vegas Odds","2022 Stats / Prediction")</f>
        <v>2022 Stats / Prediction</v>
      </c>
      <c r="Q151" t="str">
        <f>IF(COUNTIFS('Total Receptions'!A:A,'Skill Pos Compiled'!$A151)=1,"Vegas Odds","2022 Stats / Prediction")</f>
        <v>Vegas Odds</v>
      </c>
      <c r="R151" t="str">
        <f>IF(COUNTIFS('Total Receiving Yards'!A:A,'Skill Pos Compiled'!$A151)=1,"Vegas Odds","2022 Stats / Prediction")</f>
        <v>Vegas Odds</v>
      </c>
      <c r="S151" t="str">
        <f>IF(COUNTIFS('Total Receiving Touchdowns'!A:A,'Skill Pos Compiled'!$A151)=1,"Vegas Odds","2022 Stats / Prediction")</f>
        <v>2022 Stats / Prediction</v>
      </c>
      <c r="T151" s="10" t="str">
        <f t="shared" si="10"/>
        <v>Unpredictable</v>
      </c>
    </row>
    <row r="152" spans="1:20" x14ac:dyDescent="0.25">
      <c r="A152" t="s">
        <v>27</v>
      </c>
      <c r="B152" t="str">
        <f>_xlfn.XLOOKUP(A152,ADP!A:A,ADP!B:B)</f>
        <v>WR</v>
      </c>
      <c r="C152" s="9">
        <f t="shared" si="8"/>
        <v>121.75</v>
      </c>
      <c r="D152" s="9">
        <f t="shared" si="9"/>
        <v>602.5</v>
      </c>
      <c r="E152" s="7">
        <f>IF(SUMIFS('Total Rushing Yards'!E:E,'Total Rushing Yards'!A:A,'Skill Pos Compiled'!A152)=0,SUMIFS('2022 Skill Pos Stats'!M:M,'2022 Skill Pos Stats'!A:A,'Skill Pos Compiled'!A152),SUMIFS('Total Rushing Yards'!E:E,'Total Rushing Yards'!A:A,'Skill Pos Compiled'!A152))</f>
        <v>-3</v>
      </c>
      <c r="F152" s="7">
        <f>IF(SUMIFS('Total Rushing Touchdowns'!B:B,'Total Rushing Touchdowns'!A:A,'Skill Pos Compiled'!A152)=0,SUMIFS('2022 Skill Pos Stats'!N:N,'2022 Skill Pos Stats'!A:A,'Skill Pos Compiled'!A152),SUMIFS('Total Rushing Touchdowns'!B:B,'Total Rushing Touchdowns'!A:A,'Skill Pos Compiled'!A152))</f>
        <v>0</v>
      </c>
      <c r="G152" s="7">
        <f>IF(SUMIFS('Total Receptions'!B:B,'Total Receptions'!A:A,'Skill Pos Compiled'!A152)=0,SUMIFS('2022 Skill Pos Stats'!O:O,'2022 Skill Pos Stats'!A:A,'Skill Pos Compiled'!A152),SUMIFS('Total Receptions'!B:B,'Total Receptions'!A:A,'Skill Pos Compiled'!A152))</f>
        <v>40.5</v>
      </c>
      <c r="H152" s="7">
        <f>IF(SUMIFS('Total Receiving Yards'!E:E,'Total Receiving Yards'!A:A,'Skill Pos Compiled'!A152)=0,SUMIFS('2022 Skill Pos Stats'!P:P,'2022 Skill Pos Stats'!A:A,'Skill Pos Compiled'!A152),SUMIFS('Total Receiving Yards'!E:E,'Total Receiving Yards'!A:A,'Skill Pos Compiled'!A152))</f>
        <v>605.5</v>
      </c>
      <c r="I152" s="7">
        <f>IF(SUMIFS('Total Receiving Touchdowns'!E:E,'Total Receiving Touchdowns'!A:A,'Skill Pos Compiled'!A152)=0,SUMIFS('2022 Skill Pos Stats'!Q:Q,'2022 Skill Pos Stats'!A:A,'Skill Pos Compiled'!A152),SUMIFS('Total Receiving Touchdowns'!E:E,'Total Receiving Touchdowns'!A:A,'Skill Pos Compiled'!A152))</f>
        <v>3.5</v>
      </c>
      <c r="J152" s="5">
        <f>_xlfn.XLOOKUP(E$1,Pt_System[Stat],Pt_System[Pts])*E152</f>
        <v>-0.30000000000000004</v>
      </c>
      <c r="K152" s="5">
        <f>_xlfn.XLOOKUP(F$1,Pt_System[Stat],Pt_System[Pts])*F152</f>
        <v>0</v>
      </c>
      <c r="L152" s="5">
        <f>_xlfn.XLOOKUP(G$1,Pt_System[Stat],Pt_System[Pts])*G152</f>
        <v>40.5</v>
      </c>
      <c r="M152" s="5">
        <f>_xlfn.XLOOKUP(H$1,Pt_System[Stat],Pt_System[Pts])*H152</f>
        <v>60.550000000000004</v>
      </c>
      <c r="N152" s="5">
        <f>_xlfn.XLOOKUP(I$1,Pt_System[Stat],Pt_System[Pts])*I152</f>
        <v>21</v>
      </c>
      <c r="O152" t="str">
        <f>IF(COUNTIFS('Total Rushing Yards'!A:A,'Skill Pos Compiled'!$A152)=1,"Vegas Odds","2022 Stats / Prediction")</f>
        <v>2022 Stats / Prediction</v>
      </c>
      <c r="P152" t="str">
        <f>IF(COUNTIFS('Total Rushing Touchdowns'!A:A,'Skill Pos Compiled'!$A152)=1,"Vegas Odds","2022 Stats / Prediction")</f>
        <v>2022 Stats / Prediction</v>
      </c>
      <c r="Q152" t="str">
        <f>IF(COUNTIFS('Total Receptions'!A:A,'Skill Pos Compiled'!$A152)=1,"Vegas Odds","2022 Stats / Prediction")</f>
        <v>Vegas Odds</v>
      </c>
      <c r="R152" t="str">
        <f>IF(COUNTIFS('Total Receiving Yards'!A:A,'Skill Pos Compiled'!$A152)=1,"Vegas Odds","2022 Stats / Prediction")</f>
        <v>Vegas Odds</v>
      </c>
      <c r="S152" t="str">
        <f>IF(COUNTIFS('Total Receiving Touchdowns'!A:A,'Skill Pos Compiled'!$A152)=1,"Vegas Odds","2022 Stats / Prediction")</f>
        <v>Vegas Odds</v>
      </c>
      <c r="T152" s="10" t="str">
        <f t="shared" si="10"/>
        <v>OK</v>
      </c>
    </row>
    <row r="153" spans="1:20" x14ac:dyDescent="0.25">
      <c r="A153" t="s">
        <v>40</v>
      </c>
      <c r="B153" t="str">
        <f>_xlfn.XLOOKUP(A153,ADP!A:A,ADP!B:B)</f>
        <v>WR</v>
      </c>
      <c r="C153" s="9">
        <f t="shared" si="8"/>
        <v>199.88333333333333</v>
      </c>
      <c r="D153" s="9">
        <f t="shared" si="9"/>
        <v>933.83333333333337</v>
      </c>
      <c r="E153" s="7">
        <f>IF(SUMIFS('Total Rushing Yards'!E:E,'Total Rushing Yards'!A:A,'Skill Pos Compiled'!A153)=0,SUMIFS('2022 Skill Pos Stats'!M:M,'2022 Skill Pos Stats'!A:A,'Skill Pos Compiled'!A153),SUMIFS('Total Rushing Yards'!E:E,'Total Rushing Yards'!A:A,'Skill Pos Compiled'!A153))</f>
        <v>0</v>
      </c>
      <c r="F153" s="7">
        <f>IF(SUMIFS('Total Rushing Touchdowns'!B:B,'Total Rushing Touchdowns'!A:A,'Skill Pos Compiled'!A153)=0,SUMIFS('2022 Skill Pos Stats'!N:N,'2022 Skill Pos Stats'!A:A,'Skill Pos Compiled'!A153),SUMIFS('Total Rushing Touchdowns'!B:B,'Total Rushing Touchdowns'!A:A,'Skill Pos Compiled'!A153))</f>
        <v>0</v>
      </c>
      <c r="G153" s="7">
        <f>IF(SUMIFS('Total Receptions'!B:B,'Total Receptions'!A:A,'Skill Pos Compiled'!A153)=0,SUMIFS('2022 Skill Pos Stats'!O:O,'2022 Skill Pos Stats'!A:A,'Skill Pos Compiled'!A153),SUMIFS('Total Receptions'!B:B,'Total Receptions'!A:A,'Skill Pos Compiled'!A153))</f>
        <v>70.5</v>
      </c>
      <c r="H153" s="7">
        <f>IF(SUMIFS('Total Receiving Yards'!E:E,'Total Receiving Yards'!A:A,'Skill Pos Compiled'!A153)=0,SUMIFS('2022 Skill Pos Stats'!P:P,'2022 Skill Pos Stats'!A:A,'Skill Pos Compiled'!A153),SUMIFS('Total Receiving Yards'!E:E,'Total Receiving Yards'!A:A,'Skill Pos Compiled'!A153))</f>
        <v>933.83333333333337</v>
      </c>
      <c r="I153" s="7">
        <f>IF(SUMIFS('Total Receiving Touchdowns'!E:E,'Total Receiving Touchdowns'!A:A,'Skill Pos Compiled'!A153)=0,SUMIFS('2022 Skill Pos Stats'!Q:Q,'2022 Skill Pos Stats'!A:A,'Skill Pos Compiled'!A153),SUMIFS('Total Receiving Touchdowns'!E:E,'Total Receiving Touchdowns'!A:A,'Skill Pos Compiled'!A153))</f>
        <v>6</v>
      </c>
      <c r="J153" s="5">
        <f>_xlfn.XLOOKUP(E$1,Pt_System[Stat],Pt_System[Pts])*E153</f>
        <v>0</v>
      </c>
      <c r="K153" s="5">
        <f>_xlfn.XLOOKUP(F$1,Pt_System[Stat],Pt_System[Pts])*F153</f>
        <v>0</v>
      </c>
      <c r="L153" s="5">
        <f>_xlfn.XLOOKUP(G$1,Pt_System[Stat],Pt_System[Pts])*G153</f>
        <v>70.5</v>
      </c>
      <c r="M153" s="5">
        <f>_xlfn.XLOOKUP(H$1,Pt_System[Stat],Pt_System[Pts])*H153</f>
        <v>93.38333333333334</v>
      </c>
      <c r="N153" s="5">
        <f>_xlfn.XLOOKUP(I$1,Pt_System[Stat],Pt_System[Pts])*I153</f>
        <v>36</v>
      </c>
      <c r="O153" t="str">
        <f>IF(COUNTIFS('Total Rushing Yards'!A:A,'Skill Pos Compiled'!$A153)=1,"Vegas Odds","2022 Stats / Prediction")</f>
        <v>2022 Stats / Prediction</v>
      </c>
      <c r="P153" t="str">
        <f>IF(COUNTIFS('Total Rushing Touchdowns'!A:A,'Skill Pos Compiled'!$A153)=1,"Vegas Odds","2022 Stats / Prediction")</f>
        <v>2022 Stats / Prediction</v>
      </c>
      <c r="Q153" t="str">
        <f>IF(COUNTIFS('Total Receptions'!A:A,'Skill Pos Compiled'!$A153)=1,"Vegas Odds","2022 Stats / Prediction")</f>
        <v>Vegas Odds</v>
      </c>
      <c r="R153" t="str">
        <f>IF(COUNTIFS('Total Receiving Yards'!A:A,'Skill Pos Compiled'!$A153)=1,"Vegas Odds","2022 Stats / Prediction")</f>
        <v>Vegas Odds</v>
      </c>
      <c r="S153" t="str">
        <f>IF(COUNTIFS('Total Receiving Touchdowns'!A:A,'Skill Pos Compiled'!$A153)=1,"Vegas Odds","2022 Stats / Prediction")</f>
        <v>Vegas Odds</v>
      </c>
      <c r="T153" s="10" t="str">
        <f t="shared" si="10"/>
        <v>OK</v>
      </c>
    </row>
    <row r="154" spans="1:20" x14ac:dyDescent="0.25">
      <c r="A154" t="s">
        <v>112</v>
      </c>
      <c r="B154" t="str">
        <f>_xlfn.XLOOKUP(A154,ADP!A:A,ADP!B:B)</f>
        <v>WR</v>
      </c>
      <c r="C154" s="9">
        <f t="shared" si="8"/>
        <v>110.94285714285715</v>
      </c>
      <c r="D154" s="9">
        <f t="shared" si="9"/>
        <v>581.57142857142856</v>
      </c>
      <c r="E154" s="7">
        <f>IF(SUMIFS('Total Rushing Yards'!E:E,'Total Rushing Yards'!A:A,'Skill Pos Compiled'!A154)=0,SUMIFS('2022 Skill Pos Stats'!M:M,'2022 Skill Pos Stats'!A:A,'Skill Pos Compiled'!A154),SUMIFS('Total Rushing Yards'!E:E,'Total Rushing Yards'!A:A,'Skill Pos Compiled'!A154))</f>
        <v>6.0714285714285712</v>
      </c>
      <c r="F154" s="7">
        <f>IF(SUMIFS('Total Rushing Touchdowns'!B:B,'Total Rushing Touchdowns'!A:A,'Skill Pos Compiled'!A154)=0,SUMIFS('2022 Skill Pos Stats'!N:N,'2022 Skill Pos Stats'!A:A,'Skill Pos Compiled'!A154),SUMIFS('Total Rushing Touchdowns'!B:B,'Total Rushing Touchdowns'!A:A,'Skill Pos Compiled'!A154))</f>
        <v>0</v>
      </c>
      <c r="G154" s="7">
        <f>IF(SUMIFS('Total Receptions'!B:B,'Total Receptions'!A:A,'Skill Pos Compiled'!A154)=0,SUMIFS('2022 Skill Pos Stats'!O:O,'2022 Skill Pos Stats'!A:A,'Skill Pos Compiled'!A154),SUMIFS('Total Receptions'!B:B,'Total Receptions'!A:A,'Skill Pos Compiled'!A154))</f>
        <v>45.5</v>
      </c>
      <c r="H154" s="7">
        <f>IF(SUMIFS('Total Receiving Yards'!E:E,'Total Receiving Yards'!A:A,'Skill Pos Compiled'!A154)=0,SUMIFS('2022 Skill Pos Stats'!P:P,'2022 Skill Pos Stats'!A:A,'Skill Pos Compiled'!A154),SUMIFS('Total Receiving Yards'!E:E,'Total Receiving Yards'!A:A,'Skill Pos Compiled'!A154))</f>
        <v>575.5</v>
      </c>
      <c r="I154" s="7">
        <f>IF(SUMIFS('Total Receiving Touchdowns'!E:E,'Total Receiving Touchdowns'!A:A,'Skill Pos Compiled'!A154)=0,SUMIFS('2022 Skill Pos Stats'!Q:Q,'2022 Skill Pos Stats'!A:A,'Skill Pos Compiled'!A154),SUMIFS('Total Receiving Touchdowns'!E:E,'Total Receiving Touchdowns'!A:A,'Skill Pos Compiled'!A154))</f>
        <v>1.2142857142857142</v>
      </c>
      <c r="J154" s="5">
        <f>_xlfn.XLOOKUP(E$1,Pt_System[Stat],Pt_System[Pts])*E154</f>
        <v>0.60714285714285721</v>
      </c>
      <c r="K154" s="5">
        <f>_xlfn.XLOOKUP(F$1,Pt_System[Stat],Pt_System[Pts])*F154</f>
        <v>0</v>
      </c>
      <c r="L154" s="5">
        <f>_xlfn.XLOOKUP(G$1,Pt_System[Stat],Pt_System[Pts])*G154</f>
        <v>45.5</v>
      </c>
      <c r="M154" s="5">
        <f>_xlfn.XLOOKUP(H$1,Pt_System[Stat],Pt_System[Pts])*H154</f>
        <v>57.550000000000004</v>
      </c>
      <c r="N154" s="5">
        <f>_xlfn.XLOOKUP(I$1,Pt_System[Stat],Pt_System[Pts])*I154</f>
        <v>7.2857142857142847</v>
      </c>
      <c r="O154" t="str">
        <f>IF(COUNTIFS('Total Rushing Yards'!A:A,'Skill Pos Compiled'!$A154)=1,"Vegas Odds","2022 Stats / Prediction")</f>
        <v>2022 Stats / Prediction</v>
      </c>
      <c r="P154" t="str">
        <f>IF(COUNTIFS('Total Rushing Touchdowns'!A:A,'Skill Pos Compiled'!$A154)=1,"Vegas Odds","2022 Stats / Prediction")</f>
        <v>2022 Stats / Prediction</v>
      </c>
      <c r="Q154" t="str">
        <f>IF(COUNTIFS('Total Receptions'!A:A,'Skill Pos Compiled'!$A154)=1,"Vegas Odds","2022 Stats / Prediction")</f>
        <v>Vegas Odds</v>
      </c>
      <c r="R154" t="str">
        <f>IF(COUNTIFS('Total Receiving Yards'!A:A,'Skill Pos Compiled'!$A154)=1,"Vegas Odds","2022 Stats / Prediction")</f>
        <v>Vegas Odds</v>
      </c>
      <c r="S154" t="str">
        <f>IF(COUNTIFS('Total Receiving Touchdowns'!A:A,'Skill Pos Compiled'!$A154)=1,"Vegas Odds","2022 Stats / Prediction")</f>
        <v>2022 Stats / Prediction</v>
      </c>
      <c r="T154" s="10" t="str">
        <f t="shared" si="10"/>
        <v>Unpredictable</v>
      </c>
    </row>
    <row r="155" spans="1:20" x14ac:dyDescent="0.25">
      <c r="A155" t="s">
        <v>107</v>
      </c>
      <c r="B155" t="str">
        <f>_xlfn.XLOOKUP(A155,ADP!A:A,ADP!B:B)</f>
        <v>WR</v>
      </c>
      <c r="C155" s="9">
        <f t="shared" si="8"/>
        <v>162.9</v>
      </c>
      <c r="D155" s="9">
        <f t="shared" si="9"/>
        <v>734</v>
      </c>
      <c r="E155" s="7">
        <f>IF(SUMIFS('Total Rushing Yards'!E:E,'Total Rushing Yards'!A:A,'Skill Pos Compiled'!A155)=0,SUMIFS('2022 Skill Pos Stats'!M:M,'2022 Skill Pos Stats'!A:A,'Skill Pos Compiled'!A155),SUMIFS('Total Rushing Yards'!E:E,'Total Rushing Yards'!A:A,'Skill Pos Compiled'!A155))</f>
        <v>0</v>
      </c>
      <c r="F155" s="7">
        <f>IF(SUMIFS('Total Rushing Touchdowns'!B:B,'Total Rushing Touchdowns'!A:A,'Skill Pos Compiled'!A155)=0,SUMIFS('2022 Skill Pos Stats'!N:N,'2022 Skill Pos Stats'!A:A,'Skill Pos Compiled'!A155),SUMIFS('Total Rushing Touchdowns'!B:B,'Total Rushing Touchdowns'!A:A,'Skill Pos Compiled'!A155))</f>
        <v>0</v>
      </c>
      <c r="G155" s="7">
        <f>IF(SUMIFS('Total Receptions'!B:B,'Total Receptions'!A:A,'Skill Pos Compiled'!A155)=0,SUMIFS('2022 Skill Pos Stats'!O:O,'2022 Skill Pos Stats'!A:A,'Skill Pos Compiled'!A155),SUMIFS('Total Receptions'!B:B,'Total Receptions'!A:A,'Skill Pos Compiled'!A155))</f>
        <v>50.5</v>
      </c>
      <c r="H155" s="7">
        <f>IF(SUMIFS('Total Receiving Yards'!E:E,'Total Receiving Yards'!A:A,'Skill Pos Compiled'!A155)=0,SUMIFS('2022 Skill Pos Stats'!P:P,'2022 Skill Pos Stats'!A:A,'Skill Pos Compiled'!A155),SUMIFS('Total Receiving Yards'!E:E,'Total Receiving Yards'!A:A,'Skill Pos Compiled'!A155))</f>
        <v>734</v>
      </c>
      <c r="I155" s="7">
        <f>IF(SUMIFS('Total Receiving Touchdowns'!E:E,'Total Receiving Touchdowns'!A:A,'Skill Pos Compiled'!A155)=0,SUMIFS('2022 Skill Pos Stats'!Q:Q,'2022 Skill Pos Stats'!A:A,'Skill Pos Compiled'!A155),SUMIFS('Total Receiving Touchdowns'!E:E,'Total Receiving Touchdowns'!A:A,'Skill Pos Compiled'!A155))</f>
        <v>6.5</v>
      </c>
      <c r="J155" s="5">
        <f>_xlfn.XLOOKUP(E$1,Pt_System[Stat],Pt_System[Pts])*E155</f>
        <v>0</v>
      </c>
      <c r="K155" s="5">
        <f>_xlfn.XLOOKUP(F$1,Pt_System[Stat],Pt_System[Pts])*F155</f>
        <v>0</v>
      </c>
      <c r="L155" s="5">
        <f>_xlfn.XLOOKUP(G$1,Pt_System[Stat],Pt_System[Pts])*G155</f>
        <v>50.5</v>
      </c>
      <c r="M155" s="5">
        <f>_xlfn.XLOOKUP(H$1,Pt_System[Stat],Pt_System[Pts])*H155</f>
        <v>73.400000000000006</v>
      </c>
      <c r="N155" s="5">
        <f>_xlfn.XLOOKUP(I$1,Pt_System[Stat],Pt_System[Pts])*I155</f>
        <v>39</v>
      </c>
      <c r="O155" t="str">
        <f>IF(COUNTIFS('Total Rushing Yards'!A:A,'Skill Pos Compiled'!$A155)=1,"Vegas Odds","2022 Stats / Prediction")</f>
        <v>2022 Stats / Prediction</v>
      </c>
      <c r="P155" t="str">
        <f>IF(COUNTIFS('Total Rushing Touchdowns'!A:A,'Skill Pos Compiled'!$A155)=1,"Vegas Odds","2022 Stats / Prediction")</f>
        <v>2022 Stats / Prediction</v>
      </c>
      <c r="Q155" t="str">
        <f>IF(COUNTIFS('Total Receptions'!A:A,'Skill Pos Compiled'!$A155)=1,"Vegas Odds","2022 Stats / Prediction")</f>
        <v>Vegas Odds</v>
      </c>
      <c r="R155" t="str">
        <f>IF(COUNTIFS('Total Receiving Yards'!A:A,'Skill Pos Compiled'!$A155)=1,"Vegas Odds","2022 Stats / Prediction")</f>
        <v>Vegas Odds</v>
      </c>
      <c r="S155" t="str">
        <f>IF(COUNTIFS('Total Receiving Touchdowns'!A:A,'Skill Pos Compiled'!$A155)=1,"Vegas Odds","2022 Stats / Prediction")</f>
        <v>Vegas Odds</v>
      </c>
      <c r="T155" s="10" t="str">
        <f t="shared" si="10"/>
        <v>OK</v>
      </c>
    </row>
    <row r="156" spans="1:20" x14ac:dyDescent="0.25">
      <c r="A156" t="s">
        <v>16</v>
      </c>
      <c r="B156" t="str">
        <f>_xlfn.XLOOKUP(A156,ADP!A:A,ADP!B:B)</f>
        <v>WR</v>
      </c>
      <c r="C156" s="9">
        <f t="shared" si="8"/>
        <v>136.55000000000001</v>
      </c>
      <c r="D156" s="9">
        <f t="shared" si="9"/>
        <v>600.5</v>
      </c>
      <c r="E156" s="7">
        <f>IF(SUMIFS('Total Rushing Yards'!E:E,'Total Rushing Yards'!A:A,'Skill Pos Compiled'!A156)=0,SUMIFS('2022 Skill Pos Stats'!M:M,'2022 Skill Pos Stats'!A:A,'Skill Pos Compiled'!A156),SUMIFS('Total Rushing Yards'!E:E,'Total Rushing Yards'!A:A,'Skill Pos Compiled'!A156))</f>
        <v>0</v>
      </c>
      <c r="F156" s="7">
        <f>IF(SUMIFS('Total Rushing Touchdowns'!B:B,'Total Rushing Touchdowns'!A:A,'Skill Pos Compiled'!A156)=0,SUMIFS('2022 Skill Pos Stats'!N:N,'2022 Skill Pos Stats'!A:A,'Skill Pos Compiled'!A156),SUMIFS('Total Rushing Touchdowns'!B:B,'Total Rushing Touchdowns'!A:A,'Skill Pos Compiled'!A156))</f>
        <v>0</v>
      </c>
      <c r="G156" s="7">
        <f>IF(SUMIFS('Total Receptions'!B:B,'Total Receptions'!A:A,'Skill Pos Compiled'!A156)=0,SUMIFS('2022 Skill Pos Stats'!O:O,'2022 Skill Pos Stats'!A:A,'Skill Pos Compiled'!A156),SUMIFS('Total Receptions'!B:B,'Total Receptions'!A:A,'Skill Pos Compiled'!A156))</f>
        <v>49.5</v>
      </c>
      <c r="H156" s="7">
        <f>IF(SUMIFS('Total Receiving Yards'!E:E,'Total Receiving Yards'!A:A,'Skill Pos Compiled'!A156)=0,SUMIFS('2022 Skill Pos Stats'!P:P,'2022 Skill Pos Stats'!A:A,'Skill Pos Compiled'!A156),SUMIFS('Total Receiving Yards'!E:E,'Total Receiving Yards'!A:A,'Skill Pos Compiled'!A156))</f>
        <v>600.5</v>
      </c>
      <c r="I156" s="7">
        <f>IF(SUMIFS('Total Receiving Touchdowns'!E:E,'Total Receiving Touchdowns'!A:A,'Skill Pos Compiled'!A156)=0,SUMIFS('2022 Skill Pos Stats'!Q:Q,'2022 Skill Pos Stats'!A:A,'Skill Pos Compiled'!A156),SUMIFS('Total Receiving Touchdowns'!E:E,'Total Receiving Touchdowns'!A:A,'Skill Pos Compiled'!A156))</f>
        <v>4.5</v>
      </c>
      <c r="J156" s="5">
        <f>_xlfn.XLOOKUP(E$1,Pt_System[Stat],Pt_System[Pts])*E156</f>
        <v>0</v>
      </c>
      <c r="K156" s="5">
        <f>_xlfn.XLOOKUP(F$1,Pt_System[Stat],Pt_System[Pts])*F156</f>
        <v>0</v>
      </c>
      <c r="L156" s="5">
        <f>_xlfn.XLOOKUP(G$1,Pt_System[Stat],Pt_System[Pts])*G156</f>
        <v>49.5</v>
      </c>
      <c r="M156" s="5">
        <f>_xlfn.XLOOKUP(H$1,Pt_System[Stat],Pt_System[Pts])*H156</f>
        <v>60.050000000000004</v>
      </c>
      <c r="N156" s="5">
        <f>_xlfn.XLOOKUP(I$1,Pt_System[Stat],Pt_System[Pts])*I156</f>
        <v>27</v>
      </c>
      <c r="O156" t="str">
        <f>IF(COUNTIFS('Total Rushing Yards'!A:A,'Skill Pos Compiled'!$A156)=1,"Vegas Odds","2022 Stats / Prediction")</f>
        <v>2022 Stats / Prediction</v>
      </c>
      <c r="P156" t="str">
        <f>IF(COUNTIFS('Total Rushing Touchdowns'!A:A,'Skill Pos Compiled'!$A156)=1,"Vegas Odds","2022 Stats / Prediction")</f>
        <v>2022 Stats / Prediction</v>
      </c>
      <c r="Q156" t="str">
        <f>IF(COUNTIFS('Total Receptions'!A:A,'Skill Pos Compiled'!$A156)=1,"Vegas Odds","2022 Stats / Prediction")</f>
        <v>Vegas Odds</v>
      </c>
      <c r="R156" t="str">
        <f>IF(COUNTIFS('Total Receiving Yards'!A:A,'Skill Pos Compiled'!$A156)=1,"Vegas Odds","2022 Stats / Prediction")</f>
        <v>Vegas Odds</v>
      </c>
      <c r="S156" t="str">
        <f>IF(COUNTIFS('Total Receiving Touchdowns'!A:A,'Skill Pos Compiled'!$A156)=1,"Vegas Odds","2022 Stats / Prediction")</f>
        <v>Vegas Odds</v>
      </c>
      <c r="T156" s="10" t="str">
        <f t="shared" si="10"/>
        <v>OK</v>
      </c>
    </row>
    <row r="157" spans="1:20" x14ac:dyDescent="0.25">
      <c r="A157" t="s">
        <v>111</v>
      </c>
      <c r="B157" t="str">
        <f>_xlfn.XLOOKUP(A157,ADP!A:A,ADP!B:B)</f>
        <v>WR</v>
      </c>
      <c r="C157" s="9">
        <f t="shared" si="8"/>
        <v>128.45000000000002</v>
      </c>
      <c r="D157" s="9">
        <f t="shared" si="9"/>
        <v>625.5</v>
      </c>
      <c r="E157" s="7">
        <f>IF(SUMIFS('Total Rushing Yards'!E:E,'Total Rushing Yards'!A:A,'Skill Pos Compiled'!A157)=0,SUMIFS('2022 Skill Pos Stats'!M:M,'2022 Skill Pos Stats'!A:A,'Skill Pos Compiled'!A157),SUMIFS('Total Rushing Yards'!E:E,'Total Rushing Yards'!A:A,'Skill Pos Compiled'!A157))</f>
        <v>0</v>
      </c>
      <c r="F157" s="7">
        <f>IF(SUMIFS('Total Rushing Touchdowns'!B:B,'Total Rushing Touchdowns'!A:A,'Skill Pos Compiled'!A157)=0,SUMIFS('2022 Skill Pos Stats'!N:N,'2022 Skill Pos Stats'!A:A,'Skill Pos Compiled'!A157),SUMIFS('Total Rushing Touchdowns'!B:B,'Total Rushing Touchdowns'!A:A,'Skill Pos Compiled'!A157))</f>
        <v>0</v>
      </c>
      <c r="G157" s="7">
        <f>IF(SUMIFS('Total Receptions'!B:B,'Total Receptions'!A:A,'Skill Pos Compiled'!A157)=0,SUMIFS('2022 Skill Pos Stats'!O:O,'2022 Skill Pos Stats'!A:A,'Skill Pos Compiled'!A157),SUMIFS('Total Receptions'!B:B,'Total Receptions'!A:A,'Skill Pos Compiled'!A157))</f>
        <v>45.5</v>
      </c>
      <c r="H157" s="7">
        <f>IF(SUMIFS('Total Receiving Yards'!E:E,'Total Receiving Yards'!A:A,'Skill Pos Compiled'!A157)=0,SUMIFS('2022 Skill Pos Stats'!P:P,'2022 Skill Pos Stats'!A:A,'Skill Pos Compiled'!A157),SUMIFS('Total Receiving Yards'!E:E,'Total Receiving Yards'!A:A,'Skill Pos Compiled'!A157))</f>
        <v>625.5</v>
      </c>
      <c r="I157" s="7">
        <f>IF(SUMIFS('Total Receiving Touchdowns'!E:E,'Total Receiving Touchdowns'!A:A,'Skill Pos Compiled'!A157)=0,SUMIFS('2022 Skill Pos Stats'!Q:Q,'2022 Skill Pos Stats'!A:A,'Skill Pos Compiled'!A157),SUMIFS('Total Receiving Touchdowns'!E:E,'Total Receiving Touchdowns'!A:A,'Skill Pos Compiled'!A157))</f>
        <v>3.4</v>
      </c>
      <c r="J157" s="5">
        <f>_xlfn.XLOOKUP(E$1,Pt_System[Stat],Pt_System[Pts])*E157</f>
        <v>0</v>
      </c>
      <c r="K157" s="5">
        <f>_xlfn.XLOOKUP(F$1,Pt_System[Stat],Pt_System[Pts])*F157</f>
        <v>0</v>
      </c>
      <c r="L157" s="5">
        <f>_xlfn.XLOOKUP(G$1,Pt_System[Stat],Pt_System[Pts])*G157</f>
        <v>45.5</v>
      </c>
      <c r="M157" s="5">
        <f>_xlfn.XLOOKUP(H$1,Pt_System[Stat],Pt_System[Pts])*H157</f>
        <v>62.550000000000004</v>
      </c>
      <c r="N157" s="5">
        <f>_xlfn.XLOOKUP(I$1,Pt_System[Stat],Pt_System[Pts])*I157</f>
        <v>20.399999999999999</v>
      </c>
      <c r="O157" t="str">
        <f>IF(COUNTIFS('Total Rushing Yards'!A:A,'Skill Pos Compiled'!$A157)=1,"Vegas Odds","2022 Stats / Prediction")</f>
        <v>2022 Stats / Prediction</v>
      </c>
      <c r="P157" t="str">
        <f>IF(COUNTIFS('Total Rushing Touchdowns'!A:A,'Skill Pos Compiled'!$A157)=1,"Vegas Odds","2022 Stats / Prediction")</f>
        <v>2022 Stats / Prediction</v>
      </c>
      <c r="Q157" t="str">
        <f>IF(COUNTIFS('Total Receptions'!A:A,'Skill Pos Compiled'!$A157)=1,"Vegas Odds","2022 Stats / Prediction")</f>
        <v>Vegas Odds</v>
      </c>
      <c r="R157" t="str">
        <f>IF(COUNTIFS('Total Receiving Yards'!A:A,'Skill Pos Compiled'!$A157)=1,"Vegas Odds","2022 Stats / Prediction")</f>
        <v>Vegas Odds</v>
      </c>
      <c r="S157" t="str">
        <f>IF(COUNTIFS('Total Receiving Touchdowns'!A:A,'Skill Pos Compiled'!$A157)=1,"Vegas Odds","2022 Stats / Prediction")</f>
        <v>2022 Stats / Prediction</v>
      </c>
      <c r="T157" s="10" t="str">
        <f t="shared" si="10"/>
        <v>Unpredictable</v>
      </c>
    </row>
    <row r="158" spans="1:20" x14ac:dyDescent="0.25">
      <c r="A158" t="s">
        <v>119</v>
      </c>
      <c r="B158" t="str">
        <f>_xlfn.XLOOKUP(A158,ADP!A:A,ADP!B:B)</f>
        <v>TE</v>
      </c>
      <c r="C158" s="9">
        <f t="shared" si="8"/>
        <v>134.4</v>
      </c>
      <c r="D158" s="9">
        <f t="shared" si="9"/>
        <v>613</v>
      </c>
      <c r="E158" s="7">
        <f>IF(SUMIFS('Total Rushing Yards'!E:E,'Total Rushing Yards'!A:A,'Skill Pos Compiled'!A158)=0,SUMIFS('2022 Skill Pos Stats'!M:M,'2022 Skill Pos Stats'!A:A,'Skill Pos Compiled'!A158),SUMIFS('Total Rushing Yards'!E:E,'Total Rushing Yards'!A:A,'Skill Pos Compiled'!A158))</f>
        <v>0</v>
      </c>
      <c r="F158" s="7">
        <f>IF(SUMIFS('Total Rushing Touchdowns'!B:B,'Total Rushing Touchdowns'!A:A,'Skill Pos Compiled'!A158)=0,SUMIFS('2022 Skill Pos Stats'!N:N,'2022 Skill Pos Stats'!A:A,'Skill Pos Compiled'!A158),SUMIFS('Total Rushing Touchdowns'!B:B,'Total Rushing Touchdowns'!A:A,'Skill Pos Compiled'!A158))</f>
        <v>0</v>
      </c>
      <c r="G158" s="7">
        <f>IF(SUMIFS('Total Receptions'!B:B,'Total Receptions'!A:A,'Skill Pos Compiled'!A158)=0,SUMIFS('2022 Skill Pos Stats'!O:O,'2022 Skill Pos Stats'!A:A,'Skill Pos Compiled'!A158),SUMIFS('Total Receptions'!B:B,'Total Receptions'!A:A,'Skill Pos Compiled'!A158))</f>
        <v>59.5</v>
      </c>
      <c r="H158" s="7">
        <f>IF(SUMIFS('Total Receiving Yards'!E:E,'Total Receiving Yards'!A:A,'Skill Pos Compiled'!A158)=0,SUMIFS('2022 Skill Pos Stats'!P:P,'2022 Skill Pos Stats'!A:A,'Skill Pos Compiled'!A158),SUMIFS('Total Receiving Yards'!E:E,'Total Receiving Yards'!A:A,'Skill Pos Compiled'!A158))</f>
        <v>613</v>
      </c>
      <c r="I158" s="7">
        <f>IF(SUMIFS('Total Receiving Touchdowns'!E:E,'Total Receiving Touchdowns'!A:A,'Skill Pos Compiled'!A158)=0,SUMIFS('2022 Skill Pos Stats'!Q:Q,'2022 Skill Pos Stats'!A:A,'Skill Pos Compiled'!A158),SUMIFS('Total Receiving Touchdowns'!E:E,'Total Receiving Touchdowns'!A:A,'Skill Pos Compiled'!A158))</f>
        <v>2.2666666666666666</v>
      </c>
      <c r="J158" s="5">
        <f>_xlfn.XLOOKUP(E$1,Pt_System[Stat],Pt_System[Pts])*E158</f>
        <v>0</v>
      </c>
      <c r="K158" s="5">
        <f>_xlfn.XLOOKUP(F$1,Pt_System[Stat],Pt_System[Pts])*F158</f>
        <v>0</v>
      </c>
      <c r="L158" s="5">
        <f>_xlfn.XLOOKUP(G$1,Pt_System[Stat],Pt_System[Pts])*G158</f>
        <v>59.5</v>
      </c>
      <c r="M158" s="5">
        <f>_xlfn.XLOOKUP(H$1,Pt_System[Stat],Pt_System[Pts])*H158</f>
        <v>61.300000000000004</v>
      </c>
      <c r="N158" s="5">
        <f>_xlfn.XLOOKUP(I$1,Pt_System[Stat],Pt_System[Pts])*I158</f>
        <v>13.6</v>
      </c>
      <c r="O158" t="str">
        <f>IF(COUNTIFS('Total Rushing Yards'!A:A,'Skill Pos Compiled'!$A158)=1,"Vegas Odds","2022 Stats / Prediction")</f>
        <v>2022 Stats / Prediction</v>
      </c>
      <c r="P158" t="str">
        <f>IF(COUNTIFS('Total Rushing Touchdowns'!A:A,'Skill Pos Compiled'!$A158)=1,"Vegas Odds","2022 Stats / Prediction")</f>
        <v>2022 Stats / Prediction</v>
      </c>
      <c r="Q158" t="str">
        <f>IF(COUNTIFS('Total Receptions'!A:A,'Skill Pos Compiled'!$A158)=1,"Vegas Odds","2022 Stats / Prediction")</f>
        <v>Vegas Odds</v>
      </c>
      <c r="R158" t="str">
        <f>IF(COUNTIFS('Total Receiving Yards'!A:A,'Skill Pos Compiled'!$A158)=1,"Vegas Odds","2022 Stats / Prediction")</f>
        <v>Vegas Odds</v>
      </c>
      <c r="S158" t="str">
        <f>IF(COUNTIFS('Total Receiving Touchdowns'!A:A,'Skill Pos Compiled'!$A158)=1,"Vegas Odds","2022 Stats / Prediction")</f>
        <v>2022 Stats / Prediction</v>
      </c>
      <c r="T158" s="10" t="str">
        <f t="shared" si="10"/>
        <v>Unpredictable</v>
      </c>
    </row>
    <row r="159" spans="1:20" x14ac:dyDescent="0.25">
      <c r="A159" t="s">
        <v>123</v>
      </c>
      <c r="B159" t="str">
        <f>_xlfn.XLOOKUP(A159,ADP!A:A,ADP!B:B)</f>
        <v>WR</v>
      </c>
      <c r="C159" s="9">
        <f t="shared" si="8"/>
        <v>117.45</v>
      </c>
      <c r="D159" s="9">
        <f t="shared" si="9"/>
        <v>549.5</v>
      </c>
      <c r="E159" s="7">
        <f>IF(SUMIFS('Total Rushing Yards'!E:E,'Total Rushing Yards'!A:A,'Skill Pos Compiled'!A159)=0,SUMIFS('2022 Skill Pos Stats'!M:M,'2022 Skill Pos Stats'!A:A,'Skill Pos Compiled'!A159),SUMIFS('Total Rushing Yards'!E:E,'Total Rushing Yards'!A:A,'Skill Pos Compiled'!A159))</f>
        <v>0</v>
      </c>
      <c r="F159" s="7">
        <f>IF(SUMIFS('Total Rushing Touchdowns'!B:B,'Total Rushing Touchdowns'!A:A,'Skill Pos Compiled'!A159)=0,SUMIFS('2022 Skill Pos Stats'!N:N,'2022 Skill Pos Stats'!A:A,'Skill Pos Compiled'!A159),SUMIFS('Total Rushing Touchdowns'!B:B,'Total Rushing Touchdowns'!A:A,'Skill Pos Compiled'!A159))</f>
        <v>0</v>
      </c>
      <c r="G159" s="7">
        <f>IF(SUMIFS('Total Receptions'!B:B,'Total Receptions'!A:A,'Skill Pos Compiled'!A159)=0,SUMIFS('2022 Skill Pos Stats'!O:O,'2022 Skill Pos Stats'!A:A,'Skill Pos Compiled'!A159),SUMIFS('Total Receptions'!B:B,'Total Receptions'!A:A,'Skill Pos Compiled'!A159))</f>
        <v>50.5</v>
      </c>
      <c r="H159" s="7">
        <f>IF(SUMIFS('Total Receiving Yards'!E:E,'Total Receiving Yards'!A:A,'Skill Pos Compiled'!A159)=0,SUMIFS('2022 Skill Pos Stats'!P:P,'2022 Skill Pos Stats'!A:A,'Skill Pos Compiled'!A159),SUMIFS('Total Receiving Yards'!E:E,'Total Receiving Yards'!A:A,'Skill Pos Compiled'!A159))</f>
        <v>549.5</v>
      </c>
      <c r="I159" s="7">
        <f>IF(SUMIFS('Total Receiving Touchdowns'!E:E,'Total Receiving Touchdowns'!A:A,'Skill Pos Compiled'!A159)=0,SUMIFS('2022 Skill Pos Stats'!Q:Q,'2022 Skill Pos Stats'!A:A,'Skill Pos Compiled'!A159),SUMIFS('Total Receiving Touchdowns'!E:E,'Total Receiving Touchdowns'!A:A,'Skill Pos Compiled'!A159))</f>
        <v>2</v>
      </c>
      <c r="J159" s="5">
        <f>_xlfn.XLOOKUP(E$1,Pt_System[Stat],Pt_System[Pts])*E159</f>
        <v>0</v>
      </c>
      <c r="K159" s="5">
        <f>_xlfn.XLOOKUP(F$1,Pt_System[Stat],Pt_System[Pts])*F159</f>
        <v>0</v>
      </c>
      <c r="L159" s="5">
        <f>_xlfn.XLOOKUP(G$1,Pt_System[Stat],Pt_System[Pts])*G159</f>
        <v>50.5</v>
      </c>
      <c r="M159" s="5">
        <f>_xlfn.XLOOKUP(H$1,Pt_System[Stat],Pt_System[Pts])*H159</f>
        <v>54.95</v>
      </c>
      <c r="N159" s="5">
        <f>_xlfn.XLOOKUP(I$1,Pt_System[Stat],Pt_System[Pts])*I159</f>
        <v>12</v>
      </c>
      <c r="O159" t="str">
        <f>IF(COUNTIFS('Total Rushing Yards'!A:A,'Skill Pos Compiled'!$A159)=1,"Vegas Odds","2022 Stats / Prediction")</f>
        <v>2022 Stats / Prediction</v>
      </c>
      <c r="P159" t="str">
        <f>IF(COUNTIFS('Total Rushing Touchdowns'!A:A,'Skill Pos Compiled'!$A159)=1,"Vegas Odds","2022 Stats / Prediction")</f>
        <v>2022 Stats / Prediction</v>
      </c>
      <c r="Q159" t="str">
        <f>IF(COUNTIFS('Total Receptions'!A:A,'Skill Pos Compiled'!$A159)=1,"Vegas Odds","2022 Stats / Prediction")</f>
        <v>Vegas Odds</v>
      </c>
      <c r="R159" t="str">
        <f>IF(COUNTIFS('Total Receiving Yards'!A:A,'Skill Pos Compiled'!$A159)=1,"Vegas Odds","2022 Stats / Prediction")</f>
        <v>Vegas Odds</v>
      </c>
      <c r="S159" t="str">
        <f>IF(COUNTIFS('Total Receiving Touchdowns'!A:A,'Skill Pos Compiled'!$A159)=1,"Vegas Odds","2022 Stats / Prediction")</f>
        <v>2022 Stats / Prediction</v>
      </c>
      <c r="T159" s="10" t="str">
        <f t="shared" si="10"/>
        <v>Unpredictable</v>
      </c>
    </row>
    <row r="160" spans="1:20" x14ac:dyDescent="0.25">
      <c r="A160" t="s">
        <v>117</v>
      </c>
      <c r="B160" t="str">
        <f>_xlfn.XLOOKUP(A160,ADP!A:A,ADP!B:B)</f>
        <v>WR</v>
      </c>
      <c r="C160" s="9">
        <f t="shared" si="8"/>
        <v>130.02692307692308</v>
      </c>
      <c r="D160" s="9">
        <f t="shared" si="9"/>
        <v>589.88461538461536</v>
      </c>
      <c r="E160" s="7">
        <f>IF(SUMIFS('Total Rushing Yards'!E:E,'Total Rushing Yards'!A:A,'Skill Pos Compiled'!A160)=0,SUMIFS('2022 Skill Pos Stats'!M:M,'2022 Skill Pos Stats'!A:A,'Skill Pos Compiled'!A160),SUMIFS('Total Rushing Yards'!E:E,'Total Rushing Yards'!A:A,'Skill Pos Compiled'!A160))</f>
        <v>14.384615384615385</v>
      </c>
      <c r="F160" s="7">
        <f>IF(SUMIFS('Total Rushing Touchdowns'!B:B,'Total Rushing Touchdowns'!A:A,'Skill Pos Compiled'!A160)=0,SUMIFS('2022 Skill Pos Stats'!N:N,'2022 Skill Pos Stats'!A:A,'Skill Pos Compiled'!A160),SUMIFS('Total Rushing Touchdowns'!B:B,'Total Rushing Touchdowns'!A:A,'Skill Pos Compiled'!A160))</f>
        <v>0</v>
      </c>
      <c r="G160" s="7">
        <f>IF(SUMIFS('Total Receptions'!B:B,'Total Receptions'!A:A,'Skill Pos Compiled'!A160)=0,SUMIFS('2022 Skill Pos Stats'!O:O,'2022 Skill Pos Stats'!A:A,'Skill Pos Compiled'!A160),SUMIFS('Total Receptions'!B:B,'Total Receptions'!A:A,'Skill Pos Compiled'!A160))</f>
        <v>47.5</v>
      </c>
      <c r="H160" s="7">
        <f>IF(SUMIFS('Total Receiving Yards'!E:E,'Total Receiving Yards'!A:A,'Skill Pos Compiled'!A160)=0,SUMIFS('2022 Skill Pos Stats'!P:P,'2022 Skill Pos Stats'!A:A,'Skill Pos Compiled'!A160),SUMIFS('Total Receiving Yards'!E:E,'Total Receiving Yards'!A:A,'Skill Pos Compiled'!A160))</f>
        <v>575.5</v>
      </c>
      <c r="I160" s="7">
        <f>IF(SUMIFS('Total Receiving Touchdowns'!E:E,'Total Receiving Touchdowns'!A:A,'Skill Pos Compiled'!A160)=0,SUMIFS('2022 Skill Pos Stats'!Q:Q,'2022 Skill Pos Stats'!A:A,'Skill Pos Compiled'!A160),SUMIFS('Total Receiving Touchdowns'!E:E,'Total Receiving Touchdowns'!A:A,'Skill Pos Compiled'!A160))</f>
        <v>3.9230769230769234</v>
      </c>
      <c r="J160" s="5">
        <f>_xlfn.XLOOKUP(E$1,Pt_System[Stat],Pt_System[Pts])*E160</f>
        <v>1.4384615384615387</v>
      </c>
      <c r="K160" s="5">
        <f>_xlfn.XLOOKUP(F$1,Pt_System[Stat],Pt_System[Pts])*F160</f>
        <v>0</v>
      </c>
      <c r="L160" s="5">
        <f>_xlfn.XLOOKUP(G$1,Pt_System[Stat],Pt_System[Pts])*G160</f>
        <v>47.5</v>
      </c>
      <c r="M160" s="5">
        <f>_xlfn.XLOOKUP(H$1,Pt_System[Stat],Pt_System[Pts])*H160</f>
        <v>57.550000000000004</v>
      </c>
      <c r="N160" s="5">
        <f>_xlfn.XLOOKUP(I$1,Pt_System[Stat],Pt_System[Pts])*I160</f>
        <v>23.53846153846154</v>
      </c>
      <c r="O160" t="str">
        <f>IF(COUNTIFS('Total Rushing Yards'!A:A,'Skill Pos Compiled'!$A160)=1,"Vegas Odds","2022 Stats / Prediction")</f>
        <v>2022 Stats / Prediction</v>
      </c>
      <c r="P160" t="str">
        <f>IF(COUNTIFS('Total Rushing Touchdowns'!A:A,'Skill Pos Compiled'!$A160)=1,"Vegas Odds","2022 Stats / Prediction")</f>
        <v>2022 Stats / Prediction</v>
      </c>
      <c r="Q160" t="str">
        <f>IF(COUNTIFS('Total Receptions'!A:A,'Skill Pos Compiled'!$A160)=1,"Vegas Odds","2022 Stats / Prediction")</f>
        <v>Vegas Odds</v>
      </c>
      <c r="R160" t="str">
        <f>IF(COUNTIFS('Total Receiving Yards'!A:A,'Skill Pos Compiled'!$A160)=1,"Vegas Odds","2022 Stats / Prediction")</f>
        <v>Vegas Odds</v>
      </c>
      <c r="S160" t="str">
        <f>IF(COUNTIFS('Total Receiving Touchdowns'!A:A,'Skill Pos Compiled'!$A160)=1,"Vegas Odds","2022 Stats / Prediction")</f>
        <v>2022 Stats / Prediction</v>
      </c>
      <c r="T160" s="10" t="str">
        <f t="shared" si="10"/>
        <v>Unpredictable</v>
      </c>
    </row>
    <row r="161" spans="1:20" x14ac:dyDescent="0.25">
      <c r="A161" t="s">
        <v>72</v>
      </c>
      <c r="B161" t="str">
        <f>_xlfn.XLOOKUP(A161,ADP!A:A,ADP!B:B)</f>
        <v>RB</v>
      </c>
      <c r="C161" s="9">
        <f t="shared" si="8"/>
        <v>102.10000000000001</v>
      </c>
      <c r="D161" s="9">
        <f t="shared" si="9"/>
        <v>1021</v>
      </c>
      <c r="E161" s="7">
        <f>IF(SUMIFS('Total Rushing Yards'!E:E,'Total Rushing Yards'!A:A,'Skill Pos Compiled'!A161)=0,SUMIFS('2022 Skill Pos Stats'!M:M,'2022 Skill Pos Stats'!A:A,'Skill Pos Compiled'!A161),SUMIFS('Total Rushing Yards'!E:E,'Total Rushing Yards'!A:A,'Skill Pos Compiled'!A161))</f>
        <v>595.5</v>
      </c>
      <c r="F161" s="7">
        <f>IF(SUMIFS('Total Rushing Touchdowns'!B:B,'Total Rushing Touchdowns'!A:A,'Skill Pos Compiled'!A161)=0,SUMIFS('2022 Skill Pos Stats'!N:N,'2022 Skill Pos Stats'!A:A,'Skill Pos Compiled'!A161),SUMIFS('Total Rushing Touchdowns'!B:B,'Total Rushing Touchdowns'!A:A,'Skill Pos Compiled'!A161))</f>
        <v>0</v>
      </c>
      <c r="G161" s="7">
        <f>IF(SUMIFS('Total Receptions'!B:B,'Total Receptions'!A:A,'Skill Pos Compiled'!A161)=0,SUMIFS('2022 Skill Pos Stats'!O:O,'2022 Skill Pos Stats'!A:A,'Skill Pos Compiled'!A161),SUMIFS('Total Receptions'!B:B,'Total Receptions'!A:A,'Skill Pos Compiled'!A161))</f>
        <v>0</v>
      </c>
      <c r="H161" s="7">
        <f>IF(SUMIFS('Total Receiving Yards'!E:E,'Total Receiving Yards'!A:A,'Skill Pos Compiled'!A161)=0,SUMIFS('2022 Skill Pos Stats'!P:P,'2022 Skill Pos Stats'!A:A,'Skill Pos Compiled'!A161),SUMIFS('Total Receiving Yards'!E:E,'Total Receiving Yards'!A:A,'Skill Pos Compiled'!A161))</f>
        <v>425.5</v>
      </c>
      <c r="I161" s="7">
        <f>IF(SUMIFS('Total Receiving Touchdowns'!E:E,'Total Receiving Touchdowns'!A:A,'Skill Pos Compiled'!A161)=0,SUMIFS('2022 Skill Pos Stats'!Q:Q,'2022 Skill Pos Stats'!A:A,'Skill Pos Compiled'!A161),SUMIFS('Total Receiving Touchdowns'!E:E,'Total Receiving Touchdowns'!A:A,'Skill Pos Compiled'!A161))</f>
        <v>0</v>
      </c>
      <c r="J161" s="5">
        <f>_xlfn.XLOOKUP(E$1,Pt_System[Stat],Pt_System[Pts])*E161</f>
        <v>59.550000000000004</v>
      </c>
      <c r="K161" s="5">
        <f>_xlfn.XLOOKUP(F$1,Pt_System[Stat],Pt_System[Pts])*F161</f>
        <v>0</v>
      </c>
      <c r="L161" s="5">
        <f>_xlfn.XLOOKUP(G$1,Pt_System[Stat],Pt_System[Pts])*G161</f>
        <v>0</v>
      </c>
      <c r="M161" s="5">
        <f>_xlfn.XLOOKUP(H$1,Pt_System[Stat],Pt_System[Pts])*H161</f>
        <v>42.550000000000004</v>
      </c>
      <c r="N161" s="5">
        <f>_xlfn.XLOOKUP(I$1,Pt_System[Stat],Pt_System[Pts])*I161</f>
        <v>0</v>
      </c>
      <c r="O161" t="str">
        <f>IF(COUNTIFS('Total Rushing Yards'!A:A,'Skill Pos Compiled'!$A161)=1,"Vegas Odds","2022 Stats / Prediction")</f>
        <v>Vegas Odds</v>
      </c>
      <c r="P161" t="str">
        <f>IF(COUNTIFS('Total Rushing Touchdowns'!A:A,'Skill Pos Compiled'!$A161)=1,"Vegas Odds","2022 Stats / Prediction")</f>
        <v>2022 Stats / Prediction</v>
      </c>
      <c r="Q161" t="str">
        <f>IF(COUNTIFS('Total Receptions'!A:A,'Skill Pos Compiled'!$A161)=1,"Vegas Odds","2022 Stats / Prediction")</f>
        <v>2022 Stats / Prediction</v>
      </c>
      <c r="R161" t="str">
        <f>IF(COUNTIFS('Total Receiving Yards'!A:A,'Skill Pos Compiled'!$A161)=1,"Vegas Odds","2022 Stats / Prediction")</f>
        <v>Vegas Odds</v>
      </c>
      <c r="S161" t="str">
        <f>IF(COUNTIFS('Total Receiving Touchdowns'!A:A,'Skill Pos Compiled'!$A161)=1,"Vegas Odds","2022 Stats / Prediction")</f>
        <v>2022 Stats / Prediction</v>
      </c>
      <c r="T161" s="10" t="str">
        <f t="shared" si="10"/>
        <v>Unpredictable</v>
      </c>
    </row>
    <row r="162" spans="1:20" x14ac:dyDescent="0.25">
      <c r="A162" t="s">
        <v>135</v>
      </c>
      <c r="B162" t="str">
        <f>_xlfn.XLOOKUP(A162,ADP!A:A,ADP!B:B)</f>
        <v>RB</v>
      </c>
      <c r="C162" s="9">
        <f t="shared" si="8"/>
        <v>118.63999999999999</v>
      </c>
      <c r="D162" s="9">
        <f t="shared" si="9"/>
        <v>642.4</v>
      </c>
      <c r="E162" s="7">
        <f>IF(SUMIFS('Total Rushing Yards'!E:E,'Total Rushing Yards'!A:A,'Skill Pos Compiled'!A162)=0,SUMIFS('2022 Skill Pos Stats'!M:M,'2022 Skill Pos Stats'!A:A,'Skill Pos Compiled'!A162),SUMIFS('Total Rushing Yards'!E:E,'Total Rushing Yards'!A:A,'Skill Pos Compiled'!A162))</f>
        <v>588</v>
      </c>
      <c r="F162" s="7">
        <f>IF(SUMIFS('Total Rushing Touchdowns'!B:B,'Total Rushing Touchdowns'!A:A,'Skill Pos Compiled'!A162)=0,SUMIFS('2022 Skill Pos Stats'!N:N,'2022 Skill Pos Stats'!A:A,'Skill Pos Compiled'!A162),SUMIFS('Total Rushing Touchdowns'!B:B,'Total Rushing Touchdowns'!A:A,'Skill Pos Compiled'!A162))</f>
        <v>6.8</v>
      </c>
      <c r="G162" s="7">
        <f>IF(SUMIFS('Total Receptions'!B:B,'Total Receptions'!A:A,'Skill Pos Compiled'!A162)=0,SUMIFS('2022 Skill Pos Stats'!O:O,'2022 Skill Pos Stats'!A:A,'Skill Pos Compiled'!A162),SUMIFS('Total Receptions'!B:B,'Total Receptions'!A:A,'Skill Pos Compiled'!A162))</f>
        <v>13.6</v>
      </c>
      <c r="H162" s="7">
        <f>IF(SUMIFS('Total Receiving Yards'!E:E,'Total Receiving Yards'!A:A,'Skill Pos Compiled'!A162)=0,SUMIFS('2022 Skill Pos Stats'!P:P,'2022 Skill Pos Stats'!A:A,'Skill Pos Compiled'!A162),SUMIFS('Total Receiving Yards'!E:E,'Total Receiving Yards'!A:A,'Skill Pos Compiled'!A162))</f>
        <v>54.4</v>
      </c>
      <c r="I162" s="7">
        <f>IF(SUMIFS('Total Receiving Touchdowns'!E:E,'Total Receiving Touchdowns'!A:A,'Skill Pos Compiled'!A162)=0,SUMIFS('2022 Skill Pos Stats'!Q:Q,'2022 Skill Pos Stats'!A:A,'Skill Pos Compiled'!A162),SUMIFS('Total Receiving Touchdowns'!E:E,'Total Receiving Touchdowns'!A:A,'Skill Pos Compiled'!A162))</f>
        <v>0</v>
      </c>
      <c r="J162" s="5">
        <f>_xlfn.XLOOKUP(E$1,Pt_System[Stat],Pt_System[Pts])*E162</f>
        <v>58.800000000000004</v>
      </c>
      <c r="K162" s="5">
        <f>_xlfn.XLOOKUP(F$1,Pt_System[Stat],Pt_System[Pts])*F162</f>
        <v>40.799999999999997</v>
      </c>
      <c r="L162" s="5">
        <f>_xlfn.XLOOKUP(G$1,Pt_System[Stat],Pt_System[Pts])*G162</f>
        <v>13.6</v>
      </c>
      <c r="M162" s="5">
        <f>_xlfn.XLOOKUP(H$1,Pt_System[Stat],Pt_System[Pts])*H162</f>
        <v>5.44</v>
      </c>
      <c r="N162" s="5">
        <f>_xlfn.XLOOKUP(I$1,Pt_System[Stat],Pt_System[Pts])*I162</f>
        <v>0</v>
      </c>
      <c r="O162" t="str">
        <f>IF(COUNTIFS('Total Rushing Yards'!A:A,'Skill Pos Compiled'!$A162)=1,"Vegas Odds","2022 Stats / Prediction")</f>
        <v>Vegas Odds</v>
      </c>
      <c r="P162" t="str">
        <f>IF(COUNTIFS('Total Rushing Touchdowns'!A:A,'Skill Pos Compiled'!$A162)=1,"Vegas Odds","2022 Stats / Prediction")</f>
        <v>2022 Stats / Prediction</v>
      </c>
      <c r="Q162" t="str">
        <f>IF(COUNTIFS('Total Receptions'!A:A,'Skill Pos Compiled'!$A162)=1,"Vegas Odds","2022 Stats / Prediction")</f>
        <v>2022 Stats / Prediction</v>
      </c>
      <c r="R162" t="str">
        <f>IF(COUNTIFS('Total Receiving Yards'!A:A,'Skill Pos Compiled'!$A162)=1,"Vegas Odds","2022 Stats / Prediction")</f>
        <v>2022 Stats / Prediction</v>
      </c>
      <c r="S162" t="str">
        <f>IF(COUNTIFS('Total Receiving Touchdowns'!A:A,'Skill Pos Compiled'!$A162)=1,"Vegas Odds","2022 Stats / Prediction")</f>
        <v>2022 Stats / Prediction</v>
      </c>
      <c r="T162" s="10" t="str">
        <f t="shared" si="10"/>
        <v>Unpredictable</v>
      </c>
    </row>
    <row r="163" spans="1:20" x14ac:dyDescent="0.25">
      <c r="A163" t="s">
        <v>59</v>
      </c>
      <c r="B163" t="str">
        <f>_xlfn.XLOOKUP(A163,ADP!A:A,ADP!B:B)</f>
        <v>RB</v>
      </c>
      <c r="C163" s="9">
        <f t="shared" si="8"/>
        <v>152.85</v>
      </c>
      <c r="D163" s="9">
        <f t="shared" si="9"/>
        <v>928.5</v>
      </c>
      <c r="E163" s="7">
        <f>IF(SUMIFS('Total Rushing Yards'!E:E,'Total Rushing Yards'!A:A,'Skill Pos Compiled'!A163)=0,SUMIFS('2022 Skill Pos Stats'!M:M,'2022 Skill Pos Stats'!A:A,'Skill Pos Compiled'!A163),SUMIFS('Total Rushing Yards'!E:E,'Total Rushing Yards'!A:A,'Skill Pos Compiled'!A163))</f>
        <v>837.5</v>
      </c>
      <c r="F163" s="7">
        <f>IF(SUMIFS('Total Rushing Touchdowns'!B:B,'Total Rushing Touchdowns'!A:A,'Skill Pos Compiled'!A163)=0,SUMIFS('2022 Skill Pos Stats'!N:N,'2022 Skill Pos Stats'!A:A,'Skill Pos Compiled'!A163),SUMIFS('Total Rushing Touchdowns'!B:B,'Total Rushing Touchdowns'!A:A,'Skill Pos Compiled'!A163))</f>
        <v>6.5</v>
      </c>
      <c r="G163" s="7">
        <f>IF(SUMIFS('Total Receptions'!B:B,'Total Receptions'!A:A,'Skill Pos Compiled'!A163)=0,SUMIFS('2022 Skill Pos Stats'!O:O,'2022 Skill Pos Stats'!A:A,'Skill Pos Compiled'!A163),SUMIFS('Total Receptions'!B:B,'Total Receptions'!A:A,'Skill Pos Compiled'!A163))</f>
        <v>15</v>
      </c>
      <c r="H163" s="7">
        <f>IF(SUMIFS('Total Receiving Yards'!E:E,'Total Receiving Yards'!A:A,'Skill Pos Compiled'!A163)=0,SUMIFS('2022 Skill Pos Stats'!P:P,'2022 Skill Pos Stats'!A:A,'Skill Pos Compiled'!A163),SUMIFS('Total Receiving Yards'!E:E,'Total Receiving Yards'!A:A,'Skill Pos Compiled'!A163))</f>
        <v>91</v>
      </c>
      <c r="I163" s="7">
        <f>IF(SUMIFS('Total Receiving Touchdowns'!E:E,'Total Receiving Touchdowns'!A:A,'Skill Pos Compiled'!A163)=0,SUMIFS('2022 Skill Pos Stats'!Q:Q,'2022 Skill Pos Stats'!A:A,'Skill Pos Compiled'!A163),SUMIFS('Total Receiving Touchdowns'!E:E,'Total Receiving Touchdowns'!A:A,'Skill Pos Compiled'!A163))</f>
        <v>1</v>
      </c>
      <c r="J163" s="5">
        <f>_xlfn.XLOOKUP(E$1,Pt_System[Stat],Pt_System[Pts])*E163</f>
        <v>83.75</v>
      </c>
      <c r="K163" s="5">
        <f>_xlfn.XLOOKUP(F$1,Pt_System[Stat],Pt_System[Pts])*F163</f>
        <v>39</v>
      </c>
      <c r="L163" s="5">
        <f>_xlfn.XLOOKUP(G$1,Pt_System[Stat],Pt_System[Pts])*G163</f>
        <v>15</v>
      </c>
      <c r="M163" s="5">
        <f>_xlfn.XLOOKUP(H$1,Pt_System[Stat],Pt_System[Pts])*H163</f>
        <v>9.1</v>
      </c>
      <c r="N163" s="5">
        <f>_xlfn.XLOOKUP(I$1,Pt_System[Stat],Pt_System[Pts])*I163</f>
        <v>6</v>
      </c>
      <c r="O163" t="str">
        <f>IF(COUNTIFS('Total Rushing Yards'!A:A,'Skill Pos Compiled'!$A163)=1,"Vegas Odds","2022 Stats / Prediction")</f>
        <v>Vegas Odds</v>
      </c>
      <c r="P163" t="str">
        <f>IF(COUNTIFS('Total Rushing Touchdowns'!A:A,'Skill Pos Compiled'!$A163)=1,"Vegas Odds","2022 Stats / Prediction")</f>
        <v>Vegas Odds</v>
      </c>
      <c r="Q163" t="str">
        <f>IF(COUNTIFS('Total Receptions'!A:A,'Skill Pos Compiled'!$A163)=1,"Vegas Odds","2022 Stats / Prediction")</f>
        <v>2022 Stats / Prediction</v>
      </c>
      <c r="R163" t="str">
        <f>IF(COUNTIFS('Total Receiving Yards'!A:A,'Skill Pos Compiled'!$A163)=1,"Vegas Odds","2022 Stats / Prediction")</f>
        <v>2022 Stats / Prediction</v>
      </c>
      <c r="S163" t="str">
        <f>IF(COUNTIFS('Total Receiving Touchdowns'!A:A,'Skill Pos Compiled'!$A163)=1,"Vegas Odds","2022 Stats / Prediction")</f>
        <v>2022 Stats / Prediction</v>
      </c>
      <c r="T163" s="10" t="str">
        <f t="shared" si="10"/>
        <v>Unpredictable</v>
      </c>
    </row>
    <row r="164" spans="1:20" x14ac:dyDescent="0.25">
      <c r="A164" t="s">
        <v>48</v>
      </c>
      <c r="B164" t="str">
        <f>_xlfn.XLOOKUP(A164,ADP!A:A,ADP!B:B)</f>
        <v>RB</v>
      </c>
      <c r="C164" s="9">
        <f t="shared" si="8"/>
        <v>159.35000000000002</v>
      </c>
      <c r="D164" s="9">
        <f t="shared" si="9"/>
        <v>1083.5</v>
      </c>
      <c r="E164" s="7">
        <f>IF(SUMIFS('Total Rushing Yards'!E:E,'Total Rushing Yards'!A:A,'Skill Pos Compiled'!A164)=0,SUMIFS('2022 Skill Pos Stats'!M:M,'2022 Skill Pos Stats'!A:A,'Skill Pos Compiled'!A164),SUMIFS('Total Rushing Yards'!E:E,'Total Rushing Yards'!A:A,'Skill Pos Compiled'!A164))</f>
        <v>1083.5</v>
      </c>
      <c r="F164" s="7">
        <f>IF(SUMIFS('Total Rushing Touchdowns'!B:B,'Total Rushing Touchdowns'!A:A,'Skill Pos Compiled'!A164)=0,SUMIFS('2022 Skill Pos Stats'!N:N,'2022 Skill Pos Stats'!A:A,'Skill Pos Compiled'!A164),SUMIFS('Total Rushing Touchdowns'!B:B,'Total Rushing Touchdowns'!A:A,'Skill Pos Compiled'!A164))</f>
        <v>8.5</v>
      </c>
      <c r="G164" s="7">
        <f>IF(SUMIFS('Total Receptions'!B:B,'Total Receptions'!A:A,'Skill Pos Compiled'!A164)=0,SUMIFS('2022 Skill Pos Stats'!O:O,'2022 Skill Pos Stats'!A:A,'Skill Pos Compiled'!A164),SUMIFS('Total Receptions'!B:B,'Total Receptions'!A:A,'Skill Pos Compiled'!A164))</f>
        <v>0</v>
      </c>
      <c r="H164" s="7">
        <f>IF(SUMIFS('Total Receiving Yards'!E:E,'Total Receiving Yards'!A:A,'Skill Pos Compiled'!A164)=0,SUMIFS('2022 Skill Pos Stats'!P:P,'2022 Skill Pos Stats'!A:A,'Skill Pos Compiled'!A164),SUMIFS('Total Receiving Yards'!E:E,'Total Receiving Yards'!A:A,'Skill Pos Compiled'!A164))</f>
        <v>0</v>
      </c>
      <c r="I164" s="7">
        <f>IF(SUMIFS('Total Receiving Touchdowns'!E:E,'Total Receiving Touchdowns'!A:A,'Skill Pos Compiled'!A164)=0,SUMIFS('2022 Skill Pos Stats'!Q:Q,'2022 Skill Pos Stats'!A:A,'Skill Pos Compiled'!A164),SUMIFS('Total Receiving Touchdowns'!E:E,'Total Receiving Touchdowns'!A:A,'Skill Pos Compiled'!A164))</f>
        <v>0</v>
      </c>
      <c r="J164" s="5">
        <f>_xlfn.XLOOKUP(E$1,Pt_System[Stat],Pt_System[Pts])*E164</f>
        <v>108.35000000000001</v>
      </c>
      <c r="K164" s="5">
        <f>_xlfn.XLOOKUP(F$1,Pt_System[Stat],Pt_System[Pts])*F164</f>
        <v>51</v>
      </c>
      <c r="L164" s="5">
        <f>_xlfn.XLOOKUP(G$1,Pt_System[Stat],Pt_System[Pts])*G164</f>
        <v>0</v>
      </c>
      <c r="M164" s="5">
        <f>_xlfn.XLOOKUP(H$1,Pt_System[Stat],Pt_System[Pts])*H164</f>
        <v>0</v>
      </c>
      <c r="N164" s="5">
        <f>_xlfn.XLOOKUP(I$1,Pt_System[Stat],Pt_System[Pts])*I164</f>
        <v>0</v>
      </c>
      <c r="O164" t="str">
        <f>IF(COUNTIFS('Total Rushing Yards'!A:A,'Skill Pos Compiled'!$A164)=1,"Vegas Odds","2022 Stats / Prediction")</f>
        <v>Vegas Odds</v>
      </c>
      <c r="P164" t="str">
        <f>IF(COUNTIFS('Total Rushing Touchdowns'!A:A,'Skill Pos Compiled'!$A164)=1,"Vegas Odds","2022 Stats / Prediction")</f>
        <v>Vegas Odds</v>
      </c>
      <c r="Q164" t="str">
        <f>IF(COUNTIFS('Total Receptions'!A:A,'Skill Pos Compiled'!$A164)=1,"Vegas Odds","2022 Stats / Prediction")</f>
        <v>2022 Stats / Prediction</v>
      </c>
      <c r="R164" t="str">
        <f>IF(COUNTIFS('Total Receiving Yards'!A:A,'Skill Pos Compiled'!$A164)=1,"Vegas Odds","2022 Stats / Prediction")</f>
        <v>2022 Stats / Prediction</v>
      </c>
      <c r="S164" t="str">
        <f>IF(COUNTIFS('Total Receiving Touchdowns'!A:A,'Skill Pos Compiled'!$A164)=1,"Vegas Odds","2022 Stats / Prediction")</f>
        <v>2022 Stats / Prediction</v>
      </c>
      <c r="T164" s="10" t="str">
        <f t="shared" si="10"/>
        <v>Unpredictable</v>
      </c>
    </row>
    <row r="165" spans="1:20" x14ac:dyDescent="0.25">
      <c r="A165" t="s">
        <v>26</v>
      </c>
      <c r="B165" t="str">
        <f>_xlfn.XLOOKUP(A165,ADP!A:A,ADP!B:B)</f>
        <v>WR</v>
      </c>
      <c r="C165" s="9">
        <f t="shared" si="8"/>
        <v>124.53</v>
      </c>
      <c r="D165" s="9">
        <f t="shared" si="9"/>
        <v>627.29999999999995</v>
      </c>
      <c r="E165" s="7">
        <f>IF(SUMIFS('Total Rushing Yards'!E:E,'Total Rushing Yards'!A:A,'Skill Pos Compiled'!A165)=0,SUMIFS('2022 Skill Pos Stats'!M:M,'2022 Skill Pos Stats'!A:A,'Skill Pos Compiled'!A165),SUMIFS('Total Rushing Yards'!E:E,'Total Rushing Yards'!A:A,'Skill Pos Compiled'!A165))</f>
        <v>0</v>
      </c>
      <c r="F165" s="7">
        <f>IF(SUMIFS('Total Rushing Touchdowns'!B:B,'Total Rushing Touchdowns'!A:A,'Skill Pos Compiled'!A165)=0,SUMIFS('2022 Skill Pos Stats'!N:N,'2022 Skill Pos Stats'!A:A,'Skill Pos Compiled'!A165),SUMIFS('Total Rushing Touchdowns'!B:B,'Total Rushing Touchdowns'!A:A,'Skill Pos Compiled'!A165))</f>
        <v>0</v>
      </c>
      <c r="G165" s="7">
        <f>IF(SUMIFS('Total Receptions'!B:B,'Total Receptions'!A:A,'Skill Pos Compiled'!A165)=0,SUMIFS('2022 Skill Pos Stats'!O:O,'2022 Skill Pos Stats'!A:A,'Skill Pos Compiled'!A165),SUMIFS('Total Receptions'!B:B,'Total Receptions'!A:A,'Skill Pos Compiled'!A165))</f>
        <v>40.799999999999997</v>
      </c>
      <c r="H165" s="7">
        <f>IF(SUMIFS('Total Receiving Yards'!E:E,'Total Receiving Yards'!A:A,'Skill Pos Compiled'!A165)=0,SUMIFS('2022 Skill Pos Stats'!P:P,'2022 Skill Pos Stats'!A:A,'Skill Pos Compiled'!A165),SUMIFS('Total Receiving Yards'!E:E,'Total Receiving Yards'!A:A,'Skill Pos Compiled'!A165))</f>
        <v>627.29999999999995</v>
      </c>
      <c r="I165" s="7">
        <f>IF(SUMIFS('Total Receiving Touchdowns'!E:E,'Total Receiving Touchdowns'!A:A,'Skill Pos Compiled'!A165)=0,SUMIFS('2022 Skill Pos Stats'!Q:Q,'2022 Skill Pos Stats'!A:A,'Skill Pos Compiled'!A165),SUMIFS('Total Receiving Touchdowns'!E:E,'Total Receiving Touchdowns'!A:A,'Skill Pos Compiled'!A165))</f>
        <v>3.5</v>
      </c>
      <c r="J165" s="5">
        <f>_xlfn.XLOOKUP(E$1,Pt_System[Stat],Pt_System[Pts])*E165</f>
        <v>0</v>
      </c>
      <c r="K165" s="5">
        <f>_xlfn.XLOOKUP(F$1,Pt_System[Stat],Pt_System[Pts])*F165</f>
        <v>0</v>
      </c>
      <c r="L165" s="5">
        <f>_xlfn.XLOOKUP(G$1,Pt_System[Stat],Pt_System[Pts])*G165</f>
        <v>40.799999999999997</v>
      </c>
      <c r="M165" s="5">
        <f>_xlfn.XLOOKUP(H$1,Pt_System[Stat],Pt_System[Pts])*H165</f>
        <v>62.73</v>
      </c>
      <c r="N165" s="5">
        <f>_xlfn.XLOOKUP(I$1,Pt_System[Stat],Pt_System[Pts])*I165</f>
        <v>21</v>
      </c>
      <c r="O165" t="str">
        <f>IF(COUNTIFS('Total Rushing Yards'!A:A,'Skill Pos Compiled'!$A165)=1,"Vegas Odds","2022 Stats / Prediction")</f>
        <v>2022 Stats / Prediction</v>
      </c>
      <c r="P165" t="str">
        <f>IF(COUNTIFS('Total Rushing Touchdowns'!A:A,'Skill Pos Compiled'!$A165)=1,"Vegas Odds","2022 Stats / Prediction")</f>
        <v>2022 Stats / Prediction</v>
      </c>
      <c r="Q165" t="str">
        <f>IF(COUNTIFS('Total Receptions'!A:A,'Skill Pos Compiled'!$A165)=1,"Vegas Odds","2022 Stats / Prediction")</f>
        <v>2022 Stats / Prediction</v>
      </c>
      <c r="R165" t="str">
        <f>IF(COUNTIFS('Total Receiving Yards'!A:A,'Skill Pos Compiled'!$A165)=1,"Vegas Odds","2022 Stats / Prediction")</f>
        <v>2022 Stats / Prediction</v>
      </c>
      <c r="S165" t="str">
        <f>IF(COUNTIFS('Total Receiving Touchdowns'!A:A,'Skill Pos Compiled'!$A165)=1,"Vegas Odds","2022 Stats / Prediction")</f>
        <v>Vegas Odds</v>
      </c>
      <c r="T165" s="10" t="str">
        <f t="shared" si="10"/>
        <v>Unpredictable</v>
      </c>
    </row>
    <row r="166" spans="1:20" x14ac:dyDescent="0.25">
      <c r="A166" t="s">
        <v>125</v>
      </c>
      <c r="B166" t="str">
        <f>_xlfn.XLOOKUP(A166,ADP!A:A,ADP!B:B)</f>
        <v>WR</v>
      </c>
      <c r="C166" s="9">
        <f t="shared" si="8"/>
        <v>56.25</v>
      </c>
      <c r="D166" s="9">
        <f t="shared" si="9"/>
        <v>562.5</v>
      </c>
      <c r="E166" s="7">
        <f>IF(SUMIFS('Total Rushing Yards'!E:E,'Total Rushing Yards'!A:A,'Skill Pos Compiled'!A166)=0,SUMIFS('2022 Skill Pos Stats'!M:M,'2022 Skill Pos Stats'!A:A,'Skill Pos Compiled'!A166),SUMIFS('Total Rushing Yards'!E:E,'Total Rushing Yards'!A:A,'Skill Pos Compiled'!A166))</f>
        <v>0</v>
      </c>
      <c r="F166" s="7">
        <f>IF(SUMIFS('Total Rushing Touchdowns'!B:B,'Total Rushing Touchdowns'!A:A,'Skill Pos Compiled'!A166)=0,SUMIFS('2022 Skill Pos Stats'!N:N,'2022 Skill Pos Stats'!A:A,'Skill Pos Compiled'!A166),SUMIFS('Total Rushing Touchdowns'!B:B,'Total Rushing Touchdowns'!A:A,'Skill Pos Compiled'!A166))</f>
        <v>0</v>
      </c>
      <c r="G166" s="7">
        <f>IF(SUMIFS('Total Receptions'!B:B,'Total Receptions'!A:A,'Skill Pos Compiled'!A166)=0,SUMIFS('2022 Skill Pos Stats'!O:O,'2022 Skill Pos Stats'!A:A,'Skill Pos Compiled'!A166),SUMIFS('Total Receptions'!B:B,'Total Receptions'!A:A,'Skill Pos Compiled'!A166))</f>
        <v>0</v>
      </c>
      <c r="H166" s="7">
        <f>IF(SUMIFS('Total Receiving Yards'!E:E,'Total Receiving Yards'!A:A,'Skill Pos Compiled'!A166)=0,SUMIFS('2022 Skill Pos Stats'!P:P,'2022 Skill Pos Stats'!A:A,'Skill Pos Compiled'!A166),SUMIFS('Total Receiving Yards'!E:E,'Total Receiving Yards'!A:A,'Skill Pos Compiled'!A166))</f>
        <v>562.5</v>
      </c>
      <c r="I166" s="7">
        <f>IF(SUMIFS('Total Receiving Touchdowns'!E:E,'Total Receiving Touchdowns'!A:A,'Skill Pos Compiled'!A166)=0,SUMIFS('2022 Skill Pos Stats'!Q:Q,'2022 Skill Pos Stats'!A:A,'Skill Pos Compiled'!A166),SUMIFS('Total Receiving Touchdowns'!E:E,'Total Receiving Touchdowns'!A:A,'Skill Pos Compiled'!A166))</f>
        <v>0</v>
      </c>
      <c r="J166" s="5">
        <f>_xlfn.XLOOKUP(E$1,Pt_System[Stat],Pt_System[Pts])*E166</f>
        <v>0</v>
      </c>
      <c r="K166" s="5">
        <f>_xlfn.XLOOKUP(F$1,Pt_System[Stat],Pt_System[Pts])*F166</f>
        <v>0</v>
      </c>
      <c r="L166" s="5">
        <f>_xlfn.XLOOKUP(G$1,Pt_System[Stat],Pt_System[Pts])*G166</f>
        <v>0</v>
      </c>
      <c r="M166" s="5">
        <f>_xlfn.XLOOKUP(H$1,Pt_System[Stat],Pt_System[Pts])*H166</f>
        <v>56.25</v>
      </c>
      <c r="N166" s="5">
        <f>_xlfn.XLOOKUP(I$1,Pt_System[Stat],Pt_System[Pts])*I166</f>
        <v>0</v>
      </c>
      <c r="O166" t="str">
        <f>IF(COUNTIFS('Total Rushing Yards'!A:A,'Skill Pos Compiled'!$A166)=1,"Vegas Odds","2022 Stats / Prediction")</f>
        <v>2022 Stats / Prediction</v>
      </c>
      <c r="P166" t="str">
        <f>IF(COUNTIFS('Total Rushing Touchdowns'!A:A,'Skill Pos Compiled'!$A166)=1,"Vegas Odds","2022 Stats / Prediction")</f>
        <v>2022 Stats / Prediction</v>
      </c>
      <c r="Q166" t="str">
        <f>IF(COUNTIFS('Total Receptions'!A:A,'Skill Pos Compiled'!$A166)=1,"Vegas Odds","2022 Stats / Prediction")</f>
        <v>2022 Stats / Prediction</v>
      </c>
      <c r="R166" t="str">
        <f>IF(COUNTIFS('Total Receiving Yards'!A:A,'Skill Pos Compiled'!$A166)=1,"Vegas Odds","2022 Stats / Prediction")</f>
        <v>Vegas Odds</v>
      </c>
      <c r="S166" t="str">
        <f>IF(COUNTIFS('Total Receiving Touchdowns'!A:A,'Skill Pos Compiled'!$A166)=1,"Vegas Odds","2022 Stats / Prediction")</f>
        <v>2022 Stats / Prediction</v>
      </c>
      <c r="T166" s="10" t="str">
        <f t="shared" si="10"/>
        <v>Unpredictable</v>
      </c>
    </row>
    <row r="167" spans="1:20" x14ac:dyDescent="0.25">
      <c r="A167" t="s">
        <v>359</v>
      </c>
      <c r="B167" t="str">
        <f>_xlfn.XLOOKUP(A167,ADP!A:A,ADP!B:B)</f>
        <v>WR</v>
      </c>
      <c r="C167" s="9">
        <f t="shared" si="8"/>
        <v>123.01666666666667</v>
      </c>
      <c r="D167" s="9">
        <f t="shared" si="9"/>
        <v>575.16666666666663</v>
      </c>
      <c r="E167" s="7">
        <f>IF(SUMIFS('Total Rushing Yards'!E:E,'Total Rushing Yards'!A:A,'Skill Pos Compiled'!A167)=0,SUMIFS('2022 Skill Pos Stats'!M:M,'2022 Skill Pos Stats'!A:A,'Skill Pos Compiled'!A167),SUMIFS('Total Rushing Yards'!E:E,'Total Rushing Yards'!A:A,'Skill Pos Compiled'!A167))</f>
        <v>0</v>
      </c>
      <c r="F167" s="7">
        <f>IF(SUMIFS('Total Rushing Touchdowns'!B:B,'Total Rushing Touchdowns'!A:A,'Skill Pos Compiled'!A167)=0,SUMIFS('2022 Skill Pos Stats'!N:N,'2022 Skill Pos Stats'!A:A,'Skill Pos Compiled'!A167),SUMIFS('Total Rushing Touchdowns'!B:B,'Total Rushing Touchdowns'!A:A,'Skill Pos Compiled'!A167))</f>
        <v>0</v>
      </c>
      <c r="G167" s="7">
        <f>IF(SUMIFS('Total Receptions'!B:B,'Total Receptions'!A:A,'Skill Pos Compiled'!A167)=0,SUMIFS('2022 Skill Pos Stats'!O:O,'2022 Skill Pos Stats'!A:A,'Skill Pos Compiled'!A167),SUMIFS('Total Receptions'!B:B,'Total Receptions'!A:A,'Skill Pos Compiled'!A167))</f>
        <v>40.5</v>
      </c>
      <c r="H167" s="7">
        <f>IF(SUMIFS('Total Receiving Yards'!E:E,'Total Receiving Yards'!A:A,'Skill Pos Compiled'!A167)=0,SUMIFS('2022 Skill Pos Stats'!P:P,'2022 Skill Pos Stats'!A:A,'Skill Pos Compiled'!A167),SUMIFS('Total Receiving Yards'!E:E,'Total Receiving Yards'!A:A,'Skill Pos Compiled'!A167))</f>
        <v>575.16666666666663</v>
      </c>
      <c r="I167" s="7">
        <f>IF(SUMIFS('Total Receiving Touchdowns'!E:E,'Total Receiving Touchdowns'!A:A,'Skill Pos Compiled'!A167)=0,SUMIFS('2022 Skill Pos Stats'!Q:Q,'2022 Skill Pos Stats'!A:A,'Skill Pos Compiled'!A167),SUMIFS('Total Receiving Touchdowns'!E:E,'Total Receiving Touchdowns'!A:A,'Skill Pos Compiled'!A167))</f>
        <v>4.166666666666667</v>
      </c>
      <c r="J167" s="5">
        <f>_xlfn.XLOOKUP(E$1,Pt_System[Stat],Pt_System[Pts])*E167</f>
        <v>0</v>
      </c>
      <c r="K167" s="5">
        <f>_xlfn.XLOOKUP(F$1,Pt_System[Stat],Pt_System[Pts])*F167</f>
        <v>0</v>
      </c>
      <c r="L167" s="5">
        <f>_xlfn.XLOOKUP(G$1,Pt_System[Stat],Pt_System[Pts])*G167</f>
        <v>40.5</v>
      </c>
      <c r="M167" s="5">
        <f>_xlfn.XLOOKUP(H$1,Pt_System[Stat],Pt_System[Pts])*H167</f>
        <v>57.516666666666666</v>
      </c>
      <c r="N167" s="5">
        <f>_xlfn.XLOOKUP(I$1,Pt_System[Stat],Pt_System[Pts])*I167</f>
        <v>25</v>
      </c>
      <c r="O167" t="str">
        <f>IF(COUNTIFS('Total Rushing Yards'!A:A,'Skill Pos Compiled'!$A167)=1,"Vegas Odds","2022 Stats / Prediction")</f>
        <v>2022 Stats / Prediction</v>
      </c>
      <c r="P167" t="str">
        <f>IF(COUNTIFS('Total Rushing Touchdowns'!A:A,'Skill Pos Compiled'!$A167)=1,"Vegas Odds","2022 Stats / Prediction")</f>
        <v>2022 Stats / Prediction</v>
      </c>
      <c r="Q167" t="str">
        <f>IF(COUNTIFS('Total Receptions'!A:A,'Skill Pos Compiled'!$A167)=1,"Vegas Odds","2022 Stats / Prediction")</f>
        <v>Vegas Odds</v>
      </c>
      <c r="R167" t="str">
        <f>IF(COUNTIFS('Total Receiving Yards'!A:A,'Skill Pos Compiled'!$A167)=1,"Vegas Odds","2022 Stats / Prediction")</f>
        <v>Vegas Odds</v>
      </c>
      <c r="S167" t="str">
        <f>IF(COUNTIFS('Total Receiving Touchdowns'!A:A,'Skill Pos Compiled'!$A167)=1,"Vegas Odds","2022 Stats / Prediction")</f>
        <v>Vegas Odds</v>
      </c>
      <c r="T167" s="10" t="str">
        <f t="shared" si="10"/>
        <v>OK</v>
      </c>
    </row>
  </sheetData>
  <conditionalFormatting sqref="O2:S167">
    <cfRule type="containsText" dxfId="7" priority="5" operator="containsText" text="2022">
      <formula>NOT(ISERROR(SEARCH("2022",O2)))</formula>
    </cfRule>
    <cfRule type="containsText" dxfId="6" priority="6" operator="containsText" text="Vegas">
      <formula>NOT(ISERROR(SEARCH("Vegas",O2)))</formula>
    </cfRule>
  </conditionalFormatting>
  <conditionalFormatting sqref="S167">
    <cfRule type="containsText" dxfId="5" priority="3" operator="containsText" text="2022">
      <formula>NOT(ISERROR(SEARCH("2022",S167)))</formula>
    </cfRule>
    <cfRule type="containsText" dxfId="4" priority="4" operator="containsText" text="Vegas">
      <formula>NOT(ISERROR(SEARCH("Vegas",S167)))</formula>
    </cfRule>
  </conditionalFormatting>
  <conditionalFormatting sqref="O166:R167">
    <cfRule type="containsText" dxfId="3" priority="1" operator="containsText" text="2022">
      <formula>NOT(ISERROR(SEARCH("2022",O166)))</formula>
    </cfRule>
    <cfRule type="containsText" dxfId="2" priority="2" operator="containsText" text="Vegas">
      <formula>NOT(ISERROR(SEARCH("Vegas",O166)))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6FA125-DC49-4396-A2AD-1D70B9D43D5F}">
  <sheetPr codeName="Sheet13"/>
  <dimension ref="A1:Q251"/>
  <sheetViews>
    <sheetView workbookViewId="0">
      <pane ySplit="1" topLeftCell="A2" activePane="bottomLeft" state="frozen"/>
      <selection pane="bottomLeft" activeCell="G1" sqref="G1"/>
    </sheetView>
  </sheetViews>
  <sheetFormatPr defaultRowHeight="15" x14ac:dyDescent="0.25"/>
  <cols>
    <col min="1" max="1" width="26.140625" bestFit="1" customWidth="1"/>
    <col min="2" max="2" width="5.85546875" bestFit="1" customWidth="1"/>
    <col min="3" max="3" width="3" bestFit="1" customWidth="1"/>
    <col min="4" max="4" width="8.42578125" bestFit="1" customWidth="1"/>
    <col min="5" max="5" width="10.42578125" bestFit="1" customWidth="1"/>
    <col min="6" max="6" width="8" bestFit="1" customWidth="1"/>
    <col min="7" max="7" width="10.140625" bestFit="1" customWidth="1"/>
    <col min="8" max="8" width="4.140625" bestFit="1" customWidth="1"/>
    <col min="9" max="9" width="9.28515625" bestFit="1" customWidth="1"/>
    <col min="10" max="10" width="6.85546875" bestFit="1" customWidth="1"/>
    <col min="11" max="11" width="6" bestFit="1" customWidth="1"/>
    <col min="12" max="12" width="6.85546875" bestFit="1" customWidth="1"/>
    <col min="13" max="13" width="22.7109375" bestFit="1" customWidth="1"/>
    <col min="14" max="14" width="20" bestFit="1" customWidth="1"/>
    <col min="15" max="15" width="15.28515625" bestFit="1" customWidth="1"/>
    <col min="16" max="16" width="15.28515625" customWidth="1"/>
    <col min="17" max="17" width="18.85546875" bestFit="1" customWidth="1"/>
  </cols>
  <sheetData>
    <row r="1" spans="1:17" x14ac:dyDescent="0.25">
      <c r="A1" t="s">
        <v>77</v>
      </c>
      <c r="B1" t="s">
        <v>140</v>
      </c>
      <c r="C1" t="s">
        <v>141</v>
      </c>
      <c r="D1" t="s">
        <v>187</v>
      </c>
      <c r="E1" t="s">
        <v>188</v>
      </c>
      <c r="F1" t="s">
        <v>189</v>
      </c>
      <c r="G1" t="s">
        <v>190</v>
      </c>
      <c r="H1" t="s">
        <v>186</v>
      </c>
      <c r="I1" t="s">
        <v>191</v>
      </c>
      <c r="J1" t="s">
        <v>192</v>
      </c>
      <c r="K1" t="s">
        <v>147</v>
      </c>
      <c r="L1" t="s">
        <v>148</v>
      </c>
      <c r="M1" s="6" t="s">
        <v>193</v>
      </c>
      <c r="N1" s="6" t="s">
        <v>194</v>
      </c>
      <c r="O1" s="6" t="s">
        <v>195</v>
      </c>
      <c r="P1" s="6" t="s">
        <v>197</v>
      </c>
      <c r="Q1" s="6" t="s">
        <v>196</v>
      </c>
    </row>
    <row r="2" spans="1:17" x14ac:dyDescent="0.25">
      <c r="A2" t="s">
        <v>30</v>
      </c>
      <c r="B2" t="s">
        <v>149</v>
      </c>
      <c r="C2">
        <v>17</v>
      </c>
      <c r="D2">
        <v>0</v>
      </c>
      <c r="E2">
        <v>0</v>
      </c>
      <c r="F2">
        <v>0</v>
      </c>
      <c r="G2">
        <v>152</v>
      </c>
      <c r="H2">
        <v>110</v>
      </c>
      <c r="I2">
        <v>1338</v>
      </c>
      <c r="J2">
        <v>12</v>
      </c>
      <c r="K2">
        <v>206.3</v>
      </c>
      <c r="L2">
        <v>12.1</v>
      </c>
      <c r="M2" s="5">
        <f>17/$C2*E2</f>
        <v>0</v>
      </c>
      <c r="N2" s="5">
        <f>17/$C2*F2</f>
        <v>0</v>
      </c>
      <c r="O2" s="5">
        <f>17/$C2*H2</f>
        <v>110</v>
      </c>
      <c r="P2" s="5">
        <f>17/$C2*I2</f>
        <v>1338</v>
      </c>
      <c r="Q2" s="5">
        <f>17/$C2*J2</f>
        <v>12</v>
      </c>
    </row>
    <row r="3" spans="1:17" x14ac:dyDescent="0.25">
      <c r="A3" t="s">
        <v>3</v>
      </c>
      <c r="B3" t="s">
        <v>174</v>
      </c>
      <c r="C3">
        <v>15</v>
      </c>
      <c r="D3">
        <v>0</v>
      </c>
      <c r="E3">
        <v>0</v>
      </c>
      <c r="F3">
        <v>0</v>
      </c>
      <c r="G3">
        <v>86</v>
      </c>
      <c r="H3">
        <v>60</v>
      </c>
      <c r="I3">
        <v>765</v>
      </c>
      <c r="J3">
        <v>11</v>
      </c>
      <c r="K3">
        <v>142.5</v>
      </c>
      <c r="L3">
        <v>9.5</v>
      </c>
      <c r="M3" s="5">
        <f t="shared" ref="M3:M66" si="0">17/$C3*E3</f>
        <v>0</v>
      </c>
      <c r="N3" s="5">
        <f t="shared" ref="N3:N66" si="1">17/$C3*F3</f>
        <v>0</v>
      </c>
      <c r="O3" s="5">
        <f t="shared" ref="O3:O66" si="2">17/$C3*H3</f>
        <v>68</v>
      </c>
      <c r="P3" s="5">
        <f t="shared" ref="P3:P66" si="3">17/$C3*I3</f>
        <v>867</v>
      </c>
      <c r="Q3" s="5">
        <f t="shared" ref="Q3:Q66" si="4">17/$C3*J3</f>
        <v>12.466666666666667</v>
      </c>
    </row>
    <row r="4" spans="1:17" x14ac:dyDescent="0.25">
      <c r="A4" t="s">
        <v>303</v>
      </c>
      <c r="B4" t="s">
        <v>157</v>
      </c>
      <c r="C4">
        <v>17</v>
      </c>
      <c r="D4">
        <v>0</v>
      </c>
      <c r="E4">
        <v>0</v>
      </c>
      <c r="F4">
        <v>0</v>
      </c>
      <c r="G4">
        <v>129</v>
      </c>
      <c r="H4">
        <v>86</v>
      </c>
      <c r="I4">
        <v>914</v>
      </c>
      <c r="J4">
        <v>6</v>
      </c>
      <c r="K4">
        <v>127.4</v>
      </c>
      <c r="L4">
        <v>7.5</v>
      </c>
      <c r="M4" s="5">
        <f t="shared" si="0"/>
        <v>0</v>
      </c>
      <c r="N4" s="5">
        <f t="shared" si="1"/>
        <v>0</v>
      </c>
      <c r="O4" s="5">
        <f t="shared" si="2"/>
        <v>86</v>
      </c>
      <c r="P4" s="5">
        <f t="shared" si="3"/>
        <v>914</v>
      </c>
      <c r="Q4" s="5">
        <f t="shared" si="4"/>
        <v>6</v>
      </c>
    </row>
    <row r="5" spans="1:17" x14ac:dyDescent="0.25">
      <c r="A5" t="s">
        <v>240</v>
      </c>
      <c r="B5" t="s">
        <v>172</v>
      </c>
      <c r="C5">
        <v>16</v>
      </c>
      <c r="D5">
        <v>0</v>
      </c>
      <c r="E5">
        <v>0</v>
      </c>
      <c r="F5">
        <v>0</v>
      </c>
      <c r="G5">
        <v>13</v>
      </c>
      <c r="H5">
        <v>9</v>
      </c>
      <c r="I5">
        <v>77</v>
      </c>
      <c r="J5">
        <v>2</v>
      </c>
      <c r="K5">
        <v>119.2</v>
      </c>
      <c r="L5">
        <v>7.5</v>
      </c>
      <c r="M5" s="5">
        <f t="shared" si="0"/>
        <v>0</v>
      </c>
      <c r="N5" s="5">
        <f t="shared" si="1"/>
        <v>0</v>
      </c>
      <c r="O5" s="5">
        <f t="shared" si="2"/>
        <v>9.5625</v>
      </c>
      <c r="P5" s="5">
        <f t="shared" si="3"/>
        <v>81.8125</v>
      </c>
      <c r="Q5" s="5">
        <f t="shared" si="4"/>
        <v>2.125</v>
      </c>
    </row>
    <row r="6" spans="1:17" x14ac:dyDescent="0.25">
      <c r="A6" t="s">
        <v>44</v>
      </c>
      <c r="B6" t="s">
        <v>165</v>
      </c>
      <c r="C6">
        <v>15</v>
      </c>
      <c r="D6">
        <v>0</v>
      </c>
      <c r="E6">
        <v>0</v>
      </c>
      <c r="F6">
        <v>0</v>
      </c>
      <c r="G6">
        <v>113</v>
      </c>
      <c r="H6">
        <v>73</v>
      </c>
      <c r="I6">
        <v>847</v>
      </c>
      <c r="J6">
        <v>5</v>
      </c>
      <c r="K6">
        <v>115.5</v>
      </c>
      <c r="L6">
        <v>7.7</v>
      </c>
      <c r="M6" s="5">
        <f t="shared" si="0"/>
        <v>0</v>
      </c>
      <c r="N6" s="5">
        <f t="shared" si="1"/>
        <v>0</v>
      </c>
      <c r="O6" s="5">
        <f t="shared" si="2"/>
        <v>82.733333333333334</v>
      </c>
      <c r="P6" s="5">
        <f t="shared" si="3"/>
        <v>959.93333333333328</v>
      </c>
      <c r="Q6" s="5">
        <f t="shared" si="4"/>
        <v>5.6666666666666661</v>
      </c>
    </row>
    <row r="7" spans="1:17" x14ac:dyDescent="0.25">
      <c r="A7" t="s">
        <v>25</v>
      </c>
      <c r="B7" t="s">
        <v>155</v>
      </c>
      <c r="C7">
        <v>17</v>
      </c>
      <c r="D7">
        <v>0</v>
      </c>
      <c r="E7">
        <v>0</v>
      </c>
      <c r="F7">
        <v>0</v>
      </c>
      <c r="G7">
        <v>98</v>
      </c>
      <c r="H7">
        <v>73</v>
      </c>
      <c r="I7">
        <v>766</v>
      </c>
      <c r="J7">
        <v>4</v>
      </c>
      <c r="K7">
        <v>101.9</v>
      </c>
      <c r="L7">
        <v>6</v>
      </c>
      <c r="M7" s="5">
        <f t="shared" si="0"/>
        <v>0</v>
      </c>
      <c r="N7" s="5">
        <f t="shared" si="1"/>
        <v>0</v>
      </c>
      <c r="O7" s="5">
        <f t="shared" si="2"/>
        <v>73</v>
      </c>
      <c r="P7" s="5">
        <f t="shared" si="3"/>
        <v>766</v>
      </c>
      <c r="Q7" s="5">
        <f t="shared" si="4"/>
        <v>4</v>
      </c>
    </row>
    <row r="8" spans="1:17" x14ac:dyDescent="0.25">
      <c r="A8" t="s">
        <v>241</v>
      </c>
      <c r="B8" t="s">
        <v>158</v>
      </c>
      <c r="C8">
        <v>17</v>
      </c>
      <c r="D8">
        <v>0</v>
      </c>
      <c r="E8">
        <v>0</v>
      </c>
      <c r="F8">
        <v>0</v>
      </c>
      <c r="G8">
        <v>69</v>
      </c>
      <c r="H8">
        <v>50</v>
      </c>
      <c r="I8">
        <v>544</v>
      </c>
      <c r="J8">
        <v>7</v>
      </c>
      <c r="K8">
        <v>97.3</v>
      </c>
      <c r="L8">
        <v>5.7</v>
      </c>
      <c r="M8" s="5">
        <f t="shared" si="0"/>
        <v>0</v>
      </c>
      <c r="N8" s="5">
        <f t="shared" si="1"/>
        <v>0</v>
      </c>
      <c r="O8" s="5">
        <f t="shared" si="2"/>
        <v>50</v>
      </c>
      <c r="P8" s="5">
        <f t="shared" si="3"/>
        <v>544</v>
      </c>
      <c r="Q8" s="5">
        <f t="shared" si="4"/>
        <v>7</v>
      </c>
    </row>
    <row r="9" spans="1:17" x14ac:dyDescent="0.25">
      <c r="A9" t="s">
        <v>242</v>
      </c>
      <c r="B9" t="s">
        <v>172</v>
      </c>
      <c r="C9">
        <v>16</v>
      </c>
      <c r="D9">
        <v>0</v>
      </c>
      <c r="E9">
        <v>0</v>
      </c>
      <c r="F9">
        <v>0</v>
      </c>
      <c r="G9">
        <v>65</v>
      </c>
      <c r="H9">
        <v>42</v>
      </c>
      <c r="I9">
        <v>508</v>
      </c>
      <c r="J9">
        <v>7</v>
      </c>
      <c r="K9">
        <v>92.8</v>
      </c>
      <c r="L9">
        <v>5.8</v>
      </c>
      <c r="M9" s="5">
        <f t="shared" si="0"/>
        <v>0</v>
      </c>
      <c r="N9" s="5">
        <f t="shared" si="1"/>
        <v>0</v>
      </c>
      <c r="O9" s="5">
        <f t="shared" si="2"/>
        <v>44.625</v>
      </c>
      <c r="P9" s="5">
        <f t="shared" si="3"/>
        <v>539.75</v>
      </c>
      <c r="Q9" s="5">
        <f t="shared" si="4"/>
        <v>7.4375</v>
      </c>
    </row>
    <row r="10" spans="1:17" x14ac:dyDescent="0.25">
      <c r="A10" t="s">
        <v>24</v>
      </c>
      <c r="B10" t="s">
        <v>151</v>
      </c>
      <c r="C10">
        <v>12</v>
      </c>
      <c r="D10">
        <v>0</v>
      </c>
      <c r="E10">
        <v>0</v>
      </c>
      <c r="F10">
        <v>0</v>
      </c>
      <c r="G10">
        <v>69</v>
      </c>
      <c r="H10">
        <v>55</v>
      </c>
      <c r="I10">
        <v>702</v>
      </c>
      <c r="J10">
        <v>3</v>
      </c>
      <c r="K10">
        <v>88.2</v>
      </c>
      <c r="L10">
        <v>7.4</v>
      </c>
      <c r="M10" s="5">
        <f t="shared" si="0"/>
        <v>0</v>
      </c>
      <c r="N10" s="5">
        <f t="shared" si="1"/>
        <v>0</v>
      </c>
      <c r="O10" s="5">
        <f t="shared" si="2"/>
        <v>77.916666666666671</v>
      </c>
      <c r="P10" s="5">
        <f t="shared" si="3"/>
        <v>994.5</v>
      </c>
      <c r="Q10" s="5">
        <f t="shared" si="4"/>
        <v>4.25</v>
      </c>
    </row>
    <row r="11" spans="1:17" x14ac:dyDescent="0.25">
      <c r="A11" t="s">
        <v>22</v>
      </c>
      <c r="B11" t="s">
        <v>150</v>
      </c>
      <c r="C11">
        <v>15</v>
      </c>
      <c r="D11">
        <v>0</v>
      </c>
      <c r="E11">
        <v>0</v>
      </c>
      <c r="F11">
        <v>0</v>
      </c>
      <c r="G11">
        <v>65</v>
      </c>
      <c r="H11">
        <v>48</v>
      </c>
      <c r="I11">
        <v>517</v>
      </c>
      <c r="J11">
        <v>6</v>
      </c>
      <c r="K11">
        <v>87.7</v>
      </c>
      <c r="L11">
        <v>5.8</v>
      </c>
      <c r="M11" s="5">
        <f t="shared" si="0"/>
        <v>0</v>
      </c>
      <c r="N11" s="5">
        <f t="shared" si="1"/>
        <v>0</v>
      </c>
      <c r="O11" s="5">
        <f t="shared" si="2"/>
        <v>54.4</v>
      </c>
      <c r="P11" s="5">
        <f t="shared" si="3"/>
        <v>585.93333333333328</v>
      </c>
      <c r="Q11" s="5">
        <f t="shared" si="4"/>
        <v>6.8</v>
      </c>
    </row>
    <row r="12" spans="1:17" x14ac:dyDescent="0.25">
      <c r="A12" t="s">
        <v>118</v>
      </c>
      <c r="B12" t="s">
        <v>166</v>
      </c>
      <c r="C12">
        <v>15</v>
      </c>
      <c r="D12">
        <v>0</v>
      </c>
      <c r="E12">
        <v>0</v>
      </c>
      <c r="F12">
        <v>0</v>
      </c>
      <c r="G12">
        <v>89</v>
      </c>
      <c r="H12">
        <v>57</v>
      </c>
      <c r="I12">
        <v>577</v>
      </c>
      <c r="J12">
        <v>5</v>
      </c>
      <c r="K12">
        <v>87.7</v>
      </c>
      <c r="L12">
        <v>5.8</v>
      </c>
      <c r="M12" s="5">
        <f t="shared" si="0"/>
        <v>0</v>
      </c>
      <c r="N12" s="5">
        <f t="shared" si="1"/>
        <v>0</v>
      </c>
      <c r="O12" s="5">
        <f t="shared" si="2"/>
        <v>64.599999999999994</v>
      </c>
      <c r="P12" s="5">
        <f t="shared" si="3"/>
        <v>653.93333333333328</v>
      </c>
      <c r="Q12" s="5">
        <f t="shared" si="4"/>
        <v>5.6666666666666661</v>
      </c>
    </row>
    <row r="13" spans="1:17" x14ac:dyDescent="0.25">
      <c r="A13" t="s">
        <v>23</v>
      </c>
      <c r="B13" t="s">
        <v>173</v>
      </c>
      <c r="C13">
        <v>14</v>
      </c>
      <c r="D13">
        <v>0</v>
      </c>
      <c r="E13">
        <v>0</v>
      </c>
      <c r="F13">
        <v>0</v>
      </c>
      <c r="G13">
        <v>80</v>
      </c>
      <c r="H13">
        <v>58</v>
      </c>
      <c r="I13">
        <v>628</v>
      </c>
      <c r="J13">
        <v>4</v>
      </c>
      <c r="K13">
        <v>86</v>
      </c>
      <c r="L13">
        <v>6.1</v>
      </c>
      <c r="M13" s="5">
        <f t="shared" si="0"/>
        <v>0</v>
      </c>
      <c r="N13" s="5">
        <f t="shared" si="1"/>
        <v>0</v>
      </c>
      <c r="O13" s="5">
        <f t="shared" si="2"/>
        <v>70.428571428571416</v>
      </c>
      <c r="P13" s="5">
        <f t="shared" si="3"/>
        <v>762.57142857142856</v>
      </c>
      <c r="Q13" s="5">
        <f t="shared" si="4"/>
        <v>4.8571428571428568</v>
      </c>
    </row>
    <row r="14" spans="1:17" x14ac:dyDescent="0.25">
      <c r="A14" t="s">
        <v>119</v>
      </c>
      <c r="B14" t="s">
        <v>176</v>
      </c>
      <c r="C14">
        <v>15</v>
      </c>
      <c r="D14">
        <v>0</v>
      </c>
      <c r="E14">
        <v>0</v>
      </c>
      <c r="F14">
        <v>0</v>
      </c>
      <c r="G14">
        <v>98</v>
      </c>
      <c r="H14">
        <v>63</v>
      </c>
      <c r="I14">
        <v>732</v>
      </c>
      <c r="J14">
        <v>2</v>
      </c>
      <c r="K14">
        <v>85.2</v>
      </c>
      <c r="L14">
        <v>5.7</v>
      </c>
      <c r="M14" s="5">
        <f t="shared" si="0"/>
        <v>0</v>
      </c>
      <c r="N14" s="5">
        <f t="shared" si="1"/>
        <v>0</v>
      </c>
      <c r="O14" s="5">
        <f t="shared" si="2"/>
        <v>71.399999999999991</v>
      </c>
      <c r="P14" s="5">
        <f t="shared" si="3"/>
        <v>829.6</v>
      </c>
      <c r="Q14" s="5">
        <f t="shared" si="4"/>
        <v>2.2666666666666666</v>
      </c>
    </row>
    <row r="15" spans="1:17" x14ac:dyDescent="0.25">
      <c r="A15" t="s">
        <v>9</v>
      </c>
      <c r="B15" t="s">
        <v>179</v>
      </c>
      <c r="C15">
        <v>16</v>
      </c>
      <c r="D15">
        <v>0</v>
      </c>
      <c r="E15">
        <v>0</v>
      </c>
      <c r="F15">
        <v>0</v>
      </c>
      <c r="G15">
        <v>108</v>
      </c>
      <c r="H15">
        <v>72</v>
      </c>
      <c r="I15">
        <v>620</v>
      </c>
      <c r="J15">
        <v>3</v>
      </c>
      <c r="K15">
        <v>80</v>
      </c>
      <c r="L15">
        <v>5</v>
      </c>
      <c r="M15" s="5">
        <f t="shared" si="0"/>
        <v>0</v>
      </c>
      <c r="N15" s="5">
        <f t="shared" si="1"/>
        <v>0</v>
      </c>
      <c r="O15" s="5">
        <f t="shared" si="2"/>
        <v>76.5</v>
      </c>
      <c r="P15" s="5">
        <f t="shared" si="3"/>
        <v>658.75</v>
      </c>
      <c r="Q15" s="5">
        <f t="shared" si="4"/>
        <v>3.1875</v>
      </c>
    </row>
    <row r="16" spans="1:17" x14ac:dyDescent="0.25">
      <c r="A16" t="s">
        <v>243</v>
      </c>
      <c r="B16" t="s">
        <v>167</v>
      </c>
      <c r="C16">
        <v>15</v>
      </c>
      <c r="D16">
        <v>0</v>
      </c>
      <c r="E16">
        <v>0</v>
      </c>
      <c r="F16">
        <v>0</v>
      </c>
      <c r="G16">
        <v>54</v>
      </c>
      <c r="H16">
        <v>37</v>
      </c>
      <c r="I16">
        <v>495</v>
      </c>
      <c r="J16">
        <v>5</v>
      </c>
      <c r="K16">
        <v>79.5</v>
      </c>
      <c r="L16">
        <v>5.3</v>
      </c>
      <c r="M16" s="5">
        <f t="shared" si="0"/>
        <v>0</v>
      </c>
      <c r="N16" s="5">
        <f t="shared" si="1"/>
        <v>0</v>
      </c>
      <c r="O16" s="5">
        <f t="shared" si="2"/>
        <v>41.93333333333333</v>
      </c>
      <c r="P16" s="5">
        <f t="shared" si="3"/>
        <v>561</v>
      </c>
      <c r="Q16" s="5">
        <f t="shared" si="4"/>
        <v>5.6666666666666661</v>
      </c>
    </row>
    <row r="17" spans="1:17" x14ac:dyDescent="0.25">
      <c r="A17" t="s">
        <v>244</v>
      </c>
      <c r="B17" t="s">
        <v>156</v>
      </c>
      <c r="C17">
        <v>15</v>
      </c>
      <c r="D17">
        <v>0</v>
      </c>
      <c r="E17">
        <v>0</v>
      </c>
      <c r="F17">
        <v>0</v>
      </c>
      <c r="G17">
        <v>87</v>
      </c>
      <c r="H17">
        <v>58</v>
      </c>
      <c r="I17">
        <v>555</v>
      </c>
      <c r="J17">
        <v>4</v>
      </c>
      <c r="K17">
        <v>79.5</v>
      </c>
      <c r="L17">
        <v>5.3</v>
      </c>
      <c r="M17" s="5">
        <f t="shared" si="0"/>
        <v>0</v>
      </c>
      <c r="N17" s="5">
        <f t="shared" si="1"/>
        <v>0</v>
      </c>
      <c r="O17" s="5">
        <f t="shared" si="2"/>
        <v>65.733333333333334</v>
      </c>
      <c r="P17" s="5">
        <f t="shared" si="3"/>
        <v>629</v>
      </c>
      <c r="Q17" s="5">
        <f t="shared" si="4"/>
        <v>4.5333333333333332</v>
      </c>
    </row>
    <row r="18" spans="1:17" x14ac:dyDescent="0.25">
      <c r="A18" t="s">
        <v>245</v>
      </c>
      <c r="B18" t="s">
        <v>180</v>
      </c>
      <c r="C18">
        <v>17</v>
      </c>
      <c r="D18">
        <v>0</v>
      </c>
      <c r="E18">
        <v>0</v>
      </c>
      <c r="F18">
        <v>0</v>
      </c>
      <c r="G18">
        <v>87</v>
      </c>
      <c r="H18">
        <v>58</v>
      </c>
      <c r="I18">
        <v>552</v>
      </c>
      <c r="J18">
        <v>3</v>
      </c>
      <c r="K18">
        <v>73.5</v>
      </c>
      <c r="L18">
        <v>4.3</v>
      </c>
      <c r="M18" s="5">
        <f t="shared" si="0"/>
        <v>0</v>
      </c>
      <c r="N18" s="5">
        <f t="shared" si="1"/>
        <v>0</v>
      </c>
      <c r="O18" s="5">
        <f t="shared" si="2"/>
        <v>58</v>
      </c>
      <c r="P18" s="5">
        <f t="shared" si="3"/>
        <v>552</v>
      </c>
      <c r="Q18" s="5">
        <f t="shared" si="4"/>
        <v>3</v>
      </c>
    </row>
    <row r="19" spans="1:17" x14ac:dyDescent="0.25">
      <c r="A19" t="s">
        <v>246</v>
      </c>
      <c r="B19" t="s">
        <v>153</v>
      </c>
      <c r="C19">
        <v>17</v>
      </c>
      <c r="D19">
        <v>0</v>
      </c>
      <c r="E19">
        <v>0</v>
      </c>
      <c r="F19">
        <v>0</v>
      </c>
      <c r="G19">
        <v>63</v>
      </c>
      <c r="H19">
        <v>50</v>
      </c>
      <c r="I19">
        <v>486</v>
      </c>
      <c r="J19">
        <v>4</v>
      </c>
      <c r="K19">
        <v>72.599999999999994</v>
      </c>
      <c r="L19">
        <v>4.3</v>
      </c>
      <c r="M19" s="5">
        <f t="shared" si="0"/>
        <v>0</v>
      </c>
      <c r="N19" s="5">
        <f t="shared" si="1"/>
        <v>0</v>
      </c>
      <c r="O19" s="5">
        <f t="shared" si="2"/>
        <v>50</v>
      </c>
      <c r="P19" s="5">
        <f t="shared" si="3"/>
        <v>486</v>
      </c>
      <c r="Q19" s="5">
        <f t="shared" si="4"/>
        <v>4</v>
      </c>
    </row>
    <row r="20" spans="1:17" x14ac:dyDescent="0.25">
      <c r="A20" t="s">
        <v>247</v>
      </c>
      <c r="B20" t="s">
        <v>163</v>
      </c>
      <c r="C20">
        <v>17</v>
      </c>
      <c r="D20">
        <v>0</v>
      </c>
      <c r="E20">
        <v>0</v>
      </c>
      <c r="F20">
        <v>0</v>
      </c>
      <c r="G20">
        <v>52</v>
      </c>
      <c r="H20">
        <v>32</v>
      </c>
      <c r="I20">
        <v>362</v>
      </c>
      <c r="J20">
        <v>5</v>
      </c>
      <c r="K20">
        <v>66.2</v>
      </c>
      <c r="L20">
        <v>3.9</v>
      </c>
      <c r="M20" s="5">
        <f t="shared" si="0"/>
        <v>0</v>
      </c>
      <c r="N20" s="5">
        <f t="shared" si="1"/>
        <v>0</v>
      </c>
      <c r="O20" s="5">
        <f t="shared" si="2"/>
        <v>32</v>
      </c>
      <c r="P20" s="5">
        <f t="shared" si="3"/>
        <v>362</v>
      </c>
      <c r="Q20" s="5">
        <f t="shared" si="4"/>
        <v>5</v>
      </c>
    </row>
    <row r="21" spans="1:17" x14ac:dyDescent="0.25">
      <c r="A21" t="s">
        <v>248</v>
      </c>
      <c r="B21" t="s">
        <v>169</v>
      </c>
      <c r="C21">
        <v>10</v>
      </c>
      <c r="D21">
        <v>0</v>
      </c>
      <c r="E21">
        <v>0</v>
      </c>
      <c r="F21">
        <v>0</v>
      </c>
      <c r="G21">
        <v>69</v>
      </c>
      <c r="H21">
        <v>47</v>
      </c>
      <c r="I21">
        <v>406</v>
      </c>
      <c r="J21">
        <v>4</v>
      </c>
      <c r="K21">
        <v>64.599999999999994</v>
      </c>
      <c r="L21">
        <v>6.5</v>
      </c>
      <c r="M21" s="5">
        <f t="shared" si="0"/>
        <v>0</v>
      </c>
      <c r="N21" s="5">
        <f t="shared" si="1"/>
        <v>0</v>
      </c>
      <c r="O21" s="5">
        <f t="shared" si="2"/>
        <v>79.899999999999991</v>
      </c>
      <c r="P21" s="5">
        <f t="shared" si="3"/>
        <v>690.19999999999993</v>
      </c>
      <c r="Q21" s="5">
        <f t="shared" si="4"/>
        <v>6.8</v>
      </c>
    </row>
    <row r="22" spans="1:17" x14ac:dyDescent="0.25">
      <c r="A22" t="s">
        <v>249</v>
      </c>
      <c r="B22" t="s">
        <v>175</v>
      </c>
      <c r="C22">
        <v>15</v>
      </c>
      <c r="D22">
        <v>0</v>
      </c>
      <c r="E22">
        <v>0</v>
      </c>
      <c r="F22">
        <v>0</v>
      </c>
      <c r="G22">
        <v>46</v>
      </c>
      <c r="H22">
        <v>32</v>
      </c>
      <c r="I22">
        <v>450</v>
      </c>
      <c r="J22">
        <v>3</v>
      </c>
      <c r="K22">
        <v>63.2</v>
      </c>
      <c r="L22">
        <v>4.2</v>
      </c>
      <c r="M22" s="5">
        <f t="shared" si="0"/>
        <v>0</v>
      </c>
      <c r="N22" s="5">
        <f t="shared" si="1"/>
        <v>0</v>
      </c>
      <c r="O22" s="5">
        <f t="shared" si="2"/>
        <v>36.266666666666666</v>
      </c>
      <c r="P22" s="5">
        <f t="shared" si="3"/>
        <v>510</v>
      </c>
      <c r="Q22" s="5">
        <f t="shared" si="4"/>
        <v>3.4</v>
      </c>
    </row>
    <row r="23" spans="1:17" x14ac:dyDescent="0.25">
      <c r="A23" t="s">
        <v>250</v>
      </c>
      <c r="B23" t="s">
        <v>170</v>
      </c>
      <c r="C23">
        <v>16</v>
      </c>
      <c r="D23">
        <v>0</v>
      </c>
      <c r="E23">
        <v>0</v>
      </c>
      <c r="F23">
        <v>0</v>
      </c>
      <c r="G23">
        <v>59</v>
      </c>
      <c r="H23">
        <v>41</v>
      </c>
      <c r="I23">
        <v>509</v>
      </c>
      <c r="J23">
        <v>2</v>
      </c>
      <c r="K23">
        <v>62.9</v>
      </c>
      <c r="L23">
        <v>3.9</v>
      </c>
      <c r="M23" s="5">
        <f t="shared" si="0"/>
        <v>0</v>
      </c>
      <c r="N23" s="5">
        <f t="shared" si="1"/>
        <v>0</v>
      </c>
      <c r="O23" s="5">
        <f t="shared" si="2"/>
        <v>43.5625</v>
      </c>
      <c r="P23" s="5">
        <f t="shared" si="3"/>
        <v>540.8125</v>
      </c>
      <c r="Q23" s="5">
        <f t="shared" si="4"/>
        <v>2.125</v>
      </c>
    </row>
    <row r="24" spans="1:17" x14ac:dyDescent="0.25">
      <c r="A24" t="s">
        <v>251</v>
      </c>
      <c r="B24" t="s">
        <v>161</v>
      </c>
      <c r="C24">
        <v>17</v>
      </c>
      <c r="D24">
        <v>0</v>
      </c>
      <c r="E24">
        <v>0</v>
      </c>
      <c r="F24">
        <v>0</v>
      </c>
      <c r="G24">
        <v>67</v>
      </c>
      <c r="H24">
        <v>53</v>
      </c>
      <c r="I24">
        <v>470</v>
      </c>
      <c r="J24">
        <v>2</v>
      </c>
      <c r="K24">
        <v>59</v>
      </c>
      <c r="L24">
        <v>3.5</v>
      </c>
      <c r="M24" s="5">
        <f t="shared" si="0"/>
        <v>0</v>
      </c>
      <c r="N24" s="5">
        <f t="shared" si="1"/>
        <v>0</v>
      </c>
      <c r="O24" s="5">
        <f t="shared" si="2"/>
        <v>53</v>
      </c>
      <c r="P24" s="5">
        <f t="shared" si="3"/>
        <v>470</v>
      </c>
      <c r="Q24" s="5">
        <f t="shared" si="4"/>
        <v>2</v>
      </c>
    </row>
    <row r="25" spans="1:17" x14ac:dyDescent="0.25">
      <c r="A25" t="s">
        <v>20</v>
      </c>
      <c r="B25" t="s">
        <v>164</v>
      </c>
      <c r="C25">
        <v>8</v>
      </c>
      <c r="D25">
        <v>0</v>
      </c>
      <c r="E25">
        <v>0</v>
      </c>
      <c r="F25">
        <v>0</v>
      </c>
      <c r="G25">
        <v>43</v>
      </c>
      <c r="H25">
        <v>28</v>
      </c>
      <c r="I25">
        <v>388</v>
      </c>
      <c r="J25">
        <v>3</v>
      </c>
      <c r="K25">
        <v>56.8</v>
      </c>
      <c r="L25">
        <v>7.1</v>
      </c>
      <c r="M25" s="5">
        <f t="shared" si="0"/>
        <v>0</v>
      </c>
      <c r="N25" s="5">
        <f t="shared" si="1"/>
        <v>0</v>
      </c>
      <c r="O25" s="5">
        <f t="shared" si="2"/>
        <v>59.5</v>
      </c>
      <c r="P25" s="5">
        <f t="shared" si="3"/>
        <v>824.5</v>
      </c>
      <c r="Q25" s="5">
        <f t="shared" si="4"/>
        <v>6.375</v>
      </c>
    </row>
    <row r="26" spans="1:17" x14ac:dyDescent="0.25">
      <c r="A26" t="s">
        <v>252</v>
      </c>
      <c r="B26" t="s">
        <v>175</v>
      </c>
      <c r="C26">
        <v>17</v>
      </c>
      <c r="D26">
        <v>0</v>
      </c>
      <c r="E26">
        <v>0</v>
      </c>
      <c r="F26">
        <v>0</v>
      </c>
      <c r="G26">
        <v>60</v>
      </c>
      <c r="H26">
        <v>41</v>
      </c>
      <c r="I26">
        <v>444</v>
      </c>
      <c r="J26">
        <v>2</v>
      </c>
      <c r="K26">
        <v>56.4</v>
      </c>
      <c r="L26">
        <v>3.3</v>
      </c>
      <c r="M26" s="5">
        <f t="shared" si="0"/>
        <v>0</v>
      </c>
      <c r="N26" s="5">
        <f t="shared" si="1"/>
        <v>0</v>
      </c>
      <c r="O26" s="5">
        <f t="shared" si="2"/>
        <v>41</v>
      </c>
      <c r="P26" s="5">
        <f t="shared" si="3"/>
        <v>444</v>
      </c>
      <c r="Q26" s="5">
        <f t="shared" si="4"/>
        <v>2</v>
      </c>
    </row>
    <row r="27" spans="1:17" x14ac:dyDescent="0.25">
      <c r="A27" t="s">
        <v>253</v>
      </c>
      <c r="B27" t="s">
        <v>165</v>
      </c>
      <c r="C27">
        <v>14</v>
      </c>
      <c r="D27">
        <v>0</v>
      </c>
      <c r="E27">
        <v>0</v>
      </c>
      <c r="F27">
        <v>0</v>
      </c>
      <c r="G27">
        <v>60</v>
      </c>
      <c r="H27">
        <v>36</v>
      </c>
      <c r="I27">
        <v>373</v>
      </c>
      <c r="J27">
        <v>3</v>
      </c>
      <c r="K27">
        <v>55.3</v>
      </c>
      <c r="L27">
        <v>4</v>
      </c>
      <c r="M27" s="5">
        <f t="shared" si="0"/>
        <v>0</v>
      </c>
      <c r="N27" s="5">
        <f t="shared" si="1"/>
        <v>0</v>
      </c>
      <c r="O27" s="5">
        <f t="shared" si="2"/>
        <v>43.714285714285708</v>
      </c>
      <c r="P27" s="5">
        <f t="shared" si="3"/>
        <v>452.92857142857139</v>
      </c>
      <c r="Q27" s="5">
        <f t="shared" si="4"/>
        <v>3.6428571428571423</v>
      </c>
    </row>
    <row r="28" spans="1:17" x14ac:dyDescent="0.25">
      <c r="A28" t="s">
        <v>254</v>
      </c>
      <c r="B28" t="s">
        <v>164</v>
      </c>
      <c r="C28">
        <v>14</v>
      </c>
      <c r="D28">
        <v>0</v>
      </c>
      <c r="E28">
        <v>0</v>
      </c>
      <c r="F28">
        <v>0</v>
      </c>
      <c r="G28">
        <v>54</v>
      </c>
      <c r="H28">
        <v>33</v>
      </c>
      <c r="I28">
        <v>420</v>
      </c>
      <c r="J28">
        <v>2</v>
      </c>
      <c r="K28">
        <v>54.2</v>
      </c>
      <c r="L28">
        <v>3.9</v>
      </c>
      <c r="M28" s="5">
        <f t="shared" si="0"/>
        <v>0</v>
      </c>
      <c r="N28" s="5">
        <f t="shared" si="1"/>
        <v>0</v>
      </c>
      <c r="O28" s="5">
        <f t="shared" si="2"/>
        <v>40.071428571428569</v>
      </c>
      <c r="P28" s="5">
        <f t="shared" si="3"/>
        <v>509.99999999999994</v>
      </c>
      <c r="Q28" s="5">
        <f t="shared" si="4"/>
        <v>2.4285714285714284</v>
      </c>
    </row>
    <row r="29" spans="1:17" x14ac:dyDescent="0.25">
      <c r="A29" t="s">
        <v>255</v>
      </c>
      <c r="B29" t="s">
        <v>152</v>
      </c>
      <c r="C29">
        <v>13</v>
      </c>
      <c r="D29">
        <v>0</v>
      </c>
      <c r="E29">
        <v>0</v>
      </c>
      <c r="F29">
        <v>0</v>
      </c>
      <c r="G29">
        <v>68</v>
      </c>
      <c r="H29">
        <v>52</v>
      </c>
      <c r="I29">
        <v>414</v>
      </c>
      <c r="J29">
        <v>2</v>
      </c>
      <c r="K29">
        <v>53.4</v>
      </c>
      <c r="L29">
        <v>4.0999999999999996</v>
      </c>
      <c r="M29" s="5">
        <f t="shared" si="0"/>
        <v>0</v>
      </c>
      <c r="N29" s="5">
        <f t="shared" si="1"/>
        <v>0</v>
      </c>
      <c r="O29" s="5">
        <f t="shared" si="2"/>
        <v>68</v>
      </c>
      <c r="P29" s="5">
        <f t="shared" si="3"/>
        <v>541.38461538461536</v>
      </c>
      <c r="Q29" s="5">
        <f t="shared" si="4"/>
        <v>2.6153846153846154</v>
      </c>
    </row>
    <row r="30" spans="1:17" x14ac:dyDescent="0.25">
      <c r="A30" t="s">
        <v>256</v>
      </c>
      <c r="B30" t="s">
        <v>162</v>
      </c>
      <c r="C30">
        <v>10</v>
      </c>
      <c r="D30">
        <v>0</v>
      </c>
      <c r="E30">
        <v>0</v>
      </c>
      <c r="F30">
        <v>0</v>
      </c>
      <c r="G30">
        <v>55</v>
      </c>
      <c r="H30">
        <v>33</v>
      </c>
      <c r="I30">
        <v>411</v>
      </c>
      <c r="J30">
        <v>2</v>
      </c>
      <c r="K30">
        <v>53.1</v>
      </c>
      <c r="L30">
        <v>5.3</v>
      </c>
      <c r="M30" s="5">
        <f t="shared" si="0"/>
        <v>0</v>
      </c>
      <c r="N30" s="5">
        <f t="shared" si="1"/>
        <v>0</v>
      </c>
      <c r="O30" s="5">
        <f t="shared" si="2"/>
        <v>56.1</v>
      </c>
      <c r="P30" s="5">
        <f t="shared" si="3"/>
        <v>698.69999999999993</v>
      </c>
      <c r="Q30" s="5">
        <f t="shared" si="4"/>
        <v>3.4</v>
      </c>
    </row>
    <row r="31" spans="1:17" x14ac:dyDescent="0.25">
      <c r="A31" t="s">
        <v>257</v>
      </c>
      <c r="B31" t="s">
        <v>153</v>
      </c>
      <c r="C31">
        <v>15</v>
      </c>
      <c r="D31">
        <v>0</v>
      </c>
      <c r="E31">
        <v>0</v>
      </c>
      <c r="F31">
        <v>0</v>
      </c>
      <c r="G31">
        <v>38</v>
      </c>
      <c r="H31">
        <v>34</v>
      </c>
      <c r="I31">
        <v>349</v>
      </c>
      <c r="J31">
        <v>3</v>
      </c>
      <c r="K31">
        <v>52.9</v>
      </c>
      <c r="L31">
        <v>3.5</v>
      </c>
      <c r="M31" s="5">
        <f t="shared" si="0"/>
        <v>0</v>
      </c>
      <c r="N31" s="5">
        <f t="shared" si="1"/>
        <v>0</v>
      </c>
      <c r="O31" s="5">
        <f t="shared" si="2"/>
        <v>38.533333333333331</v>
      </c>
      <c r="P31" s="5">
        <f t="shared" si="3"/>
        <v>395.5333333333333</v>
      </c>
      <c r="Q31" s="5">
        <f t="shared" si="4"/>
        <v>3.4</v>
      </c>
    </row>
    <row r="32" spans="1:17" x14ac:dyDescent="0.25">
      <c r="A32" t="s">
        <v>258</v>
      </c>
      <c r="B32" t="s">
        <v>159</v>
      </c>
      <c r="C32">
        <v>14</v>
      </c>
      <c r="D32">
        <v>0</v>
      </c>
      <c r="E32">
        <v>0</v>
      </c>
      <c r="F32">
        <v>0</v>
      </c>
      <c r="G32">
        <v>65</v>
      </c>
      <c r="H32">
        <v>42</v>
      </c>
      <c r="I32">
        <v>391</v>
      </c>
      <c r="J32">
        <v>2</v>
      </c>
      <c r="K32">
        <v>51.1</v>
      </c>
      <c r="L32">
        <v>3.7</v>
      </c>
      <c r="M32" s="5">
        <f t="shared" si="0"/>
        <v>0</v>
      </c>
      <c r="N32" s="5">
        <f t="shared" si="1"/>
        <v>0</v>
      </c>
      <c r="O32" s="5">
        <f t="shared" si="2"/>
        <v>50.999999999999993</v>
      </c>
      <c r="P32" s="5">
        <f t="shared" si="3"/>
        <v>474.78571428571422</v>
      </c>
      <c r="Q32" s="5">
        <f t="shared" si="4"/>
        <v>2.4285714285714284</v>
      </c>
    </row>
    <row r="33" spans="1:17" x14ac:dyDescent="0.25">
      <c r="A33" t="s">
        <v>259</v>
      </c>
      <c r="B33" t="s">
        <v>171</v>
      </c>
      <c r="C33">
        <v>12</v>
      </c>
      <c r="D33">
        <v>0</v>
      </c>
      <c r="E33">
        <v>0</v>
      </c>
      <c r="F33">
        <v>0</v>
      </c>
      <c r="G33">
        <v>40</v>
      </c>
      <c r="H33">
        <v>25</v>
      </c>
      <c r="I33">
        <v>312</v>
      </c>
      <c r="J33">
        <v>3</v>
      </c>
      <c r="K33">
        <v>49.2</v>
      </c>
      <c r="L33">
        <v>4.0999999999999996</v>
      </c>
      <c r="M33" s="5">
        <f t="shared" si="0"/>
        <v>0</v>
      </c>
      <c r="N33" s="5">
        <f t="shared" si="1"/>
        <v>0</v>
      </c>
      <c r="O33" s="5">
        <f t="shared" si="2"/>
        <v>35.416666666666671</v>
      </c>
      <c r="P33" s="5">
        <f t="shared" si="3"/>
        <v>442</v>
      </c>
      <c r="Q33" s="5">
        <f t="shared" si="4"/>
        <v>4.25</v>
      </c>
    </row>
    <row r="34" spans="1:17" x14ac:dyDescent="0.25">
      <c r="A34" t="s">
        <v>13</v>
      </c>
      <c r="B34" t="s">
        <v>168</v>
      </c>
      <c r="C34">
        <v>10</v>
      </c>
      <c r="D34">
        <v>0</v>
      </c>
      <c r="E34">
        <v>0</v>
      </c>
      <c r="F34">
        <v>0</v>
      </c>
      <c r="G34">
        <v>59</v>
      </c>
      <c r="H34">
        <v>28</v>
      </c>
      <c r="I34">
        <v>356</v>
      </c>
      <c r="J34">
        <v>2</v>
      </c>
      <c r="K34">
        <v>47.6</v>
      </c>
      <c r="L34">
        <v>4.8</v>
      </c>
      <c r="M34" s="5">
        <f t="shared" si="0"/>
        <v>0</v>
      </c>
      <c r="N34" s="5">
        <f t="shared" si="1"/>
        <v>0</v>
      </c>
      <c r="O34" s="5">
        <f t="shared" si="2"/>
        <v>47.6</v>
      </c>
      <c r="P34" s="5">
        <f t="shared" si="3"/>
        <v>605.19999999999993</v>
      </c>
      <c r="Q34" s="5">
        <f t="shared" si="4"/>
        <v>3.4</v>
      </c>
    </row>
    <row r="35" spans="1:17" x14ac:dyDescent="0.25">
      <c r="A35" t="s">
        <v>260</v>
      </c>
      <c r="B35" t="s">
        <v>157</v>
      </c>
      <c r="C35">
        <v>13</v>
      </c>
      <c r="D35">
        <v>0</v>
      </c>
      <c r="E35">
        <v>0</v>
      </c>
      <c r="F35">
        <v>0</v>
      </c>
      <c r="G35">
        <v>24</v>
      </c>
      <c r="H35">
        <v>18</v>
      </c>
      <c r="I35">
        <v>216</v>
      </c>
      <c r="J35">
        <v>4</v>
      </c>
      <c r="K35">
        <v>45.6</v>
      </c>
      <c r="L35">
        <v>3.5</v>
      </c>
      <c r="M35" s="5">
        <f t="shared" si="0"/>
        <v>0</v>
      </c>
      <c r="N35" s="5">
        <f t="shared" si="1"/>
        <v>0</v>
      </c>
      <c r="O35" s="5">
        <f t="shared" si="2"/>
        <v>23.53846153846154</v>
      </c>
      <c r="P35" s="5">
        <f t="shared" si="3"/>
        <v>282.46153846153845</v>
      </c>
      <c r="Q35" s="5">
        <f t="shared" si="4"/>
        <v>5.2307692307692308</v>
      </c>
    </row>
    <row r="36" spans="1:17" x14ac:dyDescent="0.25">
      <c r="A36" t="s">
        <v>261</v>
      </c>
      <c r="B36" t="s">
        <v>160</v>
      </c>
      <c r="C36">
        <v>11</v>
      </c>
      <c r="D36">
        <v>0</v>
      </c>
      <c r="E36">
        <v>0</v>
      </c>
      <c r="F36">
        <v>0</v>
      </c>
      <c r="G36">
        <v>35</v>
      </c>
      <c r="H36">
        <v>30</v>
      </c>
      <c r="I36">
        <v>268</v>
      </c>
      <c r="J36">
        <v>2</v>
      </c>
      <c r="K36">
        <v>45</v>
      </c>
      <c r="L36">
        <v>4.0999999999999996</v>
      </c>
      <c r="M36" s="5">
        <f t="shared" si="0"/>
        <v>0</v>
      </c>
      <c r="N36" s="5">
        <f t="shared" si="1"/>
        <v>0</v>
      </c>
      <c r="O36" s="5">
        <f t="shared" si="2"/>
        <v>46.36363636363636</v>
      </c>
      <c r="P36" s="5">
        <f t="shared" si="3"/>
        <v>414.18181818181819</v>
      </c>
      <c r="Q36" s="5">
        <f t="shared" si="4"/>
        <v>3.0909090909090908</v>
      </c>
    </row>
    <row r="37" spans="1:17" x14ac:dyDescent="0.25">
      <c r="A37" t="s">
        <v>262</v>
      </c>
      <c r="B37" t="s">
        <v>153</v>
      </c>
      <c r="C37">
        <v>14</v>
      </c>
      <c r="D37">
        <v>0</v>
      </c>
      <c r="E37">
        <v>0</v>
      </c>
      <c r="F37">
        <v>0</v>
      </c>
      <c r="G37">
        <v>34</v>
      </c>
      <c r="H37">
        <v>25</v>
      </c>
      <c r="I37">
        <v>322</v>
      </c>
      <c r="J37">
        <v>2</v>
      </c>
      <c r="K37">
        <v>44.2</v>
      </c>
      <c r="L37">
        <v>3.2</v>
      </c>
      <c r="M37" s="5">
        <f t="shared" si="0"/>
        <v>0</v>
      </c>
      <c r="N37" s="5">
        <f t="shared" si="1"/>
        <v>0</v>
      </c>
      <c r="O37" s="5">
        <f t="shared" si="2"/>
        <v>30.357142857142854</v>
      </c>
      <c r="P37" s="5">
        <f t="shared" si="3"/>
        <v>390.99999999999994</v>
      </c>
      <c r="Q37" s="5">
        <f t="shared" si="4"/>
        <v>2.4285714285714284</v>
      </c>
    </row>
    <row r="38" spans="1:17" x14ac:dyDescent="0.25">
      <c r="A38" t="s">
        <v>263</v>
      </c>
      <c r="B38" t="s">
        <v>149</v>
      </c>
      <c r="C38">
        <v>17</v>
      </c>
      <c r="D38">
        <v>0</v>
      </c>
      <c r="E38">
        <v>0</v>
      </c>
      <c r="F38">
        <v>0</v>
      </c>
      <c r="G38">
        <v>34</v>
      </c>
      <c r="H38">
        <v>28</v>
      </c>
      <c r="I38">
        <v>299</v>
      </c>
      <c r="J38">
        <v>1</v>
      </c>
      <c r="K38">
        <v>42</v>
      </c>
      <c r="L38">
        <v>2.5</v>
      </c>
      <c r="M38" s="5">
        <f t="shared" si="0"/>
        <v>0</v>
      </c>
      <c r="N38" s="5">
        <f t="shared" si="1"/>
        <v>0</v>
      </c>
      <c r="O38" s="5">
        <f t="shared" si="2"/>
        <v>28</v>
      </c>
      <c r="P38" s="5">
        <f t="shared" si="3"/>
        <v>299</v>
      </c>
      <c r="Q38" s="5">
        <f t="shared" si="4"/>
        <v>1</v>
      </c>
    </row>
    <row r="39" spans="1:17" x14ac:dyDescent="0.25">
      <c r="A39" t="s">
        <v>264</v>
      </c>
      <c r="B39" t="s">
        <v>168</v>
      </c>
      <c r="C39">
        <v>10</v>
      </c>
      <c r="D39">
        <v>0</v>
      </c>
      <c r="E39">
        <v>0</v>
      </c>
      <c r="F39">
        <v>0</v>
      </c>
      <c r="G39">
        <v>21</v>
      </c>
      <c r="H39">
        <v>16</v>
      </c>
      <c r="I39">
        <v>150</v>
      </c>
      <c r="J39">
        <v>4</v>
      </c>
      <c r="K39">
        <v>39</v>
      </c>
      <c r="L39">
        <v>3.9</v>
      </c>
      <c r="M39" s="5">
        <f t="shared" si="0"/>
        <v>0</v>
      </c>
      <c r="N39" s="5">
        <f t="shared" si="1"/>
        <v>0</v>
      </c>
      <c r="O39" s="5">
        <f t="shared" si="2"/>
        <v>27.2</v>
      </c>
      <c r="P39" s="5">
        <f t="shared" si="3"/>
        <v>255</v>
      </c>
      <c r="Q39" s="5">
        <f t="shared" si="4"/>
        <v>6.8</v>
      </c>
    </row>
    <row r="40" spans="1:17" x14ac:dyDescent="0.25">
      <c r="A40" t="s">
        <v>265</v>
      </c>
      <c r="B40" t="s">
        <v>178</v>
      </c>
      <c r="C40">
        <v>13</v>
      </c>
      <c r="D40">
        <v>0</v>
      </c>
      <c r="E40">
        <v>0</v>
      </c>
      <c r="F40">
        <v>0</v>
      </c>
      <c r="G40">
        <v>61</v>
      </c>
      <c r="H40">
        <v>39</v>
      </c>
      <c r="I40">
        <v>323</v>
      </c>
      <c r="J40">
        <v>1</v>
      </c>
      <c r="K40">
        <v>38.299999999999997</v>
      </c>
      <c r="L40">
        <v>2.9</v>
      </c>
      <c r="M40" s="5">
        <f t="shared" si="0"/>
        <v>0</v>
      </c>
      <c r="N40" s="5">
        <f t="shared" si="1"/>
        <v>0</v>
      </c>
      <c r="O40" s="5">
        <f t="shared" si="2"/>
        <v>51</v>
      </c>
      <c r="P40" s="5">
        <f t="shared" si="3"/>
        <v>422.38461538461542</v>
      </c>
      <c r="Q40" s="5">
        <f t="shared" si="4"/>
        <v>1.3076923076923077</v>
      </c>
    </row>
    <row r="41" spans="1:17" x14ac:dyDescent="0.25">
      <c r="A41" t="s">
        <v>266</v>
      </c>
      <c r="B41" t="s">
        <v>171</v>
      </c>
      <c r="C41">
        <v>14</v>
      </c>
      <c r="D41">
        <v>0</v>
      </c>
      <c r="E41">
        <v>0</v>
      </c>
      <c r="F41">
        <v>0</v>
      </c>
      <c r="G41">
        <v>28</v>
      </c>
      <c r="H41">
        <v>19</v>
      </c>
      <c r="I41">
        <v>189</v>
      </c>
      <c r="J41">
        <v>3</v>
      </c>
      <c r="K41">
        <v>36.9</v>
      </c>
      <c r="L41">
        <v>2.6</v>
      </c>
      <c r="M41" s="5">
        <f t="shared" si="0"/>
        <v>0</v>
      </c>
      <c r="N41" s="5">
        <f t="shared" si="1"/>
        <v>0</v>
      </c>
      <c r="O41" s="5">
        <f t="shared" si="2"/>
        <v>23.071428571428569</v>
      </c>
      <c r="P41" s="5">
        <f t="shared" si="3"/>
        <v>229.49999999999997</v>
      </c>
      <c r="Q41" s="5">
        <f t="shared" si="4"/>
        <v>3.6428571428571423</v>
      </c>
    </row>
    <row r="42" spans="1:17" x14ac:dyDescent="0.25">
      <c r="A42" t="s">
        <v>267</v>
      </c>
      <c r="B42" t="s">
        <v>177</v>
      </c>
      <c r="C42">
        <v>14</v>
      </c>
      <c r="D42">
        <v>0</v>
      </c>
      <c r="E42">
        <v>0</v>
      </c>
      <c r="F42">
        <v>0</v>
      </c>
      <c r="G42">
        <v>32</v>
      </c>
      <c r="H42">
        <v>19</v>
      </c>
      <c r="I42">
        <v>174</v>
      </c>
      <c r="J42">
        <v>3</v>
      </c>
      <c r="K42">
        <v>35.4</v>
      </c>
      <c r="L42">
        <v>2.5</v>
      </c>
      <c r="M42" s="5">
        <f t="shared" si="0"/>
        <v>0</v>
      </c>
      <c r="N42" s="5">
        <f t="shared" si="1"/>
        <v>0</v>
      </c>
      <c r="O42" s="5">
        <f t="shared" si="2"/>
        <v>23.071428571428569</v>
      </c>
      <c r="P42" s="5">
        <f t="shared" si="3"/>
        <v>211.28571428571428</v>
      </c>
      <c r="Q42" s="5">
        <f t="shared" si="4"/>
        <v>3.6428571428571423</v>
      </c>
    </row>
    <row r="43" spans="1:17" x14ac:dyDescent="0.25">
      <c r="A43" t="s">
        <v>304</v>
      </c>
      <c r="B43" t="s">
        <v>180</v>
      </c>
      <c r="C43">
        <v>12</v>
      </c>
      <c r="D43">
        <v>0</v>
      </c>
      <c r="E43">
        <v>0</v>
      </c>
      <c r="F43">
        <v>0</v>
      </c>
      <c r="G43">
        <v>27</v>
      </c>
      <c r="H43">
        <v>21</v>
      </c>
      <c r="I43">
        <v>232</v>
      </c>
      <c r="J43">
        <v>2</v>
      </c>
      <c r="K43">
        <v>35.200000000000003</v>
      </c>
      <c r="L43">
        <v>2.9</v>
      </c>
      <c r="M43" s="5">
        <f t="shared" si="0"/>
        <v>0</v>
      </c>
      <c r="N43" s="5">
        <f t="shared" si="1"/>
        <v>0</v>
      </c>
      <c r="O43" s="5">
        <f t="shared" si="2"/>
        <v>29.75</v>
      </c>
      <c r="P43" s="5">
        <f t="shared" si="3"/>
        <v>328.66666666666669</v>
      </c>
      <c r="Q43" s="5">
        <f t="shared" si="4"/>
        <v>2.8333333333333335</v>
      </c>
    </row>
    <row r="44" spans="1:17" x14ac:dyDescent="0.25">
      <c r="A44" t="s">
        <v>268</v>
      </c>
      <c r="B44" t="s">
        <v>169</v>
      </c>
      <c r="C44">
        <v>9</v>
      </c>
      <c r="D44">
        <v>0</v>
      </c>
      <c r="E44">
        <v>0</v>
      </c>
      <c r="F44">
        <v>0</v>
      </c>
      <c r="G44">
        <v>39</v>
      </c>
      <c r="H44">
        <v>29</v>
      </c>
      <c r="I44">
        <v>265</v>
      </c>
      <c r="J44">
        <v>1</v>
      </c>
      <c r="K44">
        <v>32.5</v>
      </c>
      <c r="L44">
        <v>3.6</v>
      </c>
      <c r="M44" s="5">
        <f t="shared" si="0"/>
        <v>0</v>
      </c>
      <c r="N44" s="5">
        <f t="shared" si="1"/>
        <v>0</v>
      </c>
      <c r="O44" s="5">
        <f t="shared" si="2"/>
        <v>54.777777777777779</v>
      </c>
      <c r="P44" s="5">
        <f t="shared" si="3"/>
        <v>500.55555555555554</v>
      </c>
      <c r="Q44" s="5">
        <f t="shared" si="4"/>
        <v>1.8888888888888888</v>
      </c>
    </row>
    <row r="45" spans="1:17" x14ac:dyDescent="0.25">
      <c r="A45" t="s">
        <v>269</v>
      </c>
      <c r="B45" t="s">
        <v>173</v>
      </c>
      <c r="C45">
        <v>15</v>
      </c>
      <c r="D45">
        <v>0</v>
      </c>
      <c r="E45">
        <v>0</v>
      </c>
      <c r="F45">
        <v>0</v>
      </c>
      <c r="G45">
        <v>42</v>
      </c>
      <c r="H45">
        <v>31</v>
      </c>
      <c r="I45">
        <v>239</v>
      </c>
      <c r="J45">
        <v>1</v>
      </c>
      <c r="K45">
        <v>30.7</v>
      </c>
      <c r="L45">
        <v>2</v>
      </c>
      <c r="M45" s="5">
        <f t="shared" si="0"/>
        <v>0</v>
      </c>
      <c r="N45" s="5">
        <f t="shared" si="1"/>
        <v>0</v>
      </c>
      <c r="O45" s="5">
        <f t="shared" si="2"/>
        <v>35.133333333333333</v>
      </c>
      <c r="P45" s="5">
        <f t="shared" si="3"/>
        <v>270.86666666666667</v>
      </c>
      <c r="Q45" s="5">
        <f t="shared" si="4"/>
        <v>1.1333333333333333</v>
      </c>
    </row>
    <row r="46" spans="1:17" x14ac:dyDescent="0.25">
      <c r="A46" t="s">
        <v>270</v>
      </c>
      <c r="B46" t="s">
        <v>171</v>
      </c>
      <c r="C46">
        <v>13</v>
      </c>
      <c r="D46">
        <v>0</v>
      </c>
      <c r="E46">
        <v>0</v>
      </c>
      <c r="F46">
        <v>0</v>
      </c>
      <c r="G46">
        <v>40</v>
      </c>
      <c r="H46">
        <v>31</v>
      </c>
      <c r="I46">
        <v>302</v>
      </c>
      <c r="J46">
        <v>0</v>
      </c>
      <c r="K46">
        <v>30.2</v>
      </c>
      <c r="L46">
        <v>2.2999999999999998</v>
      </c>
      <c r="M46" s="5">
        <f t="shared" si="0"/>
        <v>0</v>
      </c>
      <c r="N46" s="5">
        <f t="shared" si="1"/>
        <v>0</v>
      </c>
      <c r="O46" s="5">
        <f t="shared" si="2"/>
        <v>40.53846153846154</v>
      </c>
      <c r="P46" s="5">
        <f t="shared" si="3"/>
        <v>394.92307692307691</v>
      </c>
      <c r="Q46" s="5">
        <f t="shared" si="4"/>
        <v>0</v>
      </c>
    </row>
    <row r="47" spans="1:17" x14ac:dyDescent="0.25">
      <c r="A47" t="s">
        <v>271</v>
      </c>
      <c r="B47" t="s">
        <v>154</v>
      </c>
      <c r="C47">
        <v>8</v>
      </c>
      <c r="D47">
        <v>0</v>
      </c>
      <c r="E47">
        <v>0</v>
      </c>
      <c r="F47">
        <v>0</v>
      </c>
      <c r="G47">
        <v>36</v>
      </c>
      <c r="H47">
        <v>25</v>
      </c>
      <c r="I47">
        <v>182</v>
      </c>
      <c r="J47">
        <v>2</v>
      </c>
      <c r="K47">
        <v>30.2</v>
      </c>
      <c r="L47">
        <v>3.8</v>
      </c>
      <c r="M47" s="5">
        <f t="shared" si="0"/>
        <v>0</v>
      </c>
      <c r="N47" s="5">
        <f t="shared" si="1"/>
        <v>0</v>
      </c>
      <c r="O47" s="5">
        <f t="shared" si="2"/>
        <v>53.125</v>
      </c>
      <c r="P47" s="5">
        <f t="shared" si="3"/>
        <v>386.75</v>
      </c>
      <c r="Q47" s="5">
        <f t="shared" si="4"/>
        <v>4.25</v>
      </c>
    </row>
    <row r="48" spans="1:17" x14ac:dyDescent="0.25">
      <c r="A48" t="s">
        <v>272</v>
      </c>
      <c r="B48" t="s">
        <v>157</v>
      </c>
      <c r="C48">
        <v>8</v>
      </c>
      <c r="D48">
        <v>0</v>
      </c>
      <c r="E48">
        <v>0</v>
      </c>
      <c r="F48">
        <v>0</v>
      </c>
      <c r="G48">
        <v>15</v>
      </c>
      <c r="H48">
        <v>11</v>
      </c>
      <c r="I48">
        <v>60</v>
      </c>
      <c r="J48">
        <v>4</v>
      </c>
      <c r="K48">
        <v>30</v>
      </c>
      <c r="L48">
        <v>3.8</v>
      </c>
      <c r="M48" s="5">
        <f t="shared" si="0"/>
        <v>0</v>
      </c>
      <c r="N48" s="5">
        <f t="shared" si="1"/>
        <v>0</v>
      </c>
      <c r="O48" s="5">
        <f t="shared" si="2"/>
        <v>23.375</v>
      </c>
      <c r="P48" s="5">
        <f t="shared" si="3"/>
        <v>127.5</v>
      </c>
      <c r="Q48" s="5">
        <f t="shared" si="4"/>
        <v>8.5</v>
      </c>
    </row>
    <row r="49" spans="1:17" x14ac:dyDescent="0.25">
      <c r="A49" t="s">
        <v>273</v>
      </c>
      <c r="B49" t="s">
        <v>166</v>
      </c>
      <c r="C49">
        <v>11</v>
      </c>
      <c r="D49">
        <v>0</v>
      </c>
      <c r="E49">
        <v>0</v>
      </c>
      <c r="F49">
        <v>0</v>
      </c>
      <c r="G49">
        <v>22</v>
      </c>
      <c r="H49">
        <v>19</v>
      </c>
      <c r="I49">
        <v>174</v>
      </c>
      <c r="J49">
        <v>2</v>
      </c>
      <c r="K49">
        <v>29.4</v>
      </c>
      <c r="L49">
        <v>2.7</v>
      </c>
      <c r="M49" s="5">
        <f t="shared" si="0"/>
        <v>0</v>
      </c>
      <c r="N49" s="5">
        <f t="shared" si="1"/>
        <v>0</v>
      </c>
      <c r="O49" s="5">
        <f t="shared" si="2"/>
        <v>29.363636363636363</v>
      </c>
      <c r="P49" s="5">
        <f t="shared" si="3"/>
        <v>268.90909090909088</v>
      </c>
      <c r="Q49" s="5">
        <f t="shared" si="4"/>
        <v>3.0909090909090908</v>
      </c>
    </row>
    <row r="50" spans="1:17" x14ac:dyDescent="0.25">
      <c r="A50" t="s">
        <v>274</v>
      </c>
      <c r="B50" t="s">
        <v>166</v>
      </c>
      <c r="C50">
        <v>9</v>
      </c>
      <c r="D50">
        <v>0</v>
      </c>
      <c r="E50">
        <v>0</v>
      </c>
      <c r="F50">
        <v>0</v>
      </c>
      <c r="G50">
        <v>16</v>
      </c>
      <c r="H50">
        <v>11</v>
      </c>
      <c r="I50">
        <v>103</v>
      </c>
      <c r="J50">
        <v>2</v>
      </c>
      <c r="K50">
        <v>28.5</v>
      </c>
      <c r="L50">
        <v>3.2</v>
      </c>
      <c r="M50" s="5">
        <f t="shared" si="0"/>
        <v>0</v>
      </c>
      <c r="N50" s="5">
        <f t="shared" si="1"/>
        <v>0</v>
      </c>
      <c r="O50" s="5">
        <f t="shared" si="2"/>
        <v>20.777777777777779</v>
      </c>
      <c r="P50" s="5">
        <f t="shared" si="3"/>
        <v>194.55555555555554</v>
      </c>
      <c r="Q50" s="5">
        <f t="shared" si="4"/>
        <v>3.7777777777777777</v>
      </c>
    </row>
    <row r="51" spans="1:17" x14ac:dyDescent="0.25">
      <c r="A51" t="s">
        <v>275</v>
      </c>
      <c r="B51" t="s">
        <v>165</v>
      </c>
      <c r="C51">
        <v>12</v>
      </c>
      <c r="D51">
        <v>0</v>
      </c>
      <c r="E51">
        <v>0</v>
      </c>
      <c r="F51">
        <v>0</v>
      </c>
      <c r="G51">
        <v>25</v>
      </c>
      <c r="H51">
        <v>14</v>
      </c>
      <c r="I51">
        <v>149</v>
      </c>
      <c r="J51">
        <v>2</v>
      </c>
      <c r="K51">
        <v>26.9</v>
      </c>
      <c r="L51">
        <v>2.2000000000000002</v>
      </c>
      <c r="M51" s="5">
        <f t="shared" si="0"/>
        <v>0</v>
      </c>
      <c r="N51" s="5">
        <f t="shared" si="1"/>
        <v>0</v>
      </c>
      <c r="O51" s="5">
        <f t="shared" si="2"/>
        <v>19.833333333333336</v>
      </c>
      <c r="P51" s="5">
        <f t="shared" si="3"/>
        <v>211.08333333333334</v>
      </c>
      <c r="Q51" s="5">
        <f t="shared" si="4"/>
        <v>2.8333333333333335</v>
      </c>
    </row>
    <row r="52" spans="1:17" x14ac:dyDescent="0.25">
      <c r="A52" t="s">
        <v>28</v>
      </c>
      <c r="B52" t="s">
        <v>154</v>
      </c>
      <c r="C52">
        <v>17</v>
      </c>
      <c r="D52">
        <v>4</v>
      </c>
      <c r="E52">
        <v>24</v>
      </c>
      <c r="F52">
        <v>1</v>
      </c>
      <c r="G52">
        <v>184</v>
      </c>
      <c r="H52">
        <v>128</v>
      </c>
      <c r="I52">
        <v>1809</v>
      </c>
      <c r="J52">
        <v>8</v>
      </c>
      <c r="K52">
        <v>237.3</v>
      </c>
      <c r="L52">
        <v>14</v>
      </c>
      <c r="M52" s="5">
        <f t="shared" si="0"/>
        <v>24</v>
      </c>
      <c r="N52" s="5">
        <f t="shared" si="1"/>
        <v>1</v>
      </c>
      <c r="O52" s="5">
        <f t="shared" si="2"/>
        <v>128</v>
      </c>
      <c r="P52" s="5">
        <f t="shared" si="3"/>
        <v>1809</v>
      </c>
      <c r="Q52" s="5">
        <f t="shared" si="4"/>
        <v>8</v>
      </c>
    </row>
    <row r="53" spans="1:17" x14ac:dyDescent="0.25">
      <c r="A53" t="s">
        <v>301</v>
      </c>
      <c r="B53" t="s">
        <v>164</v>
      </c>
      <c r="C53">
        <v>17</v>
      </c>
      <c r="D53">
        <v>3</v>
      </c>
      <c r="E53">
        <v>-1</v>
      </c>
      <c r="F53">
        <v>0</v>
      </c>
      <c r="G53">
        <v>180</v>
      </c>
      <c r="H53">
        <v>100</v>
      </c>
      <c r="I53">
        <v>1516</v>
      </c>
      <c r="J53">
        <v>14</v>
      </c>
      <c r="K53">
        <v>235.5</v>
      </c>
      <c r="L53">
        <v>13.9</v>
      </c>
      <c r="M53" s="5">
        <f t="shared" si="0"/>
        <v>-1</v>
      </c>
      <c r="N53" s="5">
        <f t="shared" si="1"/>
        <v>0</v>
      </c>
      <c r="O53" s="5">
        <f t="shared" si="2"/>
        <v>100</v>
      </c>
      <c r="P53" s="5">
        <f t="shared" si="3"/>
        <v>1516</v>
      </c>
      <c r="Q53" s="5">
        <f t="shared" si="4"/>
        <v>14</v>
      </c>
    </row>
    <row r="54" spans="1:17" x14ac:dyDescent="0.25">
      <c r="A54" t="s">
        <v>29</v>
      </c>
      <c r="B54" t="s">
        <v>163</v>
      </c>
      <c r="C54">
        <v>17</v>
      </c>
      <c r="D54">
        <v>7</v>
      </c>
      <c r="E54">
        <v>32</v>
      </c>
      <c r="F54">
        <v>1</v>
      </c>
      <c r="G54">
        <v>170</v>
      </c>
      <c r="H54">
        <v>119</v>
      </c>
      <c r="I54">
        <v>1710</v>
      </c>
      <c r="J54">
        <v>7</v>
      </c>
      <c r="K54">
        <v>222.2</v>
      </c>
      <c r="L54">
        <v>13.1</v>
      </c>
      <c r="M54" s="5">
        <f t="shared" si="0"/>
        <v>32</v>
      </c>
      <c r="N54" s="5">
        <f t="shared" si="1"/>
        <v>1</v>
      </c>
      <c r="O54" s="5">
        <f t="shared" si="2"/>
        <v>119</v>
      </c>
      <c r="P54" s="5">
        <f t="shared" si="3"/>
        <v>1710</v>
      </c>
      <c r="Q54" s="5">
        <f t="shared" si="4"/>
        <v>7</v>
      </c>
    </row>
    <row r="55" spans="1:17" x14ac:dyDescent="0.25">
      <c r="A55" t="s">
        <v>184</v>
      </c>
      <c r="B55" t="s">
        <v>151</v>
      </c>
      <c r="C55">
        <v>17</v>
      </c>
      <c r="D55">
        <v>0</v>
      </c>
      <c r="E55">
        <v>0</v>
      </c>
      <c r="F55">
        <v>0</v>
      </c>
      <c r="G55">
        <v>145</v>
      </c>
      <c r="H55">
        <v>88</v>
      </c>
      <c r="I55">
        <v>1496</v>
      </c>
      <c r="J55">
        <v>11</v>
      </c>
      <c r="K55">
        <v>215.6</v>
      </c>
      <c r="L55">
        <v>12.7</v>
      </c>
      <c r="M55" s="5">
        <f t="shared" si="0"/>
        <v>0</v>
      </c>
      <c r="N55" s="5">
        <f t="shared" si="1"/>
        <v>0</v>
      </c>
      <c r="O55" s="5">
        <f t="shared" si="2"/>
        <v>88</v>
      </c>
      <c r="P55" s="5">
        <f t="shared" si="3"/>
        <v>1496</v>
      </c>
      <c r="Q55" s="5">
        <f t="shared" si="4"/>
        <v>11</v>
      </c>
    </row>
    <row r="56" spans="1:17" x14ac:dyDescent="0.25">
      <c r="A56" t="s">
        <v>32</v>
      </c>
      <c r="B56" t="s">
        <v>150</v>
      </c>
      <c r="C56">
        <v>16</v>
      </c>
      <c r="D56">
        <v>1</v>
      </c>
      <c r="E56">
        <v>-3</v>
      </c>
      <c r="F56">
        <v>0</v>
      </c>
      <c r="G56">
        <v>154</v>
      </c>
      <c r="H56">
        <v>108</v>
      </c>
      <c r="I56">
        <v>1429</v>
      </c>
      <c r="J56">
        <v>11</v>
      </c>
      <c r="K56">
        <v>208.6</v>
      </c>
      <c r="L56">
        <v>13</v>
      </c>
      <c r="M56" s="5">
        <f t="shared" si="0"/>
        <v>-3.1875</v>
      </c>
      <c r="N56" s="5">
        <f t="shared" si="1"/>
        <v>0</v>
      </c>
      <c r="O56" s="5">
        <f t="shared" si="2"/>
        <v>114.75</v>
      </c>
      <c r="P56" s="5">
        <f t="shared" si="3"/>
        <v>1518.3125</v>
      </c>
      <c r="Q56" s="5">
        <f t="shared" si="4"/>
        <v>11.6875</v>
      </c>
    </row>
    <row r="57" spans="1:17" x14ac:dyDescent="0.25">
      <c r="A57" t="s">
        <v>33</v>
      </c>
      <c r="B57" t="s">
        <v>166</v>
      </c>
      <c r="C57">
        <v>17</v>
      </c>
      <c r="D57">
        <v>10</v>
      </c>
      <c r="E57">
        <v>47</v>
      </c>
      <c r="F57">
        <v>0</v>
      </c>
      <c r="G57">
        <v>156</v>
      </c>
      <c r="H57">
        <v>107</v>
      </c>
      <c r="I57">
        <v>1359</v>
      </c>
      <c r="J57">
        <v>9</v>
      </c>
      <c r="K57">
        <v>194.6</v>
      </c>
      <c r="L57">
        <v>11.4</v>
      </c>
      <c r="M57" s="5">
        <f t="shared" si="0"/>
        <v>47</v>
      </c>
      <c r="N57" s="5">
        <f t="shared" si="1"/>
        <v>0</v>
      </c>
      <c r="O57" s="5">
        <f t="shared" si="2"/>
        <v>107</v>
      </c>
      <c r="P57" s="5">
        <f t="shared" si="3"/>
        <v>1359</v>
      </c>
      <c r="Q57" s="5">
        <f t="shared" si="4"/>
        <v>9</v>
      </c>
    </row>
    <row r="58" spans="1:17" x14ac:dyDescent="0.25">
      <c r="A58" t="s">
        <v>34</v>
      </c>
      <c r="B58" t="s">
        <v>163</v>
      </c>
      <c r="C58">
        <v>17</v>
      </c>
      <c r="D58">
        <v>3</v>
      </c>
      <c r="E58">
        <v>26</v>
      </c>
      <c r="F58">
        <v>0</v>
      </c>
      <c r="G58">
        <v>117</v>
      </c>
      <c r="H58">
        <v>75</v>
      </c>
      <c r="I58">
        <v>1356</v>
      </c>
      <c r="J58">
        <v>8</v>
      </c>
      <c r="K58">
        <v>186.2</v>
      </c>
      <c r="L58">
        <v>11</v>
      </c>
      <c r="M58" s="5">
        <f t="shared" si="0"/>
        <v>26</v>
      </c>
      <c r="N58" s="5">
        <f t="shared" si="1"/>
        <v>0</v>
      </c>
      <c r="O58" s="5">
        <f t="shared" si="2"/>
        <v>75</v>
      </c>
      <c r="P58" s="5">
        <f t="shared" si="3"/>
        <v>1356</v>
      </c>
      <c r="Q58" s="5">
        <f t="shared" si="4"/>
        <v>8</v>
      </c>
    </row>
    <row r="59" spans="1:17" x14ac:dyDescent="0.25">
      <c r="A59" t="s">
        <v>38</v>
      </c>
      <c r="B59" t="s">
        <v>173</v>
      </c>
      <c r="C59">
        <v>17</v>
      </c>
      <c r="D59">
        <v>0</v>
      </c>
      <c r="E59">
        <v>0</v>
      </c>
      <c r="F59">
        <v>0</v>
      </c>
      <c r="G59">
        <v>132</v>
      </c>
      <c r="H59">
        <v>78</v>
      </c>
      <c r="I59">
        <v>1160</v>
      </c>
      <c r="J59">
        <v>9</v>
      </c>
      <c r="K59">
        <v>170</v>
      </c>
      <c r="L59">
        <v>10</v>
      </c>
      <c r="M59" s="5">
        <f t="shared" si="0"/>
        <v>0</v>
      </c>
      <c r="N59" s="5">
        <f t="shared" si="1"/>
        <v>0</v>
      </c>
      <c r="O59" s="5">
        <f t="shared" si="2"/>
        <v>78</v>
      </c>
      <c r="P59" s="5">
        <f t="shared" si="3"/>
        <v>1160</v>
      </c>
      <c r="Q59" s="5">
        <f t="shared" si="4"/>
        <v>9</v>
      </c>
    </row>
    <row r="60" spans="1:17" x14ac:dyDescent="0.25">
      <c r="A60" t="s">
        <v>37</v>
      </c>
      <c r="B60" t="s">
        <v>151</v>
      </c>
      <c r="C60">
        <v>17</v>
      </c>
      <c r="D60">
        <v>0</v>
      </c>
      <c r="E60">
        <v>0</v>
      </c>
      <c r="F60">
        <v>0</v>
      </c>
      <c r="G60">
        <v>136</v>
      </c>
      <c r="H60">
        <v>95</v>
      </c>
      <c r="I60">
        <v>1196</v>
      </c>
      <c r="J60">
        <v>7</v>
      </c>
      <c r="K60">
        <v>161.6</v>
      </c>
      <c r="L60">
        <v>9.5</v>
      </c>
      <c r="M60" s="5">
        <f t="shared" si="0"/>
        <v>0</v>
      </c>
      <c r="N60" s="5">
        <f t="shared" si="1"/>
        <v>0</v>
      </c>
      <c r="O60" s="5">
        <f t="shared" si="2"/>
        <v>95</v>
      </c>
      <c r="P60" s="5">
        <f t="shared" si="3"/>
        <v>1196</v>
      </c>
      <c r="Q60" s="5">
        <f t="shared" si="4"/>
        <v>7</v>
      </c>
    </row>
    <row r="61" spans="1:17" x14ac:dyDescent="0.25">
      <c r="A61" t="s">
        <v>305</v>
      </c>
      <c r="B61" t="s">
        <v>157</v>
      </c>
      <c r="C61">
        <v>16</v>
      </c>
      <c r="D61">
        <v>9</v>
      </c>
      <c r="E61">
        <v>95</v>
      </c>
      <c r="F61">
        <v>0</v>
      </c>
      <c r="G61">
        <v>146</v>
      </c>
      <c r="H61">
        <v>106</v>
      </c>
      <c r="I61">
        <v>1161</v>
      </c>
      <c r="J61">
        <v>6</v>
      </c>
      <c r="K61">
        <v>161.6</v>
      </c>
      <c r="L61">
        <v>10.1</v>
      </c>
      <c r="M61" s="5">
        <f t="shared" si="0"/>
        <v>100.9375</v>
      </c>
      <c r="N61" s="5">
        <f t="shared" si="1"/>
        <v>0</v>
      </c>
      <c r="O61" s="5">
        <f t="shared" si="2"/>
        <v>112.625</v>
      </c>
      <c r="P61" s="5">
        <f t="shared" si="3"/>
        <v>1233.5625</v>
      </c>
      <c r="Q61" s="5">
        <f t="shared" si="4"/>
        <v>6.375</v>
      </c>
    </row>
    <row r="62" spans="1:17" x14ac:dyDescent="0.25">
      <c r="A62" t="s">
        <v>5</v>
      </c>
      <c r="B62" t="s">
        <v>155</v>
      </c>
      <c r="C62">
        <v>17</v>
      </c>
      <c r="D62">
        <v>5</v>
      </c>
      <c r="E62">
        <v>11</v>
      </c>
      <c r="F62">
        <v>0</v>
      </c>
      <c r="G62">
        <v>133</v>
      </c>
      <c r="H62">
        <v>84</v>
      </c>
      <c r="I62">
        <v>1108</v>
      </c>
      <c r="J62">
        <v>8</v>
      </c>
      <c r="K62">
        <v>159.9</v>
      </c>
      <c r="L62">
        <v>9.4</v>
      </c>
      <c r="M62" s="5">
        <f t="shared" si="0"/>
        <v>11</v>
      </c>
      <c r="N62" s="5">
        <f t="shared" si="1"/>
        <v>0</v>
      </c>
      <c r="O62" s="5">
        <f t="shared" si="2"/>
        <v>84</v>
      </c>
      <c r="P62" s="5">
        <f t="shared" si="3"/>
        <v>1108</v>
      </c>
      <c r="Q62" s="5">
        <f t="shared" si="4"/>
        <v>8</v>
      </c>
    </row>
    <row r="63" spans="1:17" x14ac:dyDescent="0.25">
      <c r="A63" t="s">
        <v>310</v>
      </c>
      <c r="B63" t="s">
        <v>152</v>
      </c>
      <c r="C63">
        <v>12</v>
      </c>
      <c r="D63">
        <v>5</v>
      </c>
      <c r="E63">
        <v>8</v>
      </c>
      <c r="F63">
        <v>0</v>
      </c>
      <c r="G63">
        <v>134</v>
      </c>
      <c r="H63">
        <v>87</v>
      </c>
      <c r="I63">
        <v>1046</v>
      </c>
      <c r="J63">
        <v>9</v>
      </c>
      <c r="K63">
        <v>159.4</v>
      </c>
      <c r="L63">
        <v>13.3</v>
      </c>
      <c r="M63" s="5">
        <f t="shared" si="0"/>
        <v>11.333333333333334</v>
      </c>
      <c r="N63" s="5">
        <f t="shared" si="1"/>
        <v>0</v>
      </c>
      <c r="O63" s="5">
        <f t="shared" si="2"/>
        <v>123.25</v>
      </c>
      <c r="P63" s="5">
        <f t="shared" si="3"/>
        <v>1481.8333333333335</v>
      </c>
      <c r="Q63" s="5">
        <f t="shared" si="4"/>
        <v>12.75</v>
      </c>
    </row>
    <row r="64" spans="1:17" x14ac:dyDescent="0.25">
      <c r="A64" t="s">
        <v>43</v>
      </c>
      <c r="B64" t="s">
        <v>153</v>
      </c>
      <c r="C64">
        <v>16</v>
      </c>
      <c r="D64">
        <v>0</v>
      </c>
      <c r="E64">
        <v>0</v>
      </c>
      <c r="F64">
        <v>0</v>
      </c>
      <c r="G64">
        <v>117</v>
      </c>
      <c r="H64">
        <v>84</v>
      </c>
      <c r="I64">
        <v>1033</v>
      </c>
      <c r="J64">
        <v>9</v>
      </c>
      <c r="K64">
        <v>157.30000000000001</v>
      </c>
      <c r="L64">
        <v>9.8000000000000007</v>
      </c>
      <c r="M64" s="5">
        <f t="shared" si="0"/>
        <v>0</v>
      </c>
      <c r="N64" s="5">
        <f t="shared" si="1"/>
        <v>0</v>
      </c>
      <c r="O64" s="5">
        <f t="shared" si="2"/>
        <v>89.25</v>
      </c>
      <c r="P64" s="5">
        <f t="shared" si="3"/>
        <v>1097.5625</v>
      </c>
      <c r="Q64" s="5">
        <f t="shared" si="4"/>
        <v>9.5625</v>
      </c>
    </row>
    <row r="65" spans="1:17" x14ac:dyDescent="0.25">
      <c r="A65" t="s">
        <v>276</v>
      </c>
      <c r="B65" t="s">
        <v>178</v>
      </c>
      <c r="C65">
        <v>17</v>
      </c>
      <c r="D65">
        <v>7</v>
      </c>
      <c r="E65">
        <v>29</v>
      </c>
      <c r="F65">
        <v>0</v>
      </c>
      <c r="G65">
        <v>120</v>
      </c>
      <c r="H65">
        <v>77</v>
      </c>
      <c r="I65">
        <v>1191</v>
      </c>
      <c r="J65">
        <v>5</v>
      </c>
      <c r="K65">
        <v>152</v>
      </c>
      <c r="L65">
        <v>8.9</v>
      </c>
      <c r="M65" s="5">
        <f t="shared" si="0"/>
        <v>29</v>
      </c>
      <c r="N65" s="5">
        <f t="shared" si="1"/>
        <v>0</v>
      </c>
      <c r="O65" s="5">
        <f t="shared" si="2"/>
        <v>77</v>
      </c>
      <c r="P65" s="5">
        <f t="shared" si="3"/>
        <v>1191</v>
      </c>
      <c r="Q65" s="5">
        <f t="shared" si="4"/>
        <v>5</v>
      </c>
    </row>
    <row r="66" spans="1:17" x14ac:dyDescent="0.25">
      <c r="A66" t="s">
        <v>113</v>
      </c>
      <c r="B66" t="s">
        <v>174</v>
      </c>
      <c r="C66">
        <v>17</v>
      </c>
      <c r="D66">
        <v>2</v>
      </c>
      <c r="E66">
        <v>23</v>
      </c>
      <c r="F66">
        <v>0</v>
      </c>
      <c r="G66">
        <v>114</v>
      </c>
      <c r="H66">
        <v>78</v>
      </c>
      <c r="I66">
        <v>1015</v>
      </c>
      <c r="J66">
        <v>8</v>
      </c>
      <c r="K66">
        <v>151.80000000000001</v>
      </c>
      <c r="L66">
        <v>8.9</v>
      </c>
      <c r="M66" s="5">
        <f t="shared" si="0"/>
        <v>23</v>
      </c>
      <c r="N66" s="5">
        <f t="shared" si="1"/>
        <v>0</v>
      </c>
      <c r="O66" s="5">
        <f t="shared" si="2"/>
        <v>78</v>
      </c>
      <c r="P66" s="5">
        <f t="shared" si="3"/>
        <v>1015</v>
      </c>
      <c r="Q66" s="5">
        <f t="shared" si="4"/>
        <v>8</v>
      </c>
    </row>
    <row r="67" spans="1:17" x14ac:dyDescent="0.25">
      <c r="A67" t="s">
        <v>42</v>
      </c>
      <c r="B67" t="s">
        <v>159</v>
      </c>
      <c r="C67">
        <v>15</v>
      </c>
      <c r="D67">
        <v>0</v>
      </c>
      <c r="E67">
        <v>0</v>
      </c>
      <c r="F67">
        <v>0</v>
      </c>
      <c r="G67">
        <v>127</v>
      </c>
      <c r="H67">
        <v>77</v>
      </c>
      <c r="I67">
        <v>1124</v>
      </c>
      <c r="J67">
        <v>6</v>
      </c>
      <c r="K67">
        <v>148.4</v>
      </c>
      <c r="L67">
        <v>9.9</v>
      </c>
      <c r="M67" s="5">
        <f t="shared" ref="M67:M130" si="5">17/$C67*E67</f>
        <v>0</v>
      </c>
      <c r="N67" s="5">
        <f t="shared" ref="N67:N130" si="6">17/$C67*F67</f>
        <v>0</v>
      </c>
      <c r="O67" s="5">
        <f t="shared" ref="O67:O130" si="7">17/$C67*H67</f>
        <v>87.266666666666666</v>
      </c>
      <c r="P67" s="5">
        <f t="shared" ref="P67:P130" si="8">17/$C67*I67</f>
        <v>1273.8666666666666</v>
      </c>
      <c r="Q67" s="5">
        <f t="shared" ref="Q67:Q130" si="9">17/$C67*J67</f>
        <v>6.8</v>
      </c>
    </row>
    <row r="68" spans="1:17" x14ac:dyDescent="0.25">
      <c r="A68" t="s">
        <v>36</v>
      </c>
      <c r="B68" t="s">
        <v>152</v>
      </c>
      <c r="C68">
        <v>14</v>
      </c>
      <c r="D68">
        <v>0</v>
      </c>
      <c r="E68">
        <v>0</v>
      </c>
      <c r="F68">
        <v>0</v>
      </c>
      <c r="G68">
        <v>109</v>
      </c>
      <c r="H68">
        <v>74</v>
      </c>
      <c r="I68">
        <v>1029</v>
      </c>
      <c r="J68">
        <v>7</v>
      </c>
      <c r="K68">
        <v>144.9</v>
      </c>
      <c r="L68">
        <v>10.4</v>
      </c>
      <c r="M68" s="5">
        <f t="shared" si="5"/>
        <v>0</v>
      </c>
      <c r="N68" s="5">
        <f t="shared" si="6"/>
        <v>0</v>
      </c>
      <c r="O68" s="5">
        <f t="shared" si="7"/>
        <v>89.857142857142847</v>
      </c>
      <c r="P68" s="5">
        <f t="shared" si="8"/>
        <v>1249.5</v>
      </c>
      <c r="Q68" s="5">
        <f t="shared" si="9"/>
        <v>8.5</v>
      </c>
    </row>
    <row r="69" spans="1:17" x14ac:dyDescent="0.25">
      <c r="A69" t="s">
        <v>39</v>
      </c>
      <c r="B69" t="s">
        <v>153</v>
      </c>
      <c r="C69">
        <v>17</v>
      </c>
      <c r="D69">
        <v>0</v>
      </c>
      <c r="E69">
        <v>0</v>
      </c>
      <c r="F69">
        <v>0</v>
      </c>
      <c r="G69">
        <v>141</v>
      </c>
      <c r="H69">
        <v>90</v>
      </c>
      <c r="I69">
        <v>1048</v>
      </c>
      <c r="J69">
        <v>6</v>
      </c>
      <c r="K69">
        <v>140.80000000000001</v>
      </c>
      <c r="L69">
        <v>8.3000000000000007</v>
      </c>
      <c r="M69" s="5">
        <f t="shared" si="5"/>
        <v>0</v>
      </c>
      <c r="N69" s="5">
        <f t="shared" si="6"/>
        <v>0</v>
      </c>
      <c r="O69" s="5">
        <f t="shared" si="7"/>
        <v>90</v>
      </c>
      <c r="P69" s="5">
        <f t="shared" si="8"/>
        <v>1048</v>
      </c>
      <c r="Q69" s="5">
        <f t="shared" si="9"/>
        <v>6</v>
      </c>
    </row>
    <row r="70" spans="1:17" x14ac:dyDescent="0.25">
      <c r="A70" t="s">
        <v>277</v>
      </c>
      <c r="B70" t="s">
        <v>162</v>
      </c>
      <c r="C70">
        <v>15</v>
      </c>
      <c r="D70">
        <v>4</v>
      </c>
      <c r="E70">
        <v>40</v>
      </c>
      <c r="F70">
        <v>0</v>
      </c>
      <c r="G70">
        <v>100</v>
      </c>
      <c r="H70">
        <v>67</v>
      </c>
      <c r="I70">
        <v>972</v>
      </c>
      <c r="J70">
        <v>6</v>
      </c>
      <c r="K70">
        <v>137.19999999999999</v>
      </c>
      <c r="L70">
        <v>9.1</v>
      </c>
      <c r="M70" s="5">
        <f t="shared" si="5"/>
        <v>45.333333333333329</v>
      </c>
      <c r="N70" s="5">
        <f t="shared" si="6"/>
        <v>0</v>
      </c>
      <c r="O70" s="5">
        <f t="shared" si="7"/>
        <v>75.933333333333337</v>
      </c>
      <c r="P70" s="5">
        <f t="shared" si="8"/>
        <v>1101.5999999999999</v>
      </c>
      <c r="Q70" s="5">
        <f t="shared" si="9"/>
        <v>6.8</v>
      </c>
    </row>
    <row r="71" spans="1:17" x14ac:dyDescent="0.25">
      <c r="A71" t="s">
        <v>185</v>
      </c>
      <c r="B71" t="s">
        <v>177</v>
      </c>
      <c r="C71">
        <v>17</v>
      </c>
      <c r="D71">
        <v>10</v>
      </c>
      <c r="E71">
        <v>53</v>
      </c>
      <c r="F71">
        <v>0</v>
      </c>
      <c r="G71">
        <v>118</v>
      </c>
      <c r="H71">
        <v>63</v>
      </c>
      <c r="I71">
        <v>888</v>
      </c>
      <c r="J71">
        <v>7</v>
      </c>
      <c r="K71">
        <v>136.1</v>
      </c>
      <c r="L71">
        <v>8</v>
      </c>
      <c r="M71" s="5">
        <f t="shared" si="5"/>
        <v>53</v>
      </c>
      <c r="N71" s="5">
        <f t="shared" si="6"/>
        <v>0</v>
      </c>
      <c r="O71" s="5">
        <f t="shared" si="7"/>
        <v>63</v>
      </c>
      <c r="P71" s="5">
        <f t="shared" si="8"/>
        <v>888</v>
      </c>
      <c r="Q71" s="5">
        <f t="shared" si="9"/>
        <v>7</v>
      </c>
    </row>
    <row r="72" spans="1:17" x14ac:dyDescent="0.25">
      <c r="A72" t="s">
        <v>31</v>
      </c>
      <c r="B72" t="s">
        <v>180</v>
      </c>
      <c r="C72">
        <v>17</v>
      </c>
      <c r="D72">
        <v>4</v>
      </c>
      <c r="E72">
        <v>4</v>
      </c>
      <c r="F72">
        <v>0</v>
      </c>
      <c r="G72">
        <v>147</v>
      </c>
      <c r="H72">
        <v>83</v>
      </c>
      <c r="I72">
        <v>1103</v>
      </c>
      <c r="J72">
        <v>4</v>
      </c>
      <c r="K72">
        <v>134.69999999999999</v>
      </c>
      <c r="L72">
        <v>7.9</v>
      </c>
      <c r="M72" s="5">
        <f t="shared" si="5"/>
        <v>4</v>
      </c>
      <c r="N72" s="5">
        <f t="shared" si="6"/>
        <v>0</v>
      </c>
      <c r="O72" s="5">
        <f t="shared" si="7"/>
        <v>83</v>
      </c>
      <c r="P72" s="5">
        <f t="shared" si="8"/>
        <v>1103</v>
      </c>
      <c r="Q72" s="5">
        <f t="shared" si="9"/>
        <v>4</v>
      </c>
    </row>
    <row r="73" spans="1:17" x14ac:dyDescent="0.25">
      <c r="A73" t="s">
        <v>278</v>
      </c>
      <c r="B73" t="s">
        <v>179</v>
      </c>
      <c r="C73">
        <v>9</v>
      </c>
      <c r="D73">
        <v>9</v>
      </c>
      <c r="E73">
        <v>52</v>
      </c>
      <c r="F73">
        <v>1</v>
      </c>
      <c r="G73">
        <v>98</v>
      </c>
      <c r="H73">
        <v>75</v>
      </c>
      <c r="I73">
        <v>812</v>
      </c>
      <c r="J73">
        <v>6</v>
      </c>
      <c r="K73">
        <v>128.4</v>
      </c>
      <c r="L73">
        <v>14.3</v>
      </c>
      <c r="M73" s="5">
        <f t="shared" si="5"/>
        <v>98.222222222222214</v>
      </c>
      <c r="N73" s="5">
        <f t="shared" si="6"/>
        <v>1.8888888888888888</v>
      </c>
      <c r="O73" s="5">
        <f t="shared" si="7"/>
        <v>141.66666666666666</v>
      </c>
      <c r="P73" s="5">
        <f t="shared" si="8"/>
        <v>1533.7777777777778</v>
      </c>
      <c r="Q73" s="5">
        <f t="shared" si="9"/>
        <v>11.333333333333332</v>
      </c>
    </row>
    <row r="74" spans="1:17" x14ac:dyDescent="0.25">
      <c r="A74" t="s">
        <v>35</v>
      </c>
      <c r="B74" t="s">
        <v>172</v>
      </c>
      <c r="C74">
        <v>15</v>
      </c>
      <c r="D74">
        <v>0</v>
      </c>
      <c r="E74">
        <v>0</v>
      </c>
      <c r="F74">
        <v>0</v>
      </c>
      <c r="G74">
        <v>119</v>
      </c>
      <c r="H74">
        <v>72</v>
      </c>
      <c r="I74">
        <v>1042</v>
      </c>
      <c r="J74">
        <v>4</v>
      </c>
      <c r="K74">
        <v>128.19999999999999</v>
      </c>
      <c r="L74">
        <v>8.5</v>
      </c>
      <c r="M74" s="5">
        <f t="shared" si="5"/>
        <v>0</v>
      </c>
      <c r="N74" s="5">
        <f t="shared" si="6"/>
        <v>0</v>
      </c>
      <c r="O74" s="5">
        <f t="shared" si="7"/>
        <v>81.599999999999994</v>
      </c>
      <c r="P74" s="5">
        <f t="shared" si="8"/>
        <v>1180.9333333333334</v>
      </c>
      <c r="Q74" s="5">
        <f t="shared" si="9"/>
        <v>4.5333333333333332</v>
      </c>
    </row>
    <row r="75" spans="1:17" x14ac:dyDescent="0.25">
      <c r="A75" t="s">
        <v>107</v>
      </c>
      <c r="B75" t="s">
        <v>150</v>
      </c>
      <c r="C75">
        <v>15</v>
      </c>
      <c r="D75">
        <v>0</v>
      </c>
      <c r="E75">
        <v>0</v>
      </c>
      <c r="F75">
        <v>0</v>
      </c>
      <c r="G75">
        <v>93</v>
      </c>
      <c r="H75">
        <v>48</v>
      </c>
      <c r="I75">
        <v>836</v>
      </c>
      <c r="J75">
        <v>7</v>
      </c>
      <c r="K75">
        <v>125.6</v>
      </c>
      <c r="L75">
        <v>8.4</v>
      </c>
      <c r="M75" s="5">
        <f t="shared" si="5"/>
        <v>0</v>
      </c>
      <c r="N75" s="5">
        <f t="shared" si="6"/>
        <v>0</v>
      </c>
      <c r="O75" s="5">
        <f t="shared" si="7"/>
        <v>54.4</v>
      </c>
      <c r="P75" s="5">
        <f t="shared" si="8"/>
        <v>947.4666666666667</v>
      </c>
      <c r="Q75" s="5">
        <f t="shared" si="9"/>
        <v>7.9333333333333336</v>
      </c>
    </row>
    <row r="76" spans="1:17" x14ac:dyDescent="0.25">
      <c r="A76" t="s">
        <v>4</v>
      </c>
      <c r="B76" t="s">
        <v>161</v>
      </c>
      <c r="C76">
        <v>14</v>
      </c>
      <c r="D76">
        <v>7</v>
      </c>
      <c r="E76">
        <v>80</v>
      </c>
      <c r="F76">
        <v>2</v>
      </c>
      <c r="G76">
        <v>66</v>
      </c>
      <c r="H76">
        <v>41</v>
      </c>
      <c r="I76">
        <v>611</v>
      </c>
      <c r="J76">
        <v>7</v>
      </c>
      <c r="K76">
        <v>123.1</v>
      </c>
      <c r="L76">
        <v>8.8000000000000007</v>
      </c>
      <c r="M76" s="5">
        <f t="shared" si="5"/>
        <v>97.142857142857139</v>
      </c>
      <c r="N76" s="5">
        <f t="shared" si="6"/>
        <v>2.4285714285714284</v>
      </c>
      <c r="O76" s="5">
        <f t="shared" si="7"/>
        <v>49.785714285714285</v>
      </c>
      <c r="P76" s="5">
        <f t="shared" si="8"/>
        <v>741.92857142857133</v>
      </c>
      <c r="Q76" s="5">
        <f t="shared" si="9"/>
        <v>8.5</v>
      </c>
    </row>
    <row r="77" spans="1:17" x14ac:dyDescent="0.25">
      <c r="A77" t="s">
        <v>8</v>
      </c>
      <c r="B77" t="s">
        <v>159</v>
      </c>
      <c r="C77">
        <v>15</v>
      </c>
      <c r="D77">
        <v>3</v>
      </c>
      <c r="E77">
        <v>5</v>
      </c>
      <c r="F77">
        <v>0</v>
      </c>
      <c r="G77">
        <v>142</v>
      </c>
      <c r="H77">
        <v>104</v>
      </c>
      <c r="I77">
        <v>1023</v>
      </c>
      <c r="J77">
        <v>3</v>
      </c>
      <c r="K77">
        <v>120.8</v>
      </c>
      <c r="L77">
        <v>8.1</v>
      </c>
      <c r="M77" s="5">
        <f t="shared" si="5"/>
        <v>5.6666666666666661</v>
      </c>
      <c r="N77" s="5">
        <f t="shared" si="6"/>
        <v>0</v>
      </c>
      <c r="O77" s="5">
        <f t="shared" si="7"/>
        <v>117.86666666666666</v>
      </c>
      <c r="P77" s="5">
        <f t="shared" si="8"/>
        <v>1159.3999999999999</v>
      </c>
      <c r="Q77" s="5">
        <f t="shared" si="9"/>
        <v>3.4</v>
      </c>
    </row>
    <row r="78" spans="1:17" x14ac:dyDescent="0.25">
      <c r="A78" t="s">
        <v>21</v>
      </c>
      <c r="B78" t="s">
        <v>171</v>
      </c>
      <c r="C78">
        <v>16</v>
      </c>
      <c r="D78">
        <v>3</v>
      </c>
      <c r="E78">
        <v>30</v>
      </c>
      <c r="F78">
        <v>0</v>
      </c>
      <c r="G78">
        <v>141</v>
      </c>
      <c r="H78">
        <v>99</v>
      </c>
      <c r="I78">
        <v>925</v>
      </c>
      <c r="J78">
        <v>4</v>
      </c>
      <c r="K78">
        <v>119.5</v>
      </c>
      <c r="L78">
        <v>7.5</v>
      </c>
      <c r="M78" s="5">
        <f t="shared" si="5"/>
        <v>31.875</v>
      </c>
      <c r="N78" s="5">
        <f t="shared" si="6"/>
        <v>0</v>
      </c>
      <c r="O78" s="5">
        <f t="shared" si="7"/>
        <v>105.1875</v>
      </c>
      <c r="P78" s="5">
        <f t="shared" si="8"/>
        <v>982.8125</v>
      </c>
      <c r="Q78" s="5">
        <f t="shared" si="9"/>
        <v>4.25</v>
      </c>
    </row>
    <row r="79" spans="1:17" x14ac:dyDescent="0.25">
      <c r="A79" t="s">
        <v>17</v>
      </c>
      <c r="B79" t="s">
        <v>174</v>
      </c>
      <c r="C79">
        <v>13</v>
      </c>
      <c r="D79">
        <v>42</v>
      </c>
      <c r="E79">
        <v>232</v>
      </c>
      <c r="F79">
        <v>3</v>
      </c>
      <c r="G79">
        <v>94</v>
      </c>
      <c r="H79">
        <v>56</v>
      </c>
      <c r="I79">
        <v>632</v>
      </c>
      <c r="J79">
        <v>2</v>
      </c>
      <c r="K79">
        <v>116.4</v>
      </c>
      <c r="L79">
        <v>9</v>
      </c>
      <c r="M79" s="5">
        <f t="shared" si="5"/>
        <v>303.38461538461542</v>
      </c>
      <c r="N79" s="5">
        <f t="shared" si="6"/>
        <v>3.9230769230769234</v>
      </c>
      <c r="O79" s="5">
        <f t="shared" si="7"/>
        <v>73.230769230769226</v>
      </c>
      <c r="P79" s="5">
        <f t="shared" si="8"/>
        <v>826.46153846153845</v>
      </c>
      <c r="Q79" s="5">
        <f t="shared" si="9"/>
        <v>2.6153846153846154</v>
      </c>
    </row>
    <row r="80" spans="1:17" x14ac:dyDescent="0.25">
      <c r="A80" t="s">
        <v>279</v>
      </c>
      <c r="B80" t="s">
        <v>170</v>
      </c>
      <c r="C80">
        <v>14</v>
      </c>
      <c r="D80">
        <v>2</v>
      </c>
      <c r="E80">
        <v>-11</v>
      </c>
      <c r="F80">
        <v>0</v>
      </c>
      <c r="G80">
        <v>96</v>
      </c>
      <c r="H80">
        <v>67</v>
      </c>
      <c r="I80">
        <v>804</v>
      </c>
      <c r="J80">
        <v>6</v>
      </c>
      <c r="K80">
        <v>115.3</v>
      </c>
      <c r="L80">
        <v>8.1999999999999993</v>
      </c>
      <c r="M80" s="5">
        <f t="shared" si="5"/>
        <v>-13.357142857142856</v>
      </c>
      <c r="N80" s="5">
        <f t="shared" si="6"/>
        <v>0</v>
      </c>
      <c r="O80" s="5">
        <f t="shared" si="7"/>
        <v>81.357142857142847</v>
      </c>
      <c r="P80" s="5">
        <f t="shared" si="8"/>
        <v>976.28571428571422</v>
      </c>
      <c r="Q80" s="5">
        <f t="shared" si="9"/>
        <v>7.2857142857142847</v>
      </c>
    </row>
    <row r="81" spans="1:17" x14ac:dyDescent="0.25">
      <c r="A81" t="s">
        <v>11</v>
      </c>
      <c r="B81" t="s">
        <v>161</v>
      </c>
      <c r="C81">
        <v>15</v>
      </c>
      <c r="D81">
        <v>2</v>
      </c>
      <c r="E81">
        <v>0</v>
      </c>
      <c r="F81">
        <v>0</v>
      </c>
      <c r="G81">
        <v>100</v>
      </c>
      <c r="H81">
        <v>60</v>
      </c>
      <c r="I81">
        <v>788</v>
      </c>
      <c r="J81">
        <v>6</v>
      </c>
      <c r="K81">
        <v>114.8</v>
      </c>
      <c r="L81">
        <v>7.7</v>
      </c>
      <c r="M81" s="5">
        <f t="shared" si="5"/>
        <v>0</v>
      </c>
      <c r="N81" s="5">
        <f t="shared" si="6"/>
        <v>0</v>
      </c>
      <c r="O81" s="5">
        <f t="shared" si="7"/>
        <v>68</v>
      </c>
      <c r="P81" s="5">
        <f t="shared" si="8"/>
        <v>893.06666666666661</v>
      </c>
      <c r="Q81" s="5">
        <f t="shared" si="9"/>
        <v>6.8</v>
      </c>
    </row>
    <row r="82" spans="1:17" x14ac:dyDescent="0.25">
      <c r="A82" t="s">
        <v>280</v>
      </c>
      <c r="B82" t="s">
        <v>178</v>
      </c>
      <c r="C82">
        <v>17</v>
      </c>
      <c r="D82">
        <v>38</v>
      </c>
      <c r="E82">
        <v>187</v>
      </c>
      <c r="F82">
        <v>1</v>
      </c>
      <c r="G82">
        <v>92</v>
      </c>
      <c r="H82">
        <v>64</v>
      </c>
      <c r="I82">
        <v>656</v>
      </c>
      <c r="J82">
        <v>4</v>
      </c>
      <c r="K82">
        <v>114.3</v>
      </c>
      <c r="L82">
        <v>6.7</v>
      </c>
      <c r="M82" s="5">
        <f t="shared" si="5"/>
        <v>187</v>
      </c>
      <c r="N82" s="5">
        <f t="shared" si="6"/>
        <v>1</v>
      </c>
      <c r="O82" s="5">
        <f t="shared" si="7"/>
        <v>64</v>
      </c>
      <c r="P82" s="5">
        <f t="shared" si="8"/>
        <v>656</v>
      </c>
      <c r="Q82" s="5">
        <f t="shared" si="9"/>
        <v>4</v>
      </c>
    </row>
    <row r="83" spans="1:17" x14ac:dyDescent="0.25">
      <c r="A83" t="s">
        <v>281</v>
      </c>
      <c r="B83" t="s">
        <v>155</v>
      </c>
      <c r="C83">
        <v>16</v>
      </c>
      <c r="D83">
        <v>4</v>
      </c>
      <c r="E83">
        <v>18</v>
      </c>
      <c r="F83">
        <v>0</v>
      </c>
      <c r="G83">
        <v>121</v>
      </c>
      <c r="H83">
        <v>82</v>
      </c>
      <c r="I83">
        <v>823</v>
      </c>
      <c r="J83">
        <v>5</v>
      </c>
      <c r="K83">
        <v>114.1</v>
      </c>
      <c r="L83">
        <v>7.1</v>
      </c>
      <c r="M83" s="5">
        <f t="shared" si="5"/>
        <v>19.125</v>
      </c>
      <c r="N83" s="5">
        <f t="shared" si="6"/>
        <v>0</v>
      </c>
      <c r="O83" s="5">
        <f t="shared" si="7"/>
        <v>87.125</v>
      </c>
      <c r="P83" s="5">
        <f t="shared" si="8"/>
        <v>874.4375</v>
      </c>
      <c r="Q83" s="5">
        <f t="shared" si="9"/>
        <v>5.3125</v>
      </c>
    </row>
    <row r="84" spans="1:17" x14ac:dyDescent="0.25">
      <c r="A84" t="s">
        <v>120</v>
      </c>
      <c r="B84" t="s">
        <v>156</v>
      </c>
      <c r="C84">
        <v>13</v>
      </c>
      <c r="D84">
        <v>0</v>
      </c>
      <c r="E84">
        <v>0</v>
      </c>
      <c r="F84">
        <v>0</v>
      </c>
      <c r="G84">
        <v>93</v>
      </c>
      <c r="H84">
        <v>63</v>
      </c>
      <c r="I84">
        <v>895</v>
      </c>
      <c r="J84">
        <v>4</v>
      </c>
      <c r="K84">
        <v>113.5</v>
      </c>
      <c r="L84">
        <v>8.6999999999999993</v>
      </c>
      <c r="M84" s="5">
        <f t="shared" si="5"/>
        <v>0</v>
      </c>
      <c r="N84" s="5">
        <f t="shared" si="6"/>
        <v>0</v>
      </c>
      <c r="O84" s="5">
        <f t="shared" si="7"/>
        <v>82.384615384615387</v>
      </c>
      <c r="P84" s="5">
        <f t="shared" si="8"/>
        <v>1170.3846153846155</v>
      </c>
      <c r="Q84" s="5">
        <f t="shared" si="9"/>
        <v>5.2307692307692308</v>
      </c>
    </row>
    <row r="85" spans="1:17" x14ac:dyDescent="0.25">
      <c r="A85" t="s">
        <v>12</v>
      </c>
      <c r="B85" t="s">
        <v>176</v>
      </c>
      <c r="C85">
        <v>17</v>
      </c>
      <c r="D85">
        <v>3</v>
      </c>
      <c r="E85">
        <v>24</v>
      </c>
      <c r="F85">
        <v>1</v>
      </c>
      <c r="G85">
        <v>84</v>
      </c>
      <c r="H85">
        <v>52</v>
      </c>
      <c r="I85">
        <v>801</v>
      </c>
      <c r="J85">
        <v>4</v>
      </c>
      <c r="K85">
        <v>112.5</v>
      </c>
      <c r="L85">
        <v>6.6</v>
      </c>
      <c r="M85" s="5">
        <f t="shared" si="5"/>
        <v>24</v>
      </c>
      <c r="N85" s="5">
        <f t="shared" si="6"/>
        <v>1</v>
      </c>
      <c r="O85" s="5">
        <f t="shared" si="7"/>
        <v>52</v>
      </c>
      <c r="P85" s="5">
        <f t="shared" si="8"/>
        <v>801</v>
      </c>
      <c r="Q85" s="5">
        <f t="shared" si="9"/>
        <v>4</v>
      </c>
    </row>
    <row r="86" spans="1:17" x14ac:dyDescent="0.25">
      <c r="A86" t="s">
        <v>124</v>
      </c>
      <c r="B86" t="s">
        <v>149</v>
      </c>
      <c r="C86">
        <v>16</v>
      </c>
      <c r="D86">
        <v>0</v>
      </c>
      <c r="E86">
        <v>0</v>
      </c>
      <c r="F86">
        <v>0</v>
      </c>
      <c r="G86">
        <v>101</v>
      </c>
      <c r="H86">
        <v>78</v>
      </c>
      <c r="I86">
        <v>933</v>
      </c>
      <c r="J86">
        <v>3</v>
      </c>
      <c r="K86">
        <v>111.3</v>
      </c>
      <c r="L86">
        <v>7</v>
      </c>
      <c r="M86" s="5">
        <f t="shared" si="5"/>
        <v>0</v>
      </c>
      <c r="N86" s="5">
        <f t="shared" si="6"/>
        <v>0</v>
      </c>
      <c r="O86" s="5">
        <f t="shared" si="7"/>
        <v>82.875</v>
      </c>
      <c r="P86" s="5">
        <f t="shared" si="8"/>
        <v>991.3125</v>
      </c>
      <c r="Q86" s="5">
        <f t="shared" si="9"/>
        <v>3.1875</v>
      </c>
    </row>
    <row r="87" spans="1:17" x14ac:dyDescent="0.25">
      <c r="A87" t="s">
        <v>14</v>
      </c>
      <c r="B87" t="s">
        <v>168</v>
      </c>
      <c r="C87">
        <v>17</v>
      </c>
      <c r="D87">
        <v>0</v>
      </c>
      <c r="E87">
        <v>0</v>
      </c>
      <c r="F87">
        <v>0</v>
      </c>
      <c r="G87">
        <v>117</v>
      </c>
      <c r="H87">
        <v>72</v>
      </c>
      <c r="I87">
        <v>866</v>
      </c>
      <c r="J87">
        <v>4</v>
      </c>
      <c r="K87">
        <v>110.6</v>
      </c>
      <c r="L87">
        <v>6.5</v>
      </c>
      <c r="M87" s="5">
        <f t="shared" si="5"/>
        <v>0</v>
      </c>
      <c r="N87" s="5">
        <f t="shared" si="6"/>
        <v>0</v>
      </c>
      <c r="O87" s="5">
        <f t="shared" si="7"/>
        <v>72</v>
      </c>
      <c r="P87" s="5">
        <f t="shared" si="8"/>
        <v>866</v>
      </c>
      <c r="Q87" s="5">
        <f t="shared" si="9"/>
        <v>4</v>
      </c>
    </row>
    <row r="88" spans="1:17" x14ac:dyDescent="0.25">
      <c r="A88" t="s">
        <v>18</v>
      </c>
      <c r="B88" t="s">
        <v>154</v>
      </c>
      <c r="C88">
        <v>17</v>
      </c>
      <c r="D88">
        <v>1</v>
      </c>
      <c r="E88">
        <v>4</v>
      </c>
      <c r="F88">
        <v>0</v>
      </c>
      <c r="G88">
        <v>107</v>
      </c>
      <c r="H88">
        <v>70</v>
      </c>
      <c r="I88">
        <v>716</v>
      </c>
      <c r="J88">
        <v>6</v>
      </c>
      <c r="K88">
        <v>108</v>
      </c>
      <c r="L88">
        <v>6.4</v>
      </c>
      <c r="M88" s="5">
        <f t="shared" si="5"/>
        <v>4</v>
      </c>
      <c r="N88" s="5">
        <f t="shared" si="6"/>
        <v>0</v>
      </c>
      <c r="O88" s="5">
        <f t="shared" si="7"/>
        <v>70</v>
      </c>
      <c r="P88" s="5">
        <f t="shared" si="8"/>
        <v>716</v>
      </c>
      <c r="Q88" s="5">
        <f t="shared" si="9"/>
        <v>6</v>
      </c>
    </row>
    <row r="89" spans="1:17" x14ac:dyDescent="0.25">
      <c r="A89" t="s">
        <v>110</v>
      </c>
      <c r="B89" t="s">
        <v>152</v>
      </c>
      <c r="C89">
        <v>16</v>
      </c>
      <c r="D89">
        <v>0</v>
      </c>
      <c r="E89">
        <v>0</v>
      </c>
      <c r="F89">
        <v>0</v>
      </c>
      <c r="G89">
        <v>82</v>
      </c>
      <c r="H89">
        <v>58</v>
      </c>
      <c r="I89">
        <v>762</v>
      </c>
      <c r="J89">
        <v>5</v>
      </c>
      <c r="K89">
        <v>106.2</v>
      </c>
      <c r="L89">
        <v>6.6</v>
      </c>
      <c r="M89" s="5">
        <f t="shared" si="5"/>
        <v>0</v>
      </c>
      <c r="N89" s="5">
        <f t="shared" si="6"/>
        <v>0</v>
      </c>
      <c r="O89" s="5">
        <f t="shared" si="7"/>
        <v>61.625</v>
      </c>
      <c r="P89" s="5">
        <f t="shared" si="8"/>
        <v>809.625</v>
      </c>
      <c r="Q89" s="5">
        <f t="shared" si="9"/>
        <v>5.3125</v>
      </c>
    </row>
    <row r="90" spans="1:17" x14ac:dyDescent="0.25">
      <c r="A90" t="s">
        <v>114</v>
      </c>
      <c r="B90" t="s">
        <v>173</v>
      </c>
      <c r="C90">
        <v>17</v>
      </c>
      <c r="D90">
        <v>1</v>
      </c>
      <c r="E90">
        <v>2</v>
      </c>
      <c r="F90">
        <v>0</v>
      </c>
      <c r="G90">
        <v>96</v>
      </c>
      <c r="H90">
        <v>61</v>
      </c>
      <c r="I90">
        <v>839</v>
      </c>
      <c r="J90">
        <v>3</v>
      </c>
      <c r="K90">
        <v>102.1</v>
      </c>
      <c r="L90">
        <v>6</v>
      </c>
      <c r="M90" s="5">
        <f t="shared" si="5"/>
        <v>2</v>
      </c>
      <c r="N90" s="5">
        <f t="shared" si="6"/>
        <v>0</v>
      </c>
      <c r="O90" s="5">
        <f t="shared" si="7"/>
        <v>61</v>
      </c>
      <c r="P90" s="5">
        <f t="shared" si="8"/>
        <v>839</v>
      </c>
      <c r="Q90" s="5">
        <f t="shared" si="9"/>
        <v>3</v>
      </c>
    </row>
    <row r="91" spans="1:17" x14ac:dyDescent="0.25">
      <c r="A91" t="s">
        <v>41</v>
      </c>
      <c r="B91" t="s">
        <v>156</v>
      </c>
      <c r="C91">
        <v>10</v>
      </c>
      <c r="D91">
        <v>1</v>
      </c>
      <c r="E91">
        <v>8</v>
      </c>
      <c r="F91">
        <v>0</v>
      </c>
      <c r="G91">
        <v>89</v>
      </c>
      <c r="H91">
        <v>66</v>
      </c>
      <c r="I91">
        <v>752</v>
      </c>
      <c r="J91">
        <v>4</v>
      </c>
      <c r="K91">
        <v>100</v>
      </c>
      <c r="L91">
        <v>10</v>
      </c>
      <c r="M91" s="5">
        <f t="shared" si="5"/>
        <v>13.6</v>
      </c>
      <c r="N91" s="5">
        <f t="shared" si="6"/>
        <v>0</v>
      </c>
      <c r="O91" s="5">
        <f t="shared" si="7"/>
        <v>112.2</v>
      </c>
      <c r="P91" s="5">
        <f t="shared" si="8"/>
        <v>1278.3999999999999</v>
      </c>
      <c r="Q91" s="5">
        <f t="shared" si="9"/>
        <v>6.8</v>
      </c>
    </row>
    <row r="92" spans="1:17" x14ac:dyDescent="0.25">
      <c r="A92" t="s">
        <v>282</v>
      </c>
      <c r="B92" t="s">
        <v>164</v>
      </c>
      <c r="C92">
        <v>17</v>
      </c>
      <c r="D92">
        <v>4</v>
      </c>
      <c r="E92">
        <v>40</v>
      </c>
      <c r="F92">
        <v>0</v>
      </c>
      <c r="G92">
        <v>94</v>
      </c>
      <c r="H92">
        <v>57</v>
      </c>
      <c r="I92">
        <v>690</v>
      </c>
      <c r="J92">
        <v>4</v>
      </c>
      <c r="K92">
        <v>97</v>
      </c>
      <c r="L92">
        <v>5.7</v>
      </c>
      <c r="M92" s="5">
        <f t="shared" si="5"/>
        <v>40</v>
      </c>
      <c r="N92" s="5">
        <f t="shared" si="6"/>
        <v>0</v>
      </c>
      <c r="O92" s="5">
        <f t="shared" si="7"/>
        <v>57</v>
      </c>
      <c r="P92" s="5">
        <f t="shared" si="8"/>
        <v>690</v>
      </c>
      <c r="Q92" s="5">
        <f t="shared" si="9"/>
        <v>4</v>
      </c>
    </row>
    <row r="93" spans="1:17" x14ac:dyDescent="0.25">
      <c r="A93" t="s">
        <v>306</v>
      </c>
      <c r="B93" t="s">
        <v>154</v>
      </c>
      <c r="C93">
        <v>17</v>
      </c>
      <c r="D93">
        <v>3</v>
      </c>
      <c r="E93">
        <v>6</v>
      </c>
      <c r="F93">
        <v>0</v>
      </c>
      <c r="G93">
        <v>90</v>
      </c>
      <c r="H93">
        <v>60</v>
      </c>
      <c r="I93">
        <v>650</v>
      </c>
      <c r="J93">
        <v>5</v>
      </c>
      <c r="K93">
        <v>95.6</v>
      </c>
      <c r="L93">
        <v>5.6</v>
      </c>
      <c r="M93" s="5">
        <f t="shared" si="5"/>
        <v>6</v>
      </c>
      <c r="N93" s="5">
        <f t="shared" si="6"/>
        <v>0</v>
      </c>
      <c r="O93" s="5">
        <f t="shared" si="7"/>
        <v>60</v>
      </c>
      <c r="P93" s="5">
        <f t="shared" si="8"/>
        <v>650</v>
      </c>
      <c r="Q93" s="5">
        <f t="shared" si="9"/>
        <v>5</v>
      </c>
    </row>
    <row r="94" spans="1:17" x14ac:dyDescent="0.25">
      <c r="A94" t="s">
        <v>283</v>
      </c>
      <c r="B94" t="s">
        <v>162</v>
      </c>
      <c r="C94">
        <v>15</v>
      </c>
      <c r="D94">
        <v>1</v>
      </c>
      <c r="E94">
        <v>5</v>
      </c>
      <c r="F94">
        <v>0</v>
      </c>
      <c r="G94">
        <v>109</v>
      </c>
      <c r="H94">
        <v>64</v>
      </c>
      <c r="I94">
        <v>829</v>
      </c>
      <c r="J94">
        <v>2</v>
      </c>
      <c r="K94">
        <v>95.4</v>
      </c>
      <c r="L94">
        <v>6.4</v>
      </c>
      <c r="M94" s="5">
        <f t="shared" si="5"/>
        <v>5.6666666666666661</v>
      </c>
      <c r="N94" s="5">
        <f t="shared" si="6"/>
        <v>0</v>
      </c>
      <c r="O94" s="5">
        <f t="shared" si="7"/>
        <v>72.533333333333331</v>
      </c>
      <c r="P94" s="5">
        <f t="shared" si="8"/>
        <v>939.5333333333333</v>
      </c>
      <c r="Q94" s="5">
        <f t="shared" si="9"/>
        <v>2.2666666666666666</v>
      </c>
    </row>
    <row r="95" spans="1:17" x14ac:dyDescent="0.25">
      <c r="A95" t="s">
        <v>284</v>
      </c>
      <c r="B95" t="s">
        <v>156</v>
      </c>
      <c r="C95">
        <v>16</v>
      </c>
      <c r="D95">
        <v>1</v>
      </c>
      <c r="E95">
        <v>4</v>
      </c>
      <c r="F95">
        <v>0</v>
      </c>
      <c r="G95">
        <v>107</v>
      </c>
      <c r="H95">
        <v>72</v>
      </c>
      <c r="I95">
        <v>769</v>
      </c>
      <c r="J95">
        <v>3</v>
      </c>
      <c r="K95">
        <v>95.3</v>
      </c>
      <c r="L95">
        <v>6</v>
      </c>
      <c r="M95" s="5">
        <f t="shared" si="5"/>
        <v>4.25</v>
      </c>
      <c r="N95" s="5">
        <f t="shared" si="6"/>
        <v>0</v>
      </c>
      <c r="O95" s="5">
        <f t="shared" si="7"/>
        <v>76.5</v>
      </c>
      <c r="P95" s="5">
        <f t="shared" si="8"/>
        <v>817.0625</v>
      </c>
      <c r="Q95" s="5">
        <f t="shared" si="9"/>
        <v>3.1875</v>
      </c>
    </row>
    <row r="96" spans="1:17" x14ac:dyDescent="0.25">
      <c r="A96" t="s">
        <v>15</v>
      </c>
      <c r="B96" t="s">
        <v>178</v>
      </c>
      <c r="C96">
        <v>12</v>
      </c>
      <c r="D96">
        <v>2</v>
      </c>
      <c r="E96">
        <v>-7</v>
      </c>
      <c r="F96">
        <v>0</v>
      </c>
      <c r="G96">
        <v>61</v>
      </c>
      <c r="H96">
        <v>35</v>
      </c>
      <c r="I96">
        <v>523</v>
      </c>
      <c r="J96">
        <v>7</v>
      </c>
      <c r="K96">
        <v>93.6</v>
      </c>
      <c r="L96">
        <v>7.8</v>
      </c>
      <c r="M96" s="5">
        <f t="shared" si="5"/>
        <v>-9.9166666666666679</v>
      </c>
      <c r="N96" s="5">
        <f t="shared" si="6"/>
        <v>0</v>
      </c>
      <c r="O96" s="5">
        <f t="shared" si="7"/>
        <v>49.583333333333336</v>
      </c>
      <c r="P96" s="5">
        <f t="shared" si="8"/>
        <v>740.91666666666674</v>
      </c>
      <c r="Q96" s="5">
        <f t="shared" si="9"/>
        <v>9.9166666666666679</v>
      </c>
    </row>
    <row r="97" spans="1:17" x14ac:dyDescent="0.25">
      <c r="A97" t="s">
        <v>45</v>
      </c>
      <c r="B97" t="s">
        <v>176</v>
      </c>
      <c r="C97">
        <v>17</v>
      </c>
      <c r="D97">
        <v>7</v>
      </c>
      <c r="E97">
        <v>25</v>
      </c>
      <c r="F97">
        <v>0</v>
      </c>
      <c r="G97">
        <v>147</v>
      </c>
      <c r="H97">
        <v>86</v>
      </c>
      <c r="I97">
        <v>882</v>
      </c>
      <c r="J97">
        <v>0</v>
      </c>
      <c r="K97">
        <v>90.7</v>
      </c>
      <c r="L97">
        <v>5.3</v>
      </c>
      <c r="M97" s="5">
        <f t="shared" si="5"/>
        <v>25</v>
      </c>
      <c r="N97" s="5">
        <f t="shared" si="6"/>
        <v>0</v>
      </c>
      <c r="O97" s="5">
        <f t="shared" si="7"/>
        <v>86</v>
      </c>
      <c r="P97" s="5">
        <f t="shared" si="8"/>
        <v>882</v>
      </c>
      <c r="Q97" s="5">
        <v>2</v>
      </c>
    </row>
    <row r="98" spans="1:17" x14ac:dyDescent="0.25">
      <c r="A98" t="s">
        <v>7</v>
      </c>
      <c r="B98" t="s">
        <v>169</v>
      </c>
      <c r="C98">
        <v>9</v>
      </c>
      <c r="D98">
        <v>0</v>
      </c>
      <c r="E98">
        <v>0</v>
      </c>
      <c r="F98">
        <v>0</v>
      </c>
      <c r="G98">
        <v>96</v>
      </c>
      <c r="H98">
        <v>64</v>
      </c>
      <c r="I98">
        <v>717</v>
      </c>
      <c r="J98">
        <v>3</v>
      </c>
      <c r="K98">
        <v>89.7</v>
      </c>
      <c r="L98">
        <v>10</v>
      </c>
      <c r="M98" s="5">
        <f t="shared" si="5"/>
        <v>0</v>
      </c>
      <c r="N98" s="5">
        <f t="shared" si="6"/>
        <v>0</v>
      </c>
      <c r="O98" s="5">
        <f t="shared" si="7"/>
        <v>120.88888888888889</v>
      </c>
      <c r="P98" s="5">
        <f t="shared" si="8"/>
        <v>1354.3333333333333</v>
      </c>
      <c r="Q98" s="5">
        <f t="shared" si="9"/>
        <v>5.6666666666666661</v>
      </c>
    </row>
    <row r="99" spans="1:17" x14ac:dyDescent="0.25">
      <c r="A99" t="s">
        <v>19</v>
      </c>
      <c r="B99" t="s">
        <v>169</v>
      </c>
      <c r="C99">
        <v>12</v>
      </c>
      <c r="D99">
        <v>1</v>
      </c>
      <c r="E99">
        <v>1</v>
      </c>
      <c r="F99">
        <v>0</v>
      </c>
      <c r="G99">
        <v>107</v>
      </c>
      <c r="H99">
        <v>67</v>
      </c>
      <c r="I99">
        <v>709</v>
      </c>
      <c r="J99">
        <v>3</v>
      </c>
      <c r="K99">
        <v>89</v>
      </c>
      <c r="L99">
        <v>7.4</v>
      </c>
      <c r="M99" s="5">
        <f t="shared" si="5"/>
        <v>1.4166666666666667</v>
      </c>
      <c r="N99" s="5">
        <f t="shared" si="6"/>
        <v>0</v>
      </c>
      <c r="O99" s="5">
        <f t="shared" si="7"/>
        <v>94.916666666666671</v>
      </c>
      <c r="P99" s="5">
        <f t="shared" si="8"/>
        <v>1004.4166666666667</v>
      </c>
      <c r="Q99" s="5">
        <f t="shared" si="9"/>
        <v>4.25</v>
      </c>
    </row>
    <row r="100" spans="1:17" x14ac:dyDescent="0.25">
      <c r="A100" t="s">
        <v>6</v>
      </c>
      <c r="B100" t="s">
        <v>167</v>
      </c>
      <c r="C100">
        <v>13</v>
      </c>
      <c r="D100">
        <v>2</v>
      </c>
      <c r="E100">
        <v>7</v>
      </c>
      <c r="F100">
        <v>0</v>
      </c>
      <c r="G100">
        <v>93</v>
      </c>
      <c r="H100">
        <v>57</v>
      </c>
      <c r="I100">
        <v>699</v>
      </c>
      <c r="J100">
        <v>3</v>
      </c>
      <c r="K100">
        <v>88.6</v>
      </c>
      <c r="L100">
        <v>6.8</v>
      </c>
      <c r="M100" s="5">
        <f t="shared" si="5"/>
        <v>9.1538461538461533</v>
      </c>
      <c r="N100" s="5">
        <f t="shared" si="6"/>
        <v>0</v>
      </c>
      <c r="O100" s="5">
        <f t="shared" si="7"/>
        <v>74.538461538461533</v>
      </c>
      <c r="P100" s="5">
        <f t="shared" si="8"/>
        <v>914.07692307692309</v>
      </c>
      <c r="Q100" s="5">
        <f t="shared" si="9"/>
        <v>3.9230769230769234</v>
      </c>
    </row>
    <row r="101" spans="1:17" x14ac:dyDescent="0.25">
      <c r="A101" t="s">
        <v>285</v>
      </c>
      <c r="B101" t="s">
        <v>171</v>
      </c>
      <c r="C101">
        <v>17</v>
      </c>
      <c r="D101">
        <v>5</v>
      </c>
      <c r="E101">
        <v>58</v>
      </c>
      <c r="F101">
        <v>0</v>
      </c>
      <c r="G101">
        <v>91</v>
      </c>
      <c r="H101">
        <v>63</v>
      </c>
      <c r="I101">
        <v>623</v>
      </c>
      <c r="J101">
        <v>3</v>
      </c>
      <c r="K101">
        <v>86.1</v>
      </c>
      <c r="L101">
        <v>5.0999999999999996</v>
      </c>
      <c r="M101" s="5">
        <f t="shared" si="5"/>
        <v>58</v>
      </c>
      <c r="N101" s="5">
        <f t="shared" si="6"/>
        <v>0</v>
      </c>
      <c r="O101" s="5">
        <f t="shared" si="7"/>
        <v>63</v>
      </c>
      <c r="P101" s="5">
        <f t="shared" si="8"/>
        <v>623</v>
      </c>
      <c r="Q101" s="5">
        <f t="shared" si="9"/>
        <v>3</v>
      </c>
    </row>
    <row r="102" spans="1:17" x14ac:dyDescent="0.25">
      <c r="A102" t="s">
        <v>50</v>
      </c>
      <c r="B102" t="s">
        <v>164</v>
      </c>
      <c r="C102">
        <v>17</v>
      </c>
      <c r="D102">
        <v>340</v>
      </c>
      <c r="E102">
        <v>1653</v>
      </c>
      <c r="F102">
        <v>12</v>
      </c>
      <c r="G102">
        <v>64</v>
      </c>
      <c r="H102">
        <v>53</v>
      </c>
      <c r="I102">
        <v>400</v>
      </c>
      <c r="J102">
        <v>0</v>
      </c>
      <c r="K102">
        <v>277.3</v>
      </c>
      <c r="L102">
        <v>16.3</v>
      </c>
      <c r="M102" s="5">
        <f t="shared" si="5"/>
        <v>1653</v>
      </c>
      <c r="N102" s="5">
        <f t="shared" si="6"/>
        <v>12</v>
      </c>
      <c r="O102" s="5">
        <f t="shared" si="7"/>
        <v>53</v>
      </c>
      <c r="P102" s="5">
        <f t="shared" si="8"/>
        <v>400</v>
      </c>
      <c r="Q102" s="5">
        <f t="shared" si="9"/>
        <v>0</v>
      </c>
    </row>
    <row r="103" spans="1:17" x14ac:dyDescent="0.25">
      <c r="A103" t="s">
        <v>65</v>
      </c>
      <c r="B103" t="s">
        <v>156</v>
      </c>
      <c r="C103">
        <v>17</v>
      </c>
      <c r="D103">
        <v>204</v>
      </c>
      <c r="E103">
        <v>915</v>
      </c>
      <c r="F103">
        <v>13</v>
      </c>
      <c r="G103">
        <v>127</v>
      </c>
      <c r="H103">
        <v>107</v>
      </c>
      <c r="I103">
        <v>722</v>
      </c>
      <c r="J103">
        <v>5</v>
      </c>
      <c r="K103">
        <v>271.7</v>
      </c>
      <c r="L103">
        <v>16</v>
      </c>
      <c r="M103" s="5">
        <f t="shared" si="5"/>
        <v>915</v>
      </c>
      <c r="N103" s="5">
        <f t="shared" si="6"/>
        <v>13</v>
      </c>
      <c r="O103" s="5">
        <f t="shared" si="7"/>
        <v>107</v>
      </c>
      <c r="P103" s="5">
        <f t="shared" si="8"/>
        <v>722</v>
      </c>
      <c r="Q103" s="5">
        <f t="shared" si="9"/>
        <v>5</v>
      </c>
    </row>
    <row r="104" spans="1:17" x14ac:dyDescent="0.25">
      <c r="A104" t="s">
        <v>47</v>
      </c>
      <c r="B104" t="s">
        <v>175</v>
      </c>
      <c r="C104">
        <v>16</v>
      </c>
      <c r="D104">
        <v>349</v>
      </c>
      <c r="E104">
        <v>1538</v>
      </c>
      <c r="F104">
        <v>13</v>
      </c>
      <c r="G104">
        <v>41</v>
      </c>
      <c r="H104">
        <v>33</v>
      </c>
      <c r="I104">
        <v>398</v>
      </c>
      <c r="J104">
        <v>0</v>
      </c>
      <c r="K104">
        <v>271.60000000000002</v>
      </c>
      <c r="L104">
        <v>17</v>
      </c>
      <c r="M104" s="5">
        <f t="shared" si="5"/>
        <v>1634.125</v>
      </c>
      <c r="N104" s="5">
        <f t="shared" si="6"/>
        <v>13.8125</v>
      </c>
      <c r="O104" s="5">
        <f t="shared" si="7"/>
        <v>35.0625</v>
      </c>
      <c r="P104" s="5">
        <f t="shared" si="8"/>
        <v>422.875</v>
      </c>
      <c r="Q104" s="5">
        <f t="shared" si="9"/>
        <v>0</v>
      </c>
    </row>
    <row r="105" spans="1:17" x14ac:dyDescent="0.25">
      <c r="A105" t="s">
        <v>56</v>
      </c>
      <c r="B105" t="s">
        <v>177</v>
      </c>
      <c r="C105">
        <v>17</v>
      </c>
      <c r="D105">
        <v>244</v>
      </c>
      <c r="E105">
        <v>1139</v>
      </c>
      <c r="F105">
        <v>8</v>
      </c>
      <c r="G105">
        <v>108</v>
      </c>
      <c r="H105">
        <v>85</v>
      </c>
      <c r="I105">
        <v>741</v>
      </c>
      <c r="J105">
        <v>5</v>
      </c>
      <c r="K105">
        <v>266</v>
      </c>
      <c r="L105">
        <v>15.6</v>
      </c>
      <c r="M105" s="5">
        <f t="shared" si="5"/>
        <v>1139</v>
      </c>
      <c r="N105" s="5">
        <f t="shared" si="6"/>
        <v>8</v>
      </c>
      <c r="O105" s="5">
        <f t="shared" si="7"/>
        <v>85</v>
      </c>
      <c r="P105" s="5">
        <f t="shared" si="8"/>
        <v>741</v>
      </c>
      <c r="Q105" s="5">
        <f t="shared" si="9"/>
        <v>5</v>
      </c>
    </row>
    <row r="106" spans="1:17" x14ac:dyDescent="0.25">
      <c r="A106" t="s">
        <v>46</v>
      </c>
      <c r="B106" t="s">
        <v>173</v>
      </c>
      <c r="C106">
        <v>17</v>
      </c>
      <c r="D106">
        <v>302</v>
      </c>
      <c r="E106">
        <v>1525</v>
      </c>
      <c r="F106">
        <v>12</v>
      </c>
      <c r="G106">
        <v>37</v>
      </c>
      <c r="H106">
        <v>27</v>
      </c>
      <c r="I106">
        <v>239</v>
      </c>
      <c r="J106">
        <v>1</v>
      </c>
      <c r="K106">
        <v>254.4</v>
      </c>
      <c r="L106">
        <v>15</v>
      </c>
      <c r="M106" s="5">
        <f t="shared" si="5"/>
        <v>1525</v>
      </c>
      <c r="N106" s="5">
        <f t="shared" si="6"/>
        <v>12</v>
      </c>
      <c r="O106" s="5">
        <f t="shared" si="7"/>
        <v>27</v>
      </c>
      <c r="P106" s="5">
        <f t="shared" si="8"/>
        <v>239</v>
      </c>
      <c r="Q106" s="5">
        <f t="shared" si="9"/>
        <v>1</v>
      </c>
    </row>
    <row r="107" spans="1:17" x14ac:dyDescent="0.25">
      <c r="A107" t="s">
        <v>49</v>
      </c>
      <c r="B107" t="s">
        <v>160</v>
      </c>
      <c r="C107">
        <v>16</v>
      </c>
      <c r="D107">
        <v>295</v>
      </c>
      <c r="E107">
        <v>1312</v>
      </c>
      <c r="F107">
        <v>10</v>
      </c>
      <c r="G107">
        <v>76</v>
      </c>
      <c r="H107">
        <v>57</v>
      </c>
      <c r="I107">
        <v>338</v>
      </c>
      <c r="J107">
        <v>0</v>
      </c>
      <c r="K107">
        <v>225</v>
      </c>
      <c r="L107">
        <v>14.1</v>
      </c>
      <c r="M107" s="5">
        <f t="shared" si="5"/>
        <v>1394</v>
      </c>
      <c r="N107" s="5">
        <f t="shared" si="6"/>
        <v>10.625</v>
      </c>
      <c r="O107" s="5">
        <f t="shared" si="7"/>
        <v>60.5625</v>
      </c>
      <c r="P107" s="5">
        <f t="shared" si="8"/>
        <v>359.125</v>
      </c>
      <c r="Q107" s="5">
        <f t="shared" si="9"/>
        <v>0</v>
      </c>
    </row>
    <row r="108" spans="1:17" x14ac:dyDescent="0.25">
      <c r="A108" t="s">
        <v>302</v>
      </c>
      <c r="B108" t="s">
        <v>157</v>
      </c>
      <c r="C108">
        <v>17</v>
      </c>
      <c r="D108">
        <v>262</v>
      </c>
      <c r="E108">
        <v>1066</v>
      </c>
      <c r="F108">
        <v>17</v>
      </c>
      <c r="G108">
        <v>16</v>
      </c>
      <c r="H108">
        <v>12</v>
      </c>
      <c r="I108">
        <v>73</v>
      </c>
      <c r="J108">
        <v>0</v>
      </c>
      <c r="K108">
        <v>215.9</v>
      </c>
      <c r="L108">
        <v>12.7</v>
      </c>
      <c r="M108" s="5">
        <f t="shared" si="5"/>
        <v>1066</v>
      </c>
      <c r="N108" s="5">
        <f t="shared" si="6"/>
        <v>17</v>
      </c>
      <c r="O108" s="5">
        <f t="shared" si="7"/>
        <v>12</v>
      </c>
      <c r="P108" s="5">
        <f t="shared" si="8"/>
        <v>73</v>
      </c>
      <c r="Q108" s="5">
        <f t="shared" si="9"/>
        <v>0</v>
      </c>
    </row>
    <row r="109" spans="1:17" x14ac:dyDescent="0.25">
      <c r="A109" t="s">
        <v>51</v>
      </c>
      <c r="B109" t="s">
        <v>166</v>
      </c>
      <c r="C109">
        <v>16</v>
      </c>
      <c r="D109">
        <v>193</v>
      </c>
      <c r="E109">
        <v>1007</v>
      </c>
      <c r="F109">
        <v>9</v>
      </c>
      <c r="G109">
        <v>55</v>
      </c>
      <c r="H109">
        <v>39</v>
      </c>
      <c r="I109">
        <v>371</v>
      </c>
      <c r="J109">
        <v>3</v>
      </c>
      <c r="K109">
        <v>209.8</v>
      </c>
      <c r="L109">
        <v>13.1</v>
      </c>
      <c r="M109" s="5">
        <f t="shared" si="5"/>
        <v>1069.9375</v>
      </c>
      <c r="N109" s="5">
        <f t="shared" si="6"/>
        <v>9.5625</v>
      </c>
      <c r="O109" s="5">
        <f t="shared" si="7"/>
        <v>41.4375</v>
      </c>
      <c r="P109" s="5">
        <f t="shared" si="8"/>
        <v>394.1875</v>
      </c>
      <c r="Q109" s="5">
        <f t="shared" si="9"/>
        <v>3.1875</v>
      </c>
    </row>
    <row r="110" spans="1:17" x14ac:dyDescent="0.25">
      <c r="A110" t="s">
        <v>70</v>
      </c>
      <c r="B110" t="s">
        <v>154</v>
      </c>
      <c r="C110">
        <v>17</v>
      </c>
      <c r="D110">
        <v>264</v>
      </c>
      <c r="E110">
        <v>1173</v>
      </c>
      <c r="F110">
        <v>8</v>
      </c>
      <c r="G110">
        <v>56</v>
      </c>
      <c r="H110">
        <v>39</v>
      </c>
      <c r="I110">
        <v>295</v>
      </c>
      <c r="J110">
        <v>2</v>
      </c>
      <c r="K110">
        <v>206.8</v>
      </c>
      <c r="L110">
        <v>12.2</v>
      </c>
      <c r="M110" s="5">
        <f t="shared" si="5"/>
        <v>1173</v>
      </c>
      <c r="N110" s="5">
        <f t="shared" si="6"/>
        <v>8</v>
      </c>
      <c r="O110" s="5">
        <f t="shared" si="7"/>
        <v>39</v>
      </c>
      <c r="P110" s="5">
        <f t="shared" si="8"/>
        <v>295</v>
      </c>
      <c r="Q110" s="5">
        <f t="shared" si="9"/>
        <v>2</v>
      </c>
    </row>
    <row r="111" spans="1:17" x14ac:dyDescent="0.25">
      <c r="A111" t="s">
        <v>54</v>
      </c>
      <c r="B111" t="s">
        <v>151</v>
      </c>
      <c r="C111">
        <v>17</v>
      </c>
      <c r="D111">
        <v>259</v>
      </c>
      <c r="E111">
        <v>1269</v>
      </c>
      <c r="F111">
        <v>11</v>
      </c>
      <c r="G111">
        <v>26</v>
      </c>
      <c r="H111">
        <v>20</v>
      </c>
      <c r="I111">
        <v>78</v>
      </c>
      <c r="J111">
        <v>0</v>
      </c>
      <c r="K111">
        <v>200.7</v>
      </c>
      <c r="L111">
        <v>11.8</v>
      </c>
      <c r="M111" s="5">
        <f t="shared" si="5"/>
        <v>1269</v>
      </c>
      <c r="N111" s="5">
        <f t="shared" si="6"/>
        <v>11</v>
      </c>
      <c r="O111" s="5">
        <f t="shared" si="7"/>
        <v>20</v>
      </c>
      <c r="P111" s="5">
        <f t="shared" si="8"/>
        <v>78</v>
      </c>
      <c r="Q111" s="5">
        <f t="shared" si="9"/>
        <v>0</v>
      </c>
    </row>
    <row r="112" spans="1:17" x14ac:dyDescent="0.25">
      <c r="A112" t="s">
        <v>58</v>
      </c>
      <c r="B112" t="s">
        <v>161</v>
      </c>
      <c r="C112">
        <v>17</v>
      </c>
      <c r="D112">
        <v>213</v>
      </c>
      <c r="E112">
        <v>1121</v>
      </c>
      <c r="F112">
        <v>2</v>
      </c>
      <c r="G112">
        <v>72</v>
      </c>
      <c r="H112">
        <v>59</v>
      </c>
      <c r="I112">
        <v>395</v>
      </c>
      <c r="J112">
        <v>5</v>
      </c>
      <c r="K112">
        <v>193.6</v>
      </c>
      <c r="L112">
        <v>11.4</v>
      </c>
      <c r="M112" s="5">
        <f t="shared" si="5"/>
        <v>1121</v>
      </c>
      <c r="N112" s="5">
        <f t="shared" si="6"/>
        <v>2</v>
      </c>
      <c r="O112" s="5">
        <f t="shared" si="7"/>
        <v>59</v>
      </c>
      <c r="P112" s="5">
        <f t="shared" si="8"/>
        <v>395</v>
      </c>
      <c r="Q112" s="5">
        <f t="shared" si="9"/>
        <v>5</v>
      </c>
    </row>
    <row r="113" spans="1:17" x14ac:dyDescent="0.25">
      <c r="A113" t="s">
        <v>53</v>
      </c>
      <c r="B113" t="s">
        <v>176</v>
      </c>
      <c r="C113">
        <v>17</v>
      </c>
      <c r="D113">
        <v>272</v>
      </c>
      <c r="E113">
        <v>1034</v>
      </c>
      <c r="F113">
        <v>7</v>
      </c>
      <c r="G113">
        <v>53</v>
      </c>
      <c r="H113">
        <v>41</v>
      </c>
      <c r="I113">
        <v>229</v>
      </c>
      <c r="J113">
        <v>3</v>
      </c>
      <c r="K113">
        <v>186.3</v>
      </c>
      <c r="L113">
        <v>11</v>
      </c>
      <c r="M113" s="5">
        <f t="shared" si="5"/>
        <v>1034</v>
      </c>
      <c r="N113" s="5">
        <f t="shared" si="6"/>
        <v>7</v>
      </c>
      <c r="O113" s="5">
        <f t="shared" si="7"/>
        <v>41</v>
      </c>
      <c r="P113" s="5">
        <f t="shared" si="8"/>
        <v>229</v>
      </c>
      <c r="Q113" s="5">
        <f t="shared" si="9"/>
        <v>3</v>
      </c>
    </row>
    <row r="114" spans="1:17" x14ac:dyDescent="0.25">
      <c r="A114" t="s">
        <v>55</v>
      </c>
      <c r="B114" t="s">
        <v>170</v>
      </c>
      <c r="C114">
        <v>17</v>
      </c>
      <c r="D114">
        <v>210</v>
      </c>
      <c r="E114">
        <v>1040</v>
      </c>
      <c r="F114">
        <v>5</v>
      </c>
      <c r="G114">
        <v>88</v>
      </c>
      <c r="H114">
        <v>69</v>
      </c>
      <c r="I114">
        <v>421</v>
      </c>
      <c r="J114">
        <v>1</v>
      </c>
      <c r="K114">
        <v>182.1</v>
      </c>
      <c r="L114">
        <v>10.7</v>
      </c>
      <c r="M114" s="5">
        <f t="shared" si="5"/>
        <v>1040</v>
      </c>
      <c r="N114" s="5">
        <f t="shared" si="6"/>
        <v>5</v>
      </c>
      <c r="O114" s="5">
        <f t="shared" si="7"/>
        <v>69</v>
      </c>
      <c r="P114" s="5">
        <f t="shared" si="8"/>
        <v>421</v>
      </c>
      <c r="Q114" s="5">
        <f t="shared" si="9"/>
        <v>1</v>
      </c>
    </row>
    <row r="115" spans="1:17" x14ac:dyDescent="0.25">
      <c r="A115" t="s">
        <v>60</v>
      </c>
      <c r="B115" t="s">
        <v>152</v>
      </c>
      <c r="C115">
        <v>14</v>
      </c>
      <c r="D115">
        <v>210</v>
      </c>
      <c r="E115">
        <v>814</v>
      </c>
      <c r="F115">
        <v>7</v>
      </c>
      <c r="G115">
        <v>75</v>
      </c>
      <c r="H115">
        <v>60</v>
      </c>
      <c r="I115">
        <v>441</v>
      </c>
      <c r="J115">
        <v>2</v>
      </c>
      <c r="K115">
        <v>179.5</v>
      </c>
      <c r="L115">
        <v>12.8</v>
      </c>
      <c r="M115" s="5">
        <f t="shared" si="5"/>
        <v>988.42857142857133</v>
      </c>
      <c r="N115" s="5">
        <f t="shared" si="6"/>
        <v>8.5</v>
      </c>
      <c r="O115" s="5">
        <f t="shared" si="7"/>
        <v>72.857142857142847</v>
      </c>
      <c r="P115" s="5">
        <f t="shared" si="8"/>
        <v>535.5</v>
      </c>
      <c r="Q115" s="5">
        <f t="shared" si="9"/>
        <v>2.4285714285714284</v>
      </c>
    </row>
    <row r="116" spans="1:17" x14ac:dyDescent="0.25">
      <c r="A116" t="s">
        <v>286</v>
      </c>
      <c r="B116" t="s">
        <v>153</v>
      </c>
      <c r="C116">
        <v>15</v>
      </c>
      <c r="D116">
        <v>228</v>
      </c>
      <c r="E116">
        <v>1050</v>
      </c>
      <c r="F116">
        <v>9</v>
      </c>
      <c r="G116">
        <v>35</v>
      </c>
      <c r="H116">
        <v>27</v>
      </c>
      <c r="I116">
        <v>165</v>
      </c>
      <c r="J116">
        <v>0</v>
      </c>
      <c r="K116">
        <v>175.5</v>
      </c>
      <c r="L116">
        <v>11.7</v>
      </c>
      <c r="M116" s="5">
        <f t="shared" si="5"/>
        <v>1190</v>
      </c>
      <c r="N116" s="5">
        <f t="shared" si="6"/>
        <v>10.199999999999999</v>
      </c>
      <c r="O116" s="5">
        <f t="shared" si="7"/>
        <v>30.599999999999998</v>
      </c>
      <c r="P116" s="5">
        <f t="shared" si="8"/>
        <v>187</v>
      </c>
      <c r="Q116" s="5">
        <f t="shared" si="9"/>
        <v>0</v>
      </c>
    </row>
    <row r="117" spans="1:17" x14ac:dyDescent="0.25">
      <c r="A117" t="s">
        <v>52</v>
      </c>
      <c r="B117" t="s">
        <v>155</v>
      </c>
      <c r="C117">
        <v>17</v>
      </c>
      <c r="D117">
        <v>220</v>
      </c>
      <c r="E117">
        <v>1125</v>
      </c>
      <c r="F117">
        <v>5</v>
      </c>
      <c r="G117">
        <v>45</v>
      </c>
      <c r="H117">
        <v>35</v>
      </c>
      <c r="I117">
        <v>316</v>
      </c>
      <c r="J117">
        <v>0</v>
      </c>
      <c r="K117">
        <v>174.1</v>
      </c>
      <c r="L117">
        <v>10.199999999999999</v>
      </c>
      <c r="M117" s="5">
        <f t="shared" si="5"/>
        <v>1125</v>
      </c>
      <c r="N117" s="5">
        <f t="shared" si="6"/>
        <v>5</v>
      </c>
      <c r="O117" s="5">
        <f t="shared" si="7"/>
        <v>35</v>
      </c>
      <c r="P117" s="5">
        <f t="shared" si="8"/>
        <v>316</v>
      </c>
      <c r="Q117" s="5">
        <f t="shared" si="9"/>
        <v>0</v>
      </c>
    </row>
    <row r="118" spans="1:17" x14ac:dyDescent="0.25">
      <c r="A118" t="s">
        <v>76</v>
      </c>
      <c r="B118" t="s">
        <v>166</v>
      </c>
      <c r="C118">
        <v>15</v>
      </c>
      <c r="D118">
        <v>231</v>
      </c>
      <c r="E118">
        <v>876</v>
      </c>
      <c r="F118">
        <v>12</v>
      </c>
      <c r="G118">
        <v>23</v>
      </c>
      <c r="H118">
        <v>17</v>
      </c>
      <c r="I118">
        <v>92</v>
      </c>
      <c r="J118">
        <v>0</v>
      </c>
      <c r="K118">
        <v>168.8</v>
      </c>
      <c r="L118">
        <v>11.3</v>
      </c>
      <c r="M118" s="5">
        <f t="shared" si="5"/>
        <v>992.8</v>
      </c>
      <c r="N118" s="5">
        <f t="shared" si="6"/>
        <v>13.6</v>
      </c>
      <c r="O118" s="5">
        <f t="shared" si="7"/>
        <v>19.266666666666666</v>
      </c>
      <c r="P118" s="5">
        <f t="shared" si="8"/>
        <v>104.26666666666667</v>
      </c>
      <c r="Q118" s="5">
        <f t="shared" si="9"/>
        <v>0</v>
      </c>
    </row>
    <row r="119" spans="1:17" x14ac:dyDescent="0.25">
      <c r="A119" t="s">
        <v>129</v>
      </c>
      <c r="B119" t="s">
        <v>172</v>
      </c>
      <c r="C119">
        <v>15</v>
      </c>
      <c r="D119">
        <v>223</v>
      </c>
      <c r="E119">
        <v>897</v>
      </c>
      <c r="F119">
        <v>2</v>
      </c>
      <c r="G119">
        <v>77</v>
      </c>
      <c r="H119">
        <v>57</v>
      </c>
      <c r="I119">
        <v>490</v>
      </c>
      <c r="J119">
        <v>2</v>
      </c>
      <c r="K119">
        <v>162.69999999999999</v>
      </c>
      <c r="L119">
        <v>10.8</v>
      </c>
      <c r="M119" s="5">
        <f t="shared" si="5"/>
        <v>1016.6</v>
      </c>
      <c r="N119" s="5">
        <f t="shared" si="6"/>
        <v>2.2666666666666666</v>
      </c>
      <c r="O119" s="5">
        <f t="shared" si="7"/>
        <v>64.599999999999994</v>
      </c>
      <c r="P119" s="5">
        <f t="shared" si="8"/>
        <v>555.33333333333337</v>
      </c>
      <c r="Q119" s="5">
        <f t="shared" si="9"/>
        <v>2.2666666666666666</v>
      </c>
    </row>
    <row r="120" spans="1:17" x14ac:dyDescent="0.25">
      <c r="A120" t="s">
        <v>69</v>
      </c>
      <c r="B120" t="s">
        <v>169</v>
      </c>
      <c r="C120">
        <v>13</v>
      </c>
      <c r="D120">
        <v>183</v>
      </c>
      <c r="E120">
        <v>782</v>
      </c>
      <c r="F120">
        <v>7</v>
      </c>
      <c r="G120">
        <v>58</v>
      </c>
      <c r="H120">
        <v>46</v>
      </c>
      <c r="I120">
        <v>300</v>
      </c>
      <c r="J120">
        <v>1</v>
      </c>
      <c r="K120">
        <v>156.19999999999999</v>
      </c>
      <c r="L120">
        <v>12</v>
      </c>
      <c r="M120" s="5">
        <f t="shared" si="5"/>
        <v>1022.6153846153846</v>
      </c>
      <c r="N120" s="5">
        <f t="shared" si="6"/>
        <v>9.1538461538461533</v>
      </c>
      <c r="O120" s="5">
        <f t="shared" si="7"/>
        <v>60.153846153846153</v>
      </c>
      <c r="P120" s="5">
        <f t="shared" si="8"/>
        <v>392.30769230769232</v>
      </c>
      <c r="Q120" s="5">
        <f t="shared" si="9"/>
        <v>1.3076923076923077</v>
      </c>
    </row>
    <row r="121" spans="1:17" x14ac:dyDescent="0.25">
      <c r="A121" t="s">
        <v>287</v>
      </c>
      <c r="B121" t="s">
        <v>159</v>
      </c>
      <c r="C121">
        <v>16</v>
      </c>
      <c r="D121">
        <v>189</v>
      </c>
      <c r="E121">
        <v>668</v>
      </c>
      <c r="F121">
        <v>3</v>
      </c>
      <c r="G121">
        <v>83</v>
      </c>
      <c r="H121">
        <v>73</v>
      </c>
      <c r="I121">
        <v>523</v>
      </c>
      <c r="J121">
        <v>3</v>
      </c>
      <c r="K121">
        <v>155.1</v>
      </c>
      <c r="L121">
        <v>9.6999999999999993</v>
      </c>
      <c r="M121" s="5">
        <f t="shared" si="5"/>
        <v>709.75</v>
      </c>
      <c r="N121" s="5">
        <f t="shared" si="6"/>
        <v>3.1875</v>
      </c>
      <c r="O121" s="5">
        <f t="shared" si="7"/>
        <v>77.5625</v>
      </c>
      <c r="P121" s="5">
        <f t="shared" si="8"/>
        <v>555.6875</v>
      </c>
      <c r="Q121" s="5">
        <f t="shared" si="9"/>
        <v>3.1875</v>
      </c>
    </row>
    <row r="122" spans="1:17" x14ac:dyDescent="0.25">
      <c r="A122" t="s">
        <v>68</v>
      </c>
      <c r="B122" t="s">
        <v>158</v>
      </c>
      <c r="C122">
        <v>16</v>
      </c>
      <c r="D122">
        <v>201</v>
      </c>
      <c r="E122">
        <v>801</v>
      </c>
      <c r="F122">
        <v>5</v>
      </c>
      <c r="G122">
        <v>40</v>
      </c>
      <c r="H122">
        <v>34</v>
      </c>
      <c r="I122">
        <v>316</v>
      </c>
      <c r="J122">
        <v>1</v>
      </c>
      <c r="K122">
        <v>147.69999999999999</v>
      </c>
      <c r="L122">
        <v>9.1999999999999993</v>
      </c>
      <c r="M122" s="5">
        <f t="shared" si="5"/>
        <v>851.0625</v>
      </c>
      <c r="N122" s="5">
        <f t="shared" si="6"/>
        <v>5.3125</v>
      </c>
      <c r="O122" s="5">
        <f t="shared" si="7"/>
        <v>36.125</v>
      </c>
      <c r="P122" s="5">
        <f t="shared" si="8"/>
        <v>335.75</v>
      </c>
      <c r="Q122" s="5">
        <f t="shared" si="9"/>
        <v>1.0625</v>
      </c>
    </row>
    <row r="123" spans="1:17" x14ac:dyDescent="0.25">
      <c r="A123" t="s">
        <v>288</v>
      </c>
      <c r="B123" t="s">
        <v>150</v>
      </c>
      <c r="C123">
        <v>16</v>
      </c>
      <c r="D123">
        <v>177</v>
      </c>
      <c r="E123">
        <v>819</v>
      </c>
      <c r="F123">
        <v>5</v>
      </c>
      <c r="G123">
        <v>52</v>
      </c>
      <c r="H123">
        <v>38</v>
      </c>
      <c r="I123">
        <v>280</v>
      </c>
      <c r="J123">
        <v>1</v>
      </c>
      <c r="K123">
        <v>145.9</v>
      </c>
      <c r="L123">
        <v>9.1</v>
      </c>
      <c r="M123" s="5">
        <f t="shared" si="5"/>
        <v>870.1875</v>
      </c>
      <c r="N123" s="5">
        <f t="shared" si="6"/>
        <v>5.3125</v>
      </c>
      <c r="O123" s="5">
        <f t="shared" si="7"/>
        <v>40.375</v>
      </c>
      <c r="P123" s="5">
        <f t="shared" si="8"/>
        <v>297.5</v>
      </c>
      <c r="Q123" s="5">
        <f t="shared" si="9"/>
        <v>1.0625</v>
      </c>
    </row>
    <row r="124" spans="1:17" x14ac:dyDescent="0.25">
      <c r="A124" t="s">
        <v>132</v>
      </c>
      <c r="B124" t="s">
        <v>168</v>
      </c>
      <c r="C124">
        <v>16</v>
      </c>
      <c r="D124">
        <v>210</v>
      </c>
      <c r="E124">
        <v>1035</v>
      </c>
      <c r="F124">
        <v>3</v>
      </c>
      <c r="G124">
        <v>17</v>
      </c>
      <c r="H124">
        <v>16</v>
      </c>
      <c r="I124">
        <v>139</v>
      </c>
      <c r="J124">
        <v>1</v>
      </c>
      <c r="K124">
        <v>141.4</v>
      </c>
      <c r="L124">
        <v>8.8000000000000007</v>
      </c>
      <c r="M124" s="5">
        <f t="shared" si="5"/>
        <v>1099.6875</v>
      </c>
      <c r="N124" s="5">
        <f t="shared" si="6"/>
        <v>3.1875</v>
      </c>
      <c r="O124" s="5">
        <f t="shared" si="7"/>
        <v>17</v>
      </c>
      <c r="P124" s="5">
        <f t="shared" si="8"/>
        <v>147.6875</v>
      </c>
      <c r="Q124" s="5">
        <f t="shared" si="9"/>
        <v>1.0625</v>
      </c>
    </row>
    <row r="125" spans="1:17" x14ac:dyDescent="0.25">
      <c r="A125" t="s">
        <v>75</v>
      </c>
      <c r="B125" t="s">
        <v>157</v>
      </c>
      <c r="C125">
        <v>14</v>
      </c>
      <c r="D125">
        <v>99</v>
      </c>
      <c r="E125">
        <v>542</v>
      </c>
      <c r="F125">
        <v>5</v>
      </c>
      <c r="G125">
        <v>70</v>
      </c>
      <c r="H125">
        <v>48</v>
      </c>
      <c r="I125">
        <v>389</v>
      </c>
      <c r="J125">
        <v>3</v>
      </c>
      <c r="K125">
        <v>141.1</v>
      </c>
      <c r="L125">
        <v>10.1</v>
      </c>
      <c r="M125" s="5">
        <f t="shared" si="5"/>
        <v>658.14285714285711</v>
      </c>
      <c r="N125" s="5">
        <f t="shared" si="6"/>
        <v>6.0714285714285712</v>
      </c>
      <c r="O125" s="5">
        <f t="shared" si="7"/>
        <v>58.285714285714278</v>
      </c>
      <c r="P125" s="5">
        <f t="shared" si="8"/>
        <v>472.35714285714283</v>
      </c>
      <c r="Q125" s="5">
        <f t="shared" si="9"/>
        <v>3.6428571428571423</v>
      </c>
    </row>
    <row r="126" spans="1:17" x14ac:dyDescent="0.25">
      <c r="A126" t="s">
        <v>289</v>
      </c>
      <c r="B126" t="s">
        <v>174</v>
      </c>
      <c r="C126">
        <v>16</v>
      </c>
      <c r="D126">
        <v>176</v>
      </c>
      <c r="E126">
        <v>860</v>
      </c>
      <c r="F126">
        <v>5</v>
      </c>
      <c r="G126">
        <v>37</v>
      </c>
      <c r="H126">
        <v>22</v>
      </c>
      <c r="I126">
        <v>185</v>
      </c>
      <c r="J126">
        <v>1</v>
      </c>
      <c r="K126">
        <v>140.5</v>
      </c>
      <c r="L126">
        <v>8.8000000000000007</v>
      </c>
      <c r="M126" s="5">
        <f t="shared" si="5"/>
        <v>913.75</v>
      </c>
      <c r="N126" s="5">
        <f t="shared" si="6"/>
        <v>5.3125</v>
      </c>
      <c r="O126" s="5">
        <f t="shared" si="7"/>
        <v>23.375</v>
      </c>
      <c r="P126" s="5">
        <f t="shared" si="8"/>
        <v>196.5625</v>
      </c>
      <c r="Q126" s="5">
        <f t="shared" si="9"/>
        <v>1.0625</v>
      </c>
    </row>
    <row r="127" spans="1:17" x14ac:dyDescent="0.25">
      <c r="A127" t="s">
        <v>57</v>
      </c>
      <c r="B127" t="s">
        <v>167</v>
      </c>
      <c r="C127">
        <v>13</v>
      </c>
      <c r="D127">
        <v>220</v>
      </c>
      <c r="E127">
        <v>939</v>
      </c>
      <c r="F127">
        <v>4</v>
      </c>
      <c r="G127">
        <v>39</v>
      </c>
      <c r="H127">
        <v>30</v>
      </c>
      <c r="I127">
        <v>165</v>
      </c>
      <c r="J127">
        <v>1</v>
      </c>
      <c r="K127">
        <v>140.4</v>
      </c>
      <c r="L127">
        <v>10.8</v>
      </c>
      <c r="M127" s="5">
        <f t="shared" si="5"/>
        <v>1227.9230769230769</v>
      </c>
      <c r="N127" s="5">
        <f t="shared" si="6"/>
        <v>5.2307692307692308</v>
      </c>
      <c r="O127" s="5">
        <f t="shared" si="7"/>
        <v>39.230769230769234</v>
      </c>
      <c r="P127" s="5">
        <f t="shared" si="8"/>
        <v>215.76923076923077</v>
      </c>
      <c r="Q127" s="5">
        <f t="shared" si="9"/>
        <v>1.3076923076923077</v>
      </c>
    </row>
    <row r="128" spans="1:17" x14ac:dyDescent="0.25">
      <c r="A128" t="s">
        <v>290</v>
      </c>
      <c r="B128" t="s">
        <v>149</v>
      </c>
      <c r="C128">
        <v>17</v>
      </c>
      <c r="D128">
        <v>72</v>
      </c>
      <c r="E128">
        <v>291</v>
      </c>
      <c r="F128">
        <v>1</v>
      </c>
      <c r="G128">
        <v>71</v>
      </c>
      <c r="H128">
        <v>56</v>
      </c>
      <c r="I128">
        <v>512</v>
      </c>
      <c r="J128">
        <v>9</v>
      </c>
      <c r="K128">
        <v>140.30000000000001</v>
      </c>
      <c r="L128">
        <v>8.3000000000000007</v>
      </c>
      <c r="M128" s="5">
        <f t="shared" si="5"/>
        <v>291</v>
      </c>
      <c r="N128" s="5">
        <f t="shared" si="6"/>
        <v>1</v>
      </c>
      <c r="O128" s="5">
        <f t="shared" si="7"/>
        <v>56</v>
      </c>
      <c r="P128" s="5">
        <f t="shared" si="8"/>
        <v>512</v>
      </c>
      <c r="Q128" s="5">
        <f t="shared" si="9"/>
        <v>9</v>
      </c>
    </row>
    <row r="129" spans="1:17" x14ac:dyDescent="0.25">
      <c r="A129" t="s">
        <v>71</v>
      </c>
      <c r="B129" t="s">
        <v>161</v>
      </c>
      <c r="C129">
        <v>17</v>
      </c>
      <c r="D129">
        <v>186</v>
      </c>
      <c r="E129">
        <v>770</v>
      </c>
      <c r="F129">
        <v>7</v>
      </c>
      <c r="G129">
        <v>43</v>
      </c>
      <c r="H129">
        <v>28</v>
      </c>
      <c r="I129">
        <v>206</v>
      </c>
      <c r="J129">
        <v>0</v>
      </c>
      <c r="K129">
        <v>139.6</v>
      </c>
      <c r="L129">
        <v>8.1999999999999993</v>
      </c>
      <c r="M129" s="5">
        <f t="shared" si="5"/>
        <v>770</v>
      </c>
      <c r="N129" s="5">
        <f t="shared" si="6"/>
        <v>7</v>
      </c>
      <c r="O129" s="5">
        <f t="shared" si="7"/>
        <v>28</v>
      </c>
      <c r="P129" s="5">
        <f t="shared" si="8"/>
        <v>206</v>
      </c>
      <c r="Q129" s="5">
        <f t="shared" si="9"/>
        <v>0</v>
      </c>
    </row>
    <row r="130" spans="1:17" x14ac:dyDescent="0.25">
      <c r="A130" t="s">
        <v>134</v>
      </c>
      <c r="B130" t="s">
        <v>163</v>
      </c>
      <c r="C130">
        <v>16</v>
      </c>
      <c r="D130">
        <v>181</v>
      </c>
      <c r="E130">
        <v>891</v>
      </c>
      <c r="F130">
        <v>3</v>
      </c>
      <c r="G130">
        <v>42</v>
      </c>
      <c r="H130">
        <v>31</v>
      </c>
      <c r="I130">
        <v>202</v>
      </c>
      <c r="J130">
        <v>2</v>
      </c>
      <c r="K130">
        <v>139.30000000000001</v>
      </c>
      <c r="L130">
        <v>8.6999999999999993</v>
      </c>
      <c r="M130" s="5">
        <f t="shared" si="5"/>
        <v>946.6875</v>
      </c>
      <c r="N130" s="5">
        <f t="shared" si="6"/>
        <v>3.1875</v>
      </c>
      <c r="O130" s="5">
        <f t="shared" si="7"/>
        <v>32.9375</v>
      </c>
      <c r="P130" s="5">
        <f t="shared" si="8"/>
        <v>214.625</v>
      </c>
      <c r="Q130" s="5">
        <f t="shared" si="9"/>
        <v>2.125</v>
      </c>
    </row>
    <row r="131" spans="1:17" x14ac:dyDescent="0.25">
      <c r="A131" t="s">
        <v>62</v>
      </c>
      <c r="B131" t="s">
        <v>179</v>
      </c>
      <c r="C131">
        <v>15</v>
      </c>
      <c r="D131">
        <v>188</v>
      </c>
      <c r="E131">
        <v>786</v>
      </c>
      <c r="F131">
        <v>7</v>
      </c>
      <c r="G131">
        <v>18</v>
      </c>
      <c r="H131">
        <v>13</v>
      </c>
      <c r="I131">
        <v>117</v>
      </c>
      <c r="J131">
        <v>0</v>
      </c>
      <c r="K131">
        <v>132.30000000000001</v>
      </c>
      <c r="L131">
        <v>8.8000000000000007</v>
      </c>
      <c r="M131" s="5">
        <f t="shared" ref="M131:M151" si="10">17/$C131*E131</f>
        <v>890.8</v>
      </c>
      <c r="N131" s="5">
        <f t="shared" ref="N131:N151" si="11">17/$C131*F131</f>
        <v>7.9333333333333336</v>
      </c>
      <c r="O131" s="5">
        <f t="shared" ref="O131:O151" si="12">17/$C131*H131</f>
        <v>14.733333333333333</v>
      </c>
      <c r="P131" s="5">
        <f t="shared" ref="P131:P151" si="13">17/$C131*I131</f>
        <v>132.6</v>
      </c>
      <c r="Q131" s="5">
        <f t="shared" ref="Q131:Q151" si="14">17/$C131*J131</f>
        <v>0</v>
      </c>
    </row>
    <row r="132" spans="1:17" x14ac:dyDescent="0.25">
      <c r="A132" t="s">
        <v>291</v>
      </c>
      <c r="B132" t="s">
        <v>168</v>
      </c>
      <c r="C132">
        <v>13</v>
      </c>
      <c r="D132">
        <v>144</v>
      </c>
      <c r="E132">
        <v>695</v>
      </c>
      <c r="F132">
        <v>8</v>
      </c>
      <c r="G132">
        <v>31</v>
      </c>
      <c r="H132">
        <v>21</v>
      </c>
      <c r="I132">
        <v>122</v>
      </c>
      <c r="J132">
        <v>0</v>
      </c>
      <c r="K132">
        <v>129.69999999999999</v>
      </c>
      <c r="L132">
        <v>10</v>
      </c>
      <c r="M132" s="5">
        <f t="shared" si="10"/>
        <v>908.84615384615381</v>
      </c>
      <c r="N132" s="5">
        <f t="shared" si="11"/>
        <v>10.461538461538462</v>
      </c>
      <c r="O132" s="5">
        <f t="shared" si="12"/>
        <v>27.461538461538463</v>
      </c>
      <c r="P132" s="5">
        <f t="shared" si="13"/>
        <v>159.53846153846155</v>
      </c>
      <c r="Q132" s="5">
        <f t="shared" si="14"/>
        <v>0</v>
      </c>
    </row>
    <row r="133" spans="1:17" x14ac:dyDescent="0.25">
      <c r="A133" t="s">
        <v>64</v>
      </c>
      <c r="B133" t="s">
        <v>149</v>
      </c>
      <c r="C133">
        <v>17</v>
      </c>
      <c r="D133">
        <v>170</v>
      </c>
      <c r="E133">
        <v>830</v>
      </c>
      <c r="F133">
        <v>5</v>
      </c>
      <c r="G133">
        <v>14</v>
      </c>
      <c r="H133">
        <v>13</v>
      </c>
      <c r="I133">
        <v>130</v>
      </c>
      <c r="J133">
        <v>0</v>
      </c>
      <c r="K133">
        <v>126</v>
      </c>
      <c r="L133">
        <v>7.4</v>
      </c>
      <c r="M133" s="5">
        <f t="shared" si="10"/>
        <v>830</v>
      </c>
      <c r="N133" s="5">
        <f t="shared" si="11"/>
        <v>5</v>
      </c>
      <c r="O133" s="5">
        <f t="shared" si="12"/>
        <v>13</v>
      </c>
      <c r="P133" s="5">
        <f t="shared" si="13"/>
        <v>130</v>
      </c>
      <c r="Q133" s="5">
        <f t="shared" si="14"/>
        <v>0</v>
      </c>
    </row>
    <row r="134" spans="1:17" x14ac:dyDescent="0.25">
      <c r="A134" t="s">
        <v>292</v>
      </c>
      <c r="B134" t="s">
        <v>172</v>
      </c>
      <c r="C134">
        <v>13</v>
      </c>
      <c r="D134">
        <v>171</v>
      </c>
      <c r="E134">
        <v>760</v>
      </c>
      <c r="F134">
        <v>6</v>
      </c>
      <c r="G134">
        <v>35</v>
      </c>
      <c r="H134">
        <v>27</v>
      </c>
      <c r="I134">
        <v>132</v>
      </c>
      <c r="J134">
        <v>0</v>
      </c>
      <c r="K134">
        <v>125.2</v>
      </c>
      <c r="L134">
        <v>9.6</v>
      </c>
      <c r="M134" s="5">
        <f t="shared" si="10"/>
        <v>993.84615384615381</v>
      </c>
      <c r="N134" s="5">
        <f t="shared" si="11"/>
        <v>7.8461538461538467</v>
      </c>
      <c r="O134" s="5">
        <f t="shared" si="12"/>
        <v>35.307692307692307</v>
      </c>
      <c r="P134" s="5">
        <f t="shared" si="13"/>
        <v>172.61538461538461</v>
      </c>
      <c r="Q134" s="5">
        <f t="shared" si="14"/>
        <v>0</v>
      </c>
    </row>
    <row r="135" spans="1:17" x14ac:dyDescent="0.25">
      <c r="A135" t="s">
        <v>293</v>
      </c>
      <c r="B135" t="s">
        <v>171</v>
      </c>
      <c r="C135">
        <v>11</v>
      </c>
      <c r="D135">
        <v>192</v>
      </c>
      <c r="E135">
        <v>861</v>
      </c>
      <c r="F135">
        <v>4</v>
      </c>
      <c r="G135">
        <v>40</v>
      </c>
      <c r="H135">
        <v>28</v>
      </c>
      <c r="I135">
        <v>143</v>
      </c>
      <c r="J135">
        <v>0</v>
      </c>
      <c r="K135">
        <v>124.4</v>
      </c>
      <c r="L135">
        <v>11.3</v>
      </c>
      <c r="M135" s="5">
        <f t="shared" si="10"/>
        <v>1330.6363636363635</v>
      </c>
      <c r="N135" s="5">
        <f t="shared" si="11"/>
        <v>6.1818181818181817</v>
      </c>
      <c r="O135" s="5">
        <f t="shared" si="12"/>
        <v>43.272727272727273</v>
      </c>
      <c r="P135" s="5">
        <f t="shared" si="13"/>
        <v>221</v>
      </c>
      <c r="Q135" s="5">
        <f t="shared" si="14"/>
        <v>0</v>
      </c>
    </row>
    <row r="136" spans="1:17" x14ac:dyDescent="0.25">
      <c r="A136" t="s">
        <v>561</v>
      </c>
      <c r="B136" t="s">
        <v>177</v>
      </c>
      <c r="C136">
        <v>16</v>
      </c>
      <c r="D136">
        <v>203</v>
      </c>
      <c r="E136">
        <v>914</v>
      </c>
      <c r="F136">
        <v>5</v>
      </c>
      <c r="G136">
        <v>9</v>
      </c>
      <c r="H136">
        <v>5</v>
      </c>
      <c r="I136">
        <v>26</v>
      </c>
      <c r="J136">
        <v>0</v>
      </c>
      <c r="K136">
        <v>124</v>
      </c>
      <c r="L136">
        <v>7.8</v>
      </c>
      <c r="M136" s="5">
        <f t="shared" si="10"/>
        <v>971.125</v>
      </c>
      <c r="N136" s="5">
        <f t="shared" si="11"/>
        <v>5.3125</v>
      </c>
      <c r="O136" s="5">
        <f t="shared" si="12"/>
        <v>5.3125</v>
      </c>
      <c r="P136" s="5">
        <f t="shared" si="13"/>
        <v>27.625</v>
      </c>
      <c r="Q136" s="5">
        <f t="shared" si="14"/>
        <v>0</v>
      </c>
    </row>
    <row r="137" spans="1:17" x14ac:dyDescent="0.25">
      <c r="A137" t="s">
        <v>294</v>
      </c>
      <c r="B137" t="s">
        <v>178</v>
      </c>
      <c r="C137">
        <v>15</v>
      </c>
      <c r="D137">
        <v>149</v>
      </c>
      <c r="E137">
        <v>546</v>
      </c>
      <c r="F137">
        <v>3</v>
      </c>
      <c r="G137">
        <v>58</v>
      </c>
      <c r="H137">
        <v>46</v>
      </c>
      <c r="I137">
        <v>353</v>
      </c>
      <c r="J137">
        <v>2</v>
      </c>
      <c r="K137">
        <v>119.9</v>
      </c>
      <c r="L137">
        <v>8</v>
      </c>
      <c r="M137" s="5">
        <f t="shared" si="10"/>
        <v>618.79999999999995</v>
      </c>
      <c r="N137" s="5">
        <f t="shared" si="11"/>
        <v>3.4</v>
      </c>
      <c r="O137" s="5">
        <f t="shared" si="12"/>
        <v>52.133333333333333</v>
      </c>
      <c r="P137" s="5">
        <f t="shared" si="13"/>
        <v>400.06666666666666</v>
      </c>
      <c r="Q137" s="5">
        <f t="shared" si="14"/>
        <v>2.2666666666666666</v>
      </c>
    </row>
    <row r="138" spans="1:17" x14ac:dyDescent="0.25">
      <c r="A138" t="s">
        <v>128</v>
      </c>
      <c r="B138" t="s">
        <v>158</v>
      </c>
      <c r="C138">
        <v>13</v>
      </c>
      <c r="D138">
        <v>129</v>
      </c>
      <c r="E138">
        <v>731</v>
      </c>
      <c r="F138">
        <v>4</v>
      </c>
      <c r="G138">
        <v>12</v>
      </c>
      <c r="H138">
        <v>9</v>
      </c>
      <c r="I138">
        <v>57</v>
      </c>
      <c r="J138">
        <v>1</v>
      </c>
      <c r="K138">
        <v>108.8</v>
      </c>
      <c r="L138">
        <v>8.4</v>
      </c>
      <c r="M138" s="5">
        <f t="shared" si="10"/>
        <v>955.92307692307691</v>
      </c>
      <c r="N138" s="5">
        <f t="shared" si="11"/>
        <v>5.2307692307692308</v>
      </c>
      <c r="O138" s="5">
        <f t="shared" si="12"/>
        <v>11.76923076923077</v>
      </c>
      <c r="P138" s="5">
        <f t="shared" si="13"/>
        <v>74.538461538461533</v>
      </c>
      <c r="Q138" s="5">
        <f t="shared" si="14"/>
        <v>1.3076923076923077</v>
      </c>
    </row>
    <row r="139" spans="1:17" x14ac:dyDescent="0.25">
      <c r="A139" t="s">
        <v>127</v>
      </c>
      <c r="B139" t="s">
        <v>152</v>
      </c>
      <c r="C139">
        <v>16</v>
      </c>
      <c r="D139">
        <v>95</v>
      </c>
      <c r="E139">
        <v>394</v>
      </c>
      <c r="F139">
        <v>2</v>
      </c>
      <c r="G139">
        <v>51</v>
      </c>
      <c r="H139">
        <v>38</v>
      </c>
      <c r="I139">
        <v>287</v>
      </c>
      <c r="J139">
        <v>4</v>
      </c>
      <c r="K139">
        <v>104.1</v>
      </c>
      <c r="L139">
        <v>6.5</v>
      </c>
      <c r="M139" s="5">
        <f t="shared" si="10"/>
        <v>418.625</v>
      </c>
      <c r="N139" s="5">
        <f t="shared" si="11"/>
        <v>2.125</v>
      </c>
      <c r="O139" s="5">
        <f t="shared" si="12"/>
        <v>40.375</v>
      </c>
      <c r="P139" s="5">
        <f t="shared" si="13"/>
        <v>304.9375</v>
      </c>
      <c r="Q139" s="5">
        <f t="shared" si="14"/>
        <v>4.25</v>
      </c>
    </row>
    <row r="140" spans="1:17" x14ac:dyDescent="0.25">
      <c r="A140" t="s">
        <v>66</v>
      </c>
      <c r="B140" t="s">
        <v>178</v>
      </c>
      <c r="C140">
        <v>12</v>
      </c>
      <c r="D140">
        <v>205</v>
      </c>
      <c r="E140">
        <v>797</v>
      </c>
      <c r="F140">
        <v>2</v>
      </c>
      <c r="G140">
        <v>12</v>
      </c>
      <c r="H140">
        <v>9</v>
      </c>
      <c r="I140">
        <v>60</v>
      </c>
      <c r="J140">
        <v>1</v>
      </c>
      <c r="K140">
        <v>103.7</v>
      </c>
      <c r="L140">
        <v>8.6</v>
      </c>
      <c r="M140" s="5">
        <f t="shared" si="10"/>
        <v>1129.0833333333335</v>
      </c>
      <c r="N140" s="5">
        <f t="shared" si="11"/>
        <v>2.8333333333333335</v>
      </c>
      <c r="O140" s="5">
        <f t="shared" si="12"/>
        <v>12.75</v>
      </c>
      <c r="P140" s="5">
        <f t="shared" si="13"/>
        <v>85</v>
      </c>
      <c r="Q140" s="5">
        <f t="shared" si="14"/>
        <v>1.4166666666666667</v>
      </c>
    </row>
    <row r="141" spans="1:17" x14ac:dyDescent="0.25">
      <c r="A141" t="s">
        <v>133</v>
      </c>
      <c r="B141" t="s">
        <v>180</v>
      </c>
      <c r="C141">
        <v>7</v>
      </c>
      <c r="D141">
        <v>80</v>
      </c>
      <c r="E141">
        <v>463</v>
      </c>
      <c r="F141">
        <v>4</v>
      </c>
      <c r="G141">
        <v>31</v>
      </c>
      <c r="H141">
        <v>19</v>
      </c>
      <c r="I141">
        <v>218</v>
      </c>
      <c r="J141">
        <v>1</v>
      </c>
      <c r="K141">
        <v>98.1</v>
      </c>
      <c r="L141">
        <v>14</v>
      </c>
      <c r="M141" s="5">
        <f t="shared" si="10"/>
        <v>1124.4285714285713</v>
      </c>
      <c r="N141" s="5">
        <f t="shared" si="11"/>
        <v>9.7142857142857135</v>
      </c>
      <c r="O141" s="5">
        <f t="shared" si="12"/>
        <v>46.142857142857139</v>
      </c>
      <c r="P141" s="5">
        <f t="shared" si="13"/>
        <v>529.42857142857133</v>
      </c>
      <c r="Q141" s="5">
        <f t="shared" si="14"/>
        <v>2.4285714285714284</v>
      </c>
    </row>
    <row r="142" spans="1:17" x14ac:dyDescent="0.25">
      <c r="A142" t="s">
        <v>126</v>
      </c>
      <c r="B142" t="s">
        <v>159</v>
      </c>
      <c r="C142">
        <v>16</v>
      </c>
      <c r="D142">
        <v>129</v>
      </c>
      <c r="E142">
        <v>481</v>
      </c>
      <c r="F142">
        <v>1</v>
      </c>
      <c r="G142">
        <v>58</v>
      </c>
      <c r="H142">
        <v>50</v>
      </c>
      <c r="I142">
        <v>290</v>
      </c>
      <c r="J142">
        <v>2</v>
      </c>
      <c r="K142">
        <v>95.1</v>
      </c>
      <c r="L142">
        <v>5.9</v>
      </c>
      <c r="M142" s="5">
        <f t="shared" si="10"/>
        <v>511.0625</v>
      </c>
      <c r="N142" s="5">
        <f t="shared" si="11"/>
        <v>1.0625</v>
      </c>
      <c r="O142" s="5">
        <f t="shared" si="12"/>
        <v>53.125</v>
      </c>
      <c r="P142" s="5">
        <f t="shared" si="13"/>
        <v>308.125</v>
      </c>
      <c r="Q142" s="5">
        <f t="shared" si="14"/>
        <v>2.125</v>
      </c>
    </row>
    <row r="143" spans="1:17" x14ac:dyDescent="0.25">
      <c r="A143" t="s">
        <v>295</v>
      </c>
      <c r="B143" t="s">
        <v>173</v>
      </c>
      <c r="C143">
        <v>17</v>
      </c>
      <c r="D143">
        <v>123</v>
      </c>
      <c r="E143">
        <v>468</v>
      </c>
      <c r="F143">
        <v>3</v>
      </c>
      <c r="G143">
        <v>44</v>
      </c>
      <c r="H143">
        <v>35</v>
      </c>
      <c r="I143">
        <v>210</v>
      </c>
      <c r="J143">
        <v>1</v>
      </c>
      <c r="K143">
        <v>91.8</v>
      </c>
      <c r="L143">
        <v>5.4</v>
      </c>
      <c r="M143" s="5">
        <f t="shared" si="10"/>
        <v>468</v>
      </c>
      <c r="N143" s="5">
        <f t="shared" si="11"/>
        <v>3</v>
      </c>
      <c r="O143" s="5">
        <f t="shared" si="12"/>
        <v>35</v>
      </c>
      <c r="P143" s="5">
        <f t="shared" si="13"/>
        <v>210</v>
      </c>
      <c r="Q143" s="5">
        <f t="shared" si="14"/>
        <v>1</v>
      </c>
    </row>
    <row r="144" spans="1:17" x14ac:dyDescent="0.25">
      <c r="A144" t="s">
        <v>296</v>
      </c>
      <c r="B144" t="s">
        <v>165</v>
      </c>
      <c r="C144">
        <v>12</v>
      </c>
      <c r="D144">
        <v>109</v>
      </c>
      <c r="E144">
        <v>482</v>
      </c>
      <c r="F144">
        <v>4</v>
      </c>
      <c r="G144">
        <v>26</v>
      </c>
      <c r="H144">
        <v>17</v>
      </c>
      <c r="I144">
        <v>89</v>
      </c>
      <c r="J144">
        <v>1</v>
      </c>
      <c r="K144">
        <v>87.1</v>
      </c>
      <c r="L144">
        <v>7.3</v>
      </c>
      <c r="M144" s="5">
        <f t="shared" si="10"/>
        <v>682.83333333333337</v>
      </c>
      <c r="N144" s="5">
        <f t="shared" si="11"/>
        <v>5.666666666666667</v>
      </c>
      <c r="O144" s="5">
        <f t="shared" si="12"/>
        <v>24.083333333333336</v>
      </c>
      <c r="P144" s="5">
        <f t="shared" si="13"/>
        <v>126.08333333333334</v>
      </c>
      <c r="Q144" s="5">
        <f t="shared" si="14"/>
        <v>1.4166666666666667</v>
      </c>
    </row>
    <row r="145" spans="1:17" x14ac:dyDescent="0.25">
      <c r="A145" t="s">
        <v>297</v>
      </c>
      <c r="B145" t="s">
        <v>180</v>
      </c>
      <c r="C145">
        <v>16</v>
      </c>
      <c r="D145">
        <v>114</v>
      </c>
      <c r="E145">
        <v>402</v>
      </c>
      <c r="F145">
        <v>3</v>
      </c>
      <c r="G145">
        <v>54</v>
      </c>
      <c r="H145">
        <v>41</v>
      </c>
      <c r="I145">
        <v>288</v>
      </c>
      <c r="J145">
        <v>0</v>
      </c>
      <c r="K145">
        <v>87</v>
      </c>
      <c r="L145">
        <v>5.4</v>
      </c>
      <c r="M145" s="5">
        <f t="shared" si="10"/>
        <v>427.125</v>
      </c>
      <c r="N145" s="5">
        <f t="shared" si="11"/>
        <v>3.1875</v>
      </c>
      <c r="O145" s="5">
        <f t="shared" si="12"/>
        <v>43.5625</v>
      </c>
      <c r="P145" s="5">
        <f t="shared" si="13"/>
        <v>306</v>
      </c>
      <c r="Q145" s="5">
        <f t="shared" si="14"/>
        <v>0</v>
      </c>
    </row>
    <row r="146" spans="1:17" x14ac:dyDescent="0.25">
      <c r="A146" t="s">
        <v>131</v>
      </c>
      <c r="B146" t="s">
        <v>150</v>
      </c>
      <c r="C146">
        <v>16</v>
      </c>
      <c r="D146">
        <v>89</v>
      </c>
      <c r="E146">
        <v>507</v>
      </c>
      <c r="F146">
        <v>2</v>
      </c>
      <c r="G146">
        <v>32</v>
      </c>
      <c r="H146">
        <v>21</v>
      </c>
      <c r="I146">
        <v>180</v>
      </c>
      <c r="J146">
        <v>1</v>
      </c>
      <c r="K146">
        <v>86.7</v>
      </c>
      <c r="L146">
        <v>5.4</v>
      </c>
      <c r="M146" s="5">
        <f t="shared" si="10"/>
        <v>538.6875</v>
      </c>
      <c r="N146" s="5">
        <f t="shared" si="11"/>
        <v>2.125</v>
      </c>
      <c r="O146" s="5">
        <f t="shared" si="12"/>
        <v>22.3125</v>
      </c>
      <c r="P146" s="5">
        <f t="shared" si="13"/>
        <v>191.25</v>
      </c>
      <c r="Q146" s="5">
        <f t="shared" si="14"/>
        <v>1.0625</v>
      </c>
    </row>
    <row r="147" spans="1:17" x14ac:dyDescent="0.25">
      <c r="A147" t="s">
        <v>298</v>
      </c>
      <c r="B147" t="s">
        <v>149</v>
      </c>
      <c r="C147">
        <v>10</v>
      </c>
      <c r="D147">
        <v>71</v>
      </c>
      <c r="E147">
        <v>302</v>
      </c>
      <c r="F147">
        <v>3</v>
      </c>
      <c r="G147">
        <v>23</v>
      </c>
      <c r="H147">
        <v>17</v>
      </c>
      <c r="I147">
        <v>151</v>
      </c>
      <c r="J147">
        <v>3</v>
      </c>
      <c r="K147">
        <v>81.3</v>
      </c>
      <c r="L147">
        <v>8.1</v>
      </c>
      <c r="M147" s="5">
        <f t="shared" si="10"/>
        <v>513.4</v>
      </c>
      <c r="N147" s="5">
        <f t="shared" si="11"/>
        <v>5.0999999999999996</v>
      </c>
      <c r="O147" s="5">
        <f t="shared" si="12"/>
        <v>28.9</v>
      </c>
      <c r="P147" s="5">
        <f t="shared" si="13"/>
        <v>256.7</v>
      </c>
      <c r="Q147" s="5">
        <f t="shared" si="14"/>
        <v>5.0999999999999996</v>
      </c>
    </row>
    <row r="148" spans="1:17" x14ac:dyDescent="0.25">
      <c r="A148" t="s">
        <v>299</v>
      </c>
      <c r="B148" t="s">
        <v>155</v>
      </c>
      <c r="C148">
        <v>11</v>
      </c>
      <c r="D148">
        <v>110</v>
      </c>
      <c r="E148">
        <v>425</v>
      </c>
      <c r="F148">
        <v>3</v>
      </c>
      <c r="G148">
        <v>14</v>
      </c>
      <c r="H148">
        <v>11</v>
      </c>
      <c r="I148">
        <v>51</v>
      </c>
      <c r="J148">
        <v>2</v>
      </c>
      <c r="K148">
        <v>77.599999999999994</v>
      </c>
      <c r="L148">
        <v>7.1</v>
      </c>
      <c r="M148" s="5">
        <f t="shared" si="10"/>
        <v>656.81818181818176</v>
      </c>
      <c r="N148" s="5">
        <f t="shared" si="11"/>
        <v>4.6363636363636367</v>
      </c>
      <c r="O148" s="5">
        <f t="shared" si="12"/>
        <v>17</v>
      </c>
      <c r="P148" s="5">
        <f t="shared" si="13"/>
        <v>78.818181818181813</v>
      </c>
      <c r="Q148" s="5">
        <f t="shared" si="14"/>
        <v>3.0909090909090908</v>
      </c>
    </row>
    <row r="149" spans="1:17" x14ac:dyDescent="0.25">
      <c r="A149" t="s">
        <v>300</v>
      </c>
      <c r="B149" t="s">
        <v>177</v>
      </c>
      <c r="C149">
        <v>13</v>
      </c>
      <c r="D149">
        <v>95</v>
      </c>
      <c r="E149">
        <v>466</v>
      </c>
      <c r="F149">
        <v>2</v>
      </c>
      <c r="G149">
        <v>17</v>
      </c>
      <c r="H149">
        <v>14</v>
      </c>
      <c r="I149">
        <v>171</v>
      </c>
      <c r="J149">
        <v>0</v>
      </c>
      <c r="K149">
        <v>75.7</v>
      </c>
      <c r="L149">
        <v>5.8</v>
      </c>
      <c r="M149" s="5">
        <f t="shared" si="10"/>
        <v>609.38461538461536</v>
      </c>
      <c r="N149" s="5">
        <f t="shared" si="11"/>
        <v>2.6153846153846154</v>
      </c>
      <c r="O149" s="5">
        <f t="shared" si="12"/>
        <v>18.307692307692307</v>
      </c>
      <c r="P149" s="5">
        <f t="shared" si="13"/>
        <v>223.61538461538461</v>
      </c>
      <c r="Q149" s="5">
        <f t="shared" si="14"/>
        <v>0</v>
      </c>
    </row>
    <row r="150" spans="1:17" x14ac:dyDescent="0.25">
      <c r="A150" t="s">
        <v>307</v>
      </c>
      <c r="B150" t="s">
        <v>165</v>
      </c>
      <c r="C150">
        <v>8</v>
      </c>
      <c r="D150">
        <v>92</v>
      </c>
      <c r="E150">
        <v>520</v>
      </c>
      <c r="F150">
        <v>2</v>
      </c>
      <c r="G150">
        <v>8</v>
      </c>
      <c r="H150">
        <v>7</v>
      </c>
      <c r="I150">
        <v>42</v>
      </c>
      <c r="J150">
        <v>1</v>
      </c>
      <c r="K150">
        <v>74.2</v>
      </c>
      <c r="L150">
        <v>9.3000000000000007</v>
      </c>
      <c r="M150" s="5">
        <f t="shared" si="10"/>
        <v>1105</v>
      </c>
      <c r="N150" s="5">
        <f t="shared" si="11"/>
        <v>4.25</v>
      </c>
      <c r="O150" s="5">
        <f t="shared" si="12"/>
        <v>14.875</v>
      </c>
      <c r="P150" s="5">
        <f t="shared" si="13"/>
        <v>89.25</v>
      </c>
      <c r="Q150" s="5">
        <f t="shared" si="14"/>
        <v>2.125</v>
      </c>
    </row>
    <row r="151" spans="1:17" x14ac:dyDescent="0.25">
      <c r="A151" t="s">
        <v>130</v>
      </c>
      <c r="B151" t="s">
        <v>170</v>
      </c>
      <c r="C151">
        <v>11</v>
      </c>
      <c r="D151">
        <v>106</v>
      </c>
      <c r="E151">
        <v>462</v>
      </c>
      <c r="F151">
        <v>3</v>
      </c>
      <c r="G151">
        <v>23</v>
      </c>
      <c r="H151">
        <v>17</v>
      </c>
      <c r="I151">
        <v>97</v>
      </c>
      <c r="J151">
        <v>0</v>
      </c>
      <c r="K151">
        <v>73.900000000000006</v>
      </c>
      <c r="L151">
        <v>6.7</v>
      </c>
      <c r="M151" s="5">
        <f t="shared" si="10"/>
        <v>714</v>
      </c>
      <c r="N151" s="5">
        <f t="shared" si="11"/>
        <v>4.6363636363636367</v>
      </c>
      <c r="O151" s="5">
        <f t="shared" si="12"/>
        <v>26.272727272727273</v>
      </c>
      <c r="P151" s="5">
        <f t="shared" si="13"/>
        <v>149.90909090909091</v>
      </c>
      <c r="Q151" s="5">
        <f t="shared" si="14"/>
        <v>0</v>
      </c>
    </row>
    <row r="152" spans="1:17" x14ac:dyDescent="0.25">
      <c r="A152" t="s">
        <v>59</v>
      </c>
      <c r="B152" t="s">
        <v>154</v>
      </c>
      <c r="C152">
        <v>17</v>
      </c>
      <c r="D152">
        <v>74</v>
      </c>
      <c r="E152">
        <v>283</v>
      </c>
      <c r="F152">
        <v>5</v>
      </c>
      <c r="G152">
        <v>18</v>
      </c>
      <c r="H152">
        <v>15</v>
      </c>
      <c r="I152">
        <v>91</v>
      </c>
      <c r="J152">
        <v>1</v>
      </c>
      <c r="K152">
        <v>73.400000000000006</v>
      </c>
      <c r="L152">
        <v>4.3</v>
      </c>
      <c r="M152" s="5">
        <f t="shared" ref="M152:M201" si="15">17/$C152*E152</f>
        <v>283</v>
      </c>
      <c r="N152" s="5">
        <f t="shared" ref="N152:N201" si="16">17/$C152*F152</f>
        <v>5</v>
      </c>
      <c r="O152" s="5">
        <f t="shared" ref="O152:O201" si="17">17/$C152*H152</f>
        <v>15</v>
      </c>
      <c r="P152" s="5">
        <f t="shared" ref="P152:P201" si="18">17/$C152*I152</f>
        <v>91</v>
      </c>
      <c r="Q152" s="5">
        <f t="shared" ref="Q152:Q201" si="19">17/$C152*J152</f>
        <v>1</v>
      </c>
    </row>
    <row r="153" spans="1:17" x14ac:dyDescent="0.25">
      <c r="A153" t="s">
        <v>312</v>
      </c>
      <c r="B153" t="s">
        <v>162</v>
      </c>
      <c r="C153">
        <v>10</v>
      </c>
      <c r="D153">
        <v>90</v>
      </c>
      <c r="E153">
        <v>318</v>
      </c>
      <c r="F153">
        <v>2</v>
      </c>
      <c r="G153">
        <v>32</v>
      </c>
      <c r="H153">
        <v>25</v>
      </c>
      <c r="I153">
        <v>223</v>
      </c>
      <c r="J153">
        <v>0</v>
      </c>
      <c r="K153">
        <v>66.099999999999994</v>
      </c>
      <c r="L153">
        <v>6.6</v>
      </c>
      <c r="M153" s="5">
        <f t="shared" si="15"/>
        <v>540.6</v>
      </c>
      <c r="N153" s="5">
        <f t="shared" si="16"/>
        <v>3.4</v>
      </c>
      <c r="O153" s="5">
        <f t="shared" si="17"/>
        <v>42.5</v>
      </c>
      <c r="P153" s="5">
        <f t="shared" si="18"/>
        <v>379.09999999999997</v>
      </c>
      <c r="Q153" s="5">
        <f t="shared" si="19"/>
        <v>0</v>
      </c>
    </row>
    <row r="154" spans="1:17" x14ac:dyDescent="0.25">
      <c r="A154" t="s">
        <v>313</v>
      </c>
      <c r="B154" t="s">
        <v>176</v>
      </c>
      <c r="C154">
        <v>16</v>
      </c>
      <c r="D154">
        <v>77</v>
      </c>
      <c r="E154">
        <v>379</v>
      </c>
      <c r="F154">
        <v>1</v>
      </c>
      <c r="G154">
        <v>33</v>
      </c>
      <c r="H154">
        <v>28</v>
      </c>
      <c r="I154">
        <v>214</v>
      </c>
      <c r="J154">
        <v>0</v>
      </c>
      <c r="K154">
        <v>65.3</v>
      </c>
      <c r="L154">
        <v>4.0999999999999996</v>
      </c>
      <c r="M154" s="5">
        <f t="shared" si="15"/>
        <v>402.6875</v>
      </c>
      <c r="N154" s="5">
        <f t="shared" si="16"/>
        <v>1.0625</v>
      </c>
      <c r="O154" s="5">
        <f t="shared" si="17"/>
        <v>29.75</v>
      </c>
      <c r="P154" s="5">
        <f t="shared" si="18"/>
        <v>227.375</v>
      </c>
      <c r="Q154" s="5">
        <f t="shared" si="19"/>
        <v>0</v>
      </c>
    </row>
    <row r="155" spans="1:17" x14ac:dyDescent="0.25">
      <c r="A155" t="s">
        <v>314</v>
      </c>
      <c r="B155" t="s">
        <v>151</v>
      </c>
      <c r="C155">
        <v>17</v>
      </c>
      <c r="D155">
        <v>53</v>
      </c>
      <c r="E155">
        <v>240</v>
      </c>
      <c r="F155">
        <v>4</v>
      </c>
      <c r="G155">
        <v>29</v>
      </c>
      <c r="H155">
        <v>23</v>
      </c>
      <c r="I155">
        <v>169</v>
      </c>
      <c r="J155">
        <v>0</v>
      </c>
      <c r="K155">
        <v>64.900000000000006</v>
      </c>
      <c r="L155">
        <v>3.8</v>
      </c>
      <c r="M155" s="5">
        <f t="shared" si="15"/>
        <v>240</v>
      </c>
      <c r="N155" s="5">
        <f t="shared" si="16"/>
        <v>4</v>
      </c>
      <c r="O155" s="5">
        <f t="shared" si="17"/>
        <v>23</v>
      </c>
      <c r="P155" s="5">
        <f t="shared" si="18"/>
        <v>169</v>
      </c>
      <c r="Q155" s="5">
        <f t="shared" si="19"/>
        <v>0</v>
      </c>
    </row>
    <row r="156" spans="1:17" x14ac:dyDescent="0.25">
      <c r="A156" t="s">
        <v>315</v>
      </c>
      <c r="B156" t="s">
        <v>169</v>
      </c>
      <c r="C156">
        <v>12</v>
      </c>
      <c r="D156">
        <v>77</v>
      </c>
      <c r="E156">
        <v>313</v>
      </c>
      <c r="F156">
        <v>2</v>
      </c>
      <c r="G156">
        <v>34</v>
      </c>
      <c r="H156">
        <v>25</v>
      </c>
      <c r="I156">
        <v>193</v>
      </c>
      <c r="J156">
        <v>0</v>
      </c>
      <c r="K156">
        <v>62.6</v>
      </c>
      <c r="L156">
        <v>5.2</v>
      </c>
      <c r="M156" s="5">
        <f t="shared" si="15"/>
        <v>443.41666666666669</v>
      </c>
      <c r="N156" s="5">
        <f t="shared" si="16"/>
        <v>2.8333333333333335</v>
      </c>
      <c r="O156" s="5">
        <f t="shared" si="17"/>
        <v>35.416666666666671</v>
      </c>
      <c r="P156" s="5">
        <f t="shared" si="18"/>
        <v>273.41666666666669</v>
      </c>
      <c r="Q156" s="5">
        <f t="shared" si="19"/>
        <v>0</v>
      </c>
    </row>
    <row r="157" spans="1:17" x14ac:dyDescent="0.25">
      <c r="A157" t="s">
        <v>316</v>
      </c>
      <c r="B157" t="s">
        <v>165</v>
      </c>
      <c r="C157">
        <v>9</v>
      </c>
      <c r="D157">
        <v>87</v>
      </c>
      <c r="E157">
        <v>433</v>
      </c>
      <c r="F157">
        <v>3</v>
      </c>
      <c r="G157">
        <v>2</v>
      </c>
      <c r="H157">
        <v>0</v>
      </c>
      <c r="I157">
        <v>0</v>
      </c>
      <c r="J157">
        <v>0</v>
      </c>
      <c r="K157">
        <v>61.3</v>
      </c>
      <c r="L157">
        <v>6.8</v>
      </c>
      <c r="M157" s="5">
        <f t="shared" si="15"/>
        <v>817.88888888888891</v>
      </c>
      <c r="N157" s="5">
        <f t="shared" si="16"/>
        <v>5.6666666666666661</v>
      </c>
      <c r="O157" s="5">
        <f t="shared" si="17"/>
        <v>0</v>
      </c>
      <c r="P157" s="5">
        <f t="shared" si="18"/>
        <v>0</v>
      </c>
      <c r="Q157" s="5">
        <f t="shared" si="19"/>
        <v>0</v>
      </c>
    </row>
    <row r="158" spans="1:17" x14ac:dyDescent="0.25">
      <c r="A158" t="s">
        <v>317</v>
      </c>
      <c r="B158" t="s">
        <v>163</v>
      </c>
      <c r="C158">
        <v>13</v>
      </c>
      <c r="D158">
        <v>68</v>
      </c>
      <c r="E158">
        <v>245</v>
      </c>
      <c r="F158">
        <v>2</v>
      </c>
      <c r="G158">
        <v>24</v>
      </c>
      <c r="H158">
        <v>16</v>
      </c>
      <c r="I158">
        <v>157</v>
      </c>
      <c r="J158">
        <v>1</v>
      </c>
      <c r="K158">
        <v>58.2</v>
      </c>
      <c r="L158">
        <v>4.5</v>
      </c>
      <c r="M158" s="5">
        <f t="shared" si="15"/>
        <v>320.38461538461542</v>
      </c>
      <c r="N158" s="5">
        <f t="shared" si="16"/>
        <v>2.6153846153846154</v>
      </c>
      <c r="O158" s="5">
        <f t="shared" si="17"/>
        <v>20.923076923076923</v>
      </c>
      <c r="P158" s="5">
        <f t="shared" si="18"/>
        <v>205.30769230769232</v>
      </c>
      <c r="Q158" s="5">
        <f t="shared" si="19"/>
        <v>1.3076923076923077</v>
      </c>
    </row>
    <row r="159" spans="1:17" x14ac:dyDescent="0.25">
      <c r="A159" t="s">
        <v>318</v>
      </c>
      <c r="B159" t="s">
        <v>179</v>
      </c>
      <c r="C159">
        <v>10</v>
      </c>
      <c r="D159">
        <v>70</v>
      </c>
      <c r="E159">
        <v>283</v>
      </c>
      <c r="F159">
        <v>3</v>
      </c>
      <c r="G159">
        <v>22</v>
      </c>
      <c r="H159">
        <v>17</v>
      </c>
      <c r="I159">
        <v>102</v>
      </c>
      <c r="J159">
        <v>0</v>
      </c>
      <c r="K159">
        <v>56.5</v>
      </c>
      <c r="L159">
        <v>5.7</v>
      </c>
      <c r="M159" s="5">
        <f t="shared" si="15"/>
        <v>481.09999999999997</v>
      </c>
      <c r="N159" s="5">
        <f t="shared" si="16"/>
        <v>5.0999999999999996</v>
      </c>
      <c r="O159" s="5">
        <f t="shared" si="17"/>
        <v>28.9</v>
      </c>
      <c r="P159" s="5">
        <f t="shared" si="18"/>
        <v>173.4</v>
      </c>
      <c r="Q159" s="5">
        <f t="shared" si="19"/>
        <v>0</v>
      </c>
    </row>
    <row r="160" spans="1:17" x14ac:dyDescent="0.25">
      <c r="A160" t="s">
        <v>319</v>
      </c>
      <c r="B160" t="s">
        <v>171</v>
      </c>
      <c r="C160">
        <v>12</v>
      </c>
      <c r="D160">
        <v>68</v>
      </c>
      <c r="E160">
        <v>236</v>
      </c>
      <c r="F160">
        <v>1</v>
      </c>
      <c r="G160">
        <v>34</v>
      </c>
      <c r="H160">
        <v>30</v>
      </c>
      <c r="I160">
        <v>209</v>
      </c>
      <c r="J160">
        <v>1</v>
      </c>
      <c r="K160">
        <v>56.5</v>
      </c>
      <c r="L160">
        <v>4.7</v>
      </c>
      <c r="M160" s="5">
        <f t="shared" si="15"/>
        <v>334.33333333333337</v>
      </c>
      <c r="N160" s="5">
        <f t="shared" si="16"/>
        <v>1.4166666666666667</v>
      </c>
      <c r="O160" s="5">
        <f t="shared" si="17"/>
        <v>42.5</v>
      </c>
      <c r="P160" s="5">
        <f t="shared" si="18"/>
        <v>296.08333333333337</v>
      </c>
      <c r="Q160" s="5">
        <f t="shared" si="19"/>
        <v>1.4166666666666667</v>
      </c>
    </row>
    <row r="161" spans="1:17" x14ac:dyDescent="0.25">
      <c r="A161" t="s">
        <v>320</v>
      </c>
      <c r="B161" t="s">
        <v>175</v>
      </c>
      <c r="C161">
        <v>11</v>
      </c>
      <c r="D161">
        <v>22</v>
      </c>
      <c r="E161">
        <v>145</v>
      </c>
      <c r="F161">
        <v>0</v>
      </c>
      <c r="G161">
        <v>26</v>
      </c>
      <c r="H161">
        <v>21</v>
      </c>
      <c r="I161">
        <v>177</v>
      </c>
      <c r="J161">
        <v>4</v>
      </c>
      <c r="K161">
        <v>56.2</v>
      </c>
      <c r="L161">
        <v>5.0999999999999996</v>
      </c>
      <c r="M161" s="5">
        <f t="shared" si="15"/>
        <v>224.09090909090909</v>
      </c>
      <c r="N161" s="5">
        <f t="shared" si="16"/>
        <v>0</v>
      </c>
      <c r="O161" s="5">
        <f t="shared" si="17"/>
        <v>32.454545454545453</v>
      </c>
      <c r="P161" s="5">
        <f t="shared" si="18"/>
        <v>273.54545454545456</v>
      </c>
      <c r="Q161" s="5">
        <f t="shared" si="19"/>
        <v>6.1818181818181817</v>
      </c>
    </row>
    <row r="162" spans="1:17" x14ac:dyDescent="0.25">
      <c r="A162" t="s">
        <v>321</v>
      </c>
      <c r="B162" t="s">
        <v>150</v>
      </c>
      <c r="C162">
        <v>13</v>
      </c>
      <c r="D162">
        <v>93</v>
      </c>
      <c r="E162">
        <v>456</v>
      </c>
      <c r="F162">
        <v>1</v>
      </c>
      <c r="G162">
        <v>13</v>
      </c>
      <c r="H162">
        <v>11</v>
      </c>
      <c r="I162">
        <v>39</v>
      </c>
      <c r="J162">
        <v>0</v>
      </c>
      <c r="K162">
        <v>55.5</v>
      </c>
      <c r="L162">
        <v>4.3</v>
      </c>
      <c r="M162" s="5">
        <f t="shared" si="15"/>
        <v>596.30769230769226</v>
      </c>
      <c r="N162" s="5">
        <f t="shared" si="16"/>
        <v>1.3076923076923077</v>
      </c>
      <c r="O162" s="5">
        <f t="shared" si="17"/>
        <v>14.384615384615385</v>
      </c>
      <c r="P162" s="5">
        <f t="shared" si="18"/>
        <v>51</v>
      </c>
      <c r="Q162" s="5">
        <f t="shared" si="19"/>
        <v>0</v>
      </c>
    </row>
    <row r="163" spans="1:17" x14ac:dyDescent="0.25">
      <c r="A163" t="s">
        <v>322</v>
      </c>
      <c r="B163" t="s">
        <v>156</v>
      </c>
      <c r="C163">
        <v>12</v>
      </c>
      <c r="D163">
        <v>69</v>
      </c>
      <c r="E163">
        <v>287</v>
      </c>
      <c r="F163">
        <v>2</v>
      </c>
      <c r="G163">
        <v>25</v>
      </c>
      <c r="H163">
        <v>14</v>
      </c>
      <c r="I163">
        <v>101</v>
      </c>
      <c r="J163">
        <v>0</v>
      </c>
      <c r="K163">
        <v>50.8</v>
      </c>
      <c r="L163">
        <v>4.2</v>
      </c>
      <c r="M163" s="5">
        <f t="shared" si="15"/>
        <v>406.58333333333337</v>
      </c>
      <c r="N163" s="5">
        <f t="shared" si="16"/>
        <v>2.8333333333333335</v>
      </c>
      <c r="O163" s="5">
        <f t="shared" si="17"/>
        <v>19.833333333333336</v>
      </c>
      <c r="P163" s="5">
        <f t="shared" si="18"/>
        <v>143.08333333333334</v>
      </c>
      <c r="Q163" s="5">
        <f t="shared" si="19"/>
        <v>0</v>
      </c>
    </row>
    <row r="164" spans="1:17" x14ac:dyDescent="0.25">
      <c r="A164" t="s">
        <v>323</v>
      </c>
      <c r="B164" t="s">
        <v>155</v>
      </c>
      <c r="C164">
        <v>14</v>
      </c>
      <c r="D164">
        <v>46</v>
      </c>
      <c r="E164">
        <v>194</v>
      </c>
      <c r="F164">
        <v>2</v>
      </c>
      <c r="G164">
        <v>26</v>
      </c>
      <c r="H164">
        <v>20</v>
      </c>
      <c r="I164">
        <v>126</v>
      </c>
      <c r="J164">
        <v>1</v>
      </c>
      <c r="K164">
        <v>50</v>
      </c>
      <c r="L164">
        <v>3.6</v>
      </c>
      <c r="M164" s="5">
        <f t="shared" si="15"/>
        <v>235.57142857142856</v>
      </c>
      <c r="N164" s="5">
        <f t="shared" si="16"/>
        <v>2.4285714285714284</v>
      </c>
      <c r="O164" s="5">
        <f t="shared" si="17"/>
        <v>24.285714285714285</v>
      </c>
      <c r="P164" s="5">
        <f t="shared" si="18"/>
        <v>153</v>
      </c>
      <c r="Q164" s="5">
        <f t="shared" si="19"/>
        <v>1.2142857142857142</v>
      </c>
    </row>
    <row r="165" spans="1:17" x14ac:dyDescent="0.25">
      <c r="A165" t="s">
        <v>135</v>
      </c>
      <c r="B165" t="s">
        <v>153</v>
      </c>
      <c r="C165">
        <v>5</v>
      </c>
      <c r="D165">
        <v>57</v>
      </c>
      <c r="E165">
        <v>346</v>
      </c>
      <c r="F165">
        <v>2</v>
      </c>
      <c r="G165">
        <v>5</v>
      </c>
      <c r="H165">
        <v>4</v>
      </c>
      <c r="I165">
        <v>16</v>
      </c>
      <c r="J165">
        <v>0</v>
      </c>
      <c r="K165">
        <v>48.2</v>
      </c>
      <c r="L165">
        <v>9.6</v>
      </c>
      <c r="M165" s="5">
        <f t="shared" si="15"/>
        <v>1176.3999999999999</v>
      </c>
      <c r="N165" s="5">
        <f t="shared" si="16"/>
        <v>6.8</v>
      </c>
      <c r="O165" s="5">
        <f t="shared" si="17"/>
        <v>13.6</v>
      </c>
      <c r="P165" s="5">
        <f t="shared" si="18"/>
        <v>54.4</v>
      </c>
      <c r="Q165" s="5">
        <f t="shared" si="19"/>
        <v>0</v>
      </c>
    </row>
    <row r="166" spans="1:17" x14ac:dyDescent="0.25">
      <c r="A166" t="s">
        <v>324</v>
      </c>
      <c r="B166" t="s">
        <v>180</v>
      </c>
      <c r="C166">
        <v>7</v>
      </c>
      <c r="D166">
        <v>85</v>
      </c>
      <c r="E166">
        <v>300</v>
      </c>
      <c r="F166">
        <v>1</v>
      </c>
      <c r="G166">
        <v>14</v>
      </c>
      <c r="H166">
        <v>13</v>
      </c>
      <c r="I166">
        <v>100</v>
      </c>
      <c r="J166">
        <v>0</v>
      </c>
      <c r="K166">
        <v>46</v>
      </c>
      <c r="L166">
        <v>6.6</v>
      </c>
      <c r="M166" s="5">
        <f t="shared" si="15"/>
        <v>728.57142857142856</v>
      </c>
      <c r="N166" s="5">
        <f t="shared" si="16"/>
        <v>2.4285714285714284</v>
      </c>
      <c r="O166" s="5">
        <f t="shared" si="17"/>
        <v>31.571428571428569</v>
      </c>
      <c r="P166" s="5">
        <f t="shared" si="18"/>
        <v>242.85714285714283</v>
      </c>
      <c r="Q166" s="5">
        <f t="shared" si="19"/>
        <v>0</v>
      </c>
    </row>
    <row r="167" spans="1:17" x14ac:dyDescent="0.25">
      <c r="A167" t="s">
        <v>325</v>
      </c>
      <c r="B167" t="s">
        <v>168</v>
      </c>
      <c r="C167">
        <v>12</v>
      </c>
      <c r="D167">
        <v>76</v>
      </c>
      <c r="E167">
        <v>366</v>
      </c>
      <c r="F167">
        <v>1</v>
      </c>
      <c r="G167">
        <v>2</v>
      </c>
      <c r="H167">
        <v>2</v>
      </c>
      <c r="I167">
        <v>3</v>
      </c>
      <c r="J167">
        <v>0</v>
      </c>
      <c r="K167">
        <v>42.9</v>
      </c>
      <c r="L167">
        <v>3.6</v>
      </c>
      <c r="M167" s="5">
        <f t="shared" si="15"/>
        <v>518.5</v>
      </c>
      <c r="N167" s="5">
        <f t="shared" si="16"/>
        <v>1.4166666666666667</v>
      </c>
      <c r="O167" s="5">
        <f t="shared" si="17"/>
        <v>2.8333333333333335</v>
      </c>
      <c r="P167" s="5">
        <f t="shared" si="18"/>
        <v>4.25</v>
      </c>
      <c r="Q167" s="5">
        <f t="shared" si="19"/>
        <v>0</v>
      </c>
    </row>
    <row r="168" spans="1:17" x14ac:dyDescent="0.25">
      <c r="A168" t="s">
        <v>326</v>
      </c>
      <c r="B168" t="s">
        <v>151</v>
      </c>
      <c r="C168">
        <v>13</v>
      </c>
      <c r="D168">
        <v>54</v>
      </c>
      <c r="E168">
        <v>217</v>
      </c>
      <c r="F168">
        <v>3</v>
      </c>
      <c r="G168">
        <v>6</v>
      </c>
      <c r="H168">
        <v>5</v>
      </c>
      <c r="I168">
        <v>15</v>
      </c>
      <c r="J168">
        <v>0</v>
      </c>
      <c r="K168">
        <v>41.2</v>
      </c>
      <c r="L168">
        <v>3.2</v>
      </c>
      <c r="M168" s="5">
        <f t="shared" si="15"/>
        <v>283.76923076923077</v>
      </c>
      <c r="N168" s="5">
        <f t="shared" si="16"/>
        <v>3.9230769230769234</v>
      </c>
      <c r="O168" s="5">
        <f t="shared" si="17"/>
        <v>6.5384615384615383</v>
      </c>
      <c r="P168" s="5">
        <f t="shared" si="18"/>
        <v>19.615384615384617</v>
      </c>
      <c r="Q168" s="5">
        <f t="shared" si="19"/>
        <v>0</v>
      </c>
    </row>
    <row r="169" spans="1:17" x14ac:dyDescent="0.25">
      <c r="A169" t="s">
        <v>327</v>
      </c>
      <c r="B169" t="s">
        <v>174</v>
      </c>
      <c r="C169">
        <v>5</v>
      </c>
      <c r="D169">
        <v>45</v>
      </c>
      <c r="E169">
        <v>279</v>
      </c>
      <c r="F169">
        <v>2</v>
      </c>
      <c r="G169">
        <v>4</v>
      </c>
      <c r="H169">
        <v>3</v>
      </c>
      <c r="I169">
        <v>7</v>
      </c>
      <c r="J169">
        <v>0</v>
      </c>
      <c r="K169">
        <v>40.6</v>
      </c>
      <c r="L169">
        <v>8.1</v>
      </c>
      <c r="M169" s="5">
        <f t="shared" si="15"/>
        <v>948.6</v>
      </c>
      <c r="N169" s="5">
        <f t="shared" si="16"/>
        <v>6.8</v>
      </c>
      <c r="O169" s="5">
        <f t="shared" si="17"/>
        <v>10.199999999999999</v>
      </c>
      <c r="P169" s="5">
        <f t="shared" si="18"/>
        <v>23.8</v>
      </c>
      <c r="Q169" s="5">
        <f t="shared" si="19"/>
        <v>0</v>
      </c>
    </row>
    <row r="170" spans="1:17" x14ac:dyDescent="0.25">
      <c r="A170" t="s">
        <v>328</v>
      </c>
      <c r="B170" t="s">
        <v>160</v>
      </c>
      <c r="C170">
        <v>17</v>
      </c>
      <c r="D170">
        <v>54</v>
      </c>
      <c r="E170">
        <v>220</v>
      </c>
      <c r="F170">
        <v>1</v>
      </c>
      <c r="G170">
        <v>25</v>
      </c>
      <c r="H170">
        <v>20</v>
      </c>
      <c r="I170">
        <v>118</v>
      </c>
      <c r="J170">
        <v>0</v>
      </c>
      <c r="K170">
        <v>39.799999999999997</v>
      </c>
      <c r="L170">
        <v>2.2999999999999998</v>
      </c>
      <c r="M170" s="5">
        <f t="shared" si="15"/>
        <v>220</v>
      </c>
      <c r="N170" s="5">
        <f t="shared" si="16"/>
        <v>1</v>
      </c>
      <c r="O170" s="5">
        <f t="shared" si="17"/>
        <v>20</v>
      </c>
      <c r="P170" s="5">
        <f t="shared" si="18"/>
        <v>118</v>
      </c>
      <c r="Q170" s="5">
        <f t="shared" si="19"/>
        <v>0</v>
      </c>
    </row>
    <row r="171" spans="1:17" x14ac:dyDescent="0.25">
      <c r="A171" t="s">
        <v>329</v>
      </c>
      <c r="B171" t="s">
        <v>171</v>
      </c>
      <c r="C171">
        <v>15</v>
      </c>
      <c r="D171">
        <v>24</v>
      </c>
      <c r="E171">
        <v>33</v>
      </c>
      <c r="F171">
        <v>1</v>
      </c>
      <c r="G171">
        <v>37</v>
      </c>
      <c r="H171">
        <v>30</v>
      </c>
      <c r="I171">
        <v>241</v>
      </c>
      <c r="J171">
        <v>1</v>
      </c>
      <c r="K171">
        <v>39.4</v>
      </c>
      <c r="L171">
        <v>2.6</v>
      </c>
      <c r="M171" s="5">
        <f t="shared" si="15"/>
        <v>37.4</v>
      </c>
      <c r="N171" s="5">
        <f t="shared" si="16"/>
        <v>1.1333333333333333</v>
      </c>
      <c r="O171" s="5">
        <f t="shared" si="17"/>
        <v>34</v>
      </c>
      <c r="P171" s="5">
        <f t="shared" si="18"/>
        <v>273.13333333333333</v>
      </c>
      <c r="Q171" s="5">
        <f t="shared" si="19"/>
        <v>1.1333333333333333</v>
      </c>
    </row>
    <row r="172" spans="1:17" x14ac:dyDescent="0.25">
      <c r="A172" t="s">
        <v>330</v>
      </c>
      <c r="B172" t="s">
        <v>157</v>
      </c>
      <c r="C172">
        <v>12</v>
      </c>
      <c r="D172">
        <v>42</v>
      </c>
      <c r="E172">
        <v>170</v>
      </c>
      <c r="F172">
        <v>1</v>
      </c>
      <c r="G172">
        <v>19</v>
      </c>
      <c r="H172">
        <v>12</v>
      </c>
      <c r="I172">
        <v>101</v>
      </c>
      <c r="J172">
        <v>1</v>
      </c>
      <c r="K172">
        <v>39.1</v>
      </c>
      <c r="L172">
        <v>3.3</v>
      </c>
      <c r="M172" s="5">
        <f t="shared" si="15"/>
        <v>240.83333333333334</v>
      </c>
      <c r="N172" s="5">
        <f t="shared" si="16"/>
        <v>1.4166666666666667</v>
      </c>
      <c r="O172" s="5">
        <f t="shared" si="17"/>
        <v>17</v>
      </c>
      <c r="P172" s="5">
        <f t="shared" si="18"/>
        <v>143.08333333333334</v>
      </c>
      <c r="Q172" s="5">
        <f t="shared" si="19"/>
        <v>1.4166666666666667</v>
      </c>
    </row>
    <row r="173" spans="1:17" x14ac:dyDescent="0.25">
      <c r="A173" t="s">
        <v>331</v>
      </c>
      <c r="B173" t="s">
        <v>172</v>
      </c>
      <c r="C173">
        <v>10</v>
      </c>
      <c r="D173">
        <v>62</v>
      </c>
      <c r="E173">
        <v>233</v>
      </c>
      <c r="F173">
        <v>1</v>
      </c>
      <c r="G173">
        <v>18</v>
      </c>
      <c r="H173">
        <v>16</v>
      </c>
      <c r="I173">
        <v>68</v>
      </c>
      <c r="J173">
        <v>0</v>
      </c>
      <c r="K173">
        <v>36.1</v>
      </c>
      <c r="L173">
        <v>3.6</v>
      </c>
      <c r="M173" s="5">
        <f t="shared" si="15"/>
        <v>396.09999999999997</v>
      </c>
      <c r="N173" s="5">
        <f t="shared" si="16"/>
        <v>1.7</v>
      </c>
      <c r="O173" s="5">
        <f t="shared" si="17"/>
        <v>27.2</v>
      </c>
      <c r="P173" s="5">
        <f t="shared" si="18"/>
        <v>115.6</v>
      </c>
      <c r="Q173" s="5">
        <f t="shared" si="19"/>
        <v>0</v>
      </c>
    </row>
    <row r="174" spans="1:17" x14ac:dyDescent="0.25">
      <c r="A174" t="s">
        <v>332</v>
      </c>
      <c r="B174" t="s">
        <v>177</v>
      </c>
      <c r="C174">
        <v>10</v>
      </c>
      <c r="D174">
        <v>23</v>
      </c>
      <c r="E174">
        <v>77</v>
      </c>
      <c r="F174">
        <v>3</v>
      </c>
      <c r="G174">
        <v>12</v>
      </c>
      <c r="H174">
        <v>10</v>
      </c>
      <c r="I174">
        <v>93</v>
      </c>
      <c r="J174">
        <v>0</v>
      </c>
      <c r="K174">
        <v>35</v>
      </c>
      <c r="L174">
        <v>3.5</v>
      </c>
      <c r="M174" s="5">
        <f t="shared" si="15"/>
        <v>130.9</v>
      </c>
      <c r="N174" s="5">
        <f t="shared" si="16"/>
        <v>5.0999999999999996</v>
      </c>
      <c r="O174" s="5">
        <f t="shared" si="17"/>
        <v>17</v>
      </c>
      <c r="P174" s="5">
        <f t="shared" si="18"/>
        <v>158.1</v>
      </c>
      <c r="Q174" s="5">
        <f t="shared" si="19"/>
        <v>0</v>
      </c>
    </row>
    <row r="175" spans="1:17" x14ac:dyDescent="0.25">
      <c r="A175" t="s">
        <v>333</v>
      </c>
      <c r="B175" t="s">
        <v>174</v>
      </c>
      <c r="C175">
        <v>13</v>
      </c>
      <c r="D175">
        <v>7</v>
      </c>
      <c r="E175">
        <v>26</v>
      </c>
      <c r="F175">
        <v>1</v>
      </c>
      <c r="G175">
        <v>23</v>
      </c>
      <c r="H175">
        <v>19</v>
      </c>
      <c r="I175">
        <v>200</v>
      </c>
      <c r="J175">
        <v>1</v>
      </c>
      <c r="K175">
        <v>34.6</v>
      </c>
      <c r="L175">
        <v>2.7</v>
      </c>
      <c r="M175" s="5">
        <f t="shared" si="15"/>
        <v>34</v>
      </c>
      <c r="N175" s="5">
        <f t="shared" si="16"/>
        <v>1.3076923076923077</v>
      </c>
      <c r="O175" s="5">
        <f t="shared" si="17"/>
        <v>24.846153846153847</v>
      </c>
      <c r="P175" s="5">
        <f t="shared" si="18"/>
        <v>261.53846153846155</v>
      </c>
      <c r="Q175" s="5">
        <f t="shared" si="19"/>
        <v>1.3076923076923077</v>
      </c>
    </row>
    <row r="176" spans="1:17" x14ac:dyDescent="0.25">
      <c r="A176" t="s">
        <v>334</v>
      </c>
      <c r="B176" t="s">
        <v>167</v>
      </c>
      <c r="C176">
        <v>15</v>
      </c>
      <c r="D176">
        <v>26</v>
      </c>
      <c r="E176">
        <v>80</v>
      </c>
      <c r="F176">
        <v>0</v>
      </c>
      <c r="G176">
        <v>51</v>
      </c>
      <c r="H176">
        <v>37</v>
      </c>
      <c r="I176">
        <v>204</v>
      </c>
      <c r="J176">
        <v>1</v>
      </c>
      <c r="K176">
        <v>34.4</v>
      </c>
      <c r="L176">
        <v>2.2999999999999998</v>
      </c>
      <c r="M176" s="5">
        <f t="shared" si="15"/>
        <v>90.666666666666657</v>
      </c>
      <c r="N176" s="5">
        <f t="shared" si="16"/>
        <v>0</v>
      </c>
      <c r="O176" s="5">
        <f t="shared" si="17"/>
        <v>41.93333333333333</v>
      </c>
      <c r="P176" s="5">
        <f t="shared" si="18"/>
        <v>231.2</v>
      </c>
      <c r="Q176" s="5">
        <f t="shared" si="19"/>
        <v>1.1333333333333333</v>
      </c>
    </row>
    <row r="177" spans="1:17" x14ac:dyDescent="0.25">
      <c r="A177" t="s">
        <v>335</v>
      </c>
      <c r="B177" t="s">
        <v>165</v>
      </c>
      <c r="C177">
        <v>13</v>
      </c>
      <c r="D177">
        <v>49</v>
      </c>
      <c r="E177">
        <v>262</v>
      </c>
      <c r="F177">
        <v>0</v>
      </c>
      <c r="G177">
        <v>12</v>
      </c>
      <c r="H177">
        <v>12</v>
      </c>
      <c r="I177">
        <v>58</v>
      </c>
      <c r="J177">
        <v>0</v>
      </c>
      <c r="K177">
        <v>32</v>
      </c>
      <c r="L177">
        <v>2.5</v>
      </c>
      <c r="M177" s="5">
        <f t="shared" si="15"/>
        <v>342.61538461538464</v>
      </c>
      <c r="N177" s="5">
        <f t="shared" si="16"/>
        <v>0</v>
      </c>
      <c r="O177" s="5">
        <f t="shared" si="17"/>
        <v>15.692307692307693</v>
      </c>
      <c r="P177" s="5">
        <f t="shared" si="18"/>
        <v>75.846153846153854</v>
      </c>
      <c r="Q177" s="5">
        <f t="shared" si="19"/>
        <v>0</v>
      </c>
    </row>
    <row r="178" spans="1:17" x14ac:dyDescent="0.25">
      <c r="A178" t="s">
        <v>336</v>
      </c>
      <c r="B178" t="s">
        <v>174</v>
      </c>
      <c r="C178">
        <v>8</v>
      </c>
      <c r="D178">
        <v>43</v>
      </c>
      <c r="E178">
        <v>258</v>
      </c>
      <c r="F178">
        <v>1</v>
      </c>
      <c r="G178">
        <v>0</v>
      </c>
      <c r="H178">
        <v>0</v>
      </c>
      <c r="I178">
        <v>0</v>
      </c>
      <c r="J178">
        <v>0</v>
      </c>
      <c r="K178">
        <v>31.8</v>
      </c>
      <c r="L178">
        <v>4</v>
      </c>
      <c r="M178" s="5">
        <f t="shared" si="15"/>
        <v>548.25</v>
      </c>
      <c r="N178" s="5">
        <f t="shared" si="16"/>
        <v>2.125</v>
      </c>
      <c r="O178" s="5">
        <f t="shared" si="17"/>
        <v>0</v>
      </c>
      <c r="P178" s="5">
        <f t="shared" si="18"/>
        <v>0</v>
      </c>
      <c r="Q178" s="5">
        <f t="shared" si="19"/>
        <v>0</v>
      </c>
    </row>
    <row r="179" spans="1:17" x14ac:dyDescent="0.25">
      <c r="A179" t="s">
        <v>337</v>
      </c>
      <c r="B179" t="s">
        <v>153</v>
      </c>
      <c r="C179">
        <v>11</v>
      </c>
      <c r="D179">
        <v>35</v>
      </c>
      <c r="E179">
        <v>186</v>
      </c>
      <c r="F179">
        <v>0</v>
      </c>
      <c r="G179">
        <v>19</v>
      </c>
      <c r="H179">
        <v>17</v>
      </c>
      <c r="I179">
        <v>126</v>
      </c>
      <c r="J179">
        <v>0</v>
      </c>
      <c r="K179">
        <v>31.2</v>
      </c>
      <c r="L179">
        <v>2.8</v>
      </c>
      <c r="M179" s="5">
        <f t="shared" si="15"/>
        <v>287.45454545454544</v>
      </c>
      <c r="N179" s="5">
        <f t="shared" si="16"/>
        <v>0</v>
      </c>
      <c r="O179" s="5">
        <f t="shared" si="17"/>
        <v>26.272727272727273</v>
      </c>
      <c r="P179" s="5">
        <f t="shared" si="18"/>
        <v>194.72727272727272</v>
      </c>
      <c r="Q179" s="5">
        <f t="shared" si="19"/>
        <v>0</v>
      </c>
    </row>
    <row r="180" spans="1:17" x14ac:dyDescent="0.25">
      <c r="A180" t="s">
        <v>338</v>
      </c>
      <c r="B180" t="s">
        <v>180</v>
      </c>
      <c r="C180">
        <v>10</v>
      </c>
      <c r="D180">
        <v>30</v>
      </c>
      <c r="E180">
        <v>160</v>
      </c>
      <c r="F180">
        <v>1</v>
      </c>
      <c r="G180">
        <v>24</v>
      </c>
      <c r="H180">
        <v>12</v>
      </c>
      <c r="I180">
        <v>88</v>
      </c>
      <c r="J180">
        <v>0</v>
      </c>
      <c r="K180">
        <v>30.8</v>
      </c>
      <c r="L180">
        <v>3.1</v>
      </c>
      <c r="M180" s="5">
        <f t="shared" si="15"/>
        <v>272</v>
      </c>
      <c r="N180" s="5">
        <f t="shared" si="16"/>
        <v>1.7</v>
      </c>
      <c r="O180" s="5">
        <f t="shared" si="17"/>
        <v>20.399999999999999</v>
      </c>
      <c r="P180" s="5">
        <f t="shared" si="18"/>
        <v>149.6</v>
      </c>
      <c r="Q180" s="5">
        <f t="shared" si="19"/>
        <v>0</v>
      </c>
    </row>
    <row r="181" spans="1:17" x14ac:dyDescent="0.25">
      <c r="A181" t="s">
        <v>339</v>
      </c>
      <c r="B181" t="s">
        <v>162</v>
      </c>
      <c r="C181">
        <v>5</v>
      </c>
      <c r="D181">
        <v>16</v>
      </c>
      <c r="E181">
        <v>84</v>
      </c>
      <c r="F181">
        <v>1</v>
      </c>
      <c r="G181">
        <v>10</v>
      </c>
      <c r="H181">
        <v>8</v>
      </c>
      <c r="I181">
        <v>99</v>
      </c>
      <c r="J181">
        <v>1</v>
      </c>
      <c r="K181">
        <v>30.3</v>
      </c>
      <c r="L181">
        <v>6.1</v>
      </c>
      <c r="M181" s="5">
        <f t="shared" si="15"/>
        <v>285.59999999999997</v>
      </c>
      <c r="N181" s="5">
        <f t="shared" si="16"/>
        <v>3.4</v>
      </c>
      <c r="O181" s="5">
        <f t="shared" si="17"/>
        <v>27.2</v>
      </c>
      <c r="P181" s="5">
        <f t="shared" si="18"/>
        <v>336.59999999999997</v>
      </c>
      <c r="Q181" s="5">
        <f t="shared" si="19"/>
        <v>3.4</v>
      </c>
    </row>
    <row r="182" spans="1:17" x14ac:dyDescent="0.25">
      <c r="A182" t="s">
        <v>340</v>
      </c>
      <c r="B182" t="s">
        <v>164</v>
      </c>
      <c r="C182">
        <v>13</v>
      </c>
      <c r="D182">
        <v>4</v>
      </c>
      <c r="E182">
        <v>20</v>
      </c>
      <c r="F182">
        <v>0</v>
      </c>
      <c r="G182">
        <v>32</v>
      </c>
      <c r="H182">
        <v>25</v>
      </c>
      <c r="I182">
        <v>211</v>
      </c>
      <c r="J182">
        <v>1</v>
      </c>
      <c r="K182">
        <v>29.1</v>
      </c>
      <c r="L182">
        <v>2.2000000000000002</v>
      </c>
      <c r="M182" s="5">
        <f t="shared" si="15"/>
        <v>26.153846153846153</v>
      </c>
      <c r="N182" s="5">
        <f t="shared" si="16"/>
        <v>0</v>
      </c>
      <c r="O182" s="5">
        <f t="shared" si="17"/>
        <v>32.692307692307693</v>
      </c>
      <c r="P182" s="5">
        <f t="shared" si="18"/>
        <v>275.92307692307691</v>
      </c>
      <c r="Q182" s="5">
        <f t="shared" si="19"/>
        <v>1.3076923076923077</v>
      </c>
    </row>
    <row r="183" spans="1:17" x14ac:dyDescent="0.25">
      <c r="A183" t="s">
        <v>341</v>
      </c>
      <c r="B183" t="s">
        <v>153</v>
      </c>
      <c r="C183">
        <v>8</v>
      </c>
      <c r="D183">
        <v>19</v>
      </c>
      <c r="E183">
        <v>74</v>
      </c>
      <c r="F183">
        <v>0</v>
      </c>
      <c r="G183">
        <v>18</v>
      </c>
      <c r="H183">
        <v>16</v>
      </c>
      <c r="I183">
        <v>157</v>
      </c>
      <c r="J183">
        <v>1</v>
      </c>
      <c r="K183">
        <v>29.1</v>
      </c>
      <c r="L183">
        <v>3.6</v>
      </c>
      <c r="M183" s="5">
        <f t="shared" si="15"/>
        <v>157.25</v>
      </c>
      <c r="N183" s="5">
        <f t="shared" si="16"/>
        <v>0</v>
      </c>
      <c r="O183" s="5">
        <f t="shared" si="17"/>
        <v>34</v>
      </c>
      <c r="P183" s="5">
        <f t="shared" si="18"/>
        <v>333.625</v>
      </c>
      <c r="Q183" s="5">
        <f t="shared" si="19"/>
        <v>2.125</v>
      </c>
    </row>
    <row r="184" spans="1:17" x14ac:dyDescent="0.25">
      <c r="A184" t="s">
        <v>342</v>
      </c>
      <c r="B184" t="s">
        <v>167</v>
      </c>
      <c r="C184">
        <v>11</v>
      </c>
      <c r="D184">
        <v>42</v>
      </c>
      <c r="E184">
        <v>123</v>
      </c>
      <c r="F184">
        <v>1</v>
      </c>
      <c r="G184">
        <v>26</v>
      </c>
      <c r="H184">
        <v>20</v>
      </c>
      <c r="I184">
        <v>104</v>
      </c>
      <c r="J184">
        <v>0</v>
      </c>
      <c r="K184">
        <v>28.7</v>
      </c>
      <c r="L184">
        <v>2.6</v>
      </c>
      <c r="M184" s="5">
        <f t="shared" si="15"/>
        <v>190.09090909090909</v>
      </c>
      <c r="N184" s="5">
        <f t="shared" si="16"/>
        <v>1.5454545454545454</v>
      </c>
      <c r="O184" s="5">
        <f t="shared" si="17"/>
        <v>30.909090909090907</v>
      </c>
      <c r="P184" s="5">
        <f t="shared" si="18"/>
        <v>160.72727272727272</v>
      </c>
      <c r="Q184" s="5">
        <f t="shared" si="19"/>
        <v>0</v>
      </c>
    </row>
    <row r="185" spans="1:17" x14ac:dyDescent="0.25">
      <c r="A185" t="s">
        <v>343</v>
      </c>
      <c r="B185" t="s">
        <v>166</v>
      </c>
      <c r="C185">
        <v>6</v>
      </c>
      <c r="D185">
        <v>38</v>
      </c>
      <c r="E185">
        <v>161</v>
      </c>
      <c r="F185">
        <v>1</v>
      </c>
      <c r="G185">
        <v>7</v>
      </c>
      <c r="H185">
        <v>6</v>
      </c>
      <c r="I185">
        <v>63</v>
      </c>
      <c r="J185">
        <v>0</v>
      </c>
      <c r="K185">
        <v>28.4</v>
      </c>
      <c r="L185">
        <v>4.7</v>
      </c>
      <c r="M185" s="5">
        <f t="shared" si="15"/>
        <v>456.16666666666669</v>
      </c>
      <c r="N185" s="5">
        <f t="shared" si="16"/>
        <v>2.8333333333333335</v>
      </c>
      <c r="O185" s="5">
        <f t="shared" si="17"/>
        <v>17</v>
      </c>
      <c r="P185" s="5">
        <f t="shared" si="18"/>
        <v>178.5</v>
      </c>
      <c r="Q185" s="5">
        <f t="shared" si="19"/>
        <v>0</v>
      </c>
    </row>
    <row r="186" spans="1:17" x14ac:dyDescent="0.25">
      <c r="A186" t="s">
        <v>344</v>
      </c>
      <c r="B186" t="s">
        <v>162</v>
      </c>
      <c r="C186">
        <v>4</v>
      </c>
      <c r="D186">
        <v>47</v>
      </c>
      <c r="E186">
        <v>204</v>
      </c>
      <c r="F186">
        <v>0</v>
      </c>
      <c r="G186">
        <v>22</v>
      </c>
      <c r="H186">
        <v>16</v>
      </c>
      <c r="I186">
        <v>76</v>
      </c>
      <c r="J186">
        <v>0</v>
      </c>
      <c r="K186">
        <v>28</v>
      </c>
      <c r="L186">
        <v>7</v>
      </c>
      <c r="M186" s="5">
        <f t="shared" si="15"/>
        <v>867</v>
      </c>
      <c r="N186" s="5">
        <f t="shared" si="16"/>
        <v>0</v>
      </c>
      <c r="O186" s="5">
        <f t="shared" si="17"/>
        <v>68</v>
      </c>
      <c r="P186" s="5">
        <f t="shared" si="18"/>
        <v>323</v>
      </c>
      <c r="Q186" s="5">
        <f t="shared" si="19"/>
        <v>0</v>
      </c>
    </row>
    <row r="187" spans="1:17" x14ac:dyDescent="0.25">
      <c r="A187" t="s">
        <v>345</v>
      </c>
      <c r="B187" t="s">
        <v>178</v>
      </c>
      <c r="C187">
        <v>8</v>
      </c>
      <c r="D187">
        <v>22</v>
      </c>
      <c r="E187">
        <v>95</v>
      </c>
      <c r="F187">
        <v>0</v>
      </c>
      <c r="G187">
        <v>40</v>
      </c>
      <c r="H187">
        <v>27</v>
      </c>
      <c r="I187">
        <v>173</v>
      </c>
      <c r="J187">
        <v>0</v>
      </c>
      <c r="K187">
        <v>26.8</v>
      </c>
      <c r="L187">
        <v>3.4</v>
      </c>
      <c r="M187" s="5">
        <f t="shared" si="15"/>
        <v>201.875</v>
      </c>
      <c r="N187" s="5">
        <f t="shared" si="16"/>
        <v>0</v>
      </c>
      <c r="O187" s="5">
        <f t="shared" si="17"/>
        <v>57.375</v>
      </c>
      <c r="P187" s="5">
        <f t="shared" si="18"/>
        <v>367.625</v>
      </c>
      <c r="Q187" s="5">
        <f t="shared" si="19"/>
        <v>0</v>
      </c>
    </row>
    <row r="188" spans="1:17" x14ac:dyDescent="0.25">
      <c r="A188" t="s">
        <v>346</v>
      </c>
      <c r="B188" t="s">
        <v>160</v>
      </c>
      <c r="C188">
        <v>8</v>
      </c>
      <c r="D188">
        <v>31</v>
      </c>
      <c r="E188">
        <v>141</v>
      </c>
      <c r="F188">
        <v>1</v>
      </c>
      <c r="G188">
        <v>8</v>
      </c>
      <c r="H188">
        <v>5</v>
      </c>
      <c r="I188">
        <v>39</v>
      </c>
      <c r="J188">
        <v>0</v>
      </c>
      <c r="K188">
        <v>24</v>
      </c>
      <c r="L188">
        <v>3</v>
      </c>
      <c r="M188" s="5">
        <f t="shared" si="15"/>
        <v>299.625</v>
      </c>
      <c r="N188" s="5">
        <f t="shared" si="16"/>
        <v>2.125</v>
      </c>
      <c r="O188" s="5">
        <f t="shared" si="17"/>
        <v>10.625</v>
      </c>
      <c r="P188" s="5">
        <f t="shared" si="18"/>
        <v>82.875</v>
      </c>
      <c r="Q188" s="5">
        <f t="shared" si="19"/>
        <v>0</v>
      </c>
    </row>
    <row r="189" spans="1:17" x14ac:dyDescent="0.25">
      <c r="A189" t="s">
        <v>347</v>
      </c>
      <c r="B189" t="s">
        <v>163</v>
      </c>
      <c r="C189">
        <v>12</v>
      </c>
      <c r="D189">
        <v>6</v>
      </c>
      <c r="E189">
        <v>8</v>
      </c>
      <c r="F189">
        <v>1</v>
      </c>
      <c r="G189">
        <v>23</v>
      </c>
      <c r="H189">
        <v>15</v>
      </c>
      <c r="I189">
        <v>105</v>
      </c>
      <c r="J189">
        <v>1</v>
      </c>
      <c r="K189">
        <v>23.3</v>
      </c>
      <c r="L189">
        <v>1.9</v>
      </c>
      <c r="M189" s="5">
        <f t="shared" si="15"/>
        <v>11.333333333333334</v>
      </c>
      <c r="N189" s="5">
        <f t="shared" si="16"/>
        <v>1.4166666666666667</v>
      </c>
      <c r="O189" s="5">
        <f t="shared" si="17"/>
        <v>21.25</v>
      </c>
      <c r="P189" s="5">
        <f t="shared" si="18"/>
        <v>148.75</v>
      </c>
      <c r="Q189" s="5">
        <f t="shared" si="19"/>
        <v>1.4166666666666667</v>
      </c>
    </row>
    <row r="190" spans="1:17" x14ac:dyDescent="0.25">
      <c r="A190" t="s">
        <v>348</v>
      </c>
      <c r="B190" t="s">
        <v>168</v>
      </c>
      <c r="C190">
        <v>15</v>
      </c>
      <c r="D190">
        <v>22</v>
      </c>
      <c r="E190">
        <v>109</v>
      </c>
      <c r="F190">
        <v>1</v>
      </c>
      <c r="G190">
        <v>14</v>
      </c>
      <c r="H190">
        <v>13</v>
      </c>
      <c r="I190">
        <v>61</v>
      </c>
      <c r="J190">
        <v>0</v>
      </c>
      <c r="K190">
        <v>23</v>
      </c>
      <c r="L190">
        <v>1.5</v>
      </c>
      <c r="M190" s="5">
        <f t="shared" si="15"/>
        <v>123.53333333333333</v>
      </c>
      <c r="N190" s="5">
        <f t="shared" si="16"/>
        <v>1.1333333333333333</v>
      </c>
      <c r="O190" s="5">
        <f t="shared" si="17"/>
        <v>14.733333333333333</v>
      </c>
      <c r="P190" s="5">
        <f t="shared" si="18"/>
        <v>69.133333333333326</v>
      </c>
      <c r="Q190" s="5">
        <f t="shared" si="19"/>
        <v>0</v>
      </c>
    </row>
    <row r="191" spans="1:17" x14ac:dyDescent="0.25">
      <c r="A191" t="s">
        <v>349</v>
      </c>
      <c r="B191" t="s">
        <v>157</v>
      </c>
      <c r="C191">
        <v>6</v>
      </c>
      <c r="D191">
        <v>23</v>
      </c>
      <c r="E191">
        <v>102</v>
      </c>
      <c r="F191">
        <v>0</v>
      </c>
      <c r="G191">
        <v>10</v>
      </c>
      <c r="H191">
        <v>9</v>
      </c>
      <c r="I191">
        <v>116</v>
      </c>
      <c r="J191">
        <v>0</v>
      </c>
      <c r="K191">
        <v>21.8</v>
      </c>
      <c r="L191">
        <v>3.6</v>
      </c>
      <c r="M191" s="5">
        <f t="shared" si="15"/>
        <v>289</v>
      </c>
      <c r="N191" s="5">
        <f t="shared" si="16"/>
        <v>0</v>
      </c>
      <c r="O191" s="5">
        <f t="shared" si="17"/>
        <v>25.5</v>
      </c>
      <c r="P191" s="5">
        <f t="shared" si="18"/>
        <v>328.66666666666669</v>
      </c>
      <c r="Q191" s="5">
        <f t="shared" si="19"/>
        <v>0</v>
      </c>
    </row>
    <row r="192" spans="1:17" x14ac:dyDescent="0.25">
      <c r="A192" t="s">
        <v>350</v>
      </c>
      <c r="B192" t="s">
        <v>179</v>
      </c>
      <c r="C192">
        <v>8</v>
      </c>
      <c r="D192">
        <v>35</v>
      </c>
      <c r="E192">
        <v>139</v>
      </c>
      <c r="F192">
        <v>0</v>
      </c>
      <c r="G192">
        <v>12</v>
      </c>
      <c r="H192">
        <v>9</v>
      </c>
      <c r="I192">
        <v>76</v>
      </c>
      <c r="J192">
        <v>0</v>
      </c>
      <c r="K192">
        <v>21.5</v>
      </c>
      <c r="L192">
        <v>2.7</v>
      </c>
      <c r="M192" s="5">
        <f t="shared" si="15"/>
        <v>295.375</v>
      </c>
      <c r="N192" s="5">
        <f t="shared" si="16"/>
        <v>0</v>
      </c>
      <c r="O192" s="5">
        <f t="shared" si="17"/>
        <v>19.125</v>
      </c>
      <c r="P192" s="5">
        <f t="shared" si="18"/>
        <v>161.5</v>
      </c>
      <c r="Q192" s="5">
        <f t="shared" si="19"/>
        <v>0</v>
      </c>
    </row>
    <row r="193" spans="1:17" x14ac:dyDescent="0.25">
      <c r="A193" t="s">
        <v>351</v>
      </c>
      <c r="B193" t="s">
        <v>154</v>
      </c>
      <c r="C193">
        <v>9</v>
      </c>
      <c r="D193">
        <v>4</v>
      </c>
      <c r="E193">
        <v>7</v>
      </c>
      <c r="F193">
        <v>2</v>
      </c>
      <c r="G193">
        <v>12</v>
      </c>
      <c r="H193">
        <v>10</v>
      </c>
      <c r="I193">
        <v>86</v>
      </c>
      <c r="J193">
        <v>0</v>
      </c>
      <c r="K193">
        <v>21.3</v>
      </c>
      <c r="L193">
        <v>2.4</v>
      </c>
      <c r="M193" s="5">
        <f t="shared" si="15"/>
        <v>13.222222222222221</v>
      </c>
      <c r="N193" s="5">
        <f t="shared" si="16"/>
        <v>3.7777777777777777</v>
      </c>
      <c r="O193" s="5">
        <f t="shared" si="17"/>
        <v>18.888888888888889</v>
      </c>
      <c r="P193" s="5">
        <f t="shared" si="18"/>
        <v>162.44444444444443</v>
      </c>
      <c r="Q193" s="5">
        <f t="shared" si="19"/>
        <v>0</v>
      </c>
    </row>
    <row r="194" spans="1:17" x14ac:dyDescent="0.25">
      <c r="A194" t="s">
        <v>363</v>
      </c>
      <c r="B194" t="s">
        <v>170</v>
      </c>
      <c r="C194">
        <v>4</v>
      </c>
      <c r="D194">
        <v>10</v>
      </c>
      <c r="E194">
        <v>100</v>
      </c>
      <c r="F194">
        <v>1</v>
      </c>
      <c r="G194">
        <v>7</v>
      </c>
      <c r="H194">
        <v>7</v>
      </c>
      <c r="I194">
        <v>42</v>
      </c>
      <c r="J194">
        <v>0</v>
      </c>
      <c r="K194">
        <v>20.2</v>
      </c>
      <c r="L194">
        <v>5.0999999999999996</v>
      </c>
      <c r="M194" s="5">
        <f t="shared" si="15"/>
        <v>425</v>
      </c>
      <c r="N194" s="5">
        <f t="shared" si="16"/>
        <v>4.25</v>
      </c>
      <c r="O194" s="5">
        <f t="shared" si="17"/>
        <v>29.75</v>
      </c>
      <c r="P194" s="5">
        <f t="shared" si="18"/>
        <v>178.5</v>
      </c>
      <c r="Q194" s="5">
        <f t="shared" si="19"/>
        <v>0</v>
      </c>
    </row>
    <row r="195" spans="1:17" x14ac:dyDescent="0.25">
      <c r="A195" t="s">
        <v>352</v>
      </c>
      <c r="B195" t="s">
        <v>162</v>
      </c>
      <c r="C195">
        <v>8</v>
      </c>
      <c r="D195">
        <v>24</v>
      </c>
      <c r="E195">
        <v>102</v>
      </c>
      <c r="F195">
        <v>0</v>
      </c>
      <c r="G195">
        <v>15</v>
      </c>
      <c r="H195">
        <v>9</v>
      </c>
      <c r="I195">
        <v>96</v>
      </c>
      <c r="J195">
        <v>0</v>
      </c>
      <c r="K195">
        <v>19.8</v>
      </c>
      <c r="L195">
        <v>2.5</v>
      </c>
      <c r="M195" s="5">
        <f t="shared" si="15"/>
        <v>216.75</v>
      </c>
      <c r="N195" s="5">
        <f t="shared" si="16"/>
        <v>0</v>
      </c>
      <c r="O195" s="5">
        <f t="shared" si="17"/>
        <v>19.125</v>
      </c>
      <c r="P195" s="5">
        <f t="shared" si="18"/>
        <v>204</v>
      </c>
      <c r="Q195" s="5">
        <f t="shared" si="19"/>
        <v>0</v>
      </c>
    </row>
    <row r="196" spans="1:17" x14ac:dyDescent="0.25">
      <c r="A196" t="s">
        <v>353</v>
      </c>
      <c r="B196" t="s">
        <v>178</v>
      </c>
      <c r="C196">
        <v>7</v>
      </c>
      <c r="D196">
        <v>37</v>
      </c>
      <c r="E196">
        <v>152</v>
      </c>
      <c r="F196">
        <v>0</v>
      </c>
      <c r="G196">
        <v>10</v>
      </c>
      <c r="H196">
        <v>7</v>
      </c>
      <c r="I196">
        <v>40</v>
      </c>
      <c r="J196">
        <v>0</v>
      </c>
      <c r="K196">
        <v>19.2</v>
      </c>
      <c r="L196">
        <v>2.7</v>
      </c>
      <c r="M196" s="5">
        <f t="shared" si="15"/>
        <v>369.14285714285711</v>
      </c>
      <c r="N196" s="5">
        <f t="shared" si="16"/>
        <v>0</v>
      </c>
      <c r="O196" s="5">
        <f t="shared" si="17"/>
        <v>17</v>
      </c>
      <c r="P196" s="5">
        <f t="shared" si="18"/>
        <v>97.142857142857139</v>
      </c>
      <c r="Q196" s="5">
        <f t="shared" si="19"/>
        <v>0</v>
      </c>
    </row>
    <row r="197" spans="1:17" x14ac:dyDescent="0.25">
      <c r="A197" t="s">
        <v>354</v>
      </c>
      <c r="B197" t="s">
        <v>174</v>
      </c>
      <c r="C197">
        <v>2</v>
      </c>
      <c r="D197">
        <v>12</v>
      </c>
      <c r="E197">
        <v>26</v>
      </c>
      <c r="F197">
        <v>1</v>
      </c>
      <c r="G197">
        <v>3</v>
      </c>
      <c r="H197">
        <v>3</v>
      </c>
      <c r="I197">
        <v>44</v>
      </c>
      <c r="J197">
        <v>1</v>
      </c>
      <c r="K197">
        <v>19</v>
      </c>
      <c r="L197">
        <v>9.5</v>
      </c>
      <c r="M197" s="5">
        <f t="shared" si="15"/>
        <v>221</v>
      </c>
      <c r="N197" s="5">
        <f t="shared" si="16"/>
        <v>8.5</v>
      </c>
      <c r="O197" s="5">
        <f t="shared" si="17"/>
        <v>25.5</v>
      </c>
      <c r="P197" s="5">
        <f t="shared" si="18"/>
        <v>374</v>
      </c>
      <c r="Q197" s="5">
        <f t="shared" si="19"/>
        <v>8.5</v>
      </c>
    </row>
    <row r="198" spans="1:17" x14ac:dyDescent="0.25">
      <c r="A198" t="s">
        <v>355</v>
      </c>
      <c r="B198" t="s">
        <v>164</v>
      </c>
      <c r="C198">
        <v>8</v>
      </c>
      <c r="D198">
        <v>17</v>
      </c>
      <c r="E198">
        <v>66</v>
      </c>
      <c r="F198">
        <v>0</v>
      </c>
      <c r="G198">
        <v>9</v>
      </c>
      <c r="H198">
        <v>9</v>
      </c>
      <c r="I198">
        <v>57</v>
      </c>
      <c r="J198">
        <v>1</v>
      </c>
      <c r="K198">
        <v>18.3</v>
      </c>
      <c r="L198">
        <v>2.2999999999999998</v>
      </c>
      <c r="M198" s="5">
        <f t="shared" si="15"/>
        <v>140.25</v>
      </c>
      <c r="N198" s="5">
        <f t="shared" si="16"/>
        <v>0</v>
      </c>
      <c r="O198" s="5">
        <f t="shared" si="17"/>
        <v>19.125</v>
      </c>
      <c r="P198" s="5">
        <f t="shared" si="18"/>
        <v>121.125</v>
      </c>
      <c r="Q198" s="5">
        <f t="shared" si="19"/>
        <v>2.125</v>
      </c>
    </row>
    <row r="199" spans="1:17" x14ac:dyDescent="0.25">
      <c r="A199" t="s">
        <v>356</v>
      </c>
      <c r="B199" t="s">
        <v>179</v>
      </c>
      <c r="C199">
        <v>7</v>
      </c>
      <c r="D199">
        <v>18</v>
      </c>
      <c r="E199">
        <v>81</v>
      </c>
      <c r="F199">
        <v>1</v>
      </c>
      <c r="G199">
        <v>6</v>
      </c>
      <c r="H199">
        <v>5</v>
      </c>
      <c r="I199">
        <v>37</v>
      </c>
      <c r="J199">
        <v>0</v>
      </c>
      <c r="K199">
        <v>17.8</v>
      </c>
      <c r="L199">
        <v>2.5</v>
      </c>
      <c r="M199" s="5">
        <f t="shared" si="15"/>
        <v>196.71428571428569</v>
      </c>
      <c r="N199" s="5">
        <f t="shared" si="16"/>
        <v>2.4285714285714284</v>
      </c>
      <c r="O199" s="5">
        <f t="shared" si="17"/>
        <v>12.142857142857142</v>
      </c>
      <c r="P199" s="5">
        <f t="shared" si="18"/>
        <v>89.857142857142847</v>
      </c>
      <c r="Q199" s="5">
        <f t="shared" si="19"/>
        <v>0</v>
      </c>
    </row>
    <row r="200" spans="1:17" x14ac:dyDescent="0.25">
      <c r="A200" t="s">
        <v>357</v>
      </c>
      <c r="B200" t="s">
        <v>169</v>
      </c>
      <c r="C200">
        <v>5</v>
      </c>
      <c r="D200">
        <v>21</v>
      </c>
      <c r="E200">
        <v>102</v>
      </c>
      <c r="F200">
        <v>1</v>
      </c>
      <c r="G200">
        <v>8</v>
      </c>
      <c r="H200">
        <v>4</v>
      </c>
      <c r="I200">
        <v>9</v>
      </c>
      <c r="J200">
        <v>0</v>
      </c>
      <c r="K200">
        <v>17.100000000000001</v>
      </c>
      <c r="L200">
        <v>3.4</v>
      </c>
      <c r="M200" s="5">
        <f t="shared" si="15"/>
        <v>346.8</v>
      </c>
      <c r="N200" s="5">
        <f t="shared" si="16"/>
        <v>3.4</v>
      </c>
      <c r="O200" s="5">
        <f t="shared" si="17"/>
        <v>13.6</v>
      </c>
      <c r="P200" s="5">
        <f t="shared" si="18"/>
        <v>30.599999999999998</v>
      </c>
      <c r="Q200" s="5">
        <f t="shared" si="19"/>
        <v>0</v>
      </c>
    </row>
    <row r="201" spans="1:17" x14ac:dyDescent="0.25">
      <c r="A201" t="s">
        <v>358</v>
      </c>
      <c r="B201" t="s">
        <v>169</v>
      </c>
      <c r="C201">
        <v>4</v>
      </c>
      <c r="D201">
        <v>15</v>
      </c>
      <c r="E201">
        <v>55</v>
      </c>
      <c r="F201">
        <v>1</v>
      </c>
      <c r="G201">
        <v>7</v>
      </c>
      <c r="H201">
        <v>5</v>
      </c>
      <c r="I201">
        <v>54</v>
      </c>
      <c r="J201">
        <v>0</v>
      </c>
      <c r="K201">
        <v>16.899999999999999</v>
      </c>
      <c r="L201">
        <v>4.2</v>
      </c>
      <c r="M201" s="5">
        <f t="shared" si="15"/>
        <v>233.75</v>
      </c>
      <c r="N201" s="5">
        <f t="shared" si="16"/>
        <v>4.25</v>
      </c>
      <c r="O201" s="5">
        <f t="shared" si="17"/>
        <v>21.25</v>
      </c>
      <c r="P201" s="5">
        <f t="shared" si="18"/>
        <v>229.5</v>
      </c>
      <c r="Q201" s="5">
        <f t="shared" si="19"/>
        <v>0</v>
      </c>
    </row>
    <row r="202" spans="1:17" x14ac:dyDescent="0.25">
      <c r="A202" t="s">
        <v>364</v>
      </c>
      <c r="B202" t="s">
        <v>160</v>
      </c>
      <c r="C202">
        <v>13</v>
      </c>
      <c r="D202">
        <v>0</v>
      </c>
      <c r="E202">
        <v>0</v>
      </c>
      <c r="F202">
        <v>0</v>
      </c>
      <c r="H202">
        <v>46</v>
      </c>
      <c r="I202">
        <v>724</v>
      </c>
      <c r="J202">
        <v>2</v>
      </c>
      <c r="K202">
        <v>84.4</v>
      </c>
      <c r="L202">
        <v>6.5</v>
      </c>
      <c r="M202" s="5">
        <f t="shared" ref="M202:M251" si="20">17/$C202*E202</f>
        <v>0</v>
      </c>
      <c r="N202" s="5">
        <f t="shared" ref="N202:N251" si="21">17/$C202*F202</f>
        <v>0</v>
      </c>
      <c r="O202" s="5">
        <f t="shared" ref="O202:O251" si="22">17/$C202*H202</f>
        <v>60.153846153846153</v>
      </c>
      <c r="P202" s="5">
        <f t="shared" ref="P202:P251" si="23">17/$C202*I202</f>
        <v>946.76923076923083</v>
      </c>
      <c r="Q202" s="5">
        <f t="shared" ref="Q202:Q251" si="24">17/$C202*J202</f>
        <v>2.6153846153846154</v>
      </c>
    </row>
    <row r="203" spans="1:17" x14ac:dyDescent="0.25">
      <c r="A203" t="s">
        <v>365</v>
      </c>
      <c r="B203" t="s">
        <v>160</v>
      </c>
      <c r="C203">
        <v>15</v>
      </c>
      <c r="D203">
        <v>2</v>
      </c>
      <c r="E203">
        <v>6</v>
      </c>
      <c r="F203">
        <v>0</v>
      </c>
      <c r="H203">
        <v>57</v>
      </c>
      <c r="I203">
        <v>569</v>
      </c>
      <c r="J203">
        <v>4</v>
      </c>
      <c r="K203">
        <v>81.5</v>
      </c>
      <c r="L203">
        <v>5.4</v>
      </c>
      <c r="M203" s="5">
        <f t="shared" si="20"/>
        <v>6.8</v>
      </c>
      <c r="N203" s="5">
        <f t="shared" si="21"/>
        <v>0</v>
      </c>
      <c r="O203" s="5">
        <f t="shared" si="22"/>
        <v>64.599999999999994</v>
      </c>
      <c r="P203" s="5">
        <f t="shared" si="23"/>
        <v>644.86666666666667</v>
      </c>
      <c r="Q203" s="5">
        <f t="shared" si="24"/>
        <v>4.5333333333333332</v>
      </c>
    </row>
    <row r="204" spans="1:17" x14ac:dyDescent="0.25">
      <c r="A204" t="s">
        <v>27</v>
      </c>
      <c r="B204" t="s">
        <v>149</v>
      </c>
      <c r="C204">
        <v>17</v>
      </c>
      <c r="D204">
        <v>1</v>
      </c>
      <c r="E204">
        <v>-3</v>
      </c>
      <c r="F204">
        <v>0</v>
      </c>
      <c r="H204">
        <v>42</v>
      </c>
      <c r="I204">
        <v>687</v>
      </c>
      <c r="J204">
        <v>2</v>
      </c>
      <c r="K204">
        <v>80.400000000000006</v>
      </c>
      <c r="L204">
        <v>4.7</v>
      </c>
      <c r="M204" s="5">
        <f t="shared" si="20"/>
        <v>-3</v>
      </c>
      <c r="N204" s="5">
        <f t="shared" si="21"/>
        <v>0</v>
      </c>
      <c r="O204" s="5">
        <f t="shared" si="22"/>
        <v>42</v>
      </c>
      <c r="P204" s="5">
        <f t="shared" si="23"/>
        <v>687</v>
      </c>
      <c r="Q204" s="5">
        <f t="shared" si="24"/>
        <v>2</v>
      </c>
    </row>
    <row r="205" spans="1:17" x14ac:dyDescent="0.25">
      <c r="A205" t="s">
        <v>366</v>
      </c>
      <c r="B205" t="s">
        <v>150</v>
      </c>
      <c r="C205">
        <v>15</v>
      </c>
      <c r="D205">
        <v>9</v>
      </c>
      <c r="E205">
        <v>55</v>
      </c>
      <c r="F205">
        <v>1</v>
      </c>
      <c r="H205">
        <v>42</v>
      </c>
      <c r="I205">
        <v>423</v>
      </c>
      <c r="J205">
        <v>4</v>
      </c>
      <c r="K205">
        <v>77.8</v>
      </c>
      <c r="L205">
        <v>5.2</v>
      </c>
      <c r="M205" s="5">
        <f t="shared" si="20"/>
        <v>62.333333333333329</v>
      </c>
      <c r="N205" s="5">
        <f t="shared" si="21"/>
        <v>1.1333333333333333</v>
      </c>
      <c r="O205" s="5">
        <f t="shared" si="22"/>
        <v>47.6</v>
      </c>
      <c r="P205" s="5">
        <f t="shared" si="23"/>
        <v>479.4</v>
      </c>
      <c r="Q205" s="5">
        <f t="shared" si="24"/>
        <v>4.5333333333333332</v>
      </c>
    </row>
    <row r="206" spans="1:17" x14ac:dyDescent="0.25">
      <c r="A206" t="s">
        <v>367</v>
      </c>
      <c r="B206" t="s">
        <v>166</v>
      </c>
      <c r="C206">
        <v>15</v>
      </c>
      <c r="D206">
        <v>0</v>
      </c>
      <c r="E206">
        <v>0</v>
      </c>
      <c r="F206">
        <v>0</v>
      </c>
      <c r="H206">
        <v>43</v>
      </c>
      <c r="I206">
        <v>555</v>
      </c>
      <c r="J206">
        <v>3</v>
      </c>
      <c r="K206">
        <v>73.5</v>
      </c>
      <c r="L206">
        <v>4.9000000000000004</v>
      </c>
      <c r="M206" s="5">
        <f t="shared" si="20"/>
        <v>0</v>
      </c>
      <c r="N206" s="5">
        <f t="shared" si="21"/>
        <v>0</v>
      </c>
      <c r="O206" s="5">
        <f t="shared" si="22"/>
        <v>48.733333333333334</v>
      </c>
      <c r="P206" s="5">
        <f t="shared" si="23"/>
        <v>629</v>
      </c>
      <c r="Q206" s="5">
        <f t="shared" si="24"/>
        <v>3.4</v>
      </c>
    </row>
    <row r="207" spans="1:17" x14ac:dyDescent="0.25">
      <c r="A207" t="s">
        <v>368</v>
      </c>
      <c r="B207" t="s">
        <v>165</v>
      </c>
      <c r="C207">
        <v>14</v>
      </c>
      <c r="D207">
        <v>12</v>
      </c>
      <c r="E207">
        <v>84</v>
      </c>
      <c r="F207">
        <v>1</v>
      </c>
      <c r="H207">
        <v>37</v>
      </c>
      <c r="I207">
        <v>407</v>
      </c>
      <c r="J207">
        <v>3</v>
      </c>
      <c r="K207">
        <v>73.099999999999994</v>
      </c>
      <c r="L207">
        <v>5.2</v>
      </c>
      <c r="M207" s="5">
        <f t="shared" si="20"/>
        <v>101.99999999999999</v>
      </c>
      <c r="N207" s="5">
        <f t="shared" si="21"/>
        <v>1.2142857142857142</v>
      </c>
      <c r="O207" s="5">
        <f t="shared" si="22"/>
        <v>44.928571428571423</v>
      </c>
      <c r="P207" s="5">
        <f t="shared" si="23"/>
        <v>494.21428571428567</v>
      </c>
      <c r="Q207" s="5">
        <f t="shared" si="24"/>
        <v>3.6428571428571423</v>
      </c>
    </row>
    <row r="208" spans="1:17" x14ac:dyDescent="0.25">
      <c r="A208" t="s">
        <v>369</v>
      </c>
      <c r="B208" t="s">
        <v>159</v>
      </c>
      <c r="C208">
        <v>13</v>
      </c>
      <c r="D208">
        <v>0</v>
      </c>
      <c r="E208">
        <v>0</v>
      </c>
      <c r="F208">
        <v>0</v>
      </c>
      <c r="H208">
        <v>51</v>
      </c>
      <c r="I208">
        <v>426</v>
      </c>
      <c r="J208">
        <v>5</v>
      </c>
      <c r="K208">
        <v>72.599999999999994</v>
      </c>
      <c r="L208">
        <v>5.6</v>
      </c>
      <c r="M208" s="5">
        <f t="shared" si="20"/>
        <v>0</v>
      </c>
      <c r="N208" s="5">
        <f t="shared" si="21"/>
        <v>0</v>
      </c>
      <c r="O208" s="5">
        <f t="shared" si="22"/>
        <v>66.692307692307693</v>
      </c>
      <c r="P208" s="5">
        <f t="shared" si="23"/>
        <v>557.07692307692309</v>
      </c>
      <c r="Q208" s="5">
        <f t="shared" si="24"/>
        <v>6.5384615384615383</v>
      </c>
    </row>
    <row r="209" spans="1:17" x14ac:dyDescent="0.25">
      <c r="A209" t="s">
        <v>370</v>
      </c>
      <c r="B209" t="s">
        <v>172</v>
      </c>
      <c r="C209">
        <v>11</v>
      </c>
      <c r="D209">
        <v>4</v>
      </c>
      <c r="E209">
        <v>57</v>
      </c>
      <c r="F209">
        <v>1</v>
      </c>
      <c r="H209">
        <v>28</v>
      </c>
      <c r="I209">
        <v>488</v>
      </c>
      <c r="J209">
        <v>2</v>
      </c>
      <c r="K209">
        <v>72.5</v>
      </c>
      <c r="L209">
        <v>6.6</v>
      </c>
      <c r="M209" s="5">
        <f t="shared" si="20"/>
        <v>88.090909090909093</v>
      </c>
      <c r="N209" s="5">
        <f t="shared" si="21"/>
        <v>1.5454545454545454</v>
      </c>
      <c r="O209" s="5">
        <f t="shared" si="22"/>
        <v>43.272727272727273</v>
      </c>
      <c r="P209" s="5">
        <f t="shared" si="23"/>
        <v>754.18181818181813</v>
      </c>
      <c r="Q209" s="5">
        <f t="shared" si="24"/>
        <v>3.0909090909090908</v>
      </c>
    </row>
    <row r="210" spans="1:17" x14ac:dyDescent="0.25">
      <c r="A210" t="s">
        <v>371</v>
      </c>
      <c r="B210" t="s">
        <v>168</v>
      </c>
      <c r="C210">
        <v>16</v>
      </c>
      <c r="D210">
        <v>2</v>
      </c>
      <c r="E210">
        <v>7</v>
      </c>
      <c r="F210">
        <v>0</v>
      </c>
      <c r="H210">
        <v>40</v>
      </c>
      <c r="I210">
        <v>533</v>
      </c>
      <c r="J210">
        <v>3</v>
      </c>
      <c r="K210">
        <v>72</v>
      </c>
      <c r="L210">
        <v>4.5</v>
      </c>
      <c r="M210" s="5">
        <f t="shared" si="20"/>
        <v>7.4375</v>
      </c>
      <c r="N210" s="5">
        <f t="shared" si="21"/>
        <v>0</v>
      </c>
      <c r="O210" s="5">
        <f t="shared" si="22"/>
        <v>42.5</v>
      </c>
      <c r="P210" s="5">
        <f t="shared" si="23"/>
        <v>566.3125</v>
      </c>
      <c r="Q210" s="5">
        <f t="shared" si="24"/>
        <v>3.1875</v>
      </c>
    </row>
    <row r="211" spans="1:17" x14ac:dyDescent="0.25">
      <c r="A211" t="s">
        <v>372</v>
      </c>
      <c r="B211" t="s">
        <v>170</v>
      </c>
      <c r="C211">
        <v>12</v>
      </c>
      <c r="D211">
        <v>0</v>
      </c>
      <c r="E211">
        <v>0</v>
      </c>
      <c r="F211">
        <v>0</v>
      </c>
      <c r="H211">
        <v>31</v>
      </c>
      <c r="I211">
        <v>539</v>
      </c>
      <c r="J211">
        <v>3</v>
      </c>
      <c r="K211">
        <v>71.900000000000006</v>
      </c>
      <c r="L211">
        <v>6</v>
      </c>
      <c r="M211" s="5">
        <f t="shared" si="20"/>
        <v>0</v>
      </c>
      <c r="N211" s="5">
        <f t="shared" si="21"/>
        <v>0</v>
      </c>
      <c r="O211" s="5">
        <f t="shared" si="22"/>
        <v>43.916666666666671</v>
      </c>
      <c r="P211" s="5">
        <f t="shared" si="23"/>
        <v>763.58333333333337</v>
      </c>
      <c r="Q211" s="5">
        <f t="shared" si="24"/>
        <v>4.25</v>
      </c>
    </row>
    <row r="212" spans="1:17" x14ac:dyDescent="0.25">
      <c r="A212" t="s">
        <v>116</v>
      </c>
      <c r="B212" t="s">
        <v>171</v>
      </c>
      <c r="C212">
        <v>16</v>
      </c>
      <c r="D212">
        <v>0</v>
      </c>
      <c r="E212">
        <v>0</v>
      </c>
      <c r="F212">
        <v>0</v>
      </c>
      <c r="H212">
        <v>41</v>
      </c>
      <c r="I212">
        <v>593</v>
      </c>
      <c r="J212">
        <v>2</v>
      </c>
      <c r="K212">
        <v>71.3</v>
      </c>
      <c r="L212">
        <v>4.5</v>
      </c>
      <c r="M212" s="5">
        <f t="shared" si="20"/>
        <v>0</v>
      </c>
      <c r="N212" s="5">
        <f t="shared" si="21"/>
        <v>0</v>
      </c>
      <c r="O212" s="5">
        <f t="shared" si="22"/>
        <v>43.5625</v>
      </c>
      <c r="P212" s="5">
        <f t="shared" si="23"/>
        <v>630.0625</v>
      </c>
      <c r="Q212" s="5">
        <f t="shared" si="24"/>
        <v>2.125</v>
      </c>
    </row>
    <row r="213" spans="1:17" x14ac:dyDescent="0.25">
      <c r="A213" t="s">
        <v>373</v>
      </c>
      <c r="B213" t="s">
        <v>155</v>
      </c>
      <c r="C213">
        <v>16</v>
      </c>
      <c r="D213">
        <v>0</v>
      </c>
      <c r="E213">
        <v>0</v>
      </c>
      <c r="F213">
        <v>0</v>
      </c>
      <c r="H213">
        <v>46</v>
      </c>
      <c r="I213">
        <v>529</v>
      </c>
      <c r="J213">
        <v>3</v>
      </c>
      <c r="K213">
        <v>70.900000000000006</v>
      </c>
      <c r="L213">
        <v>4.4000000000000004</v>
      </c>
      <c r="M213" s="5">
        <f t="shared" si="20"/>
        <v>0</v>
      </c>
      <c r="N213" s="5">
        <f t="shared" si="21"/>
        <v>0</v>
      </c>
      <c r="O213" s="5">
        <f t="shared" si="22"/>
        <v>48.875</v>
      </c>
      <c r="P213" s="5">
        <f t="shared" si="23"/>
        <v>562.0625</v>
      </c>
      <c r="Q213" s="5">
        <f t="shared" si="24"/>
        <v>3.1875</v>
      </c>
    </row>
    <row r="214" spans="1:17" x14ac:dyDescent="0.25">
      <c r="A214" t="s">
        <v>374</v>
      </c>
      <c r="B214" t="s">
        <v>156</v>
      </c>
      <c r="C214">
        <v>16</v>
      </c>
      <c r="D214">
        <v>2</v>
      </c>
      <c r="E214">
        <v>-15</v>
      </c>
      <c r="F214">
        <v>0</v>
      </c>
      <c r="H214">
        <v>46</v>
      </c>
      <c r="I214">
        <v>538</v>
      </c>
      <c r="J214">
        <v>3</v>
      </c>
      <c r="K214">
        <v>70.3</v>
      </c>
      <c r="L214">
        <v>4.4000000000000004</v>
      </c>
      <c r="M214" s="5">
        <f t="shared" si="20"/>
        <v>-15.9375</v>
      </c>
      <c r="N214" s="5">
        <f t="shared" si="21"/>
        <v>0</v>
      </c>
      <c r="O214" s="5">
        <f t="shared" si="22"/>
        <v>48.875</v>
      </c>
      <c r="P214" s="5">
        <f t="shared" si="23"/>
        <v>571.625</v>
      </c>
      <c r="Q214" s="5">
        <f t="shared" si="24"/>
        <v>3.1875</v>
      </c>
    </row>
    <row r="215" spans="1:17" x14ac:dyDescent="0.25">
      <c r="A215" t="s">
        <v>375</v>
      </c>
      <c r="B215" t="s">
        <v>149</v>
      </c>
      <c r="C215">
        <v>8</v>
      </c>
      <c r="D215">
        <v>4</v>
      </c>
      <c r="E215">
        <v>31</v>
      </c>
      <c r="F215">
        <v>2</v>
      </c>
      <c r="H215">
        <v>25</v>
      </c>
      <c r="I215">
        <v>297</v>
      </c>
      <c r="J215">
        <v>4</v>
      </c>
      <c r="K215">
        <v>68.8</v>
      </c>
      <c r="L215">
        <v>8.6</v>
      </c>
      <c r="M215" s="5">
        <f t="shared" si="20"/>
        <v>65.875</v>
      </c>
      <c r="N215" s="5">
        <f t="shared" si="21"/>
        <v>4.25</v>
      </c>
      <c r="O215" s="5">
        <f t="shared" si="22"/>
        <v>53.125</v>
      </c>
      <c r="P215" s="5">
        <f t="shared" si="23"/>
        <v>631.125</v>
      </c>
      <c r="Q215" s="5">
        <f t="shared" si="24"/>
        <v>8.5</v>
      </c>
    </row>
    <row r="216" spans="1:17" x14ac:dyDescent="0.25">
      <c r="A216" t="s">
        <v>376</v>
      </c>
      <c r="B216" t="s">
        <v>157</v>
      </c>
      <c r="C216">
        <v>11</v>
      </c>
      <c r="D216">
        <v>0</v>
      </c>
      <c r="E216">
        <v>0</v>
      </c>
      <c r="F216">
        <v>0</v>
      </c>
      <c r="H216">
        <v>30</v>
      </c>
      <c r="I216">
        <v>502</v>
      </c>
      <c r="J216">
        <v>3</v>
      </c>
      <c r="K216">
        <v>68.2</v>
      </c>
      <c r="L216">
        <v>6.2</v>
      </c>
      <c r="M216" s="5">
        <f t="shared" si="20"/>
        <v>0</v>
      </c>
      <c r="N216" s="5">
        <f t="shared" si="21"/>
        <v>0</v>
      </c>
      <c r="O216" s="5">
        <f t="shared" si="22"/>
        <v>46.36363636363636</v>
      </c>
      <c r="P216" s="5">
        <f t="shared" si="23"/>
        <v>775.81818181818176</v>
      </c>
      <c r="Q216" s="5">
        <f t="shared" si="24"/>
        <v>4.6363636363636367</v>
      </c>
    </row>
    <row r="217" spans="1:17" x14ac:dyDescent="0.25">
      <c r="A217" t="s">
        <v>377</v>
      </c>
      <c r="B217" t="s">
        <v>167</v>
      </c>
      <c r="C217">
        <v>15</v>
      </c>
      <c r="D217">
        <v>3</v>
      </c>
      <c r="E217">
        <v>3</v>
      </c>
      <c r="F217">
        <v>0</v>
      </c>
      <c r="H217">
        <v>48</v>
      </c>
      <c r="I217">
        <v>548</v>
      </c>
      <c r="J217">
        <v>2</v>
      </c>
      <c r="K217">
        <v>67.099999999999994</v>
      </c>
      <c r="L217">
        <v>4.5</v>
      </c>
      <c r="M217" s="5">
        <f t="shared" si="20"/>
        <v>3.4</v>
      </c>
      <c r="N217" s="5">
        <f t="shared" si="21"/>
        <v>0</v>
      </c>
      <c r="O217" s="5">
        <f t="shared" si="22"/>
        <v>54.4</v>
      </c>
      <c r="P217" s="5">
        <f t="shared" si="23"/>
        <v>621.06666666666661</v>
      </c>
      <c r="Q217" s="5">
        <f t="shared" si="24"/>
        <v>2.2666666666666666</v>
      </c>
    </row>
    <row r="218" spans="1:17" x14ac:dyDescent="0.25">
      <c r="A218" t="s">
        <v>16</v>
      </c>
      <c r="B218" t="s">
        <v>166</v>
      </c>
      <c r="C218">
        <v>14</v>
      </c>
      <c r="D218">
        <v>0</v>
      </c>
      <c r="E218">
        <v>0</v>
      </c>
      <c r="F218">
        <v>0</v>
      </c>
      <c r="H218">
        <v>39</v>
      </c>
      <c r="I218">
        <v>424</v>
      </c>
      <c r="J218">
        <v>4</v>
      </c>
      <c r="K218">
        <v>66.400000000000006</v>
      </c>
      <c r="L218">
        <v>4.7</v>
      </c>
      <c r="M218" s="5">
        <f t="shared" si="20"/>
        <v>0</v>
      </c>
      <c r="N218" s="5">
        <f t="shared" si="21"/>
        <v>0</v>
      </c>
      <c r="O218" s="5">
        <f t="shared" si="22"/>
        <v>47.357142857142854</v>
      </c>
      <c r="P218" s="5">
        <f t="shared" si="23"/>
        <v>514.85714285714278</v>
      </c>
      <c r="Q218" s="5">
        <f t="shared" si="24"/>
        <v>4.8571428571428568</v>
      </c>
    </row>
    <row r="219" spans="1:17" x14ac:dyDescent="0.25">
      <c r="A219" t="s">
        <v>378</v>
      </c>
      <c r="B219" t="s">
        <v>157</v>
      </c>
      <c r="C219">
        <v>12</v>
      </c>
      <c r="D219">
        <v>0</v>
      </c>
      <c r="E219">
        <v>0</v>
      </c>
      <c r="F219">
        <v>0</v>
      </c>
      <c r="H219">
        <v>38</v>
      </c>
      <c r="I219">
        <v>479</v>
      </c>
      <c r="J219">
        <v>3</v>
      </c>
      <c r="K219">
        <v>65.900000000000006</v>
      </c>
      <c r="L219">
        <v>5.5</v>
      </c>
      <c r="M219" s="5">
        <f t="shared" si="20"/>
        <v>0</v>
      </c>
      <c r="N219" s="5">
        <f t="shared" si="21"/>
        <v>0</v>
      </c>
      <c r="O219" s="5">
        <f t="shared" si="22"/>
        <v>53.833333333333336</v>
      </c>
      <c r="P219" s="5">
        <f t="shared" si="23"/>
        <v>678.58333333333337</v>
      </c>
      <c r="Q219" s="5">
        <f t="shared" si="24"/>
        <v>4.25</v>
      </c>
    </row>
    <row r="220" spans="1:17" x14ac:dyDescent="0.25">
      <c r="A220" t="s">
        <v>379</v>
      </c>
      <c r="B220" t="s">
        <v>180</v>
      </c>
      <c r="C220">
        <v>13</v>
      </c>
      <c r="D220">
        <v>0</v>
      </c>
      <c r="E220">
        <v>0</v>
      </c>
      <c r="F220">
        <v>0</v>
      </c>
      <c r="H220">
        <v>32</v>
      </c>
      <c r="I220">
        <v>536</v>
      </c>
      <c r="J220">
        <v>2</v>
      </c>
      <c r="K220">
        <v>65.599999999999994</v>
      </c>
      <c r="L220">
        <v>5</v>
      </c>
      <c r="M220" s="5">
        <f t="shared" si="20"/>
        <v>0</v>
      </c>
      <c r="N220" s="5">
        <f t="shared" si="21"/>
        <v>0</v>
      </c>
      <c r="O220" s="5">
        <f t="shared" si="22"/>
        <v>41.846153846153847</v>
      </c>
      <c r="P220" s="5">
        <f t="shared" si="23"/>
        <v>700.92307692307691</v>
      </c>
      <c r="Q220" s="5">
        <f t="shared" si="24"/>
        <v>2.6153846153846154</v>
      </c>
    </row>
    <row r="221" spans="1:17" x14ac:dyDescent="0.25">
      <c r="A221" t="s">
        <v>380</v>
      </c>
      <c r="B221" t="s">
        <v>157</v>
      </c>
      <c r="C221">
        <v>16</v>
      </c>
      <c r="D221">
        <v>7</v>
      </c>
      <c r="E221">
        <v>36</v>
      </c>
      <c r="F221">
        <v>0</v>
      </c>
      <c r="H221">
        <v>47</v>
      </c>
      <c r="I221">
        <v>616</v>
      </c>
      <c r="J221">
        <v>0</v>
      </c>
      <c r="K221">
        <v>65.2</v>
      </c>
      <c r="L221">
        <v>4.0999999999999996</v>
      </c>
      <c r="M221" s="5">
        <f t="shared" si="20"/>
        <v>38.25</v>
      </c>
      <c r="N221" s="5">
        <f t="shared" si="21"/>
        <v>0</v>
      </c>
      <c r="O221" s="5">
        <f t="shared" si="22"/>
        <v>49.9375</v>
      </c>
      <c r="P221" s="5">
        <f t="shared" si="23"/>
        <v>654.5</v>
      </c>
      <c r="Q221" s="5">
        <f t="shared" si="24"/>
        <v>0</v>
      </c>
    </row>
    <row r="222" spans="1:17" x14ac:dyDescent="0.25">
      <c r="A222" t="s">
        <v>123</v>
      </c>
      <c r="B222" t="s">
        <v>175</v>
      </c>
      <c r="C222">
        <v>17</v>
      </c>
      <c r="D222">
        <v>0</v>
      </c>
      <c r="E222">
        <v>0</v>
      </c>
      <c r="F222">
        <v>0</v>
      </c>
      <c r="H222">
        <v>53</v>
      </c>
      <c r="I222">
        <v>527</v>
      </c>
      <c r="J222">
        <v>2</v>
      </c>
      <c r="K222">
        <v>64.7</v>
      </c>
      <c r="L222">
        <v>3.8</v>
      </c>
      <c r="M222" s="5">
        <f t="shared" si="20"/>
        <v>0</v>
      </c>
      <c r="N222" s="5">
        <f t="shared" si="21"/>
        <v>0</v>
      </c>
      <c r="O222" s="5">
        <f t="shared" si="22"/>
        <v>53</v>
      </c>
      <c r="P222" s="5">
        <f t="shared" si="23"/>
        <v>527</v>
      </c>
      <c r="Q222" s="5">
        <f t="shared" si="24"/>
        <v>2</v>
      </c>
    </row>
    <row r="223" spans="1:17" x14ac:dyDescent="0.25">
      <c r="A223" t="s">
        <v>381</v>
      </c>
      <c r="B223" t="s">
        <v>153</v>
      </c>
      <c r="C223">
        <v>12</v>
      </c>
      <c r="D223">
        <v>2</v>
      </c>
      <c r="E223">
        <v>5</v>
      </c>
      <c r="F223">
        <v>0</v>
      </c>
      <c r="H223">
        <v>27</v>
      </c>
      <c r="I223">
        <v>387</v>
      </c>
      <c r="J223">
        <v>4</v>
      </c>
      <c r="K223">
        <v>63.2</v>
      </c>
      <c r="L223">
        <v>5.3</v>
      </c>
      <c r="M223" s="5">
        <f t="shared" si="20"/>
        <v>7.0833333333333339</v>
      </c>
      <c r="N223" s="5">
        <f t="shared" si="21"/>
        <v>0</v>
      </c>
      <c r="O223" s="5">
        <f t="shared" si="22"/>
        <v>38.25</v>
      </c>
      <c r="P223" s="5">
        <f t="shared" si="23"/>
        <v>548.25</v>
      </c>
      <c r="Q223" s="5">
        <f t="shared" si="24"/>
        <v>5.666666666666667</v>
      </c>
    </row>
    <row r="224" spans="1:17" x14ac:dyDescent="0.25">
      <c r="A224" t="s">
        <v>106</v>
      </c>
      <c r="B224" t="s">
        <v>150</v>
      </c>
      <c r="C224">
        <v>9</v>
      </c>
      <c r="D224">
        <v>0</v>
      </c>
      <c r="E224">
        <v>0</v>
      </c>
      <c r="F224">
        <v>0</v>
      </c>
      <c r="H224">
        <v>37</v>
      </c>
      <c r="I224">
        <v>392</v>
      </c>
      <c r="J224">
        <v>4</v>
      </c>
      <c r="K224">
        <v>63.2</v>
      </c>
      <c r="L224">
        <v>7</v>
      </c>
      <c r="M224" s="5">
        <f t="shared" si="20"/>
        <v>0</v>
      </c>
      <c r="N224" s="5">
        <f t="shared" si="21"/>
        <v>0</v>
      </c>
      <c r="O224" s="5">
        <f t="shared" si="22"/>
        <v>69.888888888888886</v>
      </c>
      <c r="P224" s="5">
        <f t="shared" si="23"/>
        <v>740.44444444444446</v>
      </c>
      <c r="Q224" s="5">
        <f t="shared" si="24"/>
        <v>7.5555555555555554</v>
      </c>
    </row>
    <row r="225" spans="1:17" x14ac:dyDescent="0.25">
      <c r="A225" t="s">
        <v>382</v>
      </c>
      <c r="B225" t="s">
        <v>169</v>
      </c>
      <c r="C225">
        <v>11</v>
      </c>
      <c r="D225">
        <v>7</v>
      </c>
      <c r="E225">
        <v>44</v>
      </c>
      <c r="F225">
        <v>0</v>
      </c>
      <c r="H225">
        <v>52</v>
      </c>
      <c r="I225">
        <v>467</v>
      </c>
      <c r="J225">
        <v>2</v>
      </c>
      <c r="K225">
        <v>63.1</v>
      </c>
      <c r="L225">
        <v>5.7</v>
      </c>
      <c r="M225" s="5">
        <f t="shared" si="20"/>
        <v>68</v>
      </c>
      <c r="N225" s="5">
        <f t="shared" si="21"/>
        <v>0</v>
      </c>
      <c r="O225" s="5">
        <f t="shared" si="22"/>
        <v>80.36363636363636</v>
      </c>
      <c r="P225" s="5">
        <f t="shared" si="23"/>
        <v>721.72727272727275</v>
      </c>
      <c r="Q225" s="5">
        <f t="shared" si="24"/>
        <v>3.0909090909090908</v>
      </c>
    </row>
    <row r="226" spans="1:17" x14ac:dyDescent="0.25">
      <c r="A226" t="s">
        <v>117</v>
      </c>
      <c r="B226" t="s">
        <v>161</v>
      </c>
      <c r="C226">
        <v>13</v>
      </c>
      <c r="D226">
        <v>1</v>
      </c>
      <c r="E226">
        <v>11</v>
      </c>
      <c r="F226">
        <v>0</v>
      </c>
      <c r="H226">
        <v>42</v>
      </c>
      <c r="I226">
        <v>425</v>
      </c>
      <c r="J226">
        <v>3</v>
      </c>
      <c r="K226">
        <v>61.6</v>
      </c>
      <c r="L226">
        <v>4.7</v>
      </c>
      <c r="M226" s="5">
        <f t="shared" si="20"/>
        <v>14.384615384615385</v>
      </c>
      <c r="N226" s="5">
        <f t="shared" si="21"/>
        <v>0</v>
      </c>
      <c r="O226" s="5">
        <f t="shared" si="22"/>
        <v>54.923076923076927</v>
      </c>
      <c r="P226" s="5">
        <f t="shared" si="23"/>
        <v>555.76923076923083</v>
      </c>
      <c r="Q226" s="5">
        <f t="shared" si="24"/>
        <v>3.9230769230769234</v>
      </c>
    </row>
    <row r="227" spans="1:17" x14ac:dyDescent="0.25">
      <c r="A227" t="s">
        <v>383</v>
      </c>
      <c r="B227" t="s">
        <v>158</v>
      </c>
      <c r="C227">
        <v>11</v>
      </c>
      <c r="D227">
        <v>1</v>
      </c>
      <c r="E227">
        <v>2</v>
      </c>
      <c r="F227">
        <v>0</v>
      </c>
      <c r="H227">
        <v>40</v>
      </c>
      <c r="I227">
        <v>493</v>
      </c>
      <c r="J227">
        <v>2</v>
      </c>
      <c r="K227">
        <v>61.5</v>
      </c>
      <c r="L227">
        <v>5.6</v>
      </c>
      <c r="M227" s="5">
        <f t="shared" si="20"/>
        <v>3.0909090909090908</v>
      </c>
      <c r="N227" s="5">
        <f t="shared" si="21"/>
        <v>0</v>
      </c>
      <c r="O227" s="5">
        <f t="shared" si="22"/>
        <v>61.818181818181813</v>
      </c>
      <c r="P227" s="5">
        <f t="shared" si="23"/>
        <v>761.90909090909088</v>
      </c>
      <c r="Q227" s="5">
        <f t="shared" si="24"/>
        <v>3.0909090909090908</v>
      </c>
    </row>
    <row r="228" spans="1:17" x14ac:dyDescent="0.25">
      <c r="A228" t="s">
        <v>111</v>
      </c>
      <c r="B228" t="s">
        <v>167</v>
      </c>
      <c r="C228">
        <v>10</v>
      </c>
      <c r="D228">
        <v>0</v>
      </c>
      <c r="E228">
        <v>0</v>
      </c>
      <c r="F228">
        <v>0</v>
      </c>
      <c r="H228">
        <v>37</v>
      </c>
      <c r="I228">
        <v>481</v>
      </c>
      <c r="J228">
        <v>2</v>
      </c>
      <c r="K228">
        <v>60.1</v>
      </c>
      <c r="L228">
        <v>6</v>
      </c>
      <c r="M228" s="5">
        <f t="shared" si="20"/>
        <v>0</v>
      </c>
      <c r="N228" s="5">
        <f t="shared" si="21"/>
        <v>0</v>
      </c>
      <c r="O228" s="5">
        <f t="shared" si="22"/>
        <v>62.9</v>
      </c>
      <c r="P228" s="5">
        <f t="shared" si="23"/>
        <v>817.69999999999993</v>
      </c>
      <c r="Q228" s="5">
        <f t="shared" si="24"/>
        <v>3.4</v>
      </c>
    </row>
    <row r="229" spans="1:17" x14ac:dyDescent="0.25">
      <c r="A229" t="s">
        <v>384</v>
      </c>
      <c r="B229" t="s">
        <v>165</v>
      </c>
      <c r="C229">
        <v>16</v>
      </c>
      <c r="D229">
        <v>0</v>
      </c>
      <c r="E229">
        <v>0</v>
      </c>
      <c r="F229">
        <v>0</v>
      </c>
      <c r="H229">
        <v>48</v>
      </c>
      <c r="I229">
        <v>458</v>
      </c>
      <c r="J229">
        <v>2</v>
      </c>
      <c r="K229">
        <v>57.8</v>
      </c>
      <c r="L229">
        <v>3.6</v>
      </c>
      <c r="M229" s="5">
        <f t="shared" si="20"/>
        <v>0</v>
      </c>
      <c r="N229" s="5">
        <f t="shared" si="21"/>
        <v>0</v>
      </c>
      <c r="O229" s="5">
        <f t="shared" si="22"/>
        <v>51</v>
      </c>
      <c r="P229" s="5">
        <f t="shared" si="23"/>
        <v>486.625</v>
      </c>
      <c r="Q229" s="5">
        <f t="shared" si="24"/>
        <v>2.125</v>
      </c>
    </row>
    <row r="230" spans="1:17" x14ac:dyDescent="0.25">
      <c r="A230" t="s">
        <v>385</v>
      </c>
      <c r="B230" t="s">
        <v>175</v>
      </c>
      <c r="C230">
        <v>15</v>
      </c>
      <c r="D230">
        <v>0</v>
      </c>
      <c r="E230">
        <v>0</v>
      </c>
      <c r="F230">
        <v>0</v>
      </c>
      <c r="H230">
        <v>25</v>
      </c>
      <c r="I230">
        <v>397</v>
      </c>
      <c r="J230">
        <v>3</v>
      </c>
      <c r="K230">
        <v>57.7</v>
      </c>
      <c r="L230">
        <v>3.8</v>
      </c>
      <c r="M230" s="5">
        <f t="shared" si="20"/>
        <v>0</v>
      </c>
      <c r="N230" s="5">
        <f t="shared" si="21"/>
        <v>0</v>
      </c>
      <c r="O230" s="5">
        <f t="shared" si="22"/>
        <v>28.333333333333332</v>
      </c>
      <c r="P230" s="5">
        <f t="shared" si="23"/>
        <v>449.93333333333334</v>
      </c>
      <c r="Q230" s="5">
        <f t="shared" si="24"/>
        <v>3.4</v>
      </c>
    </row>
    <row r="231" spans="1:17" x14ac:dyDescent="0.25">
      <c r="A231" t="s">
        <v>386</v>
      </c>
      <c r="B231" t="s">
        <v>176</v>
      </c>
      <c r="C231">
        <v>15</v>
      </c>
      <c r="D231">
        <v>9</v>
      </c>
      <c r="E231">
        <v>59</v>
      </c>
      <c r="F231">
        <v>0</v>
      </c>
      <c r="H231">
        <v>46</v>
      </c>
      <c r="I231">
        <v>451</v>
      </c>
      <c r="J231">
        <v>1</v>
      </c>
      <c r="K231">
        <v>57</v>
      </c>
      <c r="L231">
        <v>3.8</v>
      </c>
      <c r="M231" s="5">
        <f t="shared" si="20"/>
        <v>66.86666666666666</v>
      </c>
      <c r="N231" s="5">
        <f t="shared" si="21"/>
        <v>0</v>
      </c>
      <c r="O231" s="5">
        <f t="shared" si="22"/>
        <v>52.133333333333333</v>
      </c>
      <c r="P231" s="5">
        <f t="shared" si="23"/>
        <v>511.13333333333333</v>
      </c>
      <c r="Q231" s="5">
        <f t="shared" si="24"/>
        <v>1.1333333333333333</v>
      </c>
    </row>
    <row r="232" spans="1:17" x14ac:dyDescent="0.25">
      <c r="A232" t="s">
        <v>387</v>
      </c>
      <c r="B232" t="s">
        <v>175</v>
      </c>
      <c r="C232">
        <v>11</v>
      </c>
      <c r="D232">
        <v>4</v>
      </c>
      <c r="E232">
        <v>47</v>
      </c>
      <c r="F232">
        <v>0</v>
      </c>
      <c r="H232">
        <v>33</v>
      </c>
      <c r="I232">
        <v>444</v>
      </c>
      <c r="J232">
        <v>1</v>
      </c>
      <c r="K232">
        <v>55.1</v>
      </c>
      <c r="L232">
        <v>5</v>
      </c>
      <c r="M232" s="5">
        <f t="shared" si="20"/>
        <v>72.63636363636364</v>
      </c>
      <c r="N232" s="5">
        <f t="shared" si="21"/>
        <v>0</v>
      </c>
      <c r="O232" s="5">
        <f t="shared" si="22"/>
        <v>51</v>
      </c>
      <c r="P232" s="5">
        <f t="shared" si="23"/>
        <v>686.18181818181813</v>
      </c>
      <c r="Q232" s="5">
        <f t="shared" si="24"/>
        <v>1.5454545454545454</v>
      </c>
    </row>
    <row r="233" spans="1:17" x14ac:dyDescent="0.25">
      <c r="A233" t="s">
        <v>388</v>
      </c>
      <c r="B233" t="s">
        <v>177</v>
      </c>
      <c r="C233">
        <v>13</v>
      </c>
      <c r="D233">
        <v>0</v>
      </c>
      <c r="E233">
        <v>0</v>
      </c>
      <c r="F233">
        <v>0</v>
      </c>
      <c r="H233">
        <v>28</v>
      </c>
      <c r="I233">
        <v>490</v>
      </c>
      <c r="J233">
        <v>1</v>
      </c>
      <c r="K233">
        <v>55</v>
      </c>
      <c r="L233">
        <v>4.2</v>
      </c>
      <c r="M233" s="5">
        <f t="shared" si="20"/>
        <v>0</v>
      </c>
      <c r="N233" s="5">
        <f t="shared" si="21"/>
        <v>0</v>
      </c>
      <c r="O233" s="5">
        <f t="shared" si="22"/>
        <v>36.615384615384613</v>
      </c>
      <c r="P233" s="5">
        <f t="shared" si="23"/>
        <v>640.76923076923083</v>
      </c>
      <c r="Q233" s="5">
        <f t="shared" si="24"/>
        <v>1.3076923076923077</v>
      </c>
    </row>
    <row r="234" spans="1:17" x14ac:dyDescent="0.25">
      <c r="A234" t="s">
        <v>26</v>
      </c>
      <c r="B234" t="s">
        <v>179</v>
      </c>
      <c r="C234">
        <v>10</v>
      </c>
      <c r="D234">
        <v>0</v>
      </c>
      <c r="E234">
        <v>0</v>
      </c>
      <c r="F234">
        <v>0</v>
      </c>
      <c r="H234">
        <v>24</v>
      </c>
      <c r="I234">
        <v>369</v>
      </c>
      <c r="J234">
        <v>3</v>
      </c>
      <c r="K234">
        <v>54.9</v>
      </c>
      <c r="L234">
        <v>5.5</v>
      </c>
      <c r="M234" s="5">
        <f t="shared" si="20"/>
        <v>0</v>
      </c>
      <c r="N234" s="5">
        <f t="shared" si="21"/>
        <v>0</v>
      </c>
      <c r="O234" s="5">
        <f t="shared" si="22"/>
        <v>40.799999999999997</v>
      </c>
      <c r="P234" s="5">
        <f t="shared" si="23"/>
        <v>627.29999999999995</v>
      </c>
      <c r="Q234" s="5">
        <f t="shared" si="24"/>
        <v>5.0999999999999996</v>
      </c>
    </row>
    <row r="235" spans="1:17" x14ac:dyDescent="0.25">
      <c r="A235" t="s">
        <v>389</v>
      </c>
      <c r="B235" t="s">
        <v>163</v>
      </c>
      <c r="C235">
        <v>16</v>
      </c>
      <c r="D235">
        <v>0</v>
      </c>
      <c r="E235">
        <v>0</v>
      </c>
      <c r="F235">
        <v>0</v>
      </c>
      <c r="H235">
        <v>30</v>
      </c>
      <c r="I235">
        <v>417</v>
      </c>
      <c r="J235">
        <v>2</v>
      </c>
      <c r="K235">
        <v>53.7</v>
      </c>
      <c r="L235">
        <v>3.4</v>
      </c>
      <c r="M235" s="5">
        <f t="shared" si="20"/>
        <v>0</v>
      </c>
      <c r="N235" s="5">
        <f t="shared" si="21"/>
        <v>0</v>
      </c>
      <c r="O235" s="5">
        <f t="shared" si="22"/>
        <v>31.875</v>
      </c>
      <c r="P235" s="5">
        <f t="shared" si="23"/>
        <v>443.0625</v>
      </c>
      <c r="Q235" s="5">
        <f t="shared" si="24"/>
        <v>2.125</v>
      </c>
    </row>
    <row r="236" spans="1:17" x14ac:dyDescent="0.25">
      <c r="A236" t="s">
        <v>390</v>
      </c>
      <c r="B236" t="s">
        <v>151</v>
      </c>
      <c r="C236">
        <v>16</v>
      </c>
      <c r="D236">
        <v>3</v>
      </c>
      <c r="E236">
        <v>1</v>
      </c>
      <c r="F236">
        <v>0</v>
      </c>
      <c r="H236">
        <v>33</v>
      </c>
      <c r="I236">
        <v>354</v>
      </c>
      <c r="J236">
        <v>3</v>
      </c>
      <c r="K236">
        <v>53.5</v>
      </c>
      <c r="L236">
        <v>3.3</v>
      </c>
      <c r="M236" s="5">
        <f t="shared" si="20"/>
        <v>1.0625</v>
      </c>
      <c r="N236" s="5">
        <f t="shared" si="21"/>
        <v>0</v>
      </c>
      <c r="O236" s="5">
        <f t="shared" si="22"/>
        <v>35.0625</v>
      </c>
      <c r="P236" s="5">
        <f t="shared" si="23"/>
        <v>376.125</v>
      </c>
      <c r="Q236" s="5">
        <f t="shared" si="24"/>
        <v>3.1875</v>
      </c>
    </row>
    <row r="237" spans="1:17" x14ac:dyDescent="0.25">
      <c r="A237" t="s">
        <v>391</v>
      </c>
      <c r="B237" t="s">
        <v>170</v>
      </c>
      <c r="C237">
        <v>16</v>
      </c>
      <c r="D237">
        <v>6</v>
      </c>
      <c r="E237">
        <v>39</v>
      </c>
      <c r="F237">
        <v>0</v>
      </c>
      <c r="H237">
        <v>35</v>
      </c>
      <c r="I237">
        <v>434</v>
      </c>
      <c r="J237">
        <v>1</v>
      </c>
      <c r="K237">
        <v>53.3</v>
      </c>
      <c r="L237">
        <v>3.3</v>
      </c>
      <c r="M237" s="5">
        <f t="shared" si="20"/>
        <v>41.4375</v>
      </c>
      <c r="N237" s="5">
        <f t="shared" si="21"/>
        <v>0</v>
      </c>
      <c r="O237" s="5">
        <f t="shared" si="22"/>
        <v>37.1875</v>
      </c>
      <c r="P237" s="5">
        <f t="shared" si="23"/>
        <v>461.125</v>
      </c>
      <c r="Q237" s="5">
        <f t="shared" si="24"/>
        <v>1.0625</v>
      </c>
    </row>
    <row r="238" spans="1:17" x14ac:dyDescent="0.25">
      <c r="A238" t="s">
        <v>392</v>
      </c>
      <c r="B238" t="s">
        <v>179</v>
      </c>
      <c r="C238">
        <v>10</v>
      </c>
      <c r="D238">
        <v>0</v>
      </c>
      <c r="E238">
        <v>0</v>
      </c>
      <c r="F238">
        <v>0</v>
      </c>
      <c r="H238">
        <v>33</v>
      </c>
      <c r="I238">
        <v>339</v>
      </c>
      <c r="J238">
        <v>3</v>
      </c>
      <c r="K238">
        <v>51.9</v>
      </c>
      <c r="L238">
        <v>5.2</v>
      </c>
      <c r="M238" s="5">
        <f t="shared" si="20"/>
        <v>0</v>
      </c>
      <c r="N238" s="5">
        <f t="shared" si="21"/>
        <v>0</v>
      </c>
      <c r="O238" s="5">
        <f t="shared" si="22"/>
        <v>56.1</v>
      </c>
      <c r="P238" s="5">
        <f t="shared" si="23"/>
        <v>576.29999999999995</v>
      </c>
      <c r="Q238" s="5">
        <f t="shared" si="24"/>
        <v>5.0999999999999996</v>
      </c>
    </row>
    <row r="239" spans="1:17" x14ac:dyDescent="0.25">
      <c r="A239" t="s">
        <v>112</v>
      </c>
      <c r="B239" t="s">
        <v>180</v>
      </c>
      <c r="C239">
        <v>14</v>
      </c>
      <c r="D239">
        <v>5</v>
      </c>
      <c r="E239">
        <v>5</v>
      </c>
      <c r="F239">
        <v>0</v>
      </c>
      <c r="H239">
        <v>37</v>
      </c>
      <c r="I239">
        <v>446</v>
      </c>
      <c r="J239">
        <v>1</v>
      </c>
      <c r="K239">
        <v>51.1</v>
      </c>
      <c r="L239">
        <v>3.7</v>
      </c>
      <c r="M239" s="5">
        <f t="shared" si="20"/>
        <v>6.0714285714285712</v>
      </c>
      <c r="N239" s="5">
        <f t="shared" si="21"/>
        <v>0</v>
      </c>
      <c r="O239" s="5">
        <f t="shared" si="22"/>
        <v>44.928571428571423</v>
      </c>
      <c r="P239" s="5">
        <f t="shared" si="23"/>
        <v>541.57142857142856</v>
      </c>
      <c r="Q239" s="5">
        <f t="shared" si="24"/>
        <v>1.2142857142857142</v>
      </c>
    </row>
    <row r="240" spans="1:17" x14ac:dyDescent="0.25">
      <c r="A240" t="s">
        <v>393</v>
      </c>
      <c r="B240" t="s">
        <v>170</v>
      </c>
      <c r="C240">
        <v>14</v>
      </c>
      <c r="D240">
        <v>0</v>
      </c>
      <c r="E240">
        <v>0</v>
      </c>
      <c r="F240">
        <v>0</v>
      </c>
      <c r="H240">
        <v>31</v>
      </c>
      <c r="I240">
        <v>362</v>
      </c>
      <c r="J240">
        <v>2</v>
      </c>
      <c r="K240">
        <v>48.2</v>
      </c>
      <c r="L240">
        <v>3.4</v>
      </c>
      <c r="M240" s="5">
        <f t="shared" si="20"/>
        <v>0</v>
      </c>
      <c r="N240" s="5">
        <f t="shared" si="21"/>
        <v>0</v>
      </c>
      <c r="O240" s="5">
        <f t="shared" si="22"/>
        <v>37.642857142857139</v>
      </c>
      <c r="P240" s="5">
        <f t="shared" si="23"/>
        <v>439.57142857142856</v>
      </c>
      <c r="Q240" s="5">
        <f t="shared" si="24"/>
        <v>2.4285714285714284</v>
      </c>
    </row>
    <row r="241" spans="1:17" x14ac:dyDescent="0.25">
      <c r="A241" t="s">
        <v>394</v>
      </c>
      <c r="B241" t="s">
        <v>152</v>
      </c>
      <c r="C241">
        <v>9</v>
      </c>
      <c r="D241">
        <v>1</v>
      </c>
      <c r="E241">
        <v>11</v>
      </c>
      <c r="F241">
        <v>0</v>
      </c>
      <c r="H241">
        <v>15</v>
      </c>
      <c r="I241">
        <v>231</v>
      </c>
      <c r="J241">
        <v>4</v>
      </c>
      <c r="K241">
        <v>48.2</v>
      </c>
      <c r="L241">
        <v>5.4</v>
      </c>
      <c r="M241" s="5">
        <f t="shared" si="20"/>
        <v>20.777777777777779</v>
      </c>
      <c r="N241" s="5">
        <f t="shared" si="21"/>
        <v>0</v>
      </c>
      <c r="O241" s="5">
        <f t="shared" si="22"/>
        <v>28.333333333333332</v>
      </c>
      <c r="P241" s="5">
        <f t="shared" si="23"/>
        <v>436.33333333333331</v>
      </c>
      <c r="Q241" s="5">
        <f t="shared" si="24"/>
        <v>7.5555555555555554</v>
      </c>
    </row>
    <row r="242" spans="1:17" x14ac:dyDescent="0.25">
      <c r="A242" t="s">
        <v>395</v>
      </c>
      <c r="B242" t="s">
        <v>161</v>
      </c>
      <c r="C242">
        <v>13</v>
      </c>
      <c r="D242">
        <v>0</v>
      </c>
      <c r="E242">
        <v>0</v>
      </c>
      <c r="F242">
        <v>0</v>
      </c>
      <c r="H242">
        <v>34</v>
      </c>
      <c r="I242">
        <v>417</v>
      </c>
      <c r="J242">
        <v>1</v>
      </c>
      <c r="K242">
        <v>47.7</v>
      </c>
      <c r="L242">
        <v>3.7</v>
      </c>
      <c r="M242" s="5">
        <f t="shared" si="20"/>
        <v>0</v>
      </c>
      <c r="N242" s="5">
        <f t="shared" si="21"/>
        <v>0</v>
      </c>
      <c r="O242" s="5">
        <f t="shared" si="22"/>
        <v>44.46153846153846</v>
      </c>
      <c r="P242" s="5">
        <f t="shared" si="23"/>
        <v>545.30769230769226</v>
      </c>
      <c r="Q242" s="5">
        <f t="shared" si="24"/>
        <v>1.3076923076923077</v>
      </c>
    </row>
    <row r="243" spans="1:17" x14ac:dyDescent="0.25">
      <c r="A243" t="s">
        <v>396</v>
      </c>
      <c r="B243" t="s">
        <v>174</v>
      </c>
      <c r="C243">
        <v>16</v>
      </c>
      <c r="D243">
        <v>0</v>
      </c>
      <c r="E243">
        <v>0</v>
      </c>
      <c r="F243">
        <v>0</v>
      </c>
      <c r="H243">
        <v>35</v>
      </c>
      <c r="I243">
        <v>416</v>
      </c>
      <c r="J243">
        <v>1</v>
      </c>
      <c r="K243">
        <v>47.6</v>
      </c>
      <c r="L243">
        <v>3</v>
      </c>
      <c r="M243" s="5">
        <f t="shared" si="20"/>
        <v>0</v>
      </c>
      <c r="N243" s="5">
        <f t="shared" si="21"/>
        <v>0</v>
      </c>
      <c r="O243" s="5">
        <f t="shared" si="22"/>
        <v>37.1875</v>
      </c>
      <c r="P243" s="5">
        <f t="shared" si="23"/>
        <v>442</v>
      </c>
      <c r="Q243" s="5">
        <f t="shared" si="24"/>
        <v>1.0625</v>
      </c>
    </row>
    <row r="244" spans="1:17" x14ac:dyDescent="0.25">
      <c r="A244" t="s">
        <v>397</v>
      </c>
      <c r="B244" t="s">
        <v>169</v>
      </c>
      <c r="C244">
        <v>8</v>
      </c>
      <c r="D244">
        <v>6</v>
      </c>
      <c r="E244">
        <v>-5</v>
      </c>
      <c r="F244">
        <v>0</v>
      </c>
      <c r="H244">
        <v>41</v>
      </c>
      <c r="I244">
        <v>414</v>
      </c>
      <c r="J244">
        <v>1</v>
      </c>
      <c r="K244">
        <v>46.9</v>
      </c>
      <c r="L244">
        <v>5.9</v>
      </c>
      <c r="M244" s="5">
        <f t="shared" si="20"/>
        <v>-10.625</v>
      </c>
      <c r="N244" s="5">
        <f t="shared" si="21"/>
        <v>0</v>
      </c>
      <c r="O244" s="5">
        <f t="shared" si="22"/>
        <v>87.125</v>
      </c>
      <c r="P244" s="5">
        <f t="shared" si="23"/>
        <v>879.75</v>
      </c>
      <c r="Q244" s="5">
        <f t="shared" si="24"/>
        <v>2.125</v>
      </c>
    </row>
    <row r="245" spans="1:17" x14ac:dyDescent="0.25">
      <c r="A245" t="s">
        <v>398</v>
      </c>
      <c r="B245" t="s">
        <v>159</v>
      </c>
      <c r="C245">
        <v>10</v>
      </c>
      <c r="D245">
        <v>5</v>
      </c>
      <c r="E245">
        <v>45</v>
      </c>
      <c r="F245">
        <v>0</v>
      </c>
      <c r="H245">
        <v>24</v>
      </c>
      <c r="I245">
        <v>299</v>
      </c>
      <c r="J245">
        <v>2</v>
      </c>
      <c r="K245">
        <v>46.4</v>
      </c>
      <c r="L245">
        <v>4.5999999999999996</v>
      </c>
      <c r="M245" s="5">
        <f t="shared" si="20"/>
        <v>76.5</v>
      </c>
      <c r="N245" s="5">
        <f t="shared" si="21"/>
        <v>0</v>
      </c>
      <c r="O245" s="5">
        <f t="shared" si="22"/>
        <v>40.799999999999997</v>
      </c>
      <c r="P245" s="5">
        <f t="shared" si="23"/>
        <v>508.3</v>
      </c>
      <c r="Q245" s="5">
        <f t="shared" si="24"/>
        <v>3.4</v>
      </c>
    </row>
    <row r="246" spans="1:17" x14ac:dyDescent="0.25">
      <c r="A246" t="s">
        <v>399</v>
      </c>
      <c r="B246" t="s">
        <v>158</v>
      </c>
      <c r="C246">
        <v>14</v>
      </c>
      <c r="D246">
        <v>2</v>
      </c>
      <c r="E246">
        <v>37</v>
      </c>
      <c r="F246">
        <v>0</v>
      </c>
      <c r="H246">
        <v>19</v>
      </c>
      <c r="I246">
        <v>245</v>
      </c>
      <c r="J246">
        <v>3</v>
      </c>
      <c r="K246">
        <v>46.2</v>
      </c>
      <c r="L246">
        <v>3.3</v>
      </c>
      <c r="M246" s="5">
        <f t="shared" si="20"/>
        <v>44.928571428571423</v>
      </c>
      <c r="N246" s="5">
        <f t="shared" si="21"/>
        <v>0</v>
      </c>
      <c r="O246" s="5">
        <f t="shared" si="22"/>
        <v>23.071428571428569</v>
      </c>
      <c r="P246" s="5">
        <f t="shared" si="23"/>
        <v>297.5</v>
      </c>
      <c r="Q246" s="5">
        <f t="shared" si="24"/>
        <v>3.6428571428571423</v>
      </c>
    </row>
    <row r="247" spans="1:17" x14ac:dyDescent="0.25">
      <c r="A247" t="s">
        <v>400</v>
      </c>
      <c r="B247" t="s">
        <v>177</v>
      </c>
      <c r="C247">
        <v>13</v>
      </c>
      <c r="D247">
        <v>9</v>
      </c>
      <c r="E247">
        <v>65</v>
      </c>
      <c r="F247">
        <v>1</v>
      </c>
      <c r="H247">
        <v>27</v>
      </c>
      <c r="I247">
        <v>272</v>
      </c>
      <c r="J247">
        <v>1</v>
      </c>
      <c r="K247">
        <v>45.7</v>
      </c>
      <c r="L247">
        <v>3.5</v>
      </c>
      <c r="M247" s="5">
        <f t="shared" si="20"/>
        <v>85</v>
      </c>
      <c r="N247" s="5">
        <f t="shared" si="21"/>
        <v>1.3076923076923077</v>
      </c>
      <c r="O247" s="5">
        <f t="shared" si="22"/>
        <v>35.307692307692307</v>
      </c>
      <c r="P247" s="5">
        <f t="shared" si="23"/>
        <v>355.69230769230768</v>
      </c>
      <c r="Q247" s="5">
        <f t="shared" si="24"/>
        <v>1.3076923076923077</v>
      </c>
    </row>
    <row r="248" spans="1:17" x14ac:dyDescent="0.25">
      <c r="A248" t="s">
        <v>401</v>
      </c>
      <c r="B248" t="s">
        <v>155</v>
      </c>
      <c r="C248">
        <v>14</v>
      </c>
      <c r="D248">
        <v>12</v>
      </c>
      <c r="E248">
        <v>86</v>
      </c>
      <c r="F248">
        <v>0</v>
      </c>
      <c r="H248">
        <v>23</v>
      </c>
      <c r="I248">
        <v>187</v>
      </c>
      <c r="J248">
        <v>3</v>
      </c>
      <c r="K248">
        <v>45.3</v>
      </c>
      <c r="L248">
        <v>3.2</v>
      </c>
      <c r="M248" s="5">
        <f t="shared" si="20"/>
        <v>104.42857142857142</v>
      </c>
      <c r="N248" s="5">
        <f t="shared" si="21"/>
        <v>0</v>
      </c>
      <c r="O248" s="5">
        <f t="shared" si="22"/>
        <v>27.928571428571427</v>
      </c>
      <c r="P248" s="5">
        <f t="shared" si="23"/>
        <v>227.07142857142856</v>
      </c>
      <c r="Q248" s="5">
        <f t="shared" si="24"/>
        <v>3.6428571428571423</v>
      </c>
    </row>
    <row r="249" spans="1:17" x14ac:dyDescent="0.25">
      <c r="A249" t="s">
        <v>402</v>
      </c>
      <c r="B249" t="s">
        <v>179</v>
      </c>
      <c r="C249">
        <v>14</v>
      </c>
      <c r="D249">
        <v>1</v>
      </c>
      <c r="E249">
        <v>17</v>
      </c>
      <c r="F249">
        <v>1</v>
      </c>
      <c r="H249">
        <v>39</v>
      </c>
      <c r="I249">
        <v>376</v>
      </c>
      <c r="J249">
        <v>0</v>
      </c>
      <c r="K249">
        <v>45.3</v>
      </c>
      <c r="L249">
        <v>3.2</v>
      </c>
      <c r="M249" s="5">
        <f t="shared" si="20"/>
        <v>20.642857142857142</v>
      </c>
      <c r="N249" s="5">
        <f t="shared" si="21"/>
        <v>1.2142857142857142</v>
      </c>
      <c r="O249" s="5">
        <f t="shared" si="22"/>
        <v>47.357142857142854</v>
      </c>
      <c r="P249" s="5">
        <f t="shared" si="23"/>
        <v>456.57142857142856</v>
      </c>
      <c r="Q249" s="5">
        <f t="shared" si="24"/>
        <v>0</v>
      </c>
    </row>
    <row r="250" spans="1:17" x14ac:dyDescent="0.25">
      <c r="A250" t="s">
        <v>403</v>
      </c>
      <c r="B250" t="s">
        <v>179</v>
      </c>
      <c r="C250">
        <v>12</v>
      </c>
      <c r="D250">
        <v>9</v>
      </c>
      <c r="E250">
        <v>34</v>
      </c>
      <c r="F250">
        <v>1</v>
      </c>
      <c r="H250">
        <v>18</v>
      </c>
      <c r="I250">
        <v>298</v>
      </c>
      <c r="J250">
        <v>1</v>
      </c>
      <c r="K250">
        <v>45.2</v>
      </c>
      <c r="L250">
        <v>3.8</v>
      </c>
      <c r="M250" s="5">
        <f t="shared" si="20"/>
        <v>48.166666666666671</v>
      </c>
      <c r="N250" s="5">
        <f t="shared" si="21"/>
        <v>1.4166666666666667</v>
      </c>
      <c r="O250" s="5">
        <f t="shared" si="22"/>
        <v>25.5</v>
      </c>
      <c r="P250" s="5">
        <f t="shared" si="23"/>
        <v>422.16666666666669</v>
      </c>
      <c r="Q250" s="5">
        <f t="shared" si="24"/>
        <v>1.4166666666666667</v>
      </c>
    </row>
    <row r="251" spans="1:17" x14ac:dyDescent="0.25">
      <c r="A251" t="s">
        <v>404</v>
      </c>
      <c r="B251" t="s">
        <v>164</v>
      </c>
      <c r="C251">
        <v>10</v>
      </c>
      <c r="D251">
        <v>0</v>
      </c>
      <c r="E251">
        <v>0</v>
      </c>
      <c r="F251">
        <v>0</v>
      </c>
      <c r="H251">
        <v>36</v>
      </c>
      <c r="I251">
        <v>330</v>
      </c>
      <c r="J251">
        <v>2</v>
      </c>
      <c r="K251">
        <v>45</v>
      </c>
      <c r="L251">
        <v>4.5</v>
      </c>
      <c r="M251" s="5">
        <f t="shared" si="20"/>
        <v>0</v>
      </c>
      <c r="N251" s="5">
        <f t="shared" si="21"/>
        <v>0</v>
      </c>
      <c r="O251" s="5">
        <f t="shared" si="22"/>
        <v>61.199999999999996</v>
      </c>
      <c r="P251" s="5">
        <f t="shared" si="23"/>
        <v>561</v>
      </c>
      <c r="Q251" s="5">
        <f t="shared" si="24"/>
        <v>3.4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2592DA-B4F6-4B78-8A2E-739FB011CCB8}">
  <sheetPr codeName="Sheet16"/>
  <dimension ref="A1:Q32"/>
  <sheetViews>
    <sheetView workbookViewId="0">
      <selection activeCell="I31" sqref="I31"/>
    </sheetView>
  </sheetViews>
  <sheetFormatPr defaultRowHeight="15" x14ac:dyDescent="0.25"/>
  <cols>
    <col min="1" max="1" width="19" bestFit="1" customWidth="1"/>
    <col min="2" max="2" width="17.85546875" bestFit="1" customWidth="1"/>
    <col min="3" max="3" width="21" bestFit="1" customWidth="1"/>
    <col min="4" max="4" width="18.5703125" bestFit="1" customWidth="1"/>
    <col min="5" max="5" width="21.5703125" bestFit="1" customWidth="1"/>
    <col min="6" max="6" width="19" bestFit="1" customWidth="1"/>
    <col min="7" max="7" width="24" bestFit="1" customWidth="1"/>
    <col min="8" max="12" width="24" customWidth="1"/>
    <col min="13" max="13" width="11.28515625" bestFit="1" customWidth="1"/>
    <col min="14" max="14" width="20.85546875" customWidth="1"/>
    <col min="15" max="17" width="20.85546875" bestFit="1" customWidth="1"/>
  </cols>
  <sheetData>
    <row r="1" spans="1:17" x14ac:dyDescent="0.25">
      <c r="A1" t="s">
        <v>77</v>
      </c>
      <c r="B1" t="s">
        <v>239</v>
      </c>
      <c r="C1" t="s">
        <v>201</v>
      </c>
      <c r="D1" t="s">
        <v>199</v>
      </c>
      <c r="E1" t="s">
        <v>188</v>
      </c>
      <c r="F1" t="s">
        <v>189</v>
      </c>
      <c r="G1" t="s">
        <v>202</v>
      </c>
      <c r="H1" t="s">
        <v>234</v>
      </c>
      <c r="I1" t="s">
        <v>235</v>
      </c>
      <c r="J1" t="s">
        <v>236</v>
      </c>
      <c r="K1" t="s">
        <v>237</v>
      </c>
      <c r="L1" t="s">
        <v>238</v>
      </c>
      <c r="M1" t="s">
        <v>203</v>
      </c>
      <c r="N1" t="s">
        <v>229</v>
      </c>
      <c r="O1" t="s">
        <v>232</v>
      </c>
      <c r="P1" t="s">
        <v>230</v>
      </c>
      <c r="Q1" t="s">
        <v>233</v>
      </c>
    </row>
    <row r="2" spans="1:17" x14ac:dyDescent="0.25">
      <c r="A2" t="s">
        <v>96</v>
      </c>
      <c r="B2" s="9">
        <f>SUM(H2:L2)</f>
        <v>445.81</v>
      </c>
      <c r="C2" s="7">
        <f>SUMIFS('Total Passing Yards'!G:G,'Total Passing Yards'!A:A,'QBs Compiled'!A2)</f>
        <v>4750.25</v>
      </c>
      <c r="D2" s="7">
        <f>SUMIFS('Total Passing Touchdowns'!E:E,'Total Passing Touchdowns'!A:A,'QBs Compiled'!A2)</f>
        <v>36.5</v>
      </c>
      <c r="E2" s="7">
        <f>IF(SUMIFS('Total Rushing Yards'!E:E,'Total Rushing Yards'!A:A,'QBs Compiled'!$A2)=0,SUMIFS('2022 QB Stats'!P:P,'2022 QB Stats'!A:A,'QBs Compiled'!A2),SUMIFS('Total Rushing Yards'!E:E,'Total Rushing Yards'!A:A,'QBs Compiled'!$A2))</f>
        <v>358</v>
      </c>
      <c r="F2" s="7">
        <f>IF(SUMIFS('Total Rushing Touchdowns'!B:B,'Total Rushing Touchdowns'!A:A,'QBs Compiled'!$A2)=0,SUMIFS('2022 QB Stats'!Q:Q,'2022 QB Stats'!A:A,'QBs Compiled'!A2),SUMIFS('Total Rushing Touchdowns'!B:B,'Total Rushing Touchdowns'!A:A,'QBs Compiled'!$A2))</f>
        <v>4</v>
      </c>
      <c r="G2" s="7">
        <f>IF(SUMIFS('Total Interceptions'!B:B,'Total Interceptions'!A:A,'QBs Compiled'!A2)=0,SUMIFS('2022 QB Stats'!N:N,'2022 QB Stats'!A:A,'QBs Compiled'!A2),SUMIFS('Total Interceptions'!B:B,'Total Interceptions'!A:A,'QBs Compiled'!A2))</f>
        <v>11.5</v>
      </c>
      <c r="H2" s="5">
        <f>_xlfn.XLOOKUP(C$1,Pt_System[Stat],Pt_System[Pts])*C2</f>
        <v>190.01</v>
      </c>
      <c r="I2" s="5">
        <f>_xlfn.XLOOKUP(D$1,Pt_System[Stat],Pt_System[Pts])*D2</f>
        <v>219</v>
      </c>
      <c r="J2" s="5">
        <f>_xlfn.XLOOKUP(E$1,Pt_System[Stat],Pt_System[Pts])*E2</f>
        <v>35.800000000000004</v>
      </c>
      <c r="K2" s="5">
        <f>_xlfn.XLOOKUP(F$1,Pt_System[Stat],Pt_System[Pts])*F2</f>
        <v>24</v>
      </c>
      <c r="L2" s="5">
        <f>_xlfn.XLOOKUP(G$1,Pt_System[Stat],Pt_System[Pts])*G2</f>
        <v>-23</v>
      </c>
      <c r="M2" t="str">
        <f>IF(COUNTIFS('Total Passing Yards'!A:A,'QBs Compiled'!A2)=1,"Vegas Odds","Check")</f>
        <v>Vegas Odds</v>
      </c>
      <c r="N2" t="str">
        <f>IF(COUNTIFS('Total Passing Touchdowns'!A:A,'QBs Compiled'!$A2)=1,"Vegas Odds","2022 Stats / Prediction")</f>
        <v>Vegas Odds</v>
      </c>
      <c r="O2" t="str">
        <f>IF(COUNTIFS('Total Rushing Yards'!A:A,'QBs Compiled'!$A2)=1,"Vegas Odds","2022 Stats / Prediction")</f>
        <v>2022 Stats / Prediction</v>
      </c>
      <c r="P2" t="str">
        <f>IF(COUNTIFS('Total Rushing Touchdowns'!A:A,'QBs Compiled'!$A2)=1,"Vegas Odds","2022 Stats / Prediction")</f>
        <v>2022 Stats / Prediction</v>
      </c>
      <c r="Q2" t="str">
        <f>IF(COUNTIFS('Total Interceptions'!A:A,'QBs Compiled'!$A2)=1,"Vegas Odds","2022 Stats / Prediction")</f>
        <v>Vegas Odds</v>
      </c>
    </row>
    <row r="3" spans="1:17" x14ac:dyDescent="0.25">
      <c r="A3" t="s">
        <v>86</v>
      </c>
      <c r="B3" s="9">
        <f t="shared" ref="B3:B32" si="0">SUM(H3:L3)</f>
        <v>352.96</v>
      </c>
      <c r="C3" s="7">
        <f>SUMIFS('Total Passing Yards'!G:G,'Total Passing Yards'!A:A,'QBs Compiled'!A3)</f>
        <v>4456.5</v>
      </c>
      <c r="D3" s="7">
        <f>SUMIFS('Total Passing Touchdowns'!E:E,'Total Passing Touchdowns'!A:A,'QBs Compiled'!A3)</f>
        <v>30.5</v>
      </c>
      <c r="E3" s="7">
        <f>IF(SUMIFS('Total Rushing Yards'!E:E,'Total Rushing Yards'!A:A,'QBs Compiled'!$A3)=0,SUMIFS('2022 QB Stats'!P:P,'2022 QB Stats'!A:A,'QBs Compiled'!A3),SUMIFS('Total Rushing Yards'!E:E,'Total Rushing Yards'!A:A,'QBs Compiled'!$A3))</f>
        <v>147</v>
      </c>
      <c r="F3" s="7">
        <f>IF(SUMIFS('Total Rushing Touchdowns'!B:B,'Total Rushing Touchdowns'!A:A,'QBs Compiled'!$A3)=0,SUMIFS('2022 QB Stats'!Q:Q,'2022 QB Stats'!A:A,'QBs Compiled'!A3),SUMIFS('Total Rushing Touchdowns'!B:B,'Total Rushing Touchdowns'!A:A,'QBs Compiled'!$A3))</f>
        <v>0</v>
      </c>
      <c r="G3" s="7">
        <f>IF(SUMIFS('Total Interceptions'!B:B,'Total Interceptions'!A:A,'QBs Compiled'!A3)=0,SUMIFS('2022 QB Stats'!N:N,'2022 QB Stats'!A:A,'QBs Compiled'!A3),SUMIFS('Total Interceptions'!B:B,'Total Interceptions'!A:A,'QBs Compiled'!A3))</f>
        <v>11.5</v>
      </c>
      <c r="H3" s="5">
        <f>_xlfn.XLOOKUP(C$1,Pt_System[Stat],Pt_System[Pts])*C3</f>
        <v>178.26</v>
      </c>
      <c r="I3" s="5">
        <f>_xlfn.XLOOKUP(D$1,Pt_System[Stat],Pt_System[Pts])*D3</f>
        <v>183</v>
      </c>
      <c r="J3" s="5">
        <f>_xlfn.XLOOKUP(E$1,Pt_System[Stat],Pt_System[Pts])*E3</f>
        <v>14.700000000000001</v>
      </c>
      <c r="K3" s="5">
        <f>_xlfn.XLOOKUP(F$1,Pt_System[Stat],Pt_System[Pts])*F3</f>
        <v>0</v>
      </c>
      <c r="L3" s="5">
        <f>_xlfn.XLOOKUP(G$1,Pt_System[Stat],Pt_System[Pts])*G3</f>
        <v>-23</v>
      </c>
      <c r="M3" t="str">
        <f>IF(COUNTIFS('Total Passing Yards'!A:A,'QBs Compiled'!A3)=1,"Vegas Odds","Check")</f>
        <v>Vegas Odds</v>
      </c>
      <c r="N3" t="str">
        <f>IF(COUNTIFS('Total Passing Touchdowns'!A:A,'QBs Compiled'!$A3)=1,"Vegas Odds","2022 Stats / Prediction")</f>
        <v>Vegas Odds</v>
      </c>
      <c r="O3" t="str">
        <f>IF(COUNTIFS('Total Rushing Yards'!A:A,'QBs Compiled'!$A3)=1,"Vegas Odds","2022 Stats / Prediction")</f>
        <v>2022 Stats / Prediction</v>
      </c>
      <c r="P3" t="str">
        <f>IF(COUNTIFS('Total Rushing Touchdowns'!A:A,'QBs Compiled'!$A3)=1,"Vegas Odds","2022 Stats / Prediction")</f>
        <v>2022 Stats / Prediction</v>
      </c>
      <c r="Q3" t="str">
        <f>IF(COUNTIFS('Total Interceptions'!A:A,'QBs Compiled'!$A3)=1,"Vegas Odds","2022 Stats / Prediction")</f>
        <v>Vegas Odds</v>
      </c>
    </row>
    <row r="4" spans="1:17" x14ac:dyDescent="0.25">
      <c r="A4" t="s">
        <v>95</v>
      </c>
      <c r="B4" s="9">
        <f t="shared" si="0"/>
        <v>405.19124999999997</v>
      </c>
      <c r="C4" s="7">
        <f>SUMIFS('Total Passing Yards'!G:G,'Total Passing Yards'!A:A,'QBs Compiled'!A4)</f>
        <v>4350.25</v>
      </c>
      <c r="D4" s="7">
        <f>SUMIFS('Total Passing Touchdowns'!E:E,'Total Passing Touchdowns'!A:A,'QBs Compiled'!A4)</f>
        <v>32.833333333333336</v>
      </c>
      <c r="E4" s="7">
        <f>IF(SUMIFS('Total Rushing Yards'!E:E,'Total Rushing Yards'!A:A,'QBs Compiled'!$A4)=0,SUMIFS('2022 QB Stats'!P:P,'2022 QB Stats'!A:A,'QBs Compiled'!A4),SUMIFS('Total Rushing Yards'!E:E,'Total Rushing Yards'!A:A,'QBs Compiled'!$A4))</f>
        <v>273.0625</v>
      </c>
      <c r="F4" s="7">
        <f>IF(SUMIFS('Total Rushing Touchdowns'!B:B,'Total Rushing Touchdowns'!A:A,'QBs Compiled'!$A4)=0,SUMIFS('2022 QB Stats'!Q:Q,'2022 QB Stats'!A:A,'QBs Compiled'!A4),SUMIFS('Total Rushing Touchdowns'!B:B,'Total Rushing Touchdowns'!A:A,'QBs Compiled'!$A4))</f>
        <v>5.3125</v>
      </c>
      <c r="G4" s="7">
        <f>IF(SUMIFS('Total Interceptions'!B:B,'Total Interceptions'!A:A,'QBs Compiled'!A4)=0,SUMIFS('2022 QB Stats'!N:N,'2022 QB Stats'!A:A,'QBs Compiled'!A4),SUMIFS('Total Interceptions'!B:B,'Total Interceptions'!A:A,'QBs Compiled'!A4))</f>
        <v>12.5</v>
      </c>
      <c r="H4" s="5">
        <f>_xlfn.XLOOKUP(C$1,Pt_System[Stat],Pt_System[Pts])*C4</f>
        <v>174.01</v>
      </c>
      <c r="I4" s="5">
        <f>_xlfn.XLOOKUP(D$1,Pt_System[Stat],Pt_System[Pts])*D4</f>
        <v>197</v>
      </c>
      <c r="J4" s="5">
        <f>_xlfn.XLOOKUP(E$1,Pt_System[Stat],Pt_System[Pts])*E4</f>
        <v>27.306250000000002</v>
      </c>
      <c r="K4" s="5">
        <f>_xlfn.XLOOKUP(F$1,Pt_System[Stat],Pt_System[Pts])*F4</f>
        <v>31.875</v>
      </c>
      <c r="L4" s="5">
        <f>_xlfn.XLOOKUP(G$1,Pt_System[Stat],Pt_System[Pts])*G4</f>
        <v>-25</v>
      </c>
      <c r="M4" t="str">
        <f>IF(COUNTIFS('Total Passing Yards'!A:A,'QBs Compiled'!A4)=1,"Vegas Odds","Check")</f>
        <v>Vegas Odds</v>
      </c>
      <c r="N4" t="str">
        <f>IF(COUNTIFS('Total Passing Touchdowns'!A:A,'QBs Compiled'!$A4)=1,"Vegas Odds","2022 Stats / Prediction")</f>
        <v>Vegas Odds</v>
      </c>
      <c r="O4" t="str">
        <f>IF(COUNTIFS('Total Rushing Yards'!A:A,'QBs Compiled'!$A4)=1,"Vegas Odds","2022 Stats / Prediction")</f>
        <v>2022 Stats / Prediction</v>
      </c>
      <c r="P4" t="str">
        <f>IF(COUNTIFS('Total Rushing Touchdowns'!A:A,'QBs Compiled'!$A4)=1,"Vegas Odds","2022 Stats / Prediction")</f>
        <v>2022 Stats / Prediction</v>
      </c>
      <c r="Q4" t="str">
        <f>IF(COUNTIFS('Total Interceptions'!A:A,'QBs Compiled'!$A4)=1,"Vegas Odds","2022 Stats / Prediction")</f>
        <v>Vegas Odds</v>
      </c>
    </row>
    <row r="5" spans="1:17" x14ac:dyDescent="0.25">
      <c r="A5" t="s">
        <v>98</v>
      </c>
      <c r="B5" s="9">
        <f t="shared" si="0"/>
        <v>342.96</v>
      </c>
      <c r="C5" s="7">
        <f>SUMIFS('Total Passing Yards'!G:G,'Total Passing Yards'!A:A,'QBs Compiled'!A5)</f>
        <v>4281.5</v>
      </c>
      <c r="D5" s="7">
        <f>SUMIFS('Total Passing Touchdowns'!E:E,'Total Passing Touchdowns'!A:A,'QBs Compiled'!A5)</f>
        <v>29.166666666666668</v>
      </c>
      <c r="E5" s="7">
        <f>IF(SUMIFS('Total Rushing Yards'!E:E,'Total Rushing Yards'!A:A,'QBs Compiled'!$A5)=0,SUMIFS('2022 QB Stats'!P:P,'2022 QB Stats'!A:A,'QBs Compiled'!A5),SUMIFS('Total Rushing Yards'!E:E,'Total Rushing Yards'!A:A,'QBs Compiled'!$A5))</f>
        <v>97</v>
      </c>
      <c r="F5" s="7">
        <f>IF(SUMIFS('Total Rushing Touchdowns'!B:B,'Total Rushing Touchdowns'!A:A,'QBs Compiled'!$A5)=0,SUMIFS('2022 QB Stats'!Q:Q,'2022 QB Stats'!A:A,'QBs Compiled'!A5),SUMIFS('Total Rushing Touchdowns'!B:B,'Total Rushing Touchdowns'!A:A,'QBs Compiled'!$A5))</f>
        <v>2</v>
      </c>
      <c r="G5" s="7">
        <f>IF(SUMIFS('Total Interceptions'!B:B,'Total Interceptions'!A:A,'QBs Compiled'!A5)=0,SUMIFS('2022 QB Stats'!N:N,'2022 QB Stats'!A:A,'QBs Compiled'!A5),SUMIFS('Total Interceptions'!B:B,'Total Interceptions'!A:A,'QBs Compiled'!A5))</f>
        <v>12.5</v>
      </c>
      <c r="H5" s="5">
        <f>_xlfn.XLOOKUP(C$1,Pt_System[Stat],Pt_System[Pts])*C5</f>
        <v>171.26</v>
      </c>
      <c r="I5" s="5">
        <f>_xlfn.XLOOKUP(D$1,Pt_System[Stat],Pt_System[Pts])*D5</f>
        <v>175</v>
      </c>
      <c r="J5" s="5">
        <f>_xlfn.XLOOKUP(E$1,Pt_System[Stat],Pt_System[Pts])*E5</f>
        <v>9.7000000000000011</v>
      </c>
      <c r="K5" s="5">
        <f>_xlfn.XLOOKUP(F$1,Pt_System[Stat],Pt_System[Pts])*F5</f>
        <v>12</v>
      </c>
      <c r="L5" s="5">
        <f>_xlfn.XLOOKUP(G$1,Pt_System[Stat],Pt_System[Pts])*G5</f>
        <v>-25</v>
      </c>
      <c r="M5" t="str">
        <f>IF(COUNTIFS('Total Passing Yards'!A:A,'QBs Compiled'!A5)=1,"Vegas Odds","Check")</f>
        <v>Vegas Odds</v>
      </c>
      <c r="N5" t="str">
        <f>IF(COUNTIFS('Total Passing Touchdowns'!A:A,'QBs Compiled'!$A5)=1,"Vegas Odds","2022 Stats / Prediction")</f>
        <v>Vegas Odds</v>
      </c>
      <c r="O5" t="str">
        <f>IF(COUNTIFS('Total Rushing Yards'!A:A,'QBs Compiled'!$A5)=1,"Vegas Odds","2022 Stats / Prediction")</f>
        <v>2022 Stats / Prediction</v>
      </c>
      <c r="P5" t="str">
        <f>IF(COUNTIFS('Total Rushing Touchdowns'!A:A,'QBs Compiled'!$A5)=1,"Vegas Odds","2022 Stats / Prediction")</f>
        <v>2022 Stats / Prediction</v>
      </c>
      <c r="Q5" t="str">
        <f>IF(COUNTIFS('Total Interceptions'!A:A,'QBs Compiled'!$A5)=1,"Vegas Odds","2022 Stats / Prediction")</f>
        <v>Vegas Odds</v>
      </c>
    </row>
    <row r="6" spans="1:17" x14ac:dyDescent="0.25">
      <c r="A6" t="s">
        <v>73</v>
      </c>
      <c r="B6" s="9">
        <f t="shared" si="0"/>
        <v>432.22666666666669</v>
      </c>
      <c r="C6" s="7">
        <f>SUMIFS('Total Passing Yards'!G:G,'Total Passing Yards'!A:A,'QBs Compiled'!A6)</f>
        <v>4262.75</v>
      </c>
      <c r="D6" s="7">
        <f>SUMIFS('Total Passing Touchdowns'!E:E,'Total Passing Touchdowns'!A:A,'QBs Compiled'!A6)</f>
        <v>32.166666666666664</v>
      </c>
      <c r="E6" s="7">
        <f>IF(SUMIFS('Total Rushing Yards'!E:E,'Total Rushing Yards'!A:A,'QBs Compiled'!$A6)=0,SUMIFS('2022 QB Stats'!P:P,'2022 QB Stats'!A:A,'QBs Compiled'!A6),SUMIFS('Total Rushing Yards'!E:E,'Total Rushing Yards'!A:A,'QBs Compiled'!$A6))</f>
        <v>567.16666666666663</v>
      </c>
      <c r="F6" s="7">
        <f>IF(SUMIFS('Total Rushing Touchdowns'!B:B,'Total Rushing Touchdowns'!A:A,'QBs Compiled'!$A6)=0,SUMIFS('2022 QB Stats'!Q:Q,'2022 QB Stats'!A:A,'QBs Compiled'!A6),SUMIFS('Total Rushing Touchdowns'!B:B,'Total Rushing Touchdowns'!A:A,'QBs Compiled'!$A6))</f>
        <v>6.5</v>
      </c>
      <c r="G6" s="7">
        <f>IF(SUMIFS('Total Interceptions'!B:B,'Total Interceptions'!A:A,'QBs Compiled'!A6)=0,SUMIFS('2022 QB Stats'!N:N,'2022 QB Stats'!A:A,'QBs Compiled'!A6),SUMIFS('Total Interceptions'!B:B,'Total Interceptions'!A:A,'QBs Compiled'!A6))</f>
        <v>13.5</v>
      </c>
      <c r="H6" s="5">
        <f>_xlfn.XLOOKUP(C$1,Pt_System[Stat],Pt_System[Pts])*C6</f>
        <v>170.51</v>
      </c>
      <c r="I6" s="5">
        <f>_xlfn.XLOOKUP(D$1,Pt_System[Stat],Pt_System[Pts])*D6</f>
        <v>193</v>
      </c>
      <c r="J6" s="5">
        <f>_xlfn.XLOOKUP(E$1,Pt_System[Stat],Pt_System[Pts])*E6</f>
        <v>56.716666666666669</v>
      </c>
      <c r="K6" s="5">
        <f>_xlfn.XLOOKUP(F$1,Pt_System[Stat],Pt_System[Pts])*F6</f>
        <v>39</v>
      </c>
      <c r="L6" s="5">
        <f>_xlfn.XLOOKUP(G$1,Pt_System[Stat],Pt_System[Pts])*G6</f>
        <v>-27</v>
      </c>
      <c r="M6" t="str">
        <f>IF(COUNTIFS('Total Passing Yards'!A:A,'QBs Compiled'!A6)=1,"Vegas Odds","Check")</f>
        <v>Vegas Odds</v>
      </c>
      <c r="N6" t="str">
        <f>IF(COUNTIFS('Total Passing Touchdowns'!A:A,'QBs Compiled'!$A6)=1,"Vegas Odds","2022 Stats / Prediction")</f>
        <v>Vegas Odds</v>
      </c>
      <c r="O6" t="str">
        <f>IF(COUNTIFS('Total Rushing Yards'!A:A,'QBs Compiled'!$A6)=1,"Vegas Odds","2022 Stats / Prediction")</f>
        <v>Vegas Odds</v>
      </c>
      <c r="P6" t="str">
        <f>IF(COUNTIFS('Total Rushing Touchdowns'!A:A,'QBs Compiled'!$A6)=1,"Vegas Odds","2022 Stats / Prediction")</f>
        <v>Vegas Odds</v>
      </c>
      <c r="Q6" t="str">
        <f>IF(COUNTIFS('Total Interceptions'!A:A,'QBs Compiled'!$A6)=1,"Vegas Odds","2022 Stats / Prediction")</f>
        <v>Vegas Odds</v>
      </c>
    </row>
    <row r="7" spans="1:17" x14ac:dyDescent="0.25">
      <c r="A7" t="s">
        <v>84</v>
      </c>
      <c r="B7" s="9">
        <f t="shared" si="0"/>
        <v>356.78666666666669</v>
      </c>
      <c r="C7" s="7">
        <f>SUMIFS('Total Passing Yards'!G:G,'Total Passing Yards'!A:A,'QBs Compiled'!A7)</f>
        <v>4042.1666666666665</v>
      </c>
      <c r="D7" s="7">
        <f>SUMIFS('Total Passing Touchdowns'!E:E,'Total Passing Touchdowns'!A:A,'QBs Compiled'!A7)</f>
        <v>26.166666666666668</v>
      </c>
      <c r="E7" s="7">
        <f>IF(SUMIFS('Total Rushing Yards'!E:E,'Total Rushing Yards'!A:A,'QBs Compiled'!$A7)=0,SUMIFS('2022 QB Stats'!P:P,'2022 QB Stats'!A:A,'QBs Compiled'!A7),SUMIFS('Total Rushing Yards'!E:E,'Total Rushing Yards'!A:A,'QBs Compiled'!$A7))</f>
        <v>291</v>
      </c>
      <c r="F7" s="7">
        <f>IF(SUMIFS('Total Rushing Touchdowns'!B:B,'Total Rushing Touchdowns'!A:A,'QBs Compiled'!$A7)=0,SUMIFS('2022 QB Stats'!Q:Q,'2022 QB Stats'!A:A,'QBs Compiled'!A7),SUMIFS('Total Rushing Touchdowns'!B:B,'Total Rushing Touchdowns'!A:A,'QBs Compiled'!$A7))</f>
        <v>5</v>
      </c>
      <c r="G7" s="7">
        <f>IF(SUMIFS('Total Interceptions'!B:B,'Total Interceptions'!A:A,'QBs Compiled'!A7)=0,SUMIFS('2022 QB Stats'!N:N,'2022 QB Stats'!A:A,'QBs Compiled'!A7),SUMIFS('Total Interceptions'!B:B,'Total Interceptions'!A:A,'QBs Compiled'!A7))</f>
        <v>10.5</v>
      </c>
      <c r="H7" s="5">
        <f>_xlfn.XLOOKUP(C$1,Pt_System[Stat],Pt_System[Pts])*C7</f>
        <v>161.68666666666667</v>
      </c>
      <c r="I7" s="5">
        <f>_xlfn.XLOOKUP(D$1,Pt_System[Stat],Pt_System[Pts])*D7</f>
        <v>157</v>
      </c>
      <c r="J7" s="5">
        <f>_xlfn.XLOOKUP(E$1,Pt_System[Stat],Pt_System[Pts])*E7</f>
        <v>29.1</v>
      </c>
      <c r="K7" s="5">
        <f>_xlfn.XLOOKUP(F$1,Pt_System[Stat],Pt_System[Pts])*F7</f>
        <v>30</v>
      </c>
      <c r="L7" s="5">
        <f>_xlfn.XLOOKUP(G$1,Pt_System[Stat],Pt_System[Pts])*G7</f>
        <v>-21</v>
      </c>
      <c r="M7" t="str">
        <f>IF(COUNTIFS('Total Passing Yards'!A:A,'QBs Compiled'!A7)=1,"Vegas Odds","Check")</f>
        <v>Vegas Odds</v>
      </c>
      <c r="N7" t="str">
        <f>IF(COUNTIFS('Total Passing Touchdowns'!A:A,'QBs Compiled'!$A7)=1,"Vegas Odds","2022 Stats / Prediction")</f>
        <v>Vegas Odds</v>
      </c>
      <c r="O7" t="str">
        <f>IF(COUNTIFS('Total Rushing Yards'!A:A,'QBs Compiled'!$A7)=1,"Vegas Odds","2022 Stats / Prediction")</f>
        <v>2022 Stats / Prediction</v>
      </c>
      <c r="P7" t="str">
        <f>IF(COUNTIFS('Total Rushing Touchdowns'!A:A,'QBs Compiled'!$A7)=1,"Vegas Odds","2022 Stats / Prediction")</f>
        <v>2022 Stats / Prediction</v>
      </c>
      <c r="Q7" t="str">
        <f>IF(COUNTIFS('Total Interceptions'!A:A,'QBs Compiled'!$A7)=1,"Vegas Odds","2022 Stats / Prediction")</f>
        <v>Vegas Odds</v>
      </c>
    </row>
    <row r="8" spans="1:17" x14ac:dyDescent="0.25">
      <c r="A8" t="s">
        <v>102</v>
      </c>
      <c r="B8" s="9">
        <f t="shared" si="0"/>
        <v>326.25333333333339</v>
      </c>
      <c r="C8" s="7">
        <f>SUMIFS('Total Passing Yards'!G:G,'Total Passing Yards'!A:A,'QBs Compiled'!A8)</f>
        <v>3949.25</v>
      </c>
      <c r="D8" s="7">
        <f>SUMIFS('Total Passing Touchdowns'!E:E,'Total Passing Touchdowns'!A:A,'QBs Compiled'!A8)</f>
        <v>26.5</v>
      </c>
      <c r="E8" s="7">
        <f>IF(SUMIFS('Total Rushing Yards'!E:E,'Total Rushing Yards'!A:A,'QBs Compiled'!$A8)=0,SUMIFS('2022 QB Stats'!P:P,'2022 QB Stats'!A:A,'QBs Compiled'!A8),SUMIFS('Total Rushing Yards'!E:E,'Total Rushing Yards'!A:A,'QBs Compiled'!$A8))</f>
        <v>257.83333333333337</v>
      </c>
      <c r="F8" s="7">
        <f>IF(SUMIFS('Total Rushing Touchdowns'!B:B,'Total Rushing Touchdowns'!A:A,'QBs Compiled'!$A8)=0,SUMIFS('2022 QB Stats'!Q:Q,'2022 QB Stats'!A:A,'QBs Compiled'!A8),SUMIFS('Total Rushing Touchdowns'!B:B,'Total Rushing Touchdowns'!A:A,'QBs Compiled'!$A8))</f>
        <v>1.4166666666666667</v>
      </c>
      <c r="G8" s="7">
        <f>IF(SUMIFS('Total Interceptions'!B:B,'Total Interceptions'!A:A,'QBs Compiled'!A8)=0,SUMIFS('2022 QB Stats'!N:N,'2022 QB Stats'!A:A,'QBs Compiled'!A8),SUMIFS('Total Interceptions'!B:B,'Total Interceptions'!A:A,'QBs Compiled'!A8))</f>
        <v>12.5</v>
      </c>
      <c r="H8" s="5">
        <f>_xlfn.XLOOKUP(C$1,Pt_System[Stat],Pt_System[Pts])*C8</f>
        <v>157.97</v>
      </c>
      <c r="I8" s="5">
        <f>_xlfn.XLOOKUP(D$1,Pt_System[Stat],Pt_System[Pts])*D8</f>
        <v>159</v>
      </c>
      <c r="J8" s="5">
        <f>_xlfn.XLOOKUP(E$1,Pt_System[Stat],Pt_System[Pts])*E8</f>
        <v>25.783333333333339</v>
      </c>
      <c r="K8" s="5">
        <f>_xlfn.XLOOKUP(F$1,Pt_System[Stat],Pt_System[Pts])*F8</f>
        <v>8.5</v>
      </c>
      <c r="L8" s="5">
        <f>_xlfn.XLOOKUP(G$1,Pt_System[Stat],Pt_System[Pts])*G8</f>
        <v>-25</v>
      </c>
      <c r="M8" t="str">
        <f>IF(COUNTIFS('Total Passing Yards'!A:A,'QBs Compiled'!A8)=1,"Vegas Odds","Check")</f>
        <v>Vegas Odds</v>
      </c>
      <c r="N8" t="str">
        <f>IF(COUNTIFS('Total Passing Touchdowns'!A:A,'QBs Compiled'!$A8)=1,"Vegas Odds","2022 Stats / Prediction")</f>
        <v>Vegas Odds</v>
      </c>
      <c r="O8" t="str">
        <f>IF(COUNTIFS('Total Rushing Yards'!A:A,'QBs Compiled'!$A8)=1,"Vegas Odds","2022 Stats / Prediction")</f>
        <v>2022 Stats / Prediction</v>
      </c>
      <c r="P8" t="str">
        <f>IF(COUNTIFS('Total Rushing Touchdowns'!A:A,'QBs Compiled'!$A8)=1,"Vegas Odds","2022 Stats / Prediction")</f>
        <v>2022 Stats / Prediction</v>
      </c>
      <c r="Q8" t="str">
        <f>IF(COUNTIFS('Total Interceptions'!A:A,'QBs Compiled'!$A8)=1,"Vegas Odds","2022 Stats / Prediction")</f>
        <v>Vegas Odds</v>
      </c>
    </row>
    <row r="9" spans="1:17" x14ac:dyDescent="0.25">
      <c r="A9" t="s">
        <v>94</v>
      </c>
      <c r="B9" s="9">
        <f t="shared" si="0"/>
        <v>291.06</v>
      </c>
      <c r="C9" s="7">
        <f>SUMIFS('Total Passing Yards'!G:G,'Total Passing Yards'!A:A,'QBs Compiled'!A9)</f>
        <v>3944</v>
      </c>
      <c r="D9" s="7">
        <f>SUMIFS('Total Passing Touchdowns'!E:E,'Total Passing Touchdowns'!A:A,'QBs Compiled'!A9)</f>
        <v>24.833333333333332</v>
      </c>
      <c r="E9" s="7">
        <f>IF(SUMIFS('Total Rushing Yards'!E:E,'Total Rushing Yards'!A:A,'QBs Compiled'!$A9)=0,SUMIFS('2022 QB Stats'!P:P,'2022 QB Stats'!A:A,'QBs Compiled'!A9),SUMIFS('Total Rushing Yards'!E:E,'Total Rushing Yards'!A:A,'QBs Compiled'!$A9))</f>
        <v>73</v>
      </c>
      <c r="F9" s="7">
        <f>IF(SUMIFS('Total Rushing Touchdowns'!B:B,'Total Rushing Touchdowns'!A:A,'QBs Compiled'!$A9)=0,SUMIFS('2022 QB Stats'!Q:Q,'2022 QB Stats'!A:A,'QBs Compiled'!A9),SUMIFS('Total Rushing Touchdowns'!B:B,'Total Rushing Touchdowns'!A:A,'QBs Compiled'!$A9))</f>
        <v>0</v>
      </c>
      <c r="G9" s="7">
        <f>IF(SUMIFS('Total Interceptions'!B:B,'Total Interceptions'!A:A,'QBs Compiled'!A9)=0,SUMIFS('2022 QB Stats'!N:N,'2022 QB Stats'!A:A,'QBs Compiled'!A9),SUMIFS('Total Interceptions'!B:B,'Total Interceptions'!A:A,'QBs Compiled'!A9))</f>
        <v>11.5</v>
      </c>
      <c r="H9" s="5">
        <f>_xlfn.XLOOKUP(C$1,Pt_System[Stat],Pt_System[Pts])*C9</f>
        <v>157.76</v>
      </c>
      <c r="I9" s="5">
        <f>_xlfn.XLOOKUP(D$1,Pt_System[Stat],Pt_System[Pts])*D9</f>
        <v>149</v>
      </c>
      <c r="J9" s="5">
        <f>_xlfn.XLOOKUP(E$1,Pt_System[Stat],Pt_System[Pts])*E9</f>
        <v>7.3000000000000007</v>
      </c>
      <c r="K9" s="5">
        <f>_xlfn.XLOOKUP(F$1,Pt_System[Stat],Pt_System[Pts])*F9</f>
        <v>0</v>
      </c>
      <c r="L9" s="5">
        <f>_xlfn.XLOOKUP(G$1,Pt_System[Stat],Pt_System[Pts])*G9</f>
        <v>-23</v>
      </c>
      <c r="M9" t="str">
        <f>IF(COUNTIFS('Total Passing Yards'!A:A,'QBs Compiled'!A9)=1,"Vegas Odds","Check")</f>
        <v>Vegas Odds</v>
      </c>
      <c r="N9" t="str">
        <f>IF(COUNTIFS('Total Passing Touchdowns'!A:A,'QBs Compiled'!$A9)=1,"Vegas Odds","2022 Stats / Prediction")</f>
        <v>Vegas Odds</v>
      </c>
      <c r="O9" t="str">
        <f>IF(COUNTIFS('Total Rushing Yards'!A:A,'QBs Compiled'!$A9)=1,"Vegas Odds","2022 Stats / Prediction")</f>
        <v>2022 Stats / Prediction</v>
      </c>
      <c r="P9" t="str">
        <f>IF(COUNTIFS('Total Rushing Touchdowns'!A:A,'QBs Compiled'!$A9)=1,"Vegas Odds","2022 Stats / Prediction")</f>
        <v>2022 Stats / Prediction</v>
      </c>
      <c r="Q9" t="str">
        <f>IF(COUNTIFS('Total Interceptions'!A:A,'QBs Compiled'!$A9)=1,"Vegas Odds","2022 Stats / Prediction")</f>
        <v>Vegas Odds</v>
      </c>
    </row>
    <row r="10" spans="1:17" x14ac:dyDescent="0.25">
      <c r="A10" t="s">
        <v>97</v>
      </c>
      <c r="B10" s="9">
        <f t="shared" si="0"/>
        <v>329.15999999999997</v>
      </c>
      <c r="C10" s="7">
        <f>SUMIFS('Total Passing Yards'!G:G,'Total Passing Yards'!A:A,'QBs Compiled'!A10)</f>
        <v>3894</v>
      </c>
      <c r="D10" s="7">
        <f>SUMIFS('Total Passing Touchdowns'!E:E,'Total Passing Touchdowns'!A:A,'QBs Compiled'!A10)</f>
        <v>28.166666666666668</v>
      </c>
      <c r="E10" s="7">
        <f>IF(SUMIFS('Total Rushing Yards'!E:E,'Total Rushing Yards'!A:A,'QBs Compiled'!$A10)=0,SUMIFS('2022 QB Stats'!P:P,'2022 QB Stats'!A:A,'QBs Compiled'!A10),SUMIFS('Total Rushing Yards'!E:E,'Total Rushing Yards'!A:A,'QBs Compiled'!$A10))</f>
        <v>94</v>
      </c>
      <c r="F10" s="7">
        <f>IF(SUMIFS('Total Rushing Touchdowns'!B:B,'Total Rushing Touchdowns'!A:A,'QBs Compiled'!$A10)=0,SUMIFS('2022 QB Stats'!Q:Q,'2022 QB Stats'!A:A,'QBs Compiled'!A10),SUMIFS('Total Rushing Touchdowns'!B:B,'Total Rushing Touchdowns'!A:A,'QBs Compiled'!$A10))</f>
        <v>1</v>
      </c>
      <c r="G10" s="7">
        <f>IF(SUMIFS('Total Interceptions'!B:B,'Total Interceptions'!A:A,'QBs Compiled'!A10)=0,SUMIFS('2022 QB Stats'!N:N,'2022 QB Stats'!A:A,'QBs Compiled'!A10),SUMIFS('Total Interceptions'!B:B,'Total Interceptions'!A:A,'QBs Compiled'!A10))</f>
        <v>5.5</v>
      </c>
      <c r="H10" s="5">
        <f>_xlfn.XLOOKUP(C$1,Pt_System[Stat],Pt_System[Pts])*C10</f>
        <v>155.76</v>
      </c>
      <c r="I10" s="5">
        <f>_xlfn.XLOOKUP(D$1,Pt_System[Stat],Pt_System[Pts])*D10</f>
        <v>169</v>
      </c>
      <c r="J10" s="5">
        <f>_xlfn.XLOOKUP(E$1,Pt_System[Stat],Pt_System[Pts])*E10</f>
        <v>9.4</v>
      </c>
      <c r="K10" s="5">
        <f>_xlfn.XLOOKUP(F$1,Pt_System[Stat],Pt_System[Pts])*F10</f>
        <v>6</v>
      </c>
      <c r="L10" s="5">
        <f>_xlfn.XLOOKUP(G$1,Pt_System[Stat],Pt_System[Pts])*G10</f>
        <v>-11</v>
      </c>
      <c r="M10" t="str">
        <f>IF(COUNTIFS('Total Passing Yards'!A:A,'QBs Compiled'!A10)=1,"Vegas Odds","Check")</f>
        <v>Vegas Odds</v>
      </c>
      <c r="N10" t="str">
        <f>IF(COUNTIFS('Total Passing Touchdowns'!A:A,'QBs Compiled'!$A10)=1,"Vegas Odds","2022 Stats / Prediction")</f>
        <v>Vegas Odds</v>
      </c>
      <c r="O10" t="str">
        <f>IF(COUNTIFS('Total Rushing Yards'!A:A,'QBs Compiled'!$A10)=1,"Vegas Odds","2022 Stats / Prediction")</f>
        <v>2022 Stats / Prediction</v>
      </c>
      <c r="P10" t="str">
        <f>IF(COUNTIFS('Total Rushing Touchdowns'!A:A,'QBs Compiled'!$A10)=1,"Vegas Odds","2022 Stats / Prediction")</f>
        <v>2022 Stats / Prediction</v>
      </c>
      <c r="Q10" t="str">
        <f>IF(COUNTIFS('Total Interceptions'!A:A,'QBs Compiled'!$A10)=1,"Vegas Odds","2022 Stats / Prediction")</f>
        <v>Vegas Odds</v>
      </c>
    </row>
    <row r="11" spans="1:17" x14ac:dyDescent="0.25">
      <c r="A11" t="s">
        <v>92</v>
      </c>
      <c r="B11" s="9">
        <f t="shared" si="0"/>
        <v>331.86</v>
      </c>
      <c r="C11" s="7">
        <f>SUMIFS('Total Passing Yards'!G:G,'Total Passing Yards'!A:A,'QBs Compiled'!A11)</f>
        <v>3831.5</v>
      </c>
      <c r="D11" s="7">
        <f>SUMIFS('Total Passing Touchdowns'!E:E,'Total Passing Touchdowns'!A:A,'QBs Compiled'!A11)</f>
        <v>26.5</v>
      </c>
      <c r="E11" s="7">
        <f>IF(SUMIFS('Total Rushing Yards'!E:E,'Total Rushing Yards'!A:A,'QBs Compiled'!$A11)=0,SUMIFS('2022 QB Stats'!P:P,'2022 QB Stats'!A:A,'QBs Compiled'!A11),SUMIFS('Total Rushing Yards'!E:E,'Total Rushing Yards'!A:A,'QBs Compiled'!$A11))</f>
        <v>366</v>
      </c>
      <c r="F11" s="7">
        <f>IF(SUMIFS('Total Rushing Touchdowns'!B:B,'Total Rushing Touchdowns'!A:A,'QBs Compiled'!$A11)=0,SUMIFS('2022 QB Stats'!Q:Q,'2022 QB Stats'!A:A,'QBs Compiled'!A11),SUMIFS('Total Rushing Touchdowns'!B:B,'Total Rushing Touchdowns'!A:A,'QBs Compiled'!$A11))</f>
        <v>1</v>
      </c>
      <c r="G11" s="7">
        <f>IF(SUMIFS('Total Interceptions'!B:B,'Total Interceptions'!A:A,'QBs Compiled'!A11)=0,SUMIFS('2022 QB Stats'!N:N,'2022 QB Stats'!A:A,'QBs Compiled'!A11),SUMIFS('Total Interceptions'!B:B,'Total Interceptions'!A:A,'QBs Compiled'!A11))</f>
        <v>11.5</v>
      </c>
      <c r="H11" s="5">
        <f>_xlfn.XLOOKUP(C$1,Pt_System[Stat],Pt_System[Pts])*C11</f>
        <v>153.26</v>
      </c>
      <c r="I11" s="5">
        <f>_xlfn.XLOOKUP(D$1,Pt_System[Stat],Pt_System[Pts])*D11</f>
        <v>159</v>
      </c>
      <c r="J11" s="5">
        <f>_xlfn.XLOOKUP(E$1,Pt_System[Stat],Pt_System[Pts])*E11</f>
        <v>36.6</v>
      </c>
      <c r="K11" s="5">
        <f>_xlfn.XLOOKUP(F$1,Pt_System[Stat],Pt_System[Pts])*F11</f>
        <v>6</v>
      </c>
      <c r="L11" s="5">
        <f>_xlfn.XLOOKUP(G$1,Pt_System[Stat],Pt_System[Pts])*G11</f>
        <v>-23</v>
      </c>
      <c r="M11" t="str">
        <f>IF(COUNTIFS('Total Passing Yards'!A:A,'QBs Compiled'!A11)=1,"Vegas Odds","Check")</f>
        <v>Vegas Odds</v>
      </c>
      <c r="N11" t="str">
        <f>IF(COUNTIFS('Total Passing Touchdowns'!A:A,'QBs Compiled'!$A11)=1,"Vegas Odds","2022 Stats / Prediction")</f>
        <v>Vegas Odds</v>
      </c>
      <c r="O11" t="str">
        <f>IF(COUNTIFS('Total Rushing Yards'!A:A,'QBs Compiled'!$A11)=1,"Vegas Odds","2022 Stats / Prediction")</f>
        <v>2022 Stats / Prediction</v>
      </c>
      <c r="P11" t="str">
        <f>IF(COUNTIFS('Total Rushing Touchdowns'!A:A,'QBs Compiled'!$A11)=1,"Vegas Odds","2022 Stats / Prediction")</f>
        <v>2022 Stats / Prediction</v>
      </c>
      <c r="Q11" t="str">
        <f>IF(COUNTIFS('Total Interceptions'!A:A,'QBs Compiled'!$A11)=1,"Vegas Odds","2022 Stats / Prediction")</f>
        <v>Vegas Odds</v>
      </c>
    </row>
    <row r="12" spans="1:17" x14ac:dyDescent="0.25">
      <c r="A12" t="s">
        <v>90</v>
      </c>
      <c r="B12" s="9">
        <f t="shared" si="0"/>
        <v>296.17384615384611</v>
      </c>
      <c r="C12" s="7">
        <f>SUMIFS('Total Passing Yards'!G:G,'Total Passing Yards'!A:A,'QBs Compiled'!A12)</f>
        <v>3825.5</v>
      </c>
      <c r="D12" s="7">
        <f>SUMIFS('Total Passing Touchdowns'!E:E,'Total Passing Touchdowns'!A:A,'QBs Compiled'!A12)</f>
        <v>25.833333333333332</v>
      </c>
      <c r="E12" s="7">
        <f>IF(SUMIFS('Total Rushing Yards'!E:E,'Total Rushing Yards'!A:A,'QBs Compiled'!$A12)=0,SUMIFS('2022 QB Stats'!P:P,'2022 QB Stats'!A:A,'QBs Compiled'!A12),SUMIFS('Total Rushing Yards'!E:E,'Total Rushing Yards'!A:A,'QBs Compiled'!$A12))</f>
        <v>91.538461538461533</v>
      </c>
      <c r="F12" s="7">
        <f>IF(SUMIFS('Total Rushing Touchdowns'!B:B,'Total Rushing Touchdowns'!A:A,'QBs Compiled'!$A12)=0,SUMIFS('2022 QB Stats'!Q:Q,'2022 QB Stats'!A:A,'QBs Compiled'!A12),SUMIFS('Total Rushing Touchdowns'!B:B,'Total Rushing Touchdowns'!A:A,'QBs Compiled'!$A12))</f>
        <v>0</v>
      </c>
      <c r="G12" s="7">
        <f>IF(SUMIFS('Total Interceptions'!B:B,'Total Interceptions'!A:A,'QBs Compiled'!A12)=0,SUMIFS('2022 QB Stats'!N:N,'2022 QB Stats'!A:A,'QBs Compiled'!A12),SUMIFS('Total Interceptions'!B:B,'Total Interceptions'!A:A,'QBs Compiled'!A12))</f>
        <v>10.5</v>
      </c>
      <c r="H12" s="5">
        <f>_xlfn.XLOOKUP(C$1,Pt_System[Stat],Pt_System[Pts])*C12</f>
        <v>153.02000000000001</v>
      </c>
      <c r="I12" s="5">
        <f>_xlfn.XLOOKUP(D$1,Pt_System[Stat],Pt_System[Pts])*D12</f>
        <v>155</v>
      </c>
      <c r="J12" s="5">
        <f>_xlfn.XLOOKUP(E$1,Pt_System[Stat],Pt_System[Pts])*E12</f>
        <v>9.1538461538461533</v>
      </c>
      <c r="K12" s="5">
        <f>_xlfn.XLOOKUP(F$1,Pt_System[Stat],Pt_System[Pts])*F12</f>
        <v>0</v>
      </c>
      <c r="L12" s="5">
        <f>_xlfn.XLOOKUP(G$1,Pt_System[Stat],Pt_System[Pts])*G12</f>
        <v>-21</v>
      </c>
      <c r="M12" t="str">
        <f>IF(COUNTIFS('Total Passing Yards'!A:A,'QBs Compiled'!A12)=1,"Vegas Odds","Check")</f>
        <v>Vegas Odds</v>
      </c>
      <c r="N12" t="str">
        <f>IF(COUNTIFS('Total Passing Touchdowns'!A:A,'QBs Compiled'!$A12)=1,"Vegas Odds","2022 Stats / Prediction")</f>
        <v>Vegas Odds</v>
      </c>
      <c r="O12" t="str">
        <f>IF(COUNTIFS('Total Rushing Yards'!A:A,'QBs Compiled'!$A12)=1,"Vegas Odds","2022 Stats / Prediction")</f>
        <v>2022 Stats / Prediction</v>
      </c>
      <c r="P12" t="str">
        <f>IF(COUNTIFS('Total Rushing Touchdowns'!A:A,'QBs Compiled'!$A12)=1,"Vegas Odds","2022 Stats / Prediction")</f>
        <v>2022 Stats / Prediction</v>
      </c>
      <c r="Q12" t="str">
        <f>IF(COUNTIFS('Total Interceptions'!A:A,'QBs Compiled'!$A12)=1,"Vegas Odds","2022 Stats / Prediction")</f>
        <v>Vegas Odds</v>
      </c>
    </row>
    <row r="13" spans="1:17" x14ac:dyDescent="0.25">
      <c r="A13" t="s">
        <v>104</v>
      </c>
      <c r="B13" s="9">
        <f t="shared" si="0"/>
        <v>313.81333333333328</v>
      </c>
      <c r="C13" s="7">
        <f>SUMIFS('Total Passing Yards'!G:G,'Total Passing Yards'!A:A,'QBs Compiled'!A13)</f>
        <v>3650.5</v>
      </c>
      <c r="D13" s="7">
        <f>SUMIFS('Total Passing Touchdowns'!E:E,'Total Passing Touchdowns'!A:A,'QBs Compiled'!A13)</f>
        <v>22.833333333333332</v>
      </c>
      <c r="E13" s="7">
        <f>IF(SUMIFS('Total Rushing Yards'!E:E,'Total Rushing Yards'!A:A,'QBs Compiled'!$A13)=0,SUMIFS('2022 QB Stats'!P:P,'2022 QB Stats'!A:A,'QBs Compiled'!A13),SUMIFS('Total Rushing Yards'!E:E,'Total Rushing Yards'!A:A,'QBs Compiled'!$A13))</f>
        <v>313.93333333333334</v>
      </c>
      <c r="F13" s="7">
        <f>IF(SUMIFS('Total Rushing Touchdowns'!B:B,'Total Rushing Touchdowns'!A:A,'QBs Compiled'!$A13)=0,SUMIFS('2022 QB Stats'!Q:Q,'2022 QB Stats'!A:A,'QBs Compiled'!A13),SUMIFS('Total Rushing Touchdowns'!B:B,'Total Rushing Touchdowns'!A:A,'QBs Compiled'!$A13))</f>
        <v>3.4</v>
      </c>
      <c r="G13" s="7">
        <f>IF(SUMIFS('Total Interceptions'!B:B,'Total Interceptions'!A:A,'QBs Compiled'!A13)=0,SUMIFS('2022 QB Stats'!N:N,'2022 QB Stats'!A:A,'QBs Compiled'!A13),SUMIFS('Total Interceptions'!B:B,'Total Interceptions'!A:A,'QBs Compiled'!A13))</f>
        <v>10.5</v>
      </c>
      <c r="H13" s="5">
        <f>_xlfn.XLOOKUP(C$1,Pt_System[Stat],Pt_System[Pts])*C13</f>
        <v>146.02000000000001</v>
      </c>
      <c r="I13" s="5">
        <f>_xlfn.XLOOKUP(D$1,Pt_System[Stat],Pt_System[Pts])*D13</f>
        <v>137</v>
      </c>
      <c r="J13" s="5">
        <f>_xlfn.XLOOKUP(E$1,Pt_System[Stat],Pt_System[Pts])*E13</f>
        <v>31.393333333333334</v>
      </c>
      <c r="K13" s="5">
        <f>_xlfn.XLOOKUP(F$1,Pt_System[Stat],Pt_System[Pts])*F13</f>
        <v>20.399999999999999</v>
      </c>
      <c r="L13" s="5">
        <f>_xlfn.XLOOKUP(G$1,Pt_System[Stat],Pt_System[Pts])*G13</f>
        <v>-21</v>
      </c>
      <c r="M13" t="str">
        <f>IF(COUNTIFS('Total Passing Yards'!A:A,'QBs Compiled'!A13)=1,"Vegas Odds","Check")</f>
        <v>Vegas Odds</v>
      </c>
      <c r="N13" t="str">
        <f>IF(COUNTIFS('Total Passing Touchdowns'!A:A,'QBs Compiled'!$A13)=1,"Vegas Odds","2022 Stats / Prediction")</f>
        <v>Vegas Odds</v>
      </c>
      <c r="O13" t="str">
        <f>IF(COUNTIFS('Total Rushing Yards'!A:A,'QBs Compiled'!$A13)=1,"Vegas Odds","2022 Stats / Prediction")</f>
        <v>2022 Stats / Prediction</v>
      </c>
      <c r="P13" t="str">
        <f>IF(COUNTIFS('Total Rushing Touchdowns'!A:A,'QBs Compiled'!$A13)=1,"Vegas Odds","2022 Stats / Prediction")</f>
        <v>2022 Stats / Prediction</v>
      </c>
      <c r="Q13" t="str">
        <f>IF(COUNTIFS('Total Interceptions'!A:A,'QBs Compiled'!$A13)=1,"Vegas Odds","2022 Stats / Prediction")</f>
        <v>Vegas Odds</v>
      </c>
    </row>
    <row r="14" spans="1:17" x14ac:dyDescent="0.25">
      <c r="A14" t="s">
        <v>67</v>
      </c>
      <c r="B14" s="9">
        <f t="shared" si="0"/>
        <v>389.86</v>
      </c>
      <c r="C14" s="7">
        <f>SUMIFS('Total Passing Yards'!G:G,'Total Passing Yards'!A:A,'QBs Compiled'!A14)</f>
        <v>3650.25</v>
      </c>
      <c r="D14" s="7">
        <f>SUMIFS('Total Passing Touchdowns'!E:E,'Total Passing Touchdowns'!A:A,'QBs Compiled'!A14)</f>
        <v>22.166666666666668</v>
      </c>
      <c r="E14" s="7">
        <f>IF(SUMIFS('Total Rushing Yards'!E:E,'Total Rushing Yards'!A:A,'QBs Compiled'!$A14)=0,SUMIFS('2022 QB Stats'!P:P,'2022 QB Stats'!A:A,'QBs Compiled'!A14),SUMIFS('Total Rushing Yards'!E:E,'Total Rushing Yards'!A:A,'QBs Compiled'!$A14))</f>
        <v>708.5</v>
      </c>
      <c r="F14" s="7">
        <f>IF(SUMIFS('Total Rushing Touchdowns'!B:B,'Total Rushing Touchdowns'!A:A,'QBs Compiled'!$A14)=0,SUMIFS('2022 QB Stats'!Q:Q,'2022 QB Stats'!A:A,'QBs Compiled'!A14),SUMIFS('Total Rushing Touchdowns'!B:B,'Total Rushing Touchdowns'!A:A,'QBs Compiled'!$A14))</f>
        <v>9.5</v>
      </c>
      <c r="G14" s="7">
        <f>IF(SUMIFS('Total Interceptions'!B:B,'Total Interceptions'!A:A,'QBs Compiled'!A14)=0,SUMIFS('2022 QB Stats'!N:N,'2022 QB Stats'!A:A,'QBs Compiled'!A14),SUMIFS('Total Interceptions'!B:B,'Total Interceptions'!A:A,'QBs Compiled'!A14))</f>
        <v>8.5</v>
      </c>
      <c r="H14" s="5">
        <f>_xlfn.XLOOKUP(C$1,Pt_System[Stat],Pt_System[Pts])*C14</f>
        <v>146.01</v>
      </c>
      <c r="I14" s="5">
        <f>_xlfn.XLOOKUP(D$1,Pt_System[Stat],Pt_System[Pts])*D14</f>
        <v>133</v>
      </c>
      <c r="J14" s="5">
        <f>_xlfn.XLOOKUP(E$1,Pt_System[Stat],Pt_System[Pts])*E14</f>
        <v>70.850000000000009</v>
      </c>
      <c r="K14" s="5">
        <f>_xlfn.XLOOKUP(F$1,Pt_System[Stat],Pt_System[Pts])*F14</f>
        <v>57</v>
      </c>
      <c r="L14" s="5">
        <f>_xlfn.XLOOKUP(G$1,Pt_System[Stat],Pt_System[Pts])*G14</f>
        <v>-17</v>
      </c>
      <c r="M14" t="str">
        <f>IF(COUNTIFS('Total Passing Yards'!A:A,'QBs Compiled'!A14)=1,"Vegas Odds","Check")</f>
        <v>Vegas Odds</v>
      </c>
      <c r="N14" t="str">
        <f>IF(COUNTIFS('Total Passing Touchdowns'!A:A,'QBs Compiled'!$A14)=1,"Vegas Odds","2022 Stats / Prediction")</f>
        <v>Vegas Odds</v>
      </c>
      <c r="O14" t="str">
        <f>IF(COUNTIFS('Total Rushing Yards'!A:A,'QBs Compiled'!$A14)=1,"Vegas Odds","2022 Stats / Prediction")</f>
        <v>Vegas Odds</v>
      </c>
      <c r="P14" t="str">
        <f>IF(COUNTIFS('Total Rushing Touchdowns'!A:A,'QBs Compiled'!$A14)=1,"Vegas Odds","2022 Stats / Prediction")</f>
        <v>Vegas Odds</v>
      </c>
      <c r="Q14" t="str">
        <f>IF(COUNTIFS('Total Interceptions'!A:A,'QBs Compiled'!$A14)=1,"Vegas Odds","2022 Stats / Prediction")</f>
        <v>Vegas Odds</v>
      </c>
    </row>
    <row r="15" spans="1:17" x14ac:dyDescent="0.25">
      <c r="A15" t="s">
        <v>81</v>
      </c>
      <c r="B15" s="9">
        <f t="shared" si="0"/>
        <v>338.34333333333336</v>
      </c>
      <c r="C15" s="7">
        <f>SUMIFS('Total Passing Yards'!G:G,'Total Passing Yards'!A:A,'QBs Compiled'!A15)</f>
        <v>3644</v>
      </c>
      <c r="D15" s="7">
        <f>SUMIFS('Total Passing Touchdowns'!E:E,'Total Passing Touchdowns'!A:A,'QBs Compiled'!A15)</f>
        <v>24.833333333333332</v>
      </c>
      <c r="E15" s="7">
        <f>IF(SUMIFS('Total Rushing Yards'!E:E,'Total Rushing Yards'!A:A,'QBs Compiled'!$A15)=0,SUMIFS('2022 QB Stats'!P:P,'2022 QB Stats'!A:A,'QBs Compiled'!A15),SUMIFS('Total Rushing Yards'!E:E,'Total Rushing Yards'!A:A,'QBs Compiled'!$A15))</f>
        <v>495.83333333333337</v>
      </c>
      <c r="F15" s="7">
        <f>IF(SUMIFS('Total Rushing Touchdowns'!B:B,'Total Rushing Touchdowns'!A:A,'QBs Compiled'!$A15)=0,SUMIFS('2022 QB Stats'!Q:Q,'2022 QB Stats'!A:A,'QBs Compiled'!A15),SUMIFS('Total Rushing Touchdowns'!B:B,'Total Rushing Touchdowns'!A:A,'QBs Compiled'!$A15))</f>
        <v>2.8333333333333335</v>
      </c>
      <c r="G15" s="7">
        <f>IF(SUMIFS('Total Interceptions'!B:B,'Total Interceptions'!A:A,'QBs Compiled'!A15)=0,SUMIFS('2022 QB Stats'!N:N,'2022 QB Stats'!A:A,'QBs Compiled'!A15),SUMIFS('Total Interceptions'!B:B,'Total Interceptions'!A:A,'QBs Compiled'!A15))</f>
        <v>11.5</v>
      </c>
      <c r="H15" s="5">
        <f>_xlfn.XLOOKUP(C$1,Pt_System[Stat],Pt_System[Pts])*C15</f>
        <v>145.76</v>
      </c>
      <c r="I15" s="5">
        <f>_xlfn.XLOOKUP(D$1,Pt_System[Stat],Pt_System[Pts])*D15</f>
        <v>149</v>
      </c>
      <c r="J15" s="5">
        <f>_xlfn.XLOOKUP(E$1,Pt_System[Stat],Pt_System[Pts])*E15</f>
        <v>49.583333333333343</v>
      </c>
      <c r="K15" s="5">
        <f>_xlfn.XLOOKUP(F$1,Pt_System[Stat],Pt_System[Pts])*F15</f>
        <v>17</v>
      </c>
      <c r="L15" s="5">
        <f>_xlfn.XLOOKUP(G$1,Pt_System[Stat],Pt_System[Pts])*G15</f>
        <v>-23</v>
      </c>
      <c r="M15" t="str">
        <f>IF(COUNTIFS('Total Passing Yards'!A:A,'QBs Compiled'!A15)=1,"Vegas Odds","Check")</f>
        <v>Vegas Odds</v>
      </c>
      <c r="N15" t="str">
        <f>IF(COUNTIFS('Total Passing Touchdowns'!A:A,'QBs Compiled'!$A15)=1,"Vegas Odds","2022 Stats / Prediction")</f>
        <v>Vegas Odds</v>
      </c>
      <c r="O15" t="str">
        <f>IF(COUNTIFS('Total Rushing Yards'!A:A,'QBs Compiled'!$A15)=1,"Vegas Odds","2022 Stats / Prediction")</f>
        <v>2022 Stats / Prediction</v>
      </c>
      <c r="P15" t="str">
        <f>IF(COUNTIFS('Total Rushing Touchdowns'!A:A,'QBs Compiled'!$A15)=1,"Vegas Odds","2022 Stats / Prediction")</f>
        <v>2022 Stats / Prediction</v>
      </c>
      <c r="Q15" t="str">
        <f>IF(COUNTIFS('Total Interceptions'!A:A,'QBs Compiled'!$A15)=1,"Vegas Odds","2022 Stats / Prediction")</f>
        <v>Vegas Odds</v>
      </c>
    </row>
    <row r="16" spans="1:17" x14ac:dyDescent="0.25">
      <c r="A16" t="s">
        <v>93</v>
      </c>
      <c r="B16" s="9">
        <f t="shared" si="0"/>
        <v>269.07</v>
      </c>
      <c r="C16" s="7">
        <f>SUMIFS('Total Passing Yards'!G:G,'Total Passing Yards'!A:A,'QBs Compiled'!A16)</f>
        <v>3637.75</v>
      </c>
      <c r="D16" s="7">
        <f>SUMIFS('Total Passing Touchdowns'!E:E,'Total Passing Touchdowns'!A:A,'QBs Compiled'!A16)</f>
        <v>22.5</v>
      </c>
      <c r="E16" s="7">
        <f>IF(SUMIFS('Total Rushing Yards'!E:E,'Total Rushing Yards'!A:A,'QBs Compiled'!$A16)=0,SUMIFS('2022 QB Stats'!P:P,'2022 QB Stats'!A:A,'QBs Compiled'!A16),SUMIFS('Total Rushing Yards'!E:E,'Total Rushing Yards'!A:A,'QBs Compiled'!$A16))</f>
        <v>115.6</v>
      </c>
      <c r="F16" s="7">
        <f>IF(SUMIFS('Total Rushing Touchdowns'!B:B,'Total Rushing Touchdowns'!A:A,'QBs Compiled'!$A16)=0,SUMIFS('2022 QB Stats'!Q:Q,'2022 QB Stats'!A:A,'QBs Compiled'!A16),SUMIFS('Total Rushing Touchdowns'!B:B,'Total Rushing Touchdowns'!A:A,'QBs Compiled'!$A16))</f>
        <v>0</v>
      </c>
      <c r="G16" s="7">
        <f>IF(SUMIFS('Total Interceptions'!B:B,'Total Interceptions'!A:A,'QBs Compiled'!A16)=0,SUMIFS('2022 QB Stats'!N:N,'2022 QB Stats'!A:A,'QBs Compiled'!A16),SUMIFS('Total Interceptions'!B:B,'Total Interceptions'!A:A,'QBs Compiled'!A16))</f>
        <v>11.5</v>
      </c>
      <c r="H16" s="5">
        <f>_xlfn.XLOOKUP(C$1,Pt_System[Stat],Pt_System[Pts])*C16</f>
        <v>145.51</v>
      </c>
      <c r="I16" s="5">
        <f>_xlfn.XLOOKUP(D$1,Pt_System[Stat],Pt_System[Pts])*D16</f>
        <v>135</v>
      </c>
      <c r="J16" s="5">
        <f>_xlfn.XLOOKUP(E$1,Pt_System[Stat],Pt_System[Pts])*E16</f>
        <v>11.56</v>
      </c>
      <c r="K16" s="5">
        <f>_xlfn.XLOOKUP(F$1,Pt_System[Stat],Pt_System[Pts])*F16</f>
        <v>0</v>
      </c>
      <c r="L16" s="5">
        <f>_xlfn.XLOOKUP(G$1,Pt_System[Stat],Pt_System[Pts])*G16</f>
        <v>-23</v>
      </c>
      <c r="M16" t="str">
        <f>IF(COUNTIFS('Total Passing Yards'!A:A,'QBs Compiled'!A16)=1,"Vegas Odds","Check")</f>
        <v>Vegas Odds</v>
      </c>
      <c r="N16" t="str">
        <f>IF(COUNTIFS('Total Passing Touchdowns'!A:A,'QBs Compiled'!$A16)=1,"Vegas Odds","2022 Stats / Prediction")</f>
        <v>Vegas Odds</v>
      </c>
      <c r="O16" t="str">
        <f>IF(COUNTIFS('Total Rushing Yards'!A:A,'QBs Compiled'!$A16)=1,"Vegas Odds","2022 Stats / Prediction")</f>
        <v>2022 Stats / Prediction</v>
      </c>
      <c r="P16" t="str">
        <f>IF(COUNTIFS('Total Rushing Touchdowns'!A:A,'QBs Compiled'!$A16)=1,"Vegas Odds","2022 Stats / Prediction")</f>
        <v>2022 Stats / Prediction</v>
      </c>
      <c r="Q16" t="str">
        <f>IF(COUNTIFS('Total Interceptions'!A:A,'QBs Compiled'!$A16)=1,"Vegas Odds","2022 Stats / Prediction")</f>
        <v>Vegas Odds</v>
      </c>
    </row>
    <row r="17" spans="1:17" x14ac:dyDescent="0.25">
      <c r="A17" t="s">
        <v>82</v>
      </c>
      <c r="B17" s="9">
        <f t="shared" si="0"/>
        <v>247.32111111111107</v>
      </c>
      <c r="C17" s="7">
        <f>SUMIFS('Total Passing Yards'!G:G,'Total Passing Yards'!A:A,'QBs Compiled'!A17)</f>
        <v>3537.75</v>
      </c>
      <c r="D17" s="7">
        <f>SUMIFS('Total Passing Touchdowns'!E:E,'Total Passing Touchdowns'!A:A,'QBs Compiled'!A17)</f>
        <v>20.5</v>
      </c>
      <c r="E17" s="7">
        <f>IF(SUMIFS('Total Rushing Yards'!E:E,'Total Rushing Yards'!A:A,'QBs Compiled'!$A17)=0,SUMIFS('2022 QB Stats'!P:P,'2022 QB Stats'!A:A,'QBs Compiled'!A17),SUMIFS('Total Rushing Yards'!E:E,'Total Rushing Yards'!A:A,'QBs Compiled'!$A17))</f>
        <v>17</v>
      </c>
      <c r="F17" s="7">
        <f>IF(SUMIFS('Total Rushing Touchdowns'!B:B,'Total Rushing Touchdowns'!A:A,'QBs Compiled'!$A17)=0,SUMIFS('2022 QB Stats'!Q:Q,'2022 QB Stats'!A:A,'QBs Compiled'!A17),SUMIFS('Total Rushing Touchdowns'!B:B,'Total Rushing Touchdowns'!A:A,'QBs Compiled'!$A17))</f>
        <v>1.8888888888888888</v>
      </c>
      <c r="G17" s="7">
        <f>IF(SUMIFS('Total Interceptions'!B:B,'Total Interceptions'!A:A,'QBs Compiled'!A17)=0,SUMIFS('2022 QB Stats'!N:N,'2022 QB Stats'!A:A,'QBs Compiled'!A17),SUMIFS('Total Interceptions'!B:B,'Total Interceptions'!A:A,'QBs Compiled'!A17))</f>
        <v>15.111111111111111</v>
      </c>
      <c r="H17" s="5">
        <f>_xlfn.XLOOKUP(C$1,Pt_System[Stat],Pt_System[Pts])*C17</f>
        <v>141.51</v>
      </c>
      <c r="I17" s="5">
        <f>_xlfn.XLOOKUP(D$1,Pt_System[Stat],Pt_System[Pts])*D17</f>
        <v>123</v>
      </c>
      <c r="J17" s="5">
        <f>_xlfn.XLOOKUP(E$1,Pt_System[Stat],Pt_System[Pts])*E17</f>
        <v>1.7000000000000002</v>
      </c>
      <c r="K17" s="5">
        <f>_xlfn.XLOOKUP(F$1,Pt_System[Stat],Pt_System[Pts])*F17</f>
        <v>11.333333333333332</v>
      </c>
      <c r="L17" s="5">
        <f>_xlfn.XLOOKUP(G$1,Pt_System[Stat],Pt_System[Pts])*G17</f>
        <v>-30.222222222222221</v>
      </c>
      <c r="M17" t="str">
        <f>IF(COUNTIFS('Total Passing Yards'!A:A,'QBs Compiled'!A17)=1,"Vegas Odds","Check")</f>
        <v>Vegas Odds</v>
      </c>
      <c r="N17" t="str">
        <f>IF(COUNTIFS('Total Passing Touchdowns'!A:A,'QBs Compiled'!$A17)=1,"Vegas Odds","2022 Stats / Prediction")</f>
        <v>Vegas Odds</v>
      </c>
      <c r="O17" t="str">
        <f>IF(COUNTIFS('Total Rushing Yards'!A:A,'QBs Compiled'!$A17)=1,"Vegas Odds","2022 Stats / Prediction")</f>
        <v>2022 Stats / Prediction</v>
      </c>
      <c r="P17" t="str">
        <f>IF(COUNTIFS('Total Rushing Touchdowns'!A:A,'QBs Compiled'!$A17)=1,"Vegas Odds","2022 Stats / Prediction")</f>
        <v>2022 Stats / Prediction</v>
      </c>
      <c r="Q17" t="str">
        <f>IF(COUNTIFS('Total Interceptions'!A:A,'QBs Compiled'!$A17)=1,"Vegas Odds","2022 Stats / Prediction")</f>
        <v>2022 Stats / Prediction</v>
      </c>
    </row>
    <row r="18" spans="1:17" x14ac:dyDescent="0.25">
      <c r="A18" t="s">
        <v>63</v>
      </c>
      <c r="B18" s="9">
        <f t="shared" si="0"/>
        <v>366.11</v>
      </c>
      <c r="C18" s="7">
        <f>SUMIFS('Total Passing Yards'!G:G,'Total Passing Yards'!A:A,'QBs Compiled'!A18)</f>
        <v>3400.25</v>
      </c>
      <c r="D18" s="7">
        <f>SUMIFS('Total Passing Touchdowns'!E:E,'Total Passing Touchdowns'!A:A,'QBs Compiled'!A18)</f>
        <v>24.5</v>
      </c>
      <c r="E18" s="7">
        <f>IF(SUMIFS('Total Rushing Yards'!E:E,'Total Rushing Yards'!A:A,'QBs Compiled'!$A18)=0,SUMIFS('2022 QB Stats'!P:P,'2022 QB Stats'!A:A,'QBs Compiled'!A18),SUMIFS('Total Rushing Yards'!E:E,'Total Rushing Yards'!A:A,'QBs Compiled'!$A18))</f>
        <v>751</v>
      </c>
      <c r="F18" s="7">
        <f>IF(SUMIFS('Total Rushing Touchdowns'!B:B,'Total Rushing Touchdowns'!A:A,'QBs Compiled'!$A18)=0,SUMIFS('2022 QB Stats'!Q:Q,'2022 QB Stats'!A:A,'QBs Compiled'!A18),SUMIFS('Total Rushing Touchdowns'!B:B,'Total Rushing Touchdowns'!A:A,'QBs Compiled'!$A18))</f>
        <v>5.5</v>
      </c>
      <c r="G18" s="7">
        <f>IF(SUMIFS('Total Interceptions'!B:B,'Total Interceptions'!A:A,'QBs Compiled'!A18)=0,SUMIFS('2022 QB Stats'!N:N,'2022 QB Stats'!A:A,'QBs Compiled'!A18),SUMIFS('Total Interceptions'!B:B,'Total Interceptions'!A:A,'QBs Compiled'!A18))</f>
        <v>12.5</v>
      </c>
      <c r="H18" s="5">
        <f>_xlfn.XLOOKUP(C$1,Pt_System[Stat],Pt_System[Pts])*C18</f>
        <v>136.01</v>
      </c>
      <c r="I18" s="5">
        <f>_xlfn.XLOOKUP(D$1,Pt_System[Stat],Pt_System[Pts])*D18</f>
        <v>147</v>
      </c>
      <c r="J18" s="5">
        <f>_xlfn.XLOOKUP(E$1,Pt_System[Stat],Pt_System[Pts])*E18</f>
        <v>75.100000000000009</v>
      </c>
      <c r="K18" s="5">
        <f>_xlfn.XLOOKUP(F$1,Pt_System[Stat],Pt_System[Pts])*F18</f>
        <v>33</v>
      </c>
      <c r="L18" s="5">
        <f>_xlfn.XLOOKUP(G$1,Pt_System[Stat],Pt_System[Pts])*G18</f>
        <v>-25</v>
      </c>
      <c r="M18" t="str">
        <f>IF(COUNTIFS('Total Passing Yards'!A:A,'QBs Compiled'!A18)=1,"Vegas Odds","Check")</f>
        <v>Vegas Odds</v>
      </c>
      <c r="N18" t="str">
        <f>IF(COUNTIFS('Total Passing Touchdowns'!A:A,'QBs Compiled'!$A18)=1,"Vegas Odds","2022 Stats / Prediction")</f>
        <v>Vegas Odds</v>
      </c>
      <c r="O18" t="str">
        <f>IF(COUNTIFS('Total Rushing Yards'!A:A,'QBs Compiled'!$A18)=1,"Vegas Odds","2022 Stats / Prediction")</f>
        <v>Vegas Odds</v>
      </c>
      <c r="P18" t="str">
        <f>IF(COUNTIFS('Total Rushing Touchdowns'!A:A,'QBs Compiled'!$A18)=1,"Vegas Odds","2022 Stats / Prediction")</f>
        <v>Vegas Odds</v>
      </c>
      <c r="Q18" t="str">
        <f>IF(COUNTIFS('Total Interceptions'!A:A,'QBs Compiled'!$A18)=1,"Vegas Odds","2022 Stats / Prediction")</f>
        <v>Vegas Odds</v>
      </c>
    </row>
    <row r="19" spans="1:17" x14ac:dyDescent="0.25">
      <c r="A19" t="s">
        <v>105</v>
      </c>
      <c r="B19" s="9">
        <f t="shared" si="0"/>
        <v>237.26</v>
      </c>
      <c r="C19" s="7">
        <f>SUMIFS('Total Passing Yards'!G:G,'Total Passing Yards'!A:A,'QBs Compiled'!A19)</f>
        <v>3331.5</v>
      </c>
      <c r="D19" s="7">
        <f>SUMIFS('Total Passing Touchdowns'!E:E,'Total Passing Touchdowns'!A:A,'QBs Compiled'!A19)</f>
        <v>21.5</v>
      </c>
      <c r="E19" s="7">
        <f>IF(SUMIFS('Total Rushing Yards'!E:E,'Total Rushing Yards'!A:A,'QBs Compiled'!$A19)=0,SUMIFS('2022 QB Stats'!P:P,'2022 QB Stats'!A:A,'QBs Compiled'!A19),SUMIFS('Total Rushing Yards'!E:E,'Total Rushing Yards'!A:A,'QBs Compiled'!$A19))</f>
        <v>0</v>
      </c>
      <c r="F19" s="7">
        <f>IF(SUMIFS('Total Rushing Touchdowns'!B:B,'Total Rushing Touchdowns'!A:A,'QBs Compiled'!$A19)=0,SUMIFS('2022 QB Stats'!Q:Q,'2022 QB Stats'!A:A,'QBs Compiled'!A19),SUMIFS('Total Rushing Touchdowns'!B:B,'Total Rushing Touchdowns'!A:A,'QBs Compiled'!$A19))</f>
        <v>0</v>
      </c>
      <c r="G19" s="7">
        <f>IF(SUMIFS('Total Interceptions'!B:B,'Total Interceptions'!A:A,'QBs Compiled'!A19)=0,SUMIFS('2022 QB Stats'!N:N,'2022 QB Stats'!A:A,'QBs Compiled'!A19),SUMIFS('Total Interceptions'!B:B,'Total Interceptions'!A:A,'QBs Compiled'!A19))</f>
        <v>12.5</v>
      </c>
      <c r="H19" s="5">
        <f>_xlfn.XLOOKUP(C$1,Pt_System[Stat],Pt_System[Pts])*C19</f>
        <v>133.26</v>
      </c>
      <c r="I19" s="5">
        <f>_xlfn.XLOOKUP(D$1,Pt_System[Stat],Pt_System[Pts])*D19</f>
        <v>129</v>
      </c>
      <c r="J19" s="5">
        <f>_xlfn.XLOOKUP(E$1,Pt_System[Stat],Pt_System[Pts])*E19</f>
        <v>0</v>
      </c>
      <c r="K19" s="5">
        <f>_xlfn.XLOOKUP(F$1,Pt_System[Stat],Pt_System[Pts])*F19</f>
        <v>0</v>
      </c>
      <c r="L19" s="5">
        <f>_xlfn.XLOOKUP(G$1,Pt_System[Stat],Pt_System[Pts])*G19</f>
        <v>-25</v>
      </c>
      <c r="M19" t="str">
        <f>IF(COUNTIFS('Total Passing Yards'!A:A,'QBs Compiled'!A19)=1,"Vegas Odds","Check")</f>
        <v>Vegas Odds</v>
      </c>
      <c r="N19" t="str">
        <f>IF(COUNTIFS('Total Passing Touchdowns'!A:A,'QBs Compiled'!$A19)=1,"Vegas Odds","2022 Stats / Prediction")</f>
        <v>Vegas Odds</v>
      </c>
      <c r="O19" t="str">
        <f>IF(COUNTIFS('Total Rushing Yards'!A:A,'QBs Compiled'!$A19)=1,"Vegas Odds","2022 Stats / Prediction")</f>
        <v>2022 Stats / Prediction</v>
      </c>
      <c r="P19" t="str">
        <f>IF(COUNTIFS('Total Rushing Touchdowns'!A:A,'QBs Compiled'!$A19)=1,"Vegas Odds","2022 Stats / Prediction")</f>
        <v>2022 Stats / Prediction</v>
      </c>
      <c r="Q19" t="str">
        <f>IF(COUNTIFS('Total Interceptions'!A:A,'QBs Compiled'!$A19)=1,"Vegas Odds","2022 Stats / Prediction")</f>
        <v>Vegas Odds</v>
      </c>
    </row>
    <row r="20" spans="1:17" x14ac:dyDescent="0.25">
      <c r="A20" t="s">
        <v>83</v>
      </c>
      <c r="B20" s="9">
        <f t="shared" si="0"/>
        <v>275.29076923076923</v>
      </c>
      <c r="C20" s="7">
        <f>SUMIFS('Total Passing Yards'!G:G,'Total Passing Yards'!A:A,'QBs Compiled'!A20)</f>
        <v>3319</v>
      </c>
      <c r="D20" s="7">
        <f>SUMIFS('Total Passing Touchdowns'!E:E,'Total Passing Touchdowns'!A:A,'QBs Compiled'!A20)</f>
        <v>17.833333333333332</v>
      </c>
      <c r="E20" s="7">
        <f>IF(SUMIFS('Total Rushing Yards'!E:E,'Total Rushing Yards'!A:A,'QBs Compiled'!$A20)=0,SUMIFS('2022 QB Stats'!P:P,'2022 QB Stats'!A:A,'QBs Compiled'!A20),SUMIFS('Total Rushing Yards'!E:E,'Total Rushing Yards'!A:A,'QBs Compiled'!$A20))</f>
        <v>309.92307692307691</v>
      </c>
      <c r="F20" s="7">
        <f>IF(SUMIFS('Total Rushing Touchdowns'!B:B,'Total Rushing Touchdowns'!A:A,'QBs Compiled'!$A20)=0,SUMIFS('2022 QB Stats'!Q:Q,'2022 QB Stats'!A:A,'QBs Compiled'!A20),SUMIFS('Total Rushing Touchdowns'!B:B,'Total Rushing Touchdowns'!A:A,'QBs Compiled'!$A20))</f>
        <v>3.9230769230769234</v>
      </c>
      <c r="G20" s="7">
        <f>IF(SUMIFS('Total Interceptions'!B:B,'Total Interceptions'!A:A,'QBs Compiled'!A20)=0,SUMIFS('2022 QB Stats'!N:N,'2022 QB Stats'!A:A,'QBs Compiled'!A20),SUMIFS('Total Interceptions'!B:B,'Total Interceptions'!A:A,'QBs Compiled'!A20))</f>
        <v>9.5</v>
      </c>
      <c r="H20" s="5">
        <f>_xlfn.XLOOKUP(C$1,Pt_System[Stat],Pt_System[Pts])*C20</f>
        <v>132.76</v>
      </c>
      <c r="I20" s="5">
        <f>_xlfn.XLOOKUP(D$1,Pt_System[Stat],Pt_System[Pts])*D20</f>
        <v>107</v>
      </c>
      <c r="J20" s="5">
        <f>_xlfn.XLOOKUP(E$1,Pt_System[Stat],Pt_System[Pts])*E20</f>
        <v>30.992307692307691</v>
      </c>
      <c r="K20" s="5">
        <f>_xlfn.XLOOKUP(F$1,Pt_System[Stat],Pt_System[Pts])*F20</f>
        <v>23.53846153846154</v>
      </c>
      <c r="L20" s="5">
        <f>_xlfn.XLOOKUP(G$1,Pt_System[Stat],Pt_System[Pts])*G20</f>
        <v>-19</v>
      </c>
      <c r="M20" t="str">
        <f>IF(COUNTIFS('Total Passing Yards'!A:A,'QBs Compiled'!A20)=1,"Vegas Odds","Check")</f>
        <v>Vegas Odds</v>
      </c>
      <c r="N20" t="str">
        <f>IF(COUNTIFS('Total Passing Touchdowns'!A:A,'QBs Compiled'!$A20)=1,"Vegas Odds","2022 Stats / Prediction")</f>
        <v>Vegas Odds</v>
      </c>
      <c r="O20" t="str">
        <f>IF(COUNTIFS('Total Rushing Yards'!A:A,'QBs Compiled'!$A20)=1,"Vegas Odds","2022 Stats / Prediction")</f>
        <v>2022 Stats / Prediction</v>
      </c>
      <c r="P20" t="str">
        <f>IF(COUNTIFS('Total Rushing Touchdowns'!A:A,'QBs Compiled'!$A20)=1,"Vegas Odds","2022 Stats / Prediction")</f>
        <v>2022 Stats / Prediction</v>
      </c>
      <c r="Q20" t="str">
        <f>IF(COUNTIFS('Total Interceptions'!A:A,'QBs Compiled'!$A20)=1,"Vegas Odds","2022 Stats / Prediction")</f>
        <v>Vegas Odds</v>
      </c>
    </row>
    <row r="21" spans="1:17" x14ac:dyDescent="0.25">
      <c r="A21" t="s">
        <v>85</v>
      </c>
      <c r="B21" s="9">
        <f t="shared" si="0"/>
        <v>265.69777777777779</v>
      </c>
      <c r="C21" s="7">
        <f>SUMIFS('Total Passing Yards'!G:G,'Total Passing Yards'!A:A,'QBs Compiled'!A21)</f>
        <v>3300.5</v>
      </c>
      <c r="D21" s="7">
        <f>SUMIFS('Total Passing Touchdowns'!E:E,'Total Passing Touchdowns'!A:A,'QBs Compiled'!A21)</f>
        <v>22.5</v>
      </c>
      <c r="E21" s="7">
        <f>IF(SUMIFS('Total Rushing Yards'!E:E,'Total Rushing Yards'!A:A,'QBs Compiled'!$A21)=0,SUMIFS('2022 QB Stats'!P:P,'2022 QB Stats'!A:A,'QBs Compiled'!A21),SUMIFS('Total Rushing Yards'!E:E,'Total Rushing Yards'!A:A,'QBs Compiled'!$A21))</f>
        <v>24.555555555555554</v>
      </c>
      <c r="F21" s="7">
        <f>IF(SUMIFS('Total Rushing Touchdowns'!B:B,'Total Rushing Touchdowns'!A:A,'QBs Compiled'!$A21)=0,SUMIFS('2022 QB Stats'!Q:Q,'2022 QB Stats'!A:A,'QBs Compiled'!A21),SUMIFS('Total Rushing Touchdowns'!B:B,'Total Rushing Touchdowns'!A:A,'QBs Compiled'!$A21))</f>
        <v>1.8888888888888888</v>
      </c>
      <c r="G21" s="7">
        <f>IF(SUMIFS('Total Interceptions'!B:B,'Total Interceptions'!A:A,'QBs Compiled'!A21)=0,SUMIFS('2022 QB Stats'!N:N,'2022 QB Stats'!A:A,'QBs Compiled'!A21),SUMIFS('Total Interceptions'!B:B,'Total Interceptions'!A:A,'QBs Compiled'!A21))</f>
        <v>7.5555555555555554</v>
      </c>
      <c r="H21" s="5">
        <f>_xlfn.XLOOKUP(C$1,Pt_System[Stat],Pt_System[Pts])*C21</f>
        <v>132.02000000000001</v>
      </c>
      <c r="I21" s="5">
        <f>_xlfn.XLOOKUP(D$1,Pt_System[Stat],Pt_System[Pts])*D21</f>
        <v>135</v>
      </c>
      <c r="J21" s="5">
        <f>_xlfn.XLOOKUP(E$1,Pt_System[Stat],Pt_System[Pts])*E21</f>
        <v>2.4555555555555557</v>
      </c>
      <c r="K21" s="5">
        <f>_xlfn.XLOOKUP(F$1,Pt_System[Stat],Pt_System[Pts])*F21</f>
        <v>11.333333333333332</v>
      </c>
      <c r="L21" s="5">
        <f>_xlfn.XLOOKUP(G$1,Pt_System[Stat],Pt_System[Pts])*G21</f>
        <v>-15.111111111111111</v>
      </c>
      <c r="M21" t="str">
        <f>IF(COUNTIFS('Total Passing Yards'!A:A,'QBs Compiled'!A21)=1,"Vegas Odds","Check")</f>
        <v>Vegas Odds</v>
      </c>
      <c r="N21" t="str">
        <f>IF(COUNTIFS('Total Passing Touchdowns'!A:A,'QBs Compiled'!$A21)=1,"Vegas Odds","2022 Stats / Prediction")</f>
        <v>Vegas Odds</v>
      </c>
      <c r="O21" t="str">
        <f>IF(COUNTIFS('Total Rushing Yards'!A:A,'QBs Compiled'!$A21)=1,"Vegas Odds","2022 Stats / Prediction")</f>
        <v>2022 Stats / Prediction</v>
      </c>
      <c r="P21" t="str">
        <f>IF(COUNTIFS('Total Rushing Touchdowns'!A:A,'QBs Compiled'!$A21)=1,"Vegas Odds","2022 Stats / Prediction")</f>
        <v>2022 Stats / Prediction</v>
      </c>
      <c r="Q21" t="str">
        <f>IF(COUNTIFS('Total Interceptions'!A:A,'QBs Compiled'!$A21)=1,"Vegas Odds","2022 Stats / Prediction")</f>
        <v>2022 Stats / Prediction</v>
      </c>
    </row>
    <row r="22" spans="1:17" x14ac:dyDescent="0.25">
      <c r="A22" t="s">
        <v>103</v>
      </c>
      <c r="B22" s="9">
        <f t="shared" si="0"/>
        <v>143.30181818181819</v>
      </c>
      <c r="C22" s="7">
        <f>SUMIFS('Total Passing Yards'!G:G,'Total Passing Yards'!A:A,'QBs Compiled'!A22)</f>
        <v>3300.5</v>
      </c>
      <c r="D22" s="7">
        <f>SUMIFS('Total Passing Touchdowns'!E:E,'Total Passing Touchdowns'!A:A,'QBs Compiled'!A22)</f>
        <v>0</v>
      </c>
      <c r="E22" s="7">
        <f>IF(SUMIFS('Total Rushing Yards'!E:E,'Total Rushing Yards'!A:A,'QBs Compiled'!$A22)=0,SUMIFS('2022 QB Stats'!P:P,'2022 QB Stats'!A:A,'QBs Compiled'!A22),SUMIFS('Total Rushing Yards'!E:E,'Total Rushing Yards'!A:A,'QBs Compiled'!$A22))</f>
        <v>51</v>
      </c>
      <c r="F22" s="7">
        <f>IF(SUMIFS('Total Rushing Touchdowns'!B:B,'Total Rushing Touchdowns'!A:A,'QBs Compiled'!$A22)=0,SUMIFS('2022 QB Stats'!Q:Q,'2022 QB Stats'!A:A,'QBs Compiled'!A22),SUMIFS('Total Rushing Touchdowns'!B:B,'Total Rushing Touchdowns'!A:A,'QBs Compiled'!$A22))</f>
        <v>3.0909090909090908</v>
      </c>
      <c r="G22" s="7">
        <f>IF(SUMIFS('Total Interceptions'!B:B,'Total Interceptions'!A:A,'QBs Compiled'!A22)=0,SUMIFS('2022 QB Stats'!N:N,'2022 QB Stats'!A:A,'QBs Compiled'!A22),SUMIFS('Total Interceptions'!B:B,'Total Interceptions'!A:A,'QBs Compiled'!A22))</f>
        <v>6.1818181818181817</v>
      </c>
      <c r="H22" s="5">
        <f>_xlfn.XLOOKUP(C$1,Pt_System[Stat],Pt_System[Pts])*C22</f>
        <v>132.02000000000001</v>
      </c>
      <c r="I22" s="5">
        <f>_xlfn.XLOOKUP(D$1,Pt_System[Stat],Pt_System[Pts])*D22</f>
        <v>0</v>
      </c>
      <c r="J22" s="5">
        <f>_xlfn.XLOOKUP(E$1,Pt_System[Stat],Pt_System[Pts])*E22</f>
        <v>5.1000000000000005</v>
      </c>
      <c r="K22" s="5">
        <f>_xlfn.XLOOKUP(F$1,Pt_System[Stat],Pt_System[Pts])*F22</f>
        <v>18.545454545454547</v>
      </c>
      <c r="L22" s="5">
        <f>_xlfn.XLOOKUP(G$1,Pt_System[Stat],Pt_System[Pts])*G22</f>
        <v>-12.363636363636363</v>
      </c>
      <c r="M22" t="str">
        <f>IF(COUNTIFS('Total Passing Yards'!A:A,'QBs Compiled'!A22)=1,"Vegas Odds","Check")</f>
        <v>Vegas Odds</v>
      </c>
      <c r="N22" t="str">
        <f>IF(COUNTIFS('Total Passing Touchdowns'!A:A,'QBs Compiled'!$A22)=1,"Vegas Odds","2022 Stats / Prediction")</f>
        <v>2022 Stats / Prediction</v>
      </c>
      <c r="O22" t="str">
        <f>IF(COUNTIFS('Total Rushing Yards'!A:A,'QBs Compiled'!$A22)=1,"Vegas Odds","2022 Stats / Prediction")</f>
        <v>2022 Stats / Prediction</v>
      </c>
      <c r="P22" t="str">
        <f>IF(COUNTIFS('Total Rushing Touchdowns'!A:A,'QBs Compiled'!$A22)=1,"Vegas Odds","2022 Stats / Prediction")</f>
        <v>2022 Stats / Prediction</v>
      </c>
      <c r="Q22" t="str">
        <f>IF(COUNTIFS('Total Interceptions'!A:A,'QBs Compiled'!$A22)=1,"Vegas Odds","2022 Stats / Prediction")</f>
        <v>2022 Stats / Prediction</v>
      </c>
    </row>
    <row r="23" spans="1:17" x14ac:dyDescent="0.25">
      <c r="A23" t="s">
        <v>74</v>
      </c>
      <c r="B23" s="9">
        <f t="shared" si="0"/>
        <v>318.435</v>
      </c>
      <c r="C23" s="7">
        <f>SUMIFS('Total Passing Yards'!G:G,'Total Passing Yards'!A:A,'QBs Compiled'!A23)</f>
        <v>3237.75</v>
      </c>
      <c r="D23" s="7">
        <f>SUMIFS('Total Passing Touchdowns'!E:E,'Total Passing Touchdowns'!A:A,'QBs Compiled'!A23)</f>
        <v>17.5</v>
      </c>
      <c r="E23" s="7">
        <f>IF(SUMIFS('Total Rushing Yards'!E:E,'Total Rushing Yards'!A:A,'QBs Compiled'!$A23)=0,SUMIFS('2022 QB Stats'!P:P,'2022 QB Stats'!A:A,'QBs Compiled'!A23),SUMIFS('Total Rushing Yards'!E:E,'Total Rushing Yards'!A:A,'QBs Compiled'!$A23))</f>
        <v>563</v>
      </c>
      <c r="F23" s="7">
        <f>IF(SUMIFS('Total Rushing Touchdowns'!B:B,'Total Rushing Touchdowns'!A:A,'QBs Compiled'!$A23)=0,SUMIFS('2022 QB Stats'!Q:Q,'2022 QB Stats'!A:A,'QBs Compiled'!A23),SUMIFS('Total Rushing Touchdowns'!B:B,'Total Rushing Touchdowns'!A:A,'QBs Compiled'!$A23))</f>
        <v>7.4375</v>
      </c>
      <c r="G23" s="7">
        <f>IF(SUMIFS('Total Interceptions'!B:B,'Total Interceptions'!A:A,'QBs Compiled'!A23)=0,SUMIFS('2022 QB Stats'!N:N,'2022 QB Stats'!A:A,'QBs Compiled'!A23),SUMIFS('Total Interceptions'!B:B,'Total Interceptions'!A:A,'QBs Compiled'!A23))</f>
        <v>8.5</v>
      </c>
      <c r="H23" s="5">
        <f>_xlfn.XLOOKUP(C$1,Pt_System[Stat],Pt_System[Pts])*C23</f>
        <v>129.51</v>
      </c>
      <c r="I23" s="5">
        <f>_xlfn.XLOOKUP(D$1,Pt_System[Stat],Pt_System[Pts])*D23</f>
        <v>105</v>
      </c>
      <c r="J23" s="5">
        <f>_xlfn.XLOOKUP(E$1,Pt_System[Stat],Pt_System[Pts])*E23</f>
        <v>56.300000000000004</v>
      </c>
      <c r="K23" s="5">
        <f>_xlfn.XLOOKUP(F$1,Pt_System[Stat],Pt_System[Pts])*F23</f>
        <v>44.625</v>
      </c>
      <c r="L23" s="5">
        <f>_xlfn.XLOOKUP(G$1,Pt_System[Stat],Pt_System[Pts])*G23</f>
        <v>-17</v>
      </c>
      <c r="M23" t="str">
        <f>IF(COUNTIFS('Total Passing Yards'!A:A,'QBs Compiled'!A23)=1,"Vegas Odds","Check")</f>
        <v>Vegas Odds</v>
      </c>
      <c r="N23" t="str">
        <f>IF(COUNTIFS('Total Passing Touchdowns'!A:A,'QBs Compiled'!$A23)=1,"Vegas Odds","2022 Stats / Prediction")</f>
        <v>Vegas Odds</v>
      </c>
      <c r="O23" t="str">
        <f>IF(COUNTIFS('Total Rushing Yards'!A:A,'QBs Compiled'!$A23)=1,"Vegas Odds","2022 Stats / Prediction")</f>
        <v>Vegas Odds</v>
      </c>
      <c r="P23" t="str">
        <f>IF(COUNTIFS('Total Rushing Touchdowns'!A:A,'QBs Compiled'!$A23)=1,"Vegas Odds","2022 Stats / Prediction")</f>
        <v>2022 Stats / Prediction</v>
      </c>
      <c r="Q23" t="str">
        <f>IF(COUNTIFS('Total Interceptions'!A:A,'QBs Compiled'!$A23)=1,"Vegas Odds","2022 Stats / Prediction")</f>
        <v>Vegas Odds</v>
      </c>
    </row>
    <row r="24" spans="1:17" x14ac:dyDescent="0.25">
      <c r="A24" t="s">
        <v>99</v>
      </c>
      <c r="B24" s="9">
        <f t="shared" si="0"/>
        <v>243.17142857142858</v>
      </c>
      <c r="C24" s="7">
        <f>SUMIFS('Total Passing Yards'!G:G,'Total Passing Yards'!A:A,'QBs Compiled'!A24)</f>
        <v>3237.5</v>
      </c>
      <c r="D24" s="7">
        <f>SUMIFS('Total Passing Touchdowns'!E:E,'Total Passing Touchdowns'!A:A,'QBs Compiled'!A24)</f>
        <v>19.5</v>
      </c>
      <c r="E24" s="7">
        <f>IF(SUMIFS('Total Rushing Yards'!E:E,'Total Rushing Yards'!A:A,'QBs Compiled'!$A24)=0,SUMIFS('2022 QB Stats'!P:P,'2022 QB Stats'!A:A,'QBs Compiled'!A24),SUMIFS('Total Rushing Yards'!E:E,'Total Rushing Yards'!A:A,'QBs Compiled'!$A24))</f>
        <v>123.85714285714285</v>
      </c>
      <c r="F24" s="7">
        <f>IF(SUMIFS('Total Rushing Touchdowns'!B:B,'Total Rushing Touchdowns'!A:A,'QBs Compiled'!$A24)=0,SUMIFS('2022 QB Stats'!Q:Q,'2022 QB Stats'!A:A,'QBs Compiled'!A24),SUMIFS('Total Rushing Touchdowns'!B:B,'Total Rushing Touchdowns'!A:A,'QBs Compiled'!$A24))</f>
        <v>1.2142857142857142</v>
      </c>
      <c r="G24" s="7">
        <f>IF(SUMIFS('Total Interceptions'!B:B,'Total Interceptions'!A:A,'QBs Compiled'!A24)=0,SUMIFS('2022 QB Stats'!N:N,'2022 QB Stats'!A:A,'QBs Compiled'!A24),SUMIFS('Total Interceptions'!B:B,'Total Interceptions'!A:A,'QBs Compiled'!A24))</f>
        <v>11.5</v>
      </c>
      <c r="H24" s="5">
        <f>_xlfn.XLOOKUP(C$1,Pt_System[Stat],Pt_System[Pts])*C24</f>
        <v>129.5</v>
      </c>
      <c r="I24" s="5">
        <f>_xlfn.XLOOKUP(D$1,Pt_System[Stat],Pt_System[Pts])*D24</f>
        <v>117</v>
      </c>
      <c r="J24" s="5">
        <f>_xlfn.XLOOKUP(E$1,Pt_System[Stat],Pt_System[Pts])*E24</f>
        <v>12.385714285714286</v>
      </c>
      <c r="K24" s="5">
        <f>_xlfn.XLOOKUP(F$1,Pt_System[Stat],Pt_System[Pts])*F24</f>
        <v>7.2857142857142847</v>
      </c>
      <c r="L24" s="5">
        <f>_xlfn.XLOOKUP(G$1,Pt_System[Stat],Pt_System[Pts])*G24</f>
        <v>-23</v>
      </c>
      <c r="M24" t="str">
        <f>IF(COUNTIFS('Total Passing Yards'!A:A,'QBs Compiled'!A24)=1,"Vegas Odds","Check")</f>
        <v>Vegas Odds</v>
      </c>
      <c r="N24" t="str">
        <f>IF(COUNTIFS('Total Passing Touchdowns'!A:A,'QBs Compiled'!$A24)=1,"Vegas Odds","2022 Stats / Prediction")</f>
        <v>Vegas Odds</v>
      </c>
      <c r="O24" t="str">
        <f>IF(COUNTIFS('Total Rushing Yards'!A:A,'QBs Compiled'!$A24)=1,"Vegas Odds","2022 Stats / Prediction")</f>
        <v>2022 Stats / Prediction</v>
      </c>
      <c r="P24" t="str">
        <f>IF(COUNTIFS('Total Rushing Touchdowns'!A:A,'QBs Compiled'!$A24)=1,"Vegas Odds","2022 Stats / Prediction")</f>
        <v>2022 Stats / Prediction</v>
      </c>
      <c r="Q24" t="str">
        <f>IF(COUNTIFS('Total Interceptions'!A:A,'QBs Compiled'!$A24)=1,"Vegas Odds","2022 Stats / Prediction")</f>
        <v>Vegas Odds</v>
      </c>
    </row>
    <row r="25" spans="1:17" x14ac:dyDescent="0.25">
      <c r="A25" t="s">
        <v>88</v>
      </c>
      <c r="B25" s="9">
        <f t="shared" si="0"/>
        <v>258.76</v>
      </c>
      <c r="C25" s="7">
        <f>SUMIFS('Total Passing Yards'!G:G,'Total Passing Yards'!A:A,'QBs Compiled'!A25)</f>
        <v>3219</v>
      </c>
      <c r="D25" s="7">
        <f>SUMIFS('Total Passing Touchdowns'!E:E,'Total Passing Touchdowns'!A:A,'QBs Compiled'!A25)</f>
        <v>19.5</v>
      </c>
      <c r="E25" s="7">
        <f>IF(SUMIFS('Total Rushing Yards'!E:E,'Total Rushing Yards'!A:A,'QBs Compiled'!$A25)=0,SUMIFS('2022 QB Stats'!P:P,'2022 QB Stats'!A:A,'QBs Compiled'!A25),SUMIFS('Total Rushing Yards'!E:E,'Total Rushing Yards'!A:A,'QBs Compiled'!$A25))</f>
        <v>100</v>
      </c>
      <c r="F25" s="7">
        <f>IF(SUMIFS('Total Rushing Touchdowns'!B:B,'Total Rushing Touchdowns'!A:A,'QBs Compiled'!$A25)=0,SUMIFS('2022 QB Stats'!Q:Q,'2022 QB Stats'!A:A,'QBs Compiled'!A25),SUMIFS('Total Rushing Touchdowns'!B:B,'Total Rushing Touchdowns'!A:A,'QBs Compiled'!$A25))</f>
        <v>5.5</v>
      </c>
      <c r="G25" s="7">
        <f>IF(SUMIFS('Total Interceptions'!B:B,'Total Interceptions'!A:A,'QBs Compiled'!A25)=0,SUMIFS('2022 QB Stats'!N:N,'2022 QB Stats'!A:A,'QBs Compiled'!A25),SUMIFS('Total Interceptions'!B:B,'Total Interceptions'!A:A,'QBs Compiled'!A25))</f>
        <v>15</v>
      </c>
      <c r="H25" s="5">
        <f>_xlfn.XLOOKUP(C$1,Pt_System[Stat],Pt_System[Pts])*C25</f>
        <v>128.76</v>
      </c>
      <c r="I25" s="5">
        <f>_xlfn.XLOOKUP(D$1,Pt_System[Stat],Pt_System[Pts])*D25</f>
        <v>117</v>
      </c>
      <c r="J25" s="5">
        <f>_xlfn.XLOOKUP(E$1,Pt_System[Stat],Pt_System[Pts])*E25</f>
        <v>10</v>
      </c>
      <c r="K25" s="5">
        <f>_xlfn.XLOOKUP(F$1,Pt_System[Stat],Pt_System[Pts])*F25</f>
        <v>33</v>
      </c>
      <c r="L25" s="5">
        <f>_xlfn.XLOOKUP(G$1,Pt_System[Stat],Pt_System[Pts])*G25</f>
        <v>-30</v>
      </c>
      <c r="M25" t="str">
        <f>IF(COUNTIFS('Total Passing Yards'!A:A,'QBs Compiled'!A25)=1,"Vegas Odds","Check")</f>
        <v>Vegas Odds</v>
      </c>
      <c r="N25" t="str">
        <f>IF(COUNTIFS('Total Passing Touchdowns'!A:A,'QBs Compiled'!$A25)=1,"Vegas Odds","2022 Stats / Prediction")</f>
        <v>Vegas Odds</v>
      </c>
      <c r="O25" t="str">
        <f>IF(COUNTIFS('Total Rushing Yards'!A:A,'QBs Compiled'!$A25)=1,"Vegas Odds","2022 Stats / Prediction")</f>
        <v>2022 Stats / Prediction</v>
      </c>
      <c r="P25" t="str">
        <f>IF(COUNTIFS('Total Rushing Touchdowns'!A:A,'QBs Compiled'!$A25)=1,"Vegas Odds","2022 Stats / Prediction")</f>
        <v>2022 Stats / Prediction</v>
      </c>
      <c r="Q25" t="str">
        <f>IF(COUNTIFS('Total Interceptions'!A:A,'QBs Compiled'!$A25)=1,"Vegas Odds","2022 Stats / Prediction")</f>
        <v>2022 Stats / Prediction</v>
      </c>
    </row>
    <row r="26" spans="1:17" x14ac:dyDescent="0.25">
      <c r="A26" t="s">
        <v>100</v>
      </c>
      <c r="B26" s="9">
        <f t="shared" si="0"/>
        <v>235.35333333333335</v>
      </c>
      <c r="C26" s="7">
        <f>SUMIFS('Total Passing Yards'!G:G,'Total Passing Yards'!A:A,'QBs Compiled'!A26)</f>
        <v>3158.8333333333335</v>
      </c>
      <c r="D26" s="7">
        <f>SUMIFS('Total Passing Touchdowns'!E:E,'Total Passing Touchdowns'!A:A,'QBs Compiled'!A26)</f>
        <v>18</v>
      </c>
      <c r="E26" s="7">
        <f>IF(SUMIFS('Total Rushing Yards'!E:E,'Total Rushing Yards'!A:A,'QBs Compiled'!$A26)=0,SUMIFS('2022 QB Stats'!P:P,'2022 QB Stats'!A:A,'QBs Compiled'!A26),SUMIFS('Total Rushing Yards'!E:E,'Total Rushing Yards'!A:A,'QBs Compiled'!$A26))</f>
        <v>100</v>
      </c>
      <c r="F26" s="7">
        <f>IF(SUMIFS('Total Rushing Touchdowns'!B:B,'Total Rushing Touchdowns'!A:A,'QBs Compiled'!$A26)=0,SUMIFS('2022 QB Stats'!Q:Q,'2022 QB Stats'!A:A,'QBs Compiled'!A26),SUMIFS('Total Rushing Touchdowns'!B:B,'Total Rushing Touchdowns'!A:A,'QBs Compiled'!$A26))</f>
        <v>3.5</v>
      </c>
      <c r="G26" s="7">
        <f>IF(SUMIFS('Total Interceptions'!B:B,'Total Interceptions'!A:A,'QBs Compiled'!A26)=0,SUMIFS('2022 QB Stats'!N:N,'2022 QB Stats'!A:A,'QBs Compiled'!A26),SUMIFS('Total Interceptions'!B:B,'Total Interceptions'!A:A,'QBs Compiled'!A26))</f>
        <v>15</v>
      </c>
      <c r="H26" s="5">
        <f>_xlfn.XLOOKUP(C$1,Pt_System[Stat],Pt_System[Pts])*C26</f>
        <v>126.35333333333334</v>
      </c>
      <c r="I26" s="5">
        <f>_xlfn.XLOOKUP(D$1,Pt_System[Stat],Pt_System[Pts])*D26</f>
        <v>108</v>
      </c>
      <c r="J26" s="5">
        <f>_xlfn.XLOOKUP(E$1,Pt_System[Stat],Pt_System[Pts])*E26</f>
        <v>10</v>
      </c>
      <c r="K26" s="5">
        <f>_xlfn.XLOOKUP(F$1,Pt_System[Stat],Pt_System[Pts])*F26</f>
        <v>21</v>
      </c>
      <c r="L26" s="5">
        <f>_xlfn.XLOOKUP(G$1,Pt_System[Stat],Pt_System[Pts])*G26</f>
        <v>-30</v>
      </c>
      <c r="M26" t="str">
        <f>IF(COUNTIFS('Total Passing Yards'!A:A,'QBs Compiled'!A26)=1,"Vegas Odds","Check")</f>
        <v>Vegas Odds</v>
      </c>
      <c r="N26" t="str">
        <f>IF(COUNTIFS('Total Passing Touchdowns'!A:A,'QBs Compiled'!$A26)=1,"Vegas Odds","2022 Stats / Prediction")</f>
        <v>Vegas Odds</v>
      </c>
      <c r="O26" t="str">
        <f>IF(COUNTIFS('Total Rushing Yards'!A:A,'QBs Compiled'!$A26)=1,"Vegas Odds","2022 Stats / Prediction")</f>
        <v>2022 Stats / Prediction</v>
      </c>
      <c r="P26" t="str">
        <f>IF(COUNTIFS('Total Rushing Touchdowns'!A:A,'QBs Compiled'!$A26)=1,"Vegas Odds","2022 Stats / Prediction")</f>
        <v>Vegas Odds</v>
      </c>
      <c r="Q26" t="str">
        <f>IF(COUNTIFS('Total Interceptions'!A:A,'QBs Compiled'!$A26)=1,"Vegas Odds","2022 Stats / Prediction")</f>
        <v>2022 Stats / Prediction</v>
      </c>
    </row>
    <row r="27" spans="1:17" x14ac:dyDescent="0.25">
      <c r="A27" t="s">
        <v>308</v>
      </c>
      <c r="B27" s="9">
        <f t="shared" si="0"/>
        <v>290.77</v>
      </c>
      <c r="C27" s="7">
        <f>SUMIFS('Total Passing Yards'!G:G,'Total Passing Yards'!A:A,'QBs Compiled'!A27)</f>
        <v>3069.25</v>
      </c>
      <c r="D27" s="7">
        <f>SUMIFS('Total Passing Touchdowns'!E:E,'Total Passing Touchdowns'!A:A,'QBs Compiled'!A27)</f>
        <v>17.5</v>
      </c>
      <c r="E27" s="7">
        <f>IF(SUMIFS('Total Rushing Yards'!E:E,'Total Rushing Yards'!A:A,'QBs Compiled'!$A27)=0,SUMIFS('2022 QB Stats'!P:P,'2022 QB Stats'!A:A,'QBs Compiled'!A27),SUMIFS('Total Rushing Yards'!E:E,'Total Rushing Yards'!A:A,'QBs Compiled'!$A27))</f>
        <v>600</v>
      </c>
      <c r="F27" s="7">
        <f>IF(SUMIFS('Total Rushing Touchdowns'!B:B,'Total Rushing Touchdowns'!A:A,'QBs Compiled'!$A27)=0,SUMIFS('2022 QB Stats'!Q:Q,'2022 QB Stats'!A:A,'QBs Compiled'!A27),SUMIFS('Total Rushing Touchdowns'!B:B,'Total Rushing Touchdowns'!A:A,'QBs Compiled'!$A27))</f>
        <v>5.5</v>
      </c>
      <c r="G27" s="7">
        <f>IF(SUMIFS('Total Interceptions'!B:B,'Total Interceptions'!A:A,'QBs Compiled'!A27)=0,SUMIFS('2022 QB Stats'!N:N,'2022 QB Stats'!A:A,'QBs Compiled'!A27),SUMIFS('Total Interceptions'!B:B,'Total Interceptions'!A:A,'QBs Compiled'!A27))</f>
        <v>15</v>
      </c>
      <c r="H27" s="5">
        <f>_xlfn.XLOOKUP(C$1,Pt_System[Stat],Pt_System[Pts])*C27</f>
        <v>122.77</v>
      </c>
      <c r="I27" s="5">
        <f>_xlfn.XLOOKUP(D$1,Pt_System[Stat],Pt_System[Pts])*D27</f>
        <v>105</v>
      </c>
      <c r="J27" s="5">
        <f>_xlfn.XLOOKUP(E$1,Pt_System[Stat],Pt_System[Pts])*E27</f>
        <v>60</v>
      </c>
      <c r="K27" s="5">
        <f>_xlfn.XLOOKUP(F$1,Pt_System[Stat],Pt_System[Pts])*F27</f>
        <v>33</v>
      </c>
      <c r="L27" s="5">
        <f>_xlfn.XLOOKUP(G$1,Pt_System[Stat],Pt_System[Pts])*G27</f>
        <v>-30</v>
      </c>
      <c r="M27" t="str">
        <f>IF(COUNTIFS('Total Passing Yards'!A:A,'QBs Compiled'!A27)=1,"Vegas Odds","Check")</f>
        <v>Vegas Odds</v>
      </c>
      <c r="N27" t="str">
        <f>IF(COUNTIFS('Total Passing Touchdowns'!A:A,'QBs Compiled'!$A27)=1,"Vegas Odds","2022 Stats / Prediction")</f>
        <v>Vegas Odds</v>
      </c>
      <c r="O27" t="str">
        <f>IF(COUNTIFS('Total Rushing Yards'!A:A,'QBs Compiled'!$A27)=1,"Vegas Odds","2022 Stats / Prediction")</f>
        <v>Vegas Odds</v>
      </c>
      <c r="P27" t="str">
        <f>IF(COUNTIFS('Total Rushing Touchdowns'!A:A,'QBs Compiled'!$A27)=1,"Vegas Odds","2022 Stats / Prediction")</f>
        <v>2022 Stats / Prediction</v>
      </c>
      <c r="Q27" t="str">
        <f>IF(COUNTIFS('Total Interceptions'!A:A,'QBs Compiled'!$A27)=1,"Vegas Odds","2022 Stats / Prediction")</f>
        <v>2022 Stats / Prediction</v>
      </c>
    </row>
    <row r="28" spans="1:17" x14ac:dyDescent="0.25">
      <c r="A28" t="s">
        <v>89</v>
      </c>
      <c r="B28" s="9">
        <f t="shared" si="0"/>
        <v>237.57</v>
      </c>
      <c r="C28" s="7">
        <f>SUMIFS('Total Passing Yards'!G:G,'Total Passing Yards'!A:A,'QBs Compiled'!A28)</f>
        <v>3042.1666666666665</v>
      </c>
      <c r="D28" s="7">
        <f>SUMIFS('Total Passing Touchdowns'!E:E,'Total Passing Touchdowns'!A:A,'QBs Compiled'!A28)</f>
        <v>17</v>
      </c>
      <c r="E28" s="7">
        <f>IF(SUMIFS('Total Rushing Yards'!E:E,'Total Rushing Yards'!A:A,'QBs Compiled'!$A28)=0,SUMIFS('2022 QB Stats'!P:P,'2022 QB Stats'!A:A,'QBs Compiled'!A28),SUMIFS('Total Rushing Yards'!E:E,'Total Rushing Yards'!A:A,'QBs Compiled'!$A28))</f>
        <v>138.83333333333334</v>
      </c>
      <c r="F28" s="7">
        <f>IF(SUMIFS('Total Rushing Touchdowns'!B:B,'Total Rushing Touchdowns'!A:A,'QBs Compiled'!$A28)=0,SUMIFS('2022 QB Stats'!Q:Q,'2022 QB Stats'!A:A,'QBs Compiled'!A28),SUMIFS('Total Rushing Touchdowns'!B:B,'Total Rushing Touchdowns'!A:A,'QBs Compiled'!$A28))</f>
        <v>2.8333333333333335</v>
      </c>
      <c r="G28" s="7">
        <f>IF(SUMIFS('Total Interceptions'!B:B,'Total Interceptions'!A:A,'QBs Compiled'!A28)=0,SUMIFS('2022 QB Stats'!N:N,'2022 QB Stats'!A:A,'QBs Compiled'!A28),SUMIFS('Total Interceptions'!B:B,'Total Interceptions'!A:A,'QBs Compiled'!A28))</f>
        <v>8.5</v>
      </c>
      <c r="H28" s="5">
        <f>_xlfn.XLOOKUP(C$1,Pt_System[Stat],Pt_System[Pts])*C28</f>
        <v>121.68666666666667</v>
      </c>
      <c r="I28" s="5">
        <f>_xlfn.XLOOKUP(D$1,Pt_System[Stat],Pt_System[Pts])*D28</f>
        <v>102</v>
      </c>
      <c r="J28" s="5">
        <f>_xlfn.XLOOKUP(E$1,Pt_System[Stat],Pt_System[Pts])*E28</f>
        <v>13.883333333333335</v>
      </c>
      <c r="K28" s="5">
        <f>_xlfn.XLOOKUP(F$1,Pt_System[Stat],Pt_System[Pts])*F28</f>
        <v>17</v>
      </c>
      <c r="L28" s="5">
        <f>_xlfn.XLOOKUP(G$1,Pt_System[Stat],Pt_System[Pts])*G28</f>
        <v>-17</v>
      </c>
      <c r="M28" t="str">
        <f>IF(COUNTIFS('Total Passing Yards'!A:A,'QBs Compiled'!A28)=1,"Vegas Odds","Check")</f>
        <v>Vegas Odds</v>
      </c>
      <c r="N28" t="str">
        <f>IF(COUNTIFS('Total Passing Touchdowns'!A:A,'QBs Compiled'!$A28)=1,"Vegas Odds","2022 Stats / Prediction")</f>
        <v>Vegas Odds</v>
      </c>
      <c r="O28" t="str">
        <f>IF(COUNTIFS('Total Rushing Yards'!A:A,'QBs Compiled'!$A28)=1,"Vegas Odds","2022 Stats / Prediction")</f>
        <v>2022 Stats / Prediction</v>
      </c>
      <c r="P28" t="str">
        <f>IF(COUNTIFS('Total Rushing Touchdowns'!A:A,'QBs Compiled'!$A28)=1,"Vegas Odds","2022 Stats / Prediction")</f>
        <v>2022 Stats / Prediction</v>
      </c>
      <c r="Q28" t="str">
        <f>IF(COUNTIFS('Total Interceptions'!A:A,'QBs Compiled'!$A28)=1,"Vegas Odds","2022 Stats / Prediction")</f>
        <v>2022 Stats / Prediction</v>
      </c>
    </row>
    <row r="29" spans="1:17" x14ac:dyDescent="0.25">
      <c r="A29" t="s">
        <v>61</v>
      </c>
      <c r="B29" s="9">
        <f t="shared" si="0"/>
        <v>319.94333333333333</v>
      </c>
      <c r="C29" s="7">
        <f>SUMIFS('Total Passing Yards'!G:G,'Total Passing Yards'!A:A,'QBs Compiled'!A29)</f>
        <v>2831.5</v>
      </c>
      <c r="D29" s="7">
        <f>SUMIFS('Total Passing Touchdowns'!E:E,'Total Passing Touchdowns'!A:A,'QBs Compiled'!A29)</f>
        <v>17.833333333333332</v>
      </c>
      <c r="E29" s="7">
        <f>IF(SUMIFS('Total Rushing Yards'!E:E,'Total Rushing Yards'!A:A,'QBs Compiled'!$A29)=0,SUMIFS('2022 QB Stats'!P:P,'2022 QB Stats'!A:A,'QBs Compiled'!A29),SUMIFS('Total Rushing Yards'!E:E,'Total Rushing Yards'!A:A,'QBs Compiled'!$A29))</f>
        <v>816.83333333333337</v>
      </c>
      <c r="F29" s="7">
        <f>IF(SUMIFS('Total Rushing Touchdowns'!B:B,'Total Rushing Touchdowns'!A:A,'QBs Compiled'!$A29)=0,SUMIFS('2022 QB Stats'!Q:Q,'2022 QB Stats'!A:A,'QBs Compiled'!A29),SUMIFS('Total Rushing Touchdowns'!B:B,'Total Rushing Touchdowns'!A:A,'QBs Compiled'!$A29))</f>
        <v>6.5</v>
      </c>
      <c r="G29" s="7">
        <f>IF(SUMIFS('Total Interceptions'!B:B,'Total Interceptions'!A:A,'QBs Compiled'!A29)=0,SUMIFS('2022 QB Stats'!N:N,'2022 QB Stats'!A:A,'QBs Compiled'!A29),SUMIFS('Total Interceptions'!B:B,'Total Interceptions'!A:A,'QBs Compiled'!A29))</f>
        <v>10.5</v>
      </c>
      <c r="H29" s="5">
        <f>_xlfn.XLOOKUP(C$1,Pt_System[Stat],Pt_System[Pts])*C29</f>
        <v>113.26</v>
      </c>
      <c r="I29" s="5">
        <f>_xlfn.XLOOKUP(D$1,Pt_System[Stat],Pt_System[Pts])*D29</f>
        <v>107</v>
      </c>
      <c r="J29" s="5">
        <f>_xlfn.XLOOKUP(E$1,Pt_System[Stat],Pt_System[Pts])*E29</f>
        <v>81.683333333333337</v>
      </c>
      <c r="K29" s="5">
        <f>_xlfn.XLOOKUP(F$1,Pt_System[Stat],Pt_System[Pts])*F29</f>
        <v>39</v>
      </c>
      <c r="L29" s="5">
        <f>_xlfn.XLOOKUP(G$1,Pt_System[Stat],Pt_System[Pts])*G29</f>
        <v>-21</v>
      </c>
      <c r="M29" t="str">
        <f>IF(COUNTIFS('Total Passing Yards'!A:A,'QBs Compiled'!A29)=1,"Vegas Odds","Check")</f>
        <v>Vegas Odds</v>
      </c>
      <c r="N29" t="str">
        <f>IF(COUNTIFS('Total Passing Touchdowns'!A:A,'QBs Compiled'!$A29)=1,"Vegas Odds","2022 Stats / Prediction")</f>
        <v>Vegas Odds</v>
      </c>
      <c r="O29" t="str">
        <f>IF(COUNTIFS('Total Rushing Yards'!A:A,'QBs Compiled'!$A29)=1,"Vegas Odds","2022 Stats / Prediction")</f>
        <v>Vegas Odds</v>
      </c>
      <c r="P29" t="str">
        <f>IF(COUNTIFS('Total Rushing Touchdowns'!A:A,'QBs Compiled'!$A29)=1,"Vegas Odds","2022 Stats / Prediction")</f>
        <v>Vegas Odds</v>
      </c>
      <c r="Q29" t="str">
        <f>IF(COUNTIFS('Total Interceptions'!A:A,'QBs Compiled'!$A29)=1,"Vegas Odds","2022 Stats / Prediction")</f>
        <v>Vegas Odds</v>
      </c>
    </row>
    <row r="30" spans="1:17" x14ac:dyDescent="0.25">
      <c r="A30" t="s">
        <v>87</v>
      </c>
      <c r="B30" s="9">
        <f t="shared" si="0"/>
        <v>208.44166666666669</v>
      </c>
      <c r="C30" s="7">
        <f>SUMIFS('Total Passing Yards'!G:G,'Total Passing Yards'!A:A,'QBs Compiled'!A30)</f>
        <v>2775</v>
      </c>
      <c r="D30" s="7">
        <f>SUMIFS('Total Passing Touchdowns'!E:E,'Total Passing Touchdowns'!A:A,'QBs Compiled'!A30)</f>
        <v>16.5</v>
      </c>
      <c r="E30" s="7">
        <f>IF(SUMIFS('Total Rushing Yards'!E:E,'Total Rushing Yards'!A:A,'QBs Compiled'!$A30)=0,SUMIFS('2022 QB Stats'!P:P,'2022 QB Stats'!A:A,'QBs Compiled'!A30),SUMIFS('Total Rushing Yards'!E:E,'Total Rushing Yards'!A:A,'QBs Compiled'!$A30))</f>
        <v>126.08333333333334</v>
      </c>
      <c r="F30" s="7">
        <f>IF(SUMIFS('Total Rushing Touchdowns'!B:B,'Total Rushing Touchdowns'!A:A,'QBs Compiled'!$A30)=0,SUMIFS('2022 QB Stats'!Q:Q,'2022 QB Stats'!A:A,'QBs Compiled'!A30),SUMIFS('Total Rushing Touchdowns'!B:B,'Total Rushing Touchdowns'!A:A,'QBs Compiled'!$A30))</f>
        <v>1.4166666666666667</v>
      </c>
      <c r="G30" s="7">
        <f>IF(SUMIFS('Total Interceptions'!B:B,'Total Interceptions'!A:A,'QBs Compiled'!A30)=0,SUMIFS('2022 QB Stats'!N:N,'2022 QB Stats'!A:A,'QBs Compiled'!A30),SUMIFS('Total Interceptions'!B:B,'Total Interceptions'!A:A,'QBs Compiled'!A30))</f>
        <v>11.333333333333334</v>
      </c>
      <c r="H30" s="5">
        <f>_xlfn.XLOOKUP(C$1,Pt_System[Stat],Pt_System[Pts])*C30</f>
        <v>111</v>
      </c>
      <c r="I30" s="5">
        <f>_xlfn.XLOOKUP(D$1,Pt_System[Stat],Pt_System[Pts])*D30</f>
        <v>99</v>
      </c>
      <c r="J30" s="5">
        <f>_xlfn.XLOOKUP(E$1,Pt_System[Stat],Pt_System[Pts])*E30</f>
        <v>12.608333333333334</v>
      </c>
      <c r="K30" s="5">
        <f>_xlfn.XLOOKUP(F$1,Pt_System[Stat],Pt_System[Pts])*F30</f>
        <v>8.5</v>
      </c>
      <c r="L30" s="5">
        <f>_xlfn.XLOOKUP(G$1,Pt_System[Stat],Pt_System[Pts])*G30</f>
        <v>-22.666666666666668</v>
      </c>
      <c r="M30" t="str">
        <f>IF(COUNTIFS('Total Passing Yards'!A:A,'QBs Compiled'!A30)=1,"Vegas Odds","Check")</f>
        <v>Vegas Odds</v>
      </c>
      <c r="N30" t="str">
        <f>IF(COUNTIFS('Total Passing Touchdowns'!A:A,'QBs Compiled'!$A30)=1,"Vegas Odds","2022 Stats / Prediction")</f>
        <v>Vegas Odds</v>
      </c>
      <c r="O30" t="str">
        <f>IF(COUNTIFS('Total Rushing Yards'!A:A,'QBs Compiled'!$A30)=1,"Vegas Odds","2022 Stats / Prediction")</f>
        <v>2022 Stats / Prediction</v>
      </c>
      <c r="P30" t="str">
        <f>IF(COUNTIFS('Total Rushing Touchdowns'!A:A,'QBs Compiled'!$A30)=1,"Vegas Odds","2022 Stats / Prediction")</f>
        <v>2022 Stats / Prediction</v>
      </c>
      <c r="Q30" t="str">
        <f>IF(COUNTIFS('Total Interceptions'!A:A,'QBs Compiled'!$A30)=1,"Vegas Odds","2022 Stats / Prediction")</f>
        <v>2022 Stats / Prediction</v>
      </c>
    </row>
    <row r="31" spans="1:17" x14ac:dyDescent="0.25">
      <c r="A31" t="s">
        <v>101</v>
      </c>
      <c r="B31" s="9">
        <f t="shared" si="0"/>
        <v>271.51</v>
      </c>
      <c r="C31" s="7">
        <f>SUMIFS('Total Passing Yards'!G:G,'Total Passing Yards'!A:A,'QBs Compiled'!A31)</f>
        <v>2737.75</v>
      </c>
      <c r="D31" s="7">
        <f>SUMIFS('Total Passing Touchdowns'!E:E,'Total Passing Touchdowns'!A:A,'QBs Compiled'!A31)</f>
        <v>16.5</v>
      </c>
      <c r="E31" s="7">
        <f>IF(SUMIFS('Total Rushing Yards'!E:E,'Total Rushing Yards'!A:A,'QBs Compiled'!$A31)=0,SUMIFS('2022 QB Stats'!P:P,'2022 QB Stats'!A:A,'QBs Compiled'!A31),SUMIFS('Total Rushing Yards'!E:E,'Total Rushing Yards'!A:A,'QBs Compiled'!$A31))</f>
        <v>600</v>
      </c>
      <c r="F31" s="7">
        <f>IF(SUMIFS('Total Rushing Touchdowns'!B:B,'Total Rushing Touchdowns'!A:A,'QBs Compiled'!$A31)=0,SUMIFS('2022 QB Stats'!Q:Q,'2022 QB Stats'!A:A,'QBs Compiled'!A31),SUMIFS('Total Rushing Touchdowns'!B:B,'Total Rushing Touchdowns'!A:A,'QBs Compiled'!$A31))</f>
        <v>5.5</v>
      </c>
      <c r="G31" s="7">
        <f>IF(SUMIFS('Total Interceptions'!B:B,'Total Interceptions'!A:A,'QBs Compiled'!A31)=0,SUMIFS('2022 QB Stats'!N:N,'2022 QB Stats'!A:A,'QBs Compiled'!A31),SUMIFS('Total Interceptions'!B:B,'Total Interceptions'!A:A,'QBs Compiled'!A31))</f>
        <v>15</v>
      </c>
      <c r="H31" s="5">
        <f>_xlfn.XLOOKUP(C$1,Pt_System[Stat],Pt_System[Pts])*C31</f>
        <v>109.51</v>
      </c>
      <c r="I31" s="5">
        <f>_xlfn.XLOOKUP(D$1,Pt_System[Stat],Pt_System[Pts])*D31</f>
        <v>99</v>
      </c>
      <c r="J31" s="5">
        <f>_xlfn.XLOOKUP(E$1,Pt_System[Stat],Pt_System[Pts])*E31</f>
        <v>60</v>
      </c>
      <c r="K31" s="5">
        <f>_xlfn.XLOOKUP(F$1,Pt_System[Stat],Pt_System[Pts])*F31</f>
        <v>33</v>
      </c>
      <c r="L31" s="5">
        <f>_xlfn.XLOOKUP(G$1,Pt_System[Stat],Pt_System[Pts])*G31</f>
        <v>-30</v>
      </c>
      <c r="M31" t="str">
        <f>IF(COUNTIFS('Total Passing Yards'!A:A,'QBs Compiled'!A31)=1,"Vegas Odds","Check")</f>
        <v>Vegas Odds</v>
      </c>
      <c r="N31" t="str">
        <f>IF(COUNTIFS('Total Passing Touchdowns'!A:A,'QBs Compiled'!$A31)=1,"Vegas Odds","2022 Stats / Prediction")</f>
        <v>Vegas Odds</v>
      </c>
      <c r="O31" t="str">
        <f>IF(COUNTIFS('Total Rushing Yards'!A:A,'QBs Compiled'!$A31)=1,"Vegas Odds","2022 Stats / Prediction")</f>
        <v>Vegas Odds</v>
      </c>
      <c r="P31" t="str">
        <f>IF(COUNTIFS('Total Rushing Touchdowns'!A:A,'QBs Compiled'!$A31)=1,"Vegas Odds","2022 Stats / Prediction")</f>
        <v>2022 Stats / Prediction</v>
      </c>
      <c r="Q31" t="str">
        <f>IF(COUNTIFS('Total Interceptions'!A:A,'QBs Compiled'!$A31)=1,"Vegas Odds","2022 Stats / Prediction")</f>
        <v>2022 Stats / Prediction</v>
      </c>
    </row>
    <row r="32" spans="1:17" x14ac:dyDescent="0.25">
      <c r="A32" t="s">
        <v>91</v>
      </c>
      <c r="B32" s="9">
        <f t="shared" si="0"/>
        <v>196.23000000000002</v>
      </c>
      <c r="C32" s="7">
        <f>SUMIFS('Total Passing Yards'!G:G,'Total Passing Yards'!A:A,'QBs Compiled'!A32)</f>
        <v>2550.75</v>
      </c>
      <c r="D32" s="7">
        <f>SUMIFS('Total Passing Touchdowns'!E:E,'Total Passing Touchdowns'!A:A,'QBs Compiled'!A32)</f>
        <v>15.166666666666666</v>
      </c>
      <c r="E32" s="7">
        <f>IF(SUMIFS('Total Rushing Yards'!E:E,'Total Rushing Yards'!A:A,'QBs Compiled'!$A32)=0,SUMIFS('2022 QB Stats'!P:P,'2022 QB Stats'!A:A,'QBs Compiled'!A32),SUMIFS('Total Rushing Yards'!E:E,'Total Rushing Yards'!A:A,'QBs Compiled'!$A32))</f>
        <v>272</v>
      </c>
      <c r="F32" s="7">
        <f>IF(SUMIFS('Total Rushing Touchdowns'!B:B,'Total Rushing Touchdowns'!A:A,'QBs Compiled'!$A32)=0,SUMIFS('2022 QB Stats'!Q:Q,'2022 QB Stats'!A:A,'QBs Compiled'!A32),SUMIFS('Total Rushing Touchdowns'!B:B,'Total Rushing Touchdowns'!A:A,'QBs Compiled'!$A32))</f>
        <v>0</v>
      </c>
      <c r="G32" s="7">
        <f>IF(SUMIFS('Total Interceptions'!B:B,'Total Interceptions'!A:A,'QBs Compiled'!A32)=0,SUMIFS('2022 QB Stats'!N:N,'2022 QB Stats'!A:A,'QBs Compiled'!A32),SUMIFS('Total Interceptions'!B:B,'Total Interceptions'!A:A,'QBs Compiled'!A32))</f>
        <v>12</v>
      </c>
      <c r="H32" s="5">
        <f>_xlfn.XLOOKUP(C$1,Pt_System[Stat],Pt_System[Pts])*C32</f>
        <v>102.03</v>
      </c>
      <c r="I32" s="5">
        <f>_xlfn.XLOOKUP(D$1,Pt_System[Stat],Pt_System[Pts])*D32</f>
        <v>91</v>
      </c>
      <c r="J32" s="5">
        <f>_xlfn.XLOOKUP(E$1,Pt_System[Stat],Pt_System[Pts])*E32</f>
        <v>27.200000000000003</v>
      </c>
      <c r="K32" s="5">
        <f>_xlfn.XLOOKUP(F$1,Pt_System[Stat],Pt_System[Pts])*F32</f>
        <v>0</v>
      </c>
      <c r="L32" s="5">
        <f>_xlfn.XLOOKUP(G$1,Pt_System[Stat],Pt_System[Pts])*G32</f>
        <v>-24</v>
      </c>
      <c r="M32" t="str">
        <f>IF(COUNTIFS('Total Passing Yards'!A:A,'QBs Compiled'!A32)=1,"Vegas Odds","Check")</f>
        <v>Vegas Odds</v>
      </c>
      <c r="N32" t="str">
        <f>IF(COUNTIFS('Total Passing Touchdowns'!A:A,'QBs Compiled'!$A32)=1,"Vegas Odds","2022 Stats / Prediction")</f>
        <v>Vegas Odds</v>
      </c>
      <c r="O32" t="str">
        <f>IF(COUNTIFS('Total Rushing Yards'!A:A,'QBs Compiled'!$A32)=1,"Vegas Odds","2022 Stats / Prediction")</f>
        <v>2022 Stats / Prediction</v>
      </c>
      <c r="P32" t="str">
        <f>IF(COUNTIFS('Total Rushing Touchdowns'!A:A,'QBs Compiled'!$A32)=1,"Vegas Odds","2022 Stats / Prediction")</f>
        <v>2022 Stats / Prediction</v>
      </c>
      <c r="Q32" t="str">
        <f>IF(COUNTIFS('Total Interceptions'!A:A,'QBs Compiled'!$A32)=1,"Vegas Odds","2022 Stats / Prediction")</f>
        <v>2022 Stats / Prediction</v>
      </c>
    </row>
  </sheetData>
  <autoFilter ref="A1:Q32" xr:uid="{7A2592DA-B4F6-4B78-8A2E-739FB011CCB8}">
    <sortState xmlns:xlrd2="http://schemas.microsoft.com/office/spreadsheetml/2017/richdata2" ref="A2:Q32">
      <sortCondition descending="1" ref="C1:C32"/>
    </sortState>
  </autoFilter>
  <conditionalFormatting sqref="M2:Q32">
    <cfRule type="containsText" dxfId="1" priority="1" operator="containsText" text="2022">
      <formula>NOT(ISERROR(SEARCH("2022",M2)))</formula>
    </cfRule>
    <cfRule type="containsText" dxfId="0" priority="2" operator="containsText" text="Vegas">
      <formula>NOT(ISERROR(SEARCH("Vegas",M2)))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09DF1F-1387-4339-AFE4-7B407FFC1CE1}">
  <sheetPr codeName="Sheet14"/>
  <dimension ref="A1:C22"/>
  <sheetViews>
    <sheetView workbookViewId="0"/>
  </sheetViews>
  <sheetFormatPr defaultRowHeight="15" x14ac:dyDescent="0.25"/>
  <cols>
    <col min="1" max="1" width="21.42578125" bestFit="1" customWidth="1"/>
    <col min="2" max="2" width="10.140625" bestFit="1" customWidth="1"/>
    <col min="3" max="3" width="14" bestFit="1" customWidth="1"/>
  </cols>
  <sheetData>
    <row r="1" spans="1:3" x14ac:dyDescent="0.25">
      <c r="A1" t="s">
        <v>77</v>
      </c>
      <c r="B1" t="s">
        <v>0</v>
      </c>
      <c r="C1" t="s">
        <v>183</v>
      </c>
    </row>
    <row r="2" spans="1:3" x14ac:dyDescent="0.25">
      <c r="A2" t="s">
        <v>97</v>
      </c>
      <c r="B2">
        <v>5.5</v>
      </c>
      <c r="C2" t="str">
        <f>IF(COUNTIFS('All Players'!A:A,'Total Interceptions'!A2)=0,"Missing","OK")</f>
        <v>OK</v>
      </c>
    </row>
    <row r="3" spans="1:3" x14ac:dyDescent="0.25">
      <c r="A3" t="s">
        <v>102</v>
      </c>
      <c r="B3">
        <v>12.5</v>
      </c>
      <c r="C3" t="str">
        <f>IF(COUNTIFS('All Players'!A:A,'Total Interceptions'!A3)=0,"Missing","OK")</f>
        <v>OK</v>
      </c>
    </row>
    <row r="4" spans="1:3" x14ac:dyDescent="0.25">
      <c r="A4" t="s">
        <v>74</v>
      </c>
      <c r="B4">
        <v>8.5</v>
      </c>
      <c r="C4" t="str">
        <f>IF(COUNTIFS('All Players'!A:A,'Total Interceptions'!A4)=0,"Missing","OK")</f>
        <v>OK</v>
      </c>
    </row>
    <row r="5" spans="1:3" x14ac:dyDescent="0.25">
      <c r="A5" t="s">
        <v>93</v>
      </c>
      <c r="B5">
        <v>11.5</v>
      </c>
      <c r="C5" t="str">
        <f>IF(COUNTIFS('All Players'!A:A,'Total Interceptions'!A5)=0,"Missing","OK")</f>
        <v>OK</v>
      </c>
    </row>
    <row r="6" spans="1:3" x14ac:dyDescent="0.25">
      <c r="A6" t="s">
        <v>81</v>
      </c>
      <c r="B6">
        <v>11.5</v>
      </c>
      <c r="C6" t="str">
        <f>IF(COUNTIFS('All Players'!A:A,'Total Interceptions'!A6)=0,"Missing","OK")</f>
        <v>OK</v>
      </c>
    </row>
    <row r="7" spans="1:3" x14ac:dyDescent="0.25">
      <c r="A7" t="s">
        <v>92</v>
      </c>
      <c r="B7">
        <v>11.5</v>
      </c>
      <c r="C7" t="str">
        <f>IF(COUNTIFS('All Players'!A:A,'Total Interceptions'!A7)=0,"Missing","OK")</f>
        <v>OK</v>
      </c>
    </row>
    <row r="8" spans="1:3" x14ac:dyDescent="0.25">
      <c r="A8" t="s">
        <v>67</v>
      </c>
      <c r="B8">
        <v>8.5</v>
      </c>
      <c r="C8" t="str">
        <f>IF(COUNTIFS('All Players'!A:A,'Total Interceptions'!A8)=0,"Missing","OK")</f>
        <v>OK</v>
      </c>
    </row>
    <row r="9" spans="1:3" x14ac:dyDescent="0.25">
      <c r="A9" t="s">
        <v>94</v>
      </c>
      <c r="B9">
        <v>11.5</v>
      </c>
      <c r="C9" t="str">
        <f>IF(COUNTIFS('All Players'!A:A,'Total Interceptions'!A9)=0,"Missing","OK")</f>
        <v>OK</v>
      </c>
    </row>
    <row r="10" spans="1:3" x14ac:dyDescent="0.25">
      <c r="A10" t="s">
        <v>95</v>
      </c>
      <c r="B10">
        <v>12.5</v>
      </c>
      <c r="C10" t="str">
        <f>IF(COUNTIFS('All Players'!A:A,'Total Interceptions'!A10)=0,"Missing","OK")</f>
        <v>OK</v>
      </c>
    </row>
    <row r="11" spans="1:3" x14ac:dyDescent="0.25">
      <c r="A11" t="s">
        <v>105</v>
      </c>
      <c r="B11">
        <v>12.5</v>
      </c>
      <c r="C11" t="str">
        <f>IF(COUNTIFS('All Players'!A:A,'Total Interceptions'!A11)=0,"Missing","OK")</f>
        <v>OK</v>
      </c>
    </row>
    <row r="12" spans="1:3" x14ac:dyDescent="0.25">
      <c r="A12" t="s">
        <v>73</v>
      </c>
      <c r="B12">
        <v>13.5</v>
      </c>
      <c r="C12" t="str">
        <f>IF(COUNTIFS('All Players'!A:A,'Total Interceptions'!A12)=0,"Missing","OK")</f>
        <v>OK</v>
      </c>
    </row>
    <row r="13" spans="1:3" x14ac:dyDescent="0.25">
      <c r="A13" t="s">
        <v>61</v>
      </c>
      <c r="B13">
        <v>10.5</v>
      </c>
      <c r="C13" t="str">
        <f>IF(COUNTIFS('All Players'!A:A,'Total Interceptions'!A13)=0,"Missing","OK")</f>
        <v>OK</v>
      </c>
    </row>
    <row r="14" spans="1:3" x14ac:dyDescent="0.25">
      <c r="A14" t="s">
        <v>86</v>
      </c>
      <c r="B14">
        <v>11.5</v>
      </c>
      <c r="C14" t="str">
        <f>IF(COUNTIFS('All Players'!A:A,'Total Interceptions'!A14)=0,"Missing","OK")</f>
        <v>OK</v>
      </c>
    </row>
    <row r="15" spans="1:3" x14ac:dyDescent="0.25">
      <c r="A15" t="s">
        <v>83</v>
      </c>
      <c r="B15">
        <v>9.5</v>
      </c>
      <c r="C15" t="str">
        <f>IF(COUNTIFS('All Players'!A:A,'Total Interceptions'!A15)=0,"Missing","OK")</f>
        <v>OK</v>
      </c>
    </row>
    <row r="16" spans="1:3" x14ac:dyDescent="0.25">
      <c r="A16" t="s">
        <v>63</v>
      </c>
      <c r="B16">
        <v>12.5</v>
      </c>
      <c r="C16" t="str">
        <f>IF(COUNTIFS('All Players'!A:A,'Total Interceptions'!A16)=0,"Missing","OK")</f>
        <v>OK</v>
      </c>
    </row>
    <row r="17" spans="1:3" x14ac:dyDescent="0.25">
      <c r="A17" t="s">
        <v>98</v>
      </c>
      <c r="B17">
        <v>12.5</v>
      </c>
      <c r="C17" t="str">
        <f>IF(COUNTIFS('All Players'!A:A,'Total Interceptions'!A17)=0,"Missing","OK")</f>
        <v>OK</v>
      </c>
    </row>
    <row r="18" spans="1:3" ht="14.25" customHeight="1" x14ac:dyDescent="0.25">
      <c r="A18" t="s">
        <v>99</v>
      </c>
      <c r="B18">
        <v>11.5</v>
      </c>
      <c r="C18" t="str">
        <f>IF(COUNTIFS('All Players'!A:A,'Total Interceptions'!A18)=0,"Missing","OK")</f>
        <v>OK</v>
      </c>
    </row>
    <row r="19" spans="1:3" x14ac:dyDescent="0.25">
      <c r="A19" t="s">
        <v>96</v>
      </c>
      <c r="B19">
        <v>11.5</v>
      </c>
      <c r="C19" t="str">
        <f>IF(COUNTIFS('All Players'!A:A,'Total Interceptions'!A19)=0,"Missing","OK")</f>
        <v>OK</v>
      </c>
    </row>
    <row r="20" spans="1:3" x14ac:dyDescent="0.25">
      <c r="A20" t="s">
        <v>104</v>
      </c>
      <c r="B20">
        <v>10.5</v>
      </c>
      <c r="C20" t="str">
        <f>IF(COUNTIFS('All Players'!A:A,'Total Interceptions'!A20)=0,"Missing","OK")</f>
        <v>OK</v>
      </c>
    </row>
    <row r="21" spans="1:3" x14ac:dyDescent="0.25">
      <c r="A21" t="s">
        <v>84</v>
      </c>
      <c r="B21">
        <v>10.5</v>
      </c>
      <c r="C21" t="str">
        <f>IF(COUNTIFS('All Players'!A:A,'Total Interceptions'!A21)=0,"Missing","OK")</f>
        <v>OK</v>
      </c>
    </row>
    <row r="22" spans="1:3" x14ac:dyDescent="0.25">
      <c r="A22" t="s">
        <v>90</v>
      </c>
      <c r="B22">
        <v>10.5</v>
      </c>
      <c r="C22" t="str">
        <f>IF(COUNTIFS('All Players'!A:A,'Total Interceptions'!A22)=0,"Missing","OK")</f>
        <v>OK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851D53-F13F-4DFD-888A-8EB737DCFC25}">
  <sheetPr codeName="Sheet1"/>
  <dimension ref="A1:G32"/>
  <sheetViews>
    <sheetView workbookViewId="0"/>
  </sheetViews>
  <sheetFormatPr defaultRowHeight="15" x14ac:dyDescent="0.25"/>
  <cols>
    <col min="1" max="1" width="19" bestFit="1" customWidth="1"/>
    <col min="2" max="2" width="8.140625" bestFit="1" customWidth="1"/>
    <col min="3" max="3" width="8.7109375" bestFit="1" customWidth="1"/>
    <col min="4" max="4" width="7.7109375" bestFit="1" customWidth="1"/>
    <col min="5" max="5" width="9.5703125" bestFit="1" customWidth="1"/>
    <col min="6" max="6" width="10.140625" bestFit="1" customWidth="1"/>
    <col min="7" max="7" width="8.28515625" bestFit="1" customWidth="1"/>
  </cols>
  <sheetData>
    <row r="1" spans="1:7" x14ac:dyDescent="0.25">
      <c r="A1" t="s">
        <v>77</v>
      </c>
      <c r="B1" t="s">
        <v>78</v>
      </c>
      <c r="C1" t="s">
        <v>1</v>
      </c>
      <c r="D1" t="s">
        <v>79</v>
      </c>
      <c r="E1" t="s">
        <v>2</v>
      </c>
      <c r="F1" t="s">
        <v>0</v>
      </c>
      <c r="G1" t="s">
        <v>80</v>
      </c>
    </row>
    <row r="2" spans="1:7" x14ac:dyDescent="0.25">
      <c r="A2" t="s">
        <v>97</v>
      </c>
      <c r="B2" s="1">
        <v>3800.5</v>
      </c>
      <c r="C2" s="1">
        <v>3899.5</v>
      </c>
      <c r="D2" s="1">
        <v>3925.5</v>
      </c>
      <c r="E2" s="1"/>
      <c r="F2" s="1">
        <v>3950.5</v>
      </c>
      <c r="G2" s="2">
        <f>AVERAGE(B2:F2)</f>
        <v>3894</v>
      </c>
    </row>
    <row r="3" spans="1:7" x14ac:dyDescent="0.25">
      <c r="A3" t="s">
        <v>101</v>
      </c>
      <c r="B3" s="1">
        <v>2700.5</v>
      </c>
      <c r="C3" s="1">
        <v>2799.5</v>
      </c>
      <c r="D3" s="1">
        <v>2650.5</v>
      </c>
      <c r="E3" s="1"/>
      <c r="F3" s="1">
        <v>2800.5</v>
      </c>
      <c r="G3" s="2">
        <f>AVERAGE(B3:F3)</f>
        <v>2737.75</v>
      </c>
    </row>
    <row r="4" spans="1:7" x14ac:dyDescent="0.25">
      <c r="A4" t="s">
        <v>87</v>
      </c>
      <c r="B4" s="1">
        <v>2775.5</v>
      </c>
      <c r="C4" s="1"/>
      <c r="D4" s="1">
        <v>2774.5</v>
      </c>
      <c r="E4" s="1"/>
      <c r="F4" s="1"/>
      <c r="G4" s="2">
        <f>AVERAGE(B4:F4)</f>
        <v>2775</v>
      </c>
    </row>
    <row r="5" spans="1:7" x14ac:dyDescent="0.25">
      <c r="A5" t="s">
        <v>85</v>
      </c>
      <c r="B5" s="1"/>
      <c r="C5" s="1"/>
      <c r="D5" s="1">
        <v>3300.5</v>
      </c>
      <c r="E5" s="1"/>
      <c r="F5" s="1"/>
      <c r="G5" s="2">
        <f>AVERAGE(B5:F5)</f>
        <v>3300.5</v>
      </c>
    </row>
    <row r="6" spans="1:7" x14ac:dyDescent="0.25">
      <c r="A6" t="s">
        <v>88</v>
      </c>
      <c r="B6" s="1">
        <v>3200.5</v>
      </c>
      <c r="C6" s="1">
        <v>3199.5</v>
      </c>
      <c r="D6" s="1">
        <v>3275.5</v>
      </c>
      <c r="E6" s="1"/>
      <c r="F6" s="1">
        <v>3200.5</v>
      </c>
      <c r="G6" s="2">
        <f>AVERAGE(B6:F6)</f>
        <v>3219</v>
      </c>
    </row>
    <row r="7" spans="1:7" x14ac:dyDescent="0.25">
      <c r="A7" t="s">
        <v>308</v>
      </c>
      <c r="B7" s="1">
        <v>3075.5</v>
      </c>
      <c r="C7" s="1">
        <v>3075.5</v>
      </c>
      <c r="D7" s="1">
        <v>3075.5</v>
      </c>
      <c r="E7" s="1"/>
      <c r="F7" s="1">
        <v>3050.5</v>
      </c>
      <c r="G7" s="2">
        <f>AVERAGE(B7:F7)</f>
        <v>3069.25</v>
      </c>
    </row>
    <row r="8" spans="1:7" x14ac:dyDescent="0.25">
      <c r="A8" t="s">
        <v>102</v>
      </c>
      <c r="B8" s="1">
        <v>3875.5</v>
      </c>
      <c r="C8" s="1">
        <v>3925.5</v>
      </c>
      <c r="D8" s="1">
        <v>3995.5</v>
      </c>
      <c r="E8" s="1"/>
      <c r="F8" s="1">
        <v>4000.5</v>
      </c>
      <c r="G8" s="2">
        <f>AVERAGE(B8:F8)</f>
        <v>3949.25</v>
      </c>
    </row>
    <row r="9" spans="1:7" x14ac:dyDescent="0.25">
      <c r="A9" t="s">
        <v>74</v>
      </c>
      <c r="B9" s="1">
        <v>3200.5</v>
      </c>
      <c r="C9" s="1">
        <v>3199.5</v>
      </c>
      <c r="D9" s="1">
        <v>3250.5</v>
      </c>
      <c r="E9" s="1"/>
      <c r="F9" s="1">
        <v>3300.5</v>
      </c>
      <c r="G9" s="2">
        <f>AVERAGE(B9:F9)</f>
        <v>3237.75</v>
      </c>
    </row>
    <row r="10" spans="1:7" x14ac:dyDescent="0.25">
      <c r="A10" t="s">
        <v>93</v>
      </c>
      <c r="B10" s="1">
        <v>3650.5</v>
      </c>
      <c r="C10" s="1">
        <v>3649.5</v>
      </c>
      <c r="D10" s="1">
        <v>3550.5</v>
      </c>
      <c r="E10" s="1"/>
      <c r="F10" s="1">
        <v>3700.5</v>
      </c>
      <c r="G10" s="2">
        <f>AVERAGE(B10:F10)</f>
        <v>3637.75</v>
      </c>
    </row>
    <row r="11" spans="1:7" x14ac:dyDescent="0.25">
      <c r="A11" t="s">
        <v>81</v>
      </c>
      <c r="B11" s="1">
        <v>3625.5</v>
      </c>
      <c r="C11" s="1">
        <v>3649.5</v>
      </c>
      <c r="D11" s="1">
        <v>3650.5</v>
      </c>
      <c r="E11" s="1"/>
      <c r="F11" s="1">
        <v>3650.5</v>
      </c>
      <c r="G11" s="2">
        <f>AVERAGE(B11:F11)</f>
        <v>3644</v>
      </c>
    </row>
    <row r="12" spans="1:7" x14ac:dyDescent="0.25">
      <c r="A12" t="s">
        <v>91</v>
      </c>
      <c r="B12" s="1">
        <v>2500.5</v>
      </c>
      <c r="C12" s="1">
        <v>2501.5</v>
      </c>
      <c r="D12" s="1">
        <v>2600.5</v>
      </c>
      <c r="E12" s="1"/>
      <c r="F12" s="1">
        <v>2600.5</v>
      </c>
      <c r="G12" s="2">
        <f>AVERAGE(B12:F12)</f>
        <v>2550.75</v>
      </c>
    </row>
    <row r="13" spans="1:7" x14ac:dyDescent="0.25">
      <c r="A13" t="s">
        <v>92</v>
      </c>
      <c r="B13" s="1">
        <v>3825.5</v>
      </c>
      <c r="C13" s="1">
        <v>3799.5</v>
      </c>
      <c r="D13" s="1">
        <v>3800.5</v>
      </c>
      <c r="E13" s="1"/>
      <c r="F13" s="1">
        <v>3900.5</v>
      </c>
      <c r="G13" s="2">
        <f>AVERAGE(B13:F13)</f>
        <v>3831.5</v>
      </c>
    </row>
    <row r="14" spans="1:7" x14ac:dyDescent="0.25">
      <c r="A14" t="s">
        <v>67</v>
      </c>
      <c r="B14" s="1">
        <v>3625.5</v>
      </c>
      <c r="C14" s="1">
        <v>3649.5</v>
      </c>
      <c r="D14" s="1">
        <v>3625.5</v>
      </c>
      <c r="E14" s="1"/>
      <c r="F14" s="1">
        <v>3700.5</v>
      </c>
      <c r="G14" s="2">
        <f>AVERAGE(B14:F14)</f>
        <v>3650.25</v>
      </c>
    </row>
    <row r="15" spans="1:7" x14ac:dyDescent="0.25">
      <c r="A15" t="s">
        <v>94</v>
      </c>
      <c r="B15" s="1">
        <v>3875.5</v>
      </c>
      <c r="C15" s="1">
        <v>3949.5</v>
      </c>
      <c r="D15" s="1">
        <v>3950.5</v>
      </c>
      <c r="E15" s="1"/>
      <c r="F15" s="1">
        <v>4000.5</v>
      </c>
      <c r="G15" s="2">
        <f>AVERAGE(B15:F15)</f>
        <v>3944</v>
      </c>
    </row>
    <row r="16" spans="1:7" x14ac:dyDescent="0.25">
      <c r="A16" t="s">
        <v>103</v>
      </c>
      <c r="B16" s="1"/>
      <c r="C16" s="1"/>
      <c r="D16" s="1"/>
      <c r="E16" s="1"/>
      <c r="F16" s="1">
        <v>3300.5</v>
      </c>
      <c r="G16" s="2">
        <f>AVERAGE(B16:F16)</f>
        <v>3300.5</v>
      </c>
    </row>
    <row r="17" spans="1:7" x14ac:dyDescent="0.25">
      <c r="A17" t="s">
        <v>95</v>
      </c>
      <c r="B17" s="1">
        <v>4275.5</v>
      </c>
      <c r="C17" s="1">
        <v>4349.5</v>
      </c>
      <c r="D17" s="1">
        <v>4350.5</v>
      </c>
      <c r="E17" s="1"/>
      <c r="F17" s="1">
        <v>4425.5</v>
      </c>
      <c r="G17" s="2">
        <f>AVERAGE(B17:F17)</f>
        <v>4350.25</v>
      </c>
    </row>
    <row r="18" spans="1:7" x14ac:dyDescent="0.25">
      <c r="A18" t="s">
        <v>105</v>
      </c>
      <c r="B18" s="1">
        <v>3300.5</v>
      </c>
      <c r="C18" s="1">
        <v>3349.5</v>
      </c>
      <c r="D18" s="1">
        <v>3325.5</v>
      </c>
      <c r="E18" s="1"/>
      <c r="F18" s="1">
        <v>3350.5</v>
      </c>
      <c r="G18" s="2">
        <f>AVERAGE(B18:F18)</f>
        <v>3331.5</v>
      </c>
    </row>
    <row r="19" spans="1:7" x14ac:dyDescent="0.25">
      <c r="A19" t="s">
        <v>73</v>
      </c>
      <c r="B19" s="1">
        <v>4150.5</v>
      </c>
      <c r="C19" s="1">
        <v>4299.5</v>
      </c>
      <c r="D19" s="1">
        <v>4250.5</v>
      </c>
      <c r="E19" s="1"/>
      <c r="F19" s="1">
        <v>4350.5</v>
      </c>
      <c r="G19" s="2">
        <f>AVERAGE(B19:F19)</f>
        <v>4262.75</v>
      </c>
    </row>
    <row r="20" spans="1:7" x14ac:dyDescent="0.25">
      <c r="A20" t="s">
        <v>61</v>
      </c>
      <c r="B20" s="1">
        <v>2775.5</v>
      </c>
      <c r="C20" s="1">
        <v>2799.5</v>
      </c>
      <c r="D20" s="1">
        <v>2900.5</v>
      </c>
      <c r="E20" s="1"/>
      <c r="F20" s="1">
        <v>2850.5</v>
      </c>
      <c r="G20" s="2">
        <f>AVERAGE(B20:F20)</f>
        <v>2831.5</v>
      </c>
    </row>
    <row r="21" spans="1:7" x14ac:dyDescent="0.25">
      <c r="A21" t="s">
        <v>86</v>
      </c>
      <c r="B21" s="1">
        <v>4425.5</v>
      </c>
      <c r="C21" s="1">
        <v>4499.5</v>
      </c>
      <c r="D21" s="1">
        <v>4450.5</v>
      </c>
      <c r="E21" s="1"/>
      <c r="F21" s="1">
        <v>4450.5</v>
      </c>
      <c r="G21" s="2">
        <f>AVERAGE(B21:F21)</f>
        <v>4456.5</v>
      </c>
    </row>
    <row r="22" spans="1:7" x14ac:dyDescent="0.25">
      <c r="A22" t="s">
        <v>83</v>
      </c>
      <c r="B22" s="1">
        <v>3300.5</v>
      </c>
      <c r="C22" s="1">
        <v>3299.5</v>
      </c>
      <c r="D22" s="1">
        <v>3375.5</v>
      </c>
      <c r="E22" s="1"/>
      <c r="F22" s="1">
        <v>3300.5</v>
      </c>
      <c r="G22" s="2">
        <f>AVERAGE(B22:F22)</f>
        <v>3319</v>
      </c>
    </row>
    <row r="23" spans="1:7" x14ac:dyDescent="0.25">
      <c r="A23" t="s">
        <v>98</v>
      </c>
      <c r="B23" s="1">
        <v>4275.5</v>
      </c>
      <c r="C23" s="1">
        <v>4299.5</v>
      </c>
      <c r="D23" s="1">
        <v>4250.5</v>
      </c>
      <c r="E23" s="1"/>
      <c r="F23" s="1">
        <v>4300.5</v>
      </c>
      <c r="G23" s="2">
        <f>AVERAGE(B23:F23)</f>
        <v>4281.5</v>
      </c>
    </row>
    <row r="24" spans="1:7" x14ac:dyDescent="0.25">
      <c r="A24" t="s">
        <v>63</v>
      </c>
      <c r="B24" s="1">
        <v>3350.5</v>
      </c>
      <c r="C24" s="1">
        <v>3399.5</v>
      </c>
      <c r="D24" s="1">
        <v>3400.5</v>
      </c>
      <c r="E24" s="1"/>
      <c r="F24" s="1">
        <v>3450.5</v>
      </c>
      <c r="G24" s="2">
        <f>AVERAGE(B24:F24)</f>
        <v>3400.25</v>
      </c>
    </row>
    <row r="25" spans="1:7" x14ac:dyDescent="0.25">
      <c r="A25" t="s">
        <v>99</v>
      </c>
      <c r="B25" s="1">
        <v>3250.5</v>
      </c>
      <c r="C25" s="1">
        <v>3199.5</v>
      </c>
      <c r="D25" s="1">
        <v>3300.5</v>
      </c>
      <c r="E25" s="1"/>
      <c r="F25" s="1">
        <v>3199.5</v>
      </c>
      <c r="G25" s="2">
        <f>AVERAGE(B25:F25)</f>
        <v>3237.5</v>
      </c>
    </row>
    <row r="26" spans="1:7" x14ac:dyDescent="0.25">
      <c r="A26" t="s">
        <v>82</v>
      </c>
      <c r="B26" s="1">
        <v>3550.5</v>
      </c>
      <c r="C26" s="1"/>
      <c r="D26" s="1">
        <v>3525</v>
      </c>
      <c r="E26" s="1"/>
      <c r="F26" s="1"/>
      <c r="G26" s="2">
        <f>AVERAGE(B26:F26)</f>
        <v>3537.75</v>
      </c>
    </row>
    <row r="27" spans="1:7" x14ac:dyDescent="0.25">
      <c r="A27" t="s">
        <v>96</v>
      </c>
      <c r="B27" s="1">
        <v>4650.5</v>
      </c>
      <c r="C27" s="1">
        <v>4799.5</v>
      </c>
      <c r="D27" s="1">
        <v>4750.5</v>
      </c>
      <c r="E27" s="1"/>
      <c r="F27" s="1">
        <v>4800.5</v>
      </c>
      <c r="G27" s="2">
        <f>AVERAGE(B27:F27)</f>
        <v>4750.25</v>
      </c>
    </row>
    <row r="28" spans="1:7" x14ac:dyDescent="0.25">
      <c r="A28" t="s">
        <v>104</v>
      </c>
      <c r="B28" s="1">
        <v>3500.5</v>
      </c>
      <c r="C28" s="1">
        <v>3725.5</v>
      </c>
      <c r="D28" s="1">
        <v>3625.5</v>
      </c>
      <c r="E28" s="1"/>
      <c r="F28" s="1">
        <v>3750.5</v>
      </c>
      <c r="G28" s="2">
        <f>AVERAGE(B28:F28)</f>
        <v>3650.5</v>
      </c>
    </row>
    <row r="29" spans="1:7" x14ac:dyDescent="0.25">
      <c r="A29" t="s">
        <v>89</v>
      </c>
      <c r="B29" s="1">
        <v>3050.5</v>
      </c>
      <c r="C29" s="1"/>
      <c r="D29" s="1">
        <v>3000.5</v>
      </c>
      <c r="E29" s="1"/>
      <c r="F29" s="1">
        <v>3075.5</v>
      </c>
      <c r="G29" s="2">
        <f>AVERAGE(B29:F29)</f>
        <v>3042.1666666666665</v>
      </c>
    </row>
    <row r="30" spans="1:7" x14ac:dyDescent="0.25">
      <c r="A30" t="s">
        <v>100</v>
      </c>
      <c r="B30" s="1">
        <v>3075.5</v>
      </c>
      <c r="C30" s="1"/>
      <c r="D30" s="1">
        <v>3200.5</v>
      </c>
      <c r="E30" s="1"/>
      <c r="F30" s="1">
        <v>3200.5</v>
      </c>
      <c r="G30" s="2">
        <f>AVERAGE(B30:F30)</f>
        <v>3158.8333333333335</v>
      </c>
    </row>
    <row r="31" spans="1:7" x14ac:dyDescent="0.25">
      <c r="A31" t="s">
        <v>84</v>
      </c>
      <c r="B31" s="1">
        <v>4025.5</v>
      </c>
      <c r="C31" s="1"/>
      <c r="D31" s="1">
        <v>4050.5</v>
      </c>
      <c r="E31" s="1"/>
      <c r="F31" s="1">
        <v>4050.5</v>
      </c>
      <c r="G31" s="2">
        <f>AVERAGE(B31:F31)</f>
        <v>4042.1666666666665</v>
      </c>
    </row>
    <row r="32" spans="1:7" x14ac:dyDescent="0.25">
      <c r="A32" t="s">
        <v>90</v>
      </c>
      <c r="B32" s="1">
        <v>3800.5</v>
      </c>
      <c r="C32" s="1">
        <v>3825.5</v>
      </c>
      <c r="D32" s="1">
        <v>3825.5</v>
      </c>
      <c r="E32" s="1"/>
      <c r="F32" s="1">
        <v>3850.5</v>
      </c>
      <c r="G32" s="2">
        <f>AVERAGE(B32:F32)</f>
        <v>3825.5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0FEF72-648B-46BA-AFA1-877C802CBACF}">
  <sheetPr codeName="Sheet4"/>
  <dimension ref="A1:E31"/>
  <sheetViews>
    <sheetView workbookViewId="0">
      <selection activeCell="A4" sqref="A4"/>
    </sheetView>
  </sheetViews>
  <sheetFormatPr defaultRowHeight="15" x14ac:dyDescent="0.25"/>
  <cols>
    <col min="1" max="1" width="19" bestFit="1" customWidth="1"/>
    <col min="2" max="2" width="8.140625" bestFit="1" customWidth="1"/>
    <col min="3" max="3" width="8.7109375" bestFit="1" customWidth="1"/>
    <col min="4" max="4" width="7.7109375" bestFit="1" customWidth="1"/>
    <col min="5" max="5" width="8.28515625" bestFit="1" customWidth="1"/>
  </cols>
  <sheetData>
    <row r="1" spans="1:5" x14ac:dyDescent="0.25">
      <c r="A1" t="s">
        <v>77</v>
      </c>
      <c r="B1" t="s">
        <v>78</v>
      </c>
      <c r="C1" t="s">
        <v>1</v>
      </c>
      <c r="D1" t="s">
        <v>79</v>
      </c>
      <c r="E1" t="s">
        <v>80</v>
      </c>
    </row>
    <row r="2" spans="1:5" x14ac:dyDescent="0.25">
      <c r="A2" t="s">
        <v>94</v>
      </c>
      <c r="B2" s="1">
        <v>24.5</v>
      </c>
      <c r="C2" s="1">
        <v>24.5</v>
      </c>
      <c r="D2" s="1">
        <v>25.5</v>
      </c>
      <c r="E2" s="2">
        <f t="shared" ref="E2:E31" si="0">AVERAGE(B2:D2)</f>
        <v>24.833333333333332</v>
      </c>
    </row>
    <row r="3" spans="1:5" x14ac:dyDescent="0.25">
      <c r="A3" t="s">
        <v>83</v>
      </c>
      <c r="B3" s="1">
        <v>17.5</v>
      </c>
      <c r="C3" s="1">
        <v>18.5</v>
      </c>
      <c r="D3" s="1">
        <v>17.5</v>
      </c>
      <c r="E3" s="2">
        <f t="shared" si="0"/>
        <v>17.833333333333332</v>
      </c>
    </row>
    <row r="4" spans="1:5" x14ac:dyDescent="0.25">
      <c r="A4" t="s">
        <v>61</v>
      </c>
      <c r="B4" s="1">
        <v>17.5</v>
      </c>
      <c r="C4" s="1">
        <v>17.5</v>
      </c>
      <c r="D4" s="1">
        <v>18.5</v>
      </c>
      <c r="E4" s="2">
        <f t="shared" si="0"/>
        <v>17.833333333333332</v>
      </c>
    </row>
    <row r="5" spans="1:5" x14ac:dyDescent="0.25">
      <c r="A5" t="s">
        <v>74</v>
      </c>
      <c r="B5" s="1">
        <v>17.5</v>
      </c>
      <c r="C5" s="1">
        <v>17.5</v>
      </c>
      <c r="D5" s="1"/>
      <c r="E5" s="2">
        <f t="shared" si="0"/>
        <v>17.5</v>
      </c>
    </row>
    <row r="6" spans="1:5" x14ac:dyDescent="0.25">
      <c r="A6" t="s">
        <v>100</v>
      </c>
      <c r="B6" s="1">
        <v>17.5</v>
      </c>
      <c r="C6" s="1"/>
      <c r="D6" s="1">
        <v>18.5</v>
      </c>
      <c r="E6" s="2">
        <f t="shared" si="0"/>
        <v>18</v>
      </c>
    </row>
    <row r="7" spans="1:5" x14ac:dyDescent="0.25">
      <c r="A7" t="s">
        <v>63</v>
      </c>
      <c r="B7" s="1">
        <v>24.5</v>
      </c>
      <c r="C7" s="1">
        <v>23.5</v>
      </c>
      <c r="D7" s="1">
        <v>25.5</v>
      </c>
      <c r="E7" s="2">
        <f t="shared" si="0"/>
        <v>24.5</v>
      </c>
    </row>
    <row r="8" spans="1:5" x14ac:dyDescent="0.25">
      <c r="A8" t="s">
        <v>99</v>
      </c>
      <c r="B8" s="1">
        <v>19.5</v>
      </c>
      <c r="C8" s="1">
        <v>19.5</v>
      </c>
      <c r="D8" s="1"/>
      <c r="E8" s="2">
        <f t="shared" si="0"/>
        <v>19.5</v>
      </c>
    </row>
    <row r="9" spans="1:5" x14ac:dyDescent="0.25">
      <c r="A9" t="s">
        <v>90</v>
      </c>
      <c r="B9" s="1">
        <v>25.5</v>
      </c>
      <c r="C9" s="1">
        <v>26.5</v>
      </c>
      <c r="D9" s="1">
        <v>25.5</v>
      </c>
      <c r="E9" s="2">
        <f t="shared" si="0"/>
        <v>25.833333333333332</v>
      </c>
    </row>
    <row r="10" spans="1:5" x14ac:dyDescent="0.25">
      <c r="A10" t="s">
        <v>85</v>
      </c>
      <c r="B10" s="1"/>
      <c r="C10" s="1"/>
      <c r="D10" s="1">
        <v>22.5</v>
      </c>
      <c r="E10" s="2">
        <f t="shared" si="0"/>
        <v>22.5</v>
      </c>
    </row>
    <row r="11" spans="1:5" x14ac:dyDescent="0.25">
      <c r="A11" t="s">
        <v>95</v>
      </c>
      <c r="B11" s="1">
        <v>32.5</v>
      </c>
      <c r="C11" s="1">
        <v>33.5</v>
      </c>
      <c r="D11" s="1">
        <v>32.5</v>
      </c>
      <c r="E11" s="2">
        <f t="shared" si="0"/>
        <v>32.833333333333336</v>
      </c>
    </row>
    <row r="12" spans="1:5" x14ac:dyDescent="0.25">
      <c r="A12" t="s">
        <v>104</v>
      </c>
      <c r="B12" s="1">
        <v>22.5</v>
      </c>
      <c r="C12" s="1">
        <v>23.5</v>
      </c>
      <c r="D12" s="1">
        <v>22.5</v>
      </c>
      <c r="E12" s="2">
        <f t="shared" si="0"/>
        <v>22.833333333333332</v>
      </c>
    </row>
    <row r="13" spans="1:5" x14ac:dyDescent="0.25">
      <c r="A13" t="s">
        <v>89</v>
      </c>
      <c r="B13" s="1">
        <v>17.5</v>
      </c>
      <c r="C13" s="1"/>
      <c r="D13" s="1">
        <v>16.5</v>
      </c>
      <c r="E13" s="2">
        <f t="shared" si="0"/>
        <v>17</v>
      </c>
    </row>
    <row r="14" spans="1:5" x14ac:dyDescent="0.25">
      <c r="A14" t="s">
        <v>102</v>
      </c>
      <c r="B14" s="1">
        <v>26.5</v>
      </c>
      <c r="C14" s="1">
        <v>26.5</v>
      </c>
      <c r="D14" s="1">
        <v>26.5</v>
      </c>
      <c r="E14" s="2">
        <f t="shared" si="0"/>
        <v>26.5</v>
      </c>
    </row>
    <row r="15" spans="1:5" x14ac:dyDescent="0.25">
      <c r="A15" t="s">
        <v>96</v>
      </c>
      <c r="B15" s="1">
        <v>35.5</v>
      </c>
      <c r="C15" s="1">
        <v>36.5</v>
      </c>
      <c r="D15" s="1">
        <v>37.5</v>
      </c>
      <c r="E15" s="2">
        <f t="shared" si="0"/>
        <v>36.5</v>
      </c>
    </row>
    <row r="16" spans="1:5" x14ac:dyDescent="0.25">
      <c r="A16" t="s">
        <v>88</v>
      </c>
      <c r="B16" s="1">
        <v>19.5</v>
      </c>
      <c r="C16" s="1">
        <v>19.5</v>
      </c>
      <c r="D16" s="1"/>
      <c r="E16" s="2">
        <f t="shared" si="0"/>
        <v>19.5</v>
      </c>
    </row>
    <row r="17" spans="1:5" x14ac:dyDescent="0.25">
      <c r="A17" t="s">
        <v>98</v>
      </c>
      <c r="B17" s="1">
        <v>29.5</v>
      </c>
      <c r="C17" s="1">
        <v>28.5</v>
      </c>
      <c r="D17" s="1">
        <v>29.5</v>
      </c>
      <c r="E17" s="2">
        <f t="shared" si="0"/>
        <v>29.166666666666668</v>
      </c>
    </row>
    <row r="18" spans="1:5" x14ac:dyDescent="0.25">
      <c r="A18" t="s">
        <v>92</v>
      </c>
      <c r="B18" s="1">
        <v>26.5</v>
      </c>
      <c r="C18" s="1">
        <v>26.5</v>
      </c>
      <c r="D18" s="1"/>
      <c r="E18" s="2">
        <f t="shared" si="0"/>
        <v>26.5</v>
      </c>
    </row>
    <row r="19" spans="1:5" x14ac:dyDescent="0.25">
      <c r="A19" t="s">
        <v>73</v>
      </c>
      <c r="B19" s="1">
        <v>31.5</v>
      </c>
      <c r="C19" s="1">
        <v>32.5</v>
      </c>
      <c r="D19" s="1">
        <v>32.5</v>
      </c>
      <c r="E19" s="2">
        <f t="shared" si="0"/>
        <v>32.166666666666664</v>
      </c>
    </row>
    <row r="20" spans="1:5" x14ac:dyDescent="0.25">
      <c r="A20" t="s">
        <v>67</v>
      </c>
      <c r="B20" s="1">
        <v>21.5</v>
      </c>
      <c r="C20" s="1">
        <v>22.5</v>
      </c>
      <c r="D20" s="1">
        <v>22.5</v>
      </c>
      <c r="E20" s="2">
        <f t="shared" si="0"/>
        <v>22.166666666666668</v>
      </c>
    </row>
    <row r="21" spans="1:5" x14ac:dyDescent="0.25">
      <c r="A21" t="s">
        <v>308</v>
      </c>
      <c r="B21" s="1">
        <v>17.5</v>
      </c>
      <c r="C21" s="1">
        <v>17.5</v>
      </c>
      <c r="D21" s="1">
        <v>17.5</v>
      </c>
      <c r="E21" s="2">
        <f t="shared" si="0"/>
        <v>17.5</v>
      </c>
    </row>
    <row r="22" spans="1:5" x14ac:dyDescent="0.25">
      <c r="A22" t="s">
        <v>97</v>
      </c>
      <c r="B22" s="1">
        <v>28.5</v>
      </c>
      <c r="C22" s="1">
        <v>28.5</v>
      </c>
      <c r="D22" s="1">
        <v>27.5</v>
      </c>
      <c r="E22" s="2">
        <f t="shared" si="0"/>
        <v>28.166666666666668</v>
      </c>
    </row>
    <row r="23" spans="1:5" x14ac:dyDescent="0.25">
      <c r="A23" t="s">
        <v>93</v>
      </c>
      <c r="B23" s="1">
        <v>22.5</v>
      </c>
      <c r="C23" s="1"/>
      <c r="D23" s="1">
        <v>22.5</v>
      </c>
      <c r="E23" s="2">
        <f t="shared" si="0"/>
        <v>22.5</v>
      </c>
    </row>
    <row r="24" spans="1:5" x14ac:dyDescent="0.25">
      <c r="A24" t="s">
        <v>81</v>
      </c>
      <c r="B24" s="1">
        <v>23.5</v>
      </c>
      <c r="C24" s="1">
        <v>25.5</v>
      </c>
      <c r="D24" s="1">
        <v>25.5</v>
      </c>
      <c r="E24" s="2">
        <f t="shared" si="0"/>
        <v>24.833333333333332</v>
      </c>
    </row>
    <row r="25" spans="1:5" x14ac:dyDescent="0.25">
      <c r="A25" t="s">
        <v>82</v>
      </c>
      <c r="B25" s="1"/>
      <c r="C25" s="1"/>
      <c r="D25" s="1">
        <v>20.5</v>
      </c>
      <c r="E25" s="2">
        <f t="shared" si="0"/>
        <v>20.5</v>
      </c>
    </row>
    <row r="26" spans="1:5" x14ac:dyDescent="0.25">
      <c r="A26" t="s">
        <v>86</v>
      </c>
      <c r="B26" s="1">
        <v>30.5</v>
      </c>
      <c r="C26" s="1">
        <v>30.5</v>
      </c>
      <c r="D26" s="1"/>
      <c r="E26" s="2">
        <f t="shared" si="0"/>
        <v>30.5</v>
      </c>
    </row>
    <row r="27" spans="1:5" x14ac:dyDescent="0.25">
      <c r="A27" t="s">
        <v>84</v>
      </c>
      <c r="B27" s="1">
        <v>25.5</v>
      </c>
      <c r="C27" s="1">
        <v>26.5</v>
      </c>
      <c r="D27" s="1">
        <v>26.5</v>
      </c>
      <c r="E27" s="2">
        <f t="shared" si="0"/>
        <v>26.166666666666668</v>
      </c>
    </row>
    <row r="28" spans="1:5" x14ac:dyDescent="0.25">
      <c r="A28" t="s">
        <v>91</v>
      </c>
      <c r="B28" s="1">
        <v>14.5</v>
      </c>
      <c r="C28" s="1">
        <v>15.5</v>
      </c>
      <c r="D28" s="1">
        <v>15.5</v>
      </c>
      <c r="E28" s="2">
        <f t="shared" si="0"/>
        <v>15.166666666666666</v>
      </c>
    </row>
    <row r="29" spans="1:5" x14ac:dyDescent="0.25">
      <c r="A29" t="s">
        <v>105</v>
      </c>
      <c r="B29" s="1">
        <v>21.5</v>
      </c>
      <c r="C29" s="1">
        <v>21.5</v>
      </c>
      <c r="D29" s="1">
        <v>21.5</v>
      </c>
      <c r="E29" s="2">
        <f t="shared" si="0"/>
        <v>21.5</v>
      </c>
    </row>
    <row r="30" spans="1:5" x14ac:dyDescent="0.25">
      <c r="A30" t="s">
        <v>87</v>
      </c>
      <c r="B30" s="1">
        <v>16.5</v>
      </c>
      <c r="C30" s="1"/>
      <c r="D30" s="1">
        <v>16.5</v>
      </c>
      <c r="E30" s="2">
        <f t="shared" si="0"/>
        <v>16.5</v>
      </c>
    </row>
    <row r="31" spans="1:5" x14ac:dyDescent="0.25">
      <c r="A31" t="s">
        <v>101</v>
      </c>
      <c r="B31" s="1"/>
      <c r="C31" s="1"/>
      <c r="D31" s="1">
        <v>16.5</v>
      </c>
      <c r="E31" s="2">
        <f t="shared" si="0"/>
        <v>16.5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CB18FB-7392-4747-BE47-7A1AD98EB36A}">
  <sheetPr codeName="Sheet2"/>
  <dimension ref="A1:E73"/>
  <sheetViews>
    <sheetView workbookViewId="0">
      <pane xSplit="1" ySplit="1" topLeftCell="B14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RowHeight="15" x14ac:dyDescent="0.25"/>
  <cols>
    <col min="1" max="1" width="24.28515625" bestFit="1" customWidth="1"/>
    <col min="2" max="2" width="8.140625" bestFit="1" customWidth="1"/>
    <col min="3" max="3" width="8.7109375" bestFit="1" customWidth="1"/>
    <col min="4" max="4" width="7.7109375" bestFit="1" customWidth="1"/>
    <col min="5" max="6" width="8.28515625" bestFit="1" customWidth="1"/>
  </cols>
  <sheetData>
    <row r="1" spans="1:5" x14ac:dyDescent="0.25">
      <c r="A1" t="s">
        <v>77</v>
      </c>
      <c r="B1" t="s">
        <v>78</v>
      </c>
      <c r="C1" t="s">
        <v>1</v>
      </c>
      <c r="D1" t="s">
        <v>79</v>
      </c>
      <c r="E1" t="s">
        <v>80</v>
      </c>
    </row>
    <row r="2" spans="1:5" x14ac:dyDescent="0.25">
      <c r="A2" t="s">
        <v>106</v>
      </c>
      <c r="B2" s="1"/>
      <c r="C2" s="1"/>
      <c r="D2" s="1">
        <v>500.5</v>
      </c>
      <c r="E2" s="2">
        <f t="shared" ref="E2:E33" si="0">AVERAGE(B2:D2)</f>
        <v>500.5</v>
      </c>
    </row>
    <row r="3" spans="1:5" x14ac:dyDescent="0.25">
      <c r="A3" t="s">
        <v>24</v>
      </c>
      <c r="B3" s="1">
        <v>700.5</v>
      </c>
      <c r="C3" s="1">
        <v>675.5</v>
      </c>
      <c r="D3" s="1">
        <v>675.5</v>
      </c>
      <c r="E3" s="2">
        <f t="shared" si="0"/>
        <v>683.83333333333337</v>
      </c>
    </row>
    <row r="4" spans="1:5" x14ac:dyDescent="0.25">
      <c r="A4" t="s">
        <v>17</v>
      </c>
      <c r="B4" s="1">
        <v>750.5</v>
      </c>
      <c r="C4" s="1"/>
      <c r="D4" s="1">
        <v>750.5</v>
      </c>
      <c r="E4" s="2">
        <f t="shared" si="0"/>
        <v>750.5</v>
      </c>
    </row>
    <row r="5" spans="1:5" x14ac:dyDescent="0.25">
      <c r="A5" t="s">
        <v>107</v>
      </c>
      <c r="B5" s="1">
        <v>725.5</v>
      </c>
      <c r="C5" s="1"/>
      <c r="D5" s="1">
        <v>742.5</v>
      </c>
      <c r="E5" s="2">
        <f t="shared" si="0"/>
        <v>734</v>
      </c>
    </row>
    <row r="6" spans="1:5" x14ac:dyDescent="0.25">
      <c r="A6" t="s">
        <v>20</v>
      </c>
      <c r="B6" s="1">
        <v>650.5</v>
      </c>
      <c r="C6" s="1">
        <v>699.5</v>
      </c>
      <c r="D6" s="1">
        <v>700.5</v>
      </c>
      <c r="E6" s="2">
        <f t="shared" si="0"/>
        <v>683.5</v>
      </c>
    </row>
    <row r="7" spans="1:5" x14ac:dyDescent="0.25">
      <c r="A7" t="s">
        <v>9</v>
      </c>
      <c r="B7" s="1"/>
      <c r="C7" s="1">
        <v>500.5</v>
      </c>
      <c r="D7" s="1"/>
      <c r="E7" s="2">
        <f t="shared" si="0"/>
        <v>500.5</v>
      </c>
    </row>
    <row r="8" spans="1:5" x14ac:dyDescent="0.25">
      <c r="A8" t="s">
        <v>108</v>
      </c>
      <c r="B8" s="1"/>
      <c r="C8" s="1"/>
      <c r="D8" s="1">
        <v>660.5</v>
      </c>
      <c r="E8" s="2">
        <f t="shared" si="0"/>
        <v>660.5</v>
      </c>
    </row>
    <row r="9" spans="1:5" x14ac:dyDescent="0.25">
      <c r="A9" t="s">
        <v>22</v>
      </c>
      <c r="B9" s="1"/>
      <c r="C9" s="1"/>
      <c r="D9" s="1">
        <v>375.5</v>
      </c>
      <c r="E9" s="2">
        <f t="shared" si="0"/>
        <v>375.5</v>
      </c>
    </row>
    <row r="10" spans="1:5" x14ac:dyDescent="0.25">
      <c r="A10" t="s">
        <v>109</v>
      </c>
      <c r="B10" s="1"/>
      <c r="C10" s="1"/>
      <c r="D10" s="1">
        <v>600.5</v>
      </c>
      <c r="E10" s="2">
        <f t="shared" si="0"/>
        <v>600.5</v>
      </c>
    </row>
    <row r="11" spans="1:5" x14ac:dyDescent="0.25">
      <c r="A11" t="s">
        <v>110</v>
      </c>
      <c r="B11" s="1"/>
      <c r="C11" s="1"/>
      <c r="D11" s="1">
        <v>625.5</v>
      </c>
      <c r="E11" s="2">
        <f t="shared" si="0"/>
        <v>625.5</v>
      </c>
    </row>
    <row r="12" spans="1:5" x14ac:dyDescent="0.25">
      <c r="A12" t="s">
        <v>16</v>
      </c>
      <c r="B12" s="1"/>
      <c r="C12" s="1"/>
      <c r="D12" s="1">
        <v>600.5</v>
      </c>
      <c r="E12" s="2">
        <f t="shared" si="0"/>
        <v>600.5</v>
      </c>
    </row>
    <row r="13" spans="1:5" x14ac:dyDescent="0.25">
      <c r="A13" t="s">
        <v>111</v>
      </c>
      <c r="B13" s="1"/>
      <c r="C13" s="1"/>
      <c r="D13" s="1">
        <v>625.5</v>
      </c>
      <c r="E13" s="2">
        <f t="shared" si="0"/>
        <v>625.5</v>
      </c>
    </row>
    <row r="14" spans="1:5" x14ac:dyDescent="0.25">
      <c r="A14" t="s">
        <v>112</v>
      </c>
      <c r="B14" s="1"/>
      <c r="C14" s="1"/>
      <c r="D14" s="1">
        <v>575.5</v>
      </c>
      <c r="E14" s="2">
        <f t="shared" si="0"/>
        <v>575.5</v>
      </c>
    </row>
    <row r="15" spans="1:5" x14ac:dyDescent="0.25">
      <c r="A15" t="s">
        <v>113</v>
      </c>
      <c r="B15" s="1"/>
      <c r="C15" s="1"/>
      <c r="D15" s="1">
        <v>800.5</v>
      </c>
      <c r="E15" s="2">
        <f t="shared" si="0"/>
        <v>800.5</v>
      </c>
    </row>
    <row r="16" spans="1:5" x14ac:dyDescent="0.25">
      <c r="A16" t="s">
        <v>27</v>
      </c>
      <c r="B16" s="1"/>
      <c r="C16" s="1"/>
      <c r="D16" s="1">
        <v>605.5</v>
      </c>
      <c r="E16" s="2">
        <f t="shared" si="0"/>
        <v>605.5</v>
      </c>
    </row>
    <row r="17" spans="1:5" x14ac:dyDescent="0.25">
      <c r="A17" t="s">
        <v>114</v>
      </c>
      <c r="B17" s="1"/>
      <c r="C17" s="1"/>
      <c r="D17" s="1">
        <v>500.5</v>
      </c>
      <c r="E17" s="2">
        <f t="shared" si="0"/>
        <v>500.5</v>
      </c>
    </row>
    <row r="18" spans="1:5" x14ac:dyDescent="0.25">
      <c r="A18" t="s">
        <v>115</v>
      </c>
      <c r="B18" s="1"/>
      <c r="C18" s="1"/>
      <c r="D18" s="1">
        <v>625.5</v>
      </c>
      <c r="E18" s="2">
        <f t="shared" si="0"/>
        <v>625.5</v>
      </c>
    </row>
    <row r="19" spans="1:5" x14ac:dyDescent="0.25">
      <c r="A19" t="s">
        <v>361</v>
      </c>
      <c r="B19" s="1"/>
      <c r="C19" s="1"/>
      <c r="D19" s="1">
        <v>475.5</v>
      </c>
      <c r="E19" s="2">
        <f t="shared" si="0"/>
        <v>475.5</v>
      </c>
    </row>
    <row r="20" spans="1:5" x14ac:dyDescent="0.25">
      <c r="A20" t="s">
        <v>116</v>
      </c>
      <c r="B20" s="1"/>
      <c r="C20" s="1"/>
      <c r="D20" s="1">
        <v>550.5</v>
      </c>
      <c r="E20" s="2">
        <f t="shared" si="0"/>
        <v>550.5</v>
      </c>
    </row>
    <row r="21" spans="1:5" x14ac:dyDescent="0.25">
      <c r="A21" t="s">
        <v>117</v>
      </c>
      <c r="B21" s="1"/>
      <c r="C21" s="1"/>
      <c r="D21" s="1">
        <v>575.5</v>
      </c>
      <c r="E21" s="2">
        <f t="shared" si="0"/>
        <v>575.5</v>
      </c>
    </row>
    <row r="22" spans="1:5" x14ac:dyDescent="0.25">
      <c r="A22" t="s">
        <v>118</v>
      </c>
      <c r="B22" s="1">
        <v>525.5</v>
      </c>
      <c r="C22" s="1"/>
      <c r="D22" s="1">
        <v>500.5</v>
      </c>
      <c r="E22" s="2">
        <f t="shared" si="0"/>
        <v>513</v>
      </c>
    </row>
    <row r="23" spans="1:5" x14ac:dyDescent="0.25">
      <c r="A23" t="s">
        <v>5</v>
      </c>
      <c r="B23" s="1">
        <v>825.5</v>
      </c>
      <c r="C23" s="1">
        <v>824.5</v>
      </c>
      <c r="D23" s="1">
        <v>800.5</v>
      </c>
      <c r="E23" s="2">
        <f t="shared" si="0"/>
        <v>816.83333333333337</v>
      </c>
    </row>
    <row r="24" spans="1:5" x14ac:dyDescent="0.25">
      <c r="A24" t="s">
        <v>305</v>
      </c>
      <c r="B24" s="1">
        <v>1050.5</v>
      </c>
      <c r="C24" s="1"/>
      <c r="D24" s="1">
        <v>1000.5</v>
      </c>
      <c r="E24" s="2">
        <f t="shared" si="0"/>
        <v>1025.5</v>
      </c>
    </row>
    <row r="25" spans="1:5" x14ac:dyDescent="0.25">
      <c r="A25" t="s">
        <v>14</v>
      </c>
      <c r="B25" s="1">
        <v>825.5</v>
      </c>
      <c r="C25" s="1">
        <v>824.5</v>
      </c>
      <c r="D25" s="1">
        <v>825.5</v>
      </c>
      <c r="E25" s="2">
        <f t="shared" si="0"/>
        <v>825.16666666666663</v>
      </c>
    </row>
    <row r="26" spans="1:5" x14ac:dyDescent="0.25">
      <c r="A26" t="s">
        <v>38</v>
      </c>
      <c r="B26" s="1">
        <v>925.5</v>
      </c>
      <c r="C26" s="1">
        <v>924.5</v>
      </c>
      <c r="D26" s="1">
        <v>950.5</v>
      </c>
      <c r="E26" s="2">
        <f t="shared" si="0"/>
        <v>933.5</v>
      </c>
    </row>
    <row r="27" spans="1:5" x14ac:dyDescent="0.25">
      <c r="A27" t="s">
        <v>6</v>
      </c>
      <c r="B27" s="1">
        <v>725.5</v>
      </c>
      <c r="C27" s="1"/>
      <c r="D27" s="1">
        <v>775.5</v>
      </c>
      <c r="E27" s="2">
        <f t="shared" si="0"/>
        <v>750.5</v>
      </c>
    </row>
    <row r="28" spans="1:5" x14ac:dyDescent="0.25">
      <c r="A28" t="s">
        <v>36</v>
      </c>
      <c r="B28" s="1">
        <v>1000.5</v>
      </c>
      <c r="C28" s="1"/>
      <c r="D28" s="1">
        <v>1000.5</v>
      </c>
      <c r="E28" s="2">
        <f t="shared" si="0"/>
        <v>1000.5</v>
      </c>
    </row>
    <row r="29" spans="1:5" x14ac:dyDescent="0.25">
      <c r="A29" t="s">
        <v>33</v>
      </c>
      <c r="B29" s="1">
        <v>1100.5</v>
      </c>
      <c r="C29" s="1">
        <v>1099.5</v>
      </c>
      <c r="D29" s="1">
        <v>1100.5</v>
      </c>
      <c r="E29" s="2">
        <f t="shared" si="0"/>
        <v>1100.1666666666667</v>
      </c>
    </row>
    <row r="30" spans="1:5" x14ac:dyDescent="0.25">
      <c r="A30" t="s">
        <v>40</v>
      </c>
      <c r="B30" s="1">
        <v>950.5</v>
      </c>
      <c r="C30" s="1">
        <v>900.5</v>
      </c>
      <c r="D30" s="1">
        <v>950.5</v>
      </c>
      <c r="E30" s="2">
        <f t="shared" si="0"/>
        <v>933.83333333333337</v>
      </c>
    </row>
    <row r="31" spans="1:5" x14ac:dyDescent="0.25">
      <c r="A31" t="s">
        <v>32</v>
      </c>
      <c r="B31" s="1">
        <v>1150.5</v>
      </c>
      <c r="C31" s="1">
        <v>1124.5</v>
      </c>
      <c r="D31" s="1">
        <v>1150.5</v>
      </c>
      <c r="E31" s="2">
        <f t="shared" si="0"/>
        <v>1141.8333333333333</v>
      </c>
    </row>
    <row r="32" spans="1:5" x14ac:dyDescent="0.25">
      <c r="A32" t="s">
        <v>310</v>
      </c>
      <c r="B32" s="1">
        <v>1300.5</v>
      </c>
      <c r="C32" s="1"/>
      <c r="D32" s="1">
        <v>1250.5</v>
      </c>
      <c r="E32" s="2">
        <f t="shared" si="0"/>
        <v>1275.5</v>
      </c>
    </row>
    <row r="33" spans="1:5" x14ac:dyDescent="0.25">
      <c r="A33" t="s">
        <v>10</v>
      </c>
      <c r="B33" s="1">
        <v>825.5</v>
      </c>
      <c r="C33" s="1">
        <v>849.5</v>
      </c>
      <c r="D33" s="1">
        <v>825.5</v>
      </c>
      <c r="E33" s="2">
        <f t="shared" si="0"/>
        <v>833.5</v>
      </c>
    </row>
    <row r="34" spans="1:5" x14ac:dyDescent="0.25">
      <c r="A34" t="s">
        <v>28</v>
      </c>
      <c r="B34" s="1">
        <v>1400.5</v>
      </c>
      <c r="C34" s="1">
        <v>1399.5</v>
      </c>
      <c r="D34" s="1">
        <v>1400.5</v>
      </c>
      <c r="E34" s="2">
        <f t="shared" ref="E34:E65" si="1">AVERAGE(B34:D34)</f>
        <v>1400.1666666666667</v>
      </c>
    </row>
    <row r="35" spans="1:5" x14ac:dyDescent="0.25">
      <c r="A35" t="s">
        <v>7</v>
      </c>
      <c r="B35" s="1">
        <v>850.5</v>
      </c>
      <c r="C35" s="1"/>
      <c r="D35" s="1">
        <v>855.5</v>
      </c>
      <c r="E35" s="2">
        <f t="shared" si="1"/>
        <v>853</v>
      </c>
    </row>
    <row r="36" spans="1:5" x14ac:dyDescent="0.25">
      <c r="A36" t="s">
        <v>31</v>
      </c>
      <c r="B36" s="1">
        <v>1125.5</v>
      </c>
      <c r="C36" s="1">
        <v>1150.5</v>
      </c>
      <c r="D36" s="1">
        <v>1125.5</v>
      </c>
      <c r="E36" s="2">
        <f t="shared" si="1"/>
        <v>1133.8333333333333</v>
      </c>
    </row>
    <row r="37" spans="1:5" x14ac:dyDescent="0.25">
      <c r="A37" t="s">
        <v>35</v>
      </c>
      <c r="B37" s="1">
        <v>1025.5</v>
      </c>
      <c r="C37" s="1"/>
      <c r="D37" s="1">
        <v>1050.5</v>
      </c>
      <c r="E37" s="2">
        <f t="shared" si="1"/>
        <v>1038</v>
      </c>
    </row>
    <row r="38" spans="1:5" x14ac:dyDescent="0.25">
      <c r="A38" t="s">
        <v>303</v>
      </c>
      <c r="B38" s="1">
        <v>750.5</v>
      </c>
      <c r="C38" s="1"/>
      <c r="D38" s="1">
        <v>775.5</v>
      </c>
      <c r="E38" s="2">
        <f t="shared" si="1"/>
        <v>763</v>
      </c>
    </row>
    <row r="39" spans="1:5" x14ac:dyDescent="0.25">
      <c r="A39" t="s">
        <v>119</v>
      </c>
      <c r="B39" s="1">
        <v>600.5</v>
      </c>
      <c r="C39" s="1"/>
      <c r="D39" s="1">
        <v>625.5</v>
      </c>
      <c r="E39" s="2">
        <f t="shared" si="1"/>
        <v>613</v>
      </c>
    </row>
    <row r="40" spans="1:5" x14ac:dyDescent="0.25">
      <c r="A40" t="s">
        <v>120</v>
      </c>
      <c r="B40" s="1">
        <v>850.5</v>
      </c>
      <c r="C40" s="1">
        <v>799.5</v>
      </c>
      <c r="D40" s="1">
        <v>850.5</v>
      </c>
      <c r="E40" s="2">
        <f t="shared" si="1"/>
        <v>833.5</v>
      </c>
    </row>
    <row r="41" spans="1:5" x14ac:dyDescent="0.25">
      <c r="A41" t="s">
        <v>34</v>
      </c>
      <c r="B41" s="1">
        <v>1075.5</v>
      </c>
      <c r="C41" s="1">
        <v>1049.5</v>
      </c>
      <c r="D41" s="1">
        <v>1075.5</v>
      </c>
      <c r="E41" s="2">
        <f t="shared" si="1"/>
        <v>1066.8333333333333</v>
      </c>
    </row>
    <row r="42" spans="1:5" x14ac:dyDescent="0.25">
      <c r="A42" t="s">
        <v>43</v>
      </c>
      <c r="B42" s="1">
        <v>875.5</v>
      </c>
      <c r="C42" s="1">
        <v>874.5</v>
      </c>
      <c r="D42" s="1">
        <v>875.5</v>
      </c>
      <c r="E42" s="2">
        <f t="shared" si="1"/>
        <v>875.16666666666663</v>
      </c>
    </row>
    <row r="43" spans="1:5" x14ac:dyDescent="0.25">
      <c r="A43" t="s">
        <v>42</v>
      </c>
      <c r="B43" s="1">
        <v>875.5</v>
      </c>
      <c r="C43" s="1">
        <v>850.5</v>
      </c>
      <c r="D43" s="1">
        <v>875.5</v>
      </c>
      <c r="E43" s="2">
        <f t="shared" si="1"/>
        <v>867.16666666666663</v>
      </c>
    </row>
    <row r="44" spans="1:5" x14ac:dyDescent="0.25">
      <c r="A44" t="s">
        <v>15</v>
      </c>
      <c r="B44" s="1">
        <v>725.5</v>
      </c>
      <c r="C44" s="1"/>
      <c r="D44" s="1">
        <v>775.5</v>
      </c>
      <c r="E44" s="2">
        <f t="shared" si="1"/>
        <v>750.5</v>
      </c>
    </row>
    <row r="45" spans="1:5" x14ac:dyDescent="0.25">
      <c r="A45" t="s">
        <v>39</v>
      </c>
      <c r="B45" s="1">
        <v>925.5</v>
      </c>
      <c r="C45" s="1"/>
      <c r="D45" s="1">
        <v>950.5</v>
      </c>
      <c r="E45" s="2">
        <f t="shared" si="1"/>
        <v>938</v>
      </c>
    </row>
    <row r="46" spans="1:5" x14ac:dyDescent="0.25">
      <c r="A46" t="s">
        <v>8</v>
      </c>
      <c r="B46" s="1">
        <v>800.5</v>
      </c>
      <c r="C46" s="1"/>
      <c r="D46" s="1">
        <v>825.5</v>
      </c>
      <c r="E46" s="2">
        <f t="shared" si="1"/>
        <v>813</v>
      </c>
    </row>
    <row r="47" spans="1:5" x14ac:dyDescent="0.25">
      <c r="A47" t="s">
        <v>19</v>
      </c>
      <c r="B47" s="1"/>
      <c r="C47" s="1">
        <v>799.5</v>
      </c>
      <c r="D47" s="1">
        <v>850.5</v>
      </c>
      <c r="E47" s="2">
        <f t="shared" si="1"/>
        <v>825</v>
      </c>
    </row>
    <row r="48" spans="1:5" x14ac:dyDescent="0.25">
      <c r="A48" t="s">
        <v>3</v>
      </c>
      <c r="B48" s="1">
        <v>675.5</v>
      </c>
      <c r="C48" s="1">
        <v>724.5</v>
      </c>
      <c r="D48" s="1">
        <v>700.5</v>
      </c>
      <c r="E48" s="2">
        <f t="shared" si="1"/>
        <v>700.16666666666663</v>
      </c>
    </row>
    <row r="49" spans="1:5" x14ac:dyDescent="0.25">
      <c r="A49" t="s">
        <v>11</v>
      </c>
      <c r="B49" s="1"/>
      <c r="C49" s="1">
        <v>649.5</v>
      </c>
      <c r="D49" s="1">
        <v>650.5</v>
      </c>
      <c r="E49" s="2">
        <f t="shared" si="1"/>
        <v>650</v>
      </c>
    </row>
    <row r="50" spans="1:5" x14ac:dyDescent="0.25">
      <c r="A50" t="s">
        <v>4</v>
      </c>
      <c r="B50" s="1">
        <v>850.5</v>
      </c>
      <c r="C50" s="1">
        <v>849.5</v>
      </c>
      <c r="D50" s="1">
        <v>825.5</v>
      </c>
      <c r="E50" s="2">
        <f t="shared" si="1"/>
        <v>841.83333333333337</v>
      </c>
    </row>
    <row r="51" spans="1:5" x14ac:dyDescent="0.25">
      <c r="A51" t="s">
        <v>12</v>
      </c>
      <c r="B51" s="1">
        <v>800.5</v>
      </c>
      <c r="C51" s="1">
        <v>800.5</v>
      </c>
      <c r="D51" s="1">
        <v>800.5</v>
      </c>
      <c r="E51" s="2">
        <f t="shared" si="1"/>
        <v>800.5</v>
      </c>
    </row>
    <row r="52" spans="1:5" x14ac:dyDescent="0.25">
      <c r="A52" t="s">
        <v>44</v>
      </c>
      <c r="B52" s="1">
        <v>800.5</v>
      </c>
      <c r="C52" s="1">
        <v>824.5</v>
      </c>
      <c r="D52" s="1">
        <v>825.5</v>
      </c>
      <c r="E52" s="2">
        <f t="shared" si="1"/>
        <v>816.83333333333337</v>
      </c>
    </row>
    <row r="53" spans="1:5" x14ac:dyDescent="0.25">
      <c r="A53" t="s">
        <v>359</v>
      </c>
      <c r="B53" s="1">
        <v>550.5</v>
      </c>
      <c r="C53" s="1">
        <v>599.5</v>
      </c>
      <c r="D53" s="1">
        <v>575.5</v>
      </c>
      <c r="E53" s="2">
        <f t="shared" si="1"/>
        <v>575.16666666666663</v>
      </c>
    </row>
    <row r="54" spans="1:5" x14ac:dyDescent="0.25">
      <c r="A54" t="s">
        <v>37</v>
      </c>
      <c r="B54" s="1">
        <v>925.5</v>
      </c>
      <c r="C54" s="1">
        <v>974.5</v>
      </c>
      <c r="D54" s="1">
        <v>1000.5</v>
      </c>
      <c r="E54" s="2">
        <f t="shared" si="1"/>
        <v>966.83333333333337</v>
      </c>
    </row>
    <row r="55" spans="1:5" x14ac:dyDescent="0.25">
      <c r="A55" t="s">
        <v>13</v>
      </c>
      <c r="B55" s="1">
        <v>675.5</v>
      </c>
      <c r="C55" s="1">
        <v>700.5</v>
      </c>
      <c r="D55" s="1">
        <v>700.5</v>
      </c>
      <c r="E55" s="2">
        <f t="shared" si="1"/>
        <v>692.16666666666663</v>
      </c>
    </row>
    <row r="56" spans="1:5" x14ac:dyDescent="0.25">
      <c r="A56" t="s">
        <v>45</v>
      </c>
      <c r="B56" s="1">
        <v>800.5</v>
      </c>
      <c r="C56" s="1">
        <v>824.5</v>
      </c>
      <c r="D56" s="1">
        <v>830.5</v>
      </c>
      <c r="E56" s="2">
        <f t="shared" si="1"/>
        <v>818.5</v>
      </c>
    </row>
    <row r="57" spans="1:5" x14ac:dyDescent="0.25">
      <c r="A57" t="s">
        <v>21</v>
      </c>
      <c r="B57" s="1">
        <v>800.5</v>
      </c>
      <c r="C57" s="1">
        <v>824.5</v>
      </c>
      <c r="D57" s="1">
        <v>800.5</v>
      </c>
      <c r="E57" s="2">
        <f t="shared" si="1"/>
        <v>808.5</v>
      </c>
    </row>
    <row r="58" spans="1:5" x14ac:dyDescent="0.25">
      <c r="A58" t="s">
        <v>41</v>
      </c>
      <c r="B58" s="1">
        <v>900.5</v>
      </c>
      <c r="C58" s="1">
        <v>875.5</v>
      </c>
      <c r="D58" s="1">
        <v>900.5</v>
      </c>
      <c r="E58" s="2">
        <f t="shared" si="1"/>
        <v>892.16666666666663</v>
      </c>
    </row>
    <row r="59" spans="1:5" x14ac:dyDescent="0.25">
      <c r="A59" t="s">
        <v>121</v>
      </c>
      <c r="B59" s="1">
        <v>675.5</v>
      </c>
      <c r="C59" s="1"/>
      <c r="D59" s="1"/>
      <c r="E59" s="2">
        <f t="shared" si="1"/>
        <v>675.5</v>
      </c>
    </row>
    <row r="60" spans="1:5" x14ac:dyDescent="0.25">
      <c r="A60" t="s">
        <v>72</v>
      </c>
      <c r="B60" s="1">
        <v>425.5</v>
      </c>
      <c r="C60" s="1"/>
      <c r="D60" s="1"/>
      <c r="E60" s="2">
        <f t="shared" si="1"/>
        <v>425.5</v>
      </c>
    </row>
    <row r="61" spans="1:5" x14ac:dyDescent="0.25">
      <c r="A61" t="s">
        <v>23</v>
      </c>
      <c r="B61" s="1">
        <v>525.5</v>
      </c>
      <c r="C61" s="1"/>
      <c r="D61" s="1"/>
      <c r="E61" s="2">
        <f t="shared" si="1"/>
        <v>525.5</v>
      </c>
    </row>
    <row r="62" spans="1:5" x14ac:dyDescent="0.25">
      <c r="A62" t="s">
        <v>25</v>
      </c>
      <c r="B62" s="1">
        <v>600.5</v>
      </c>
      <c r="C62" s="1">
        <v>624.5</v>
      </c>
      <c r="D62" s="1">
        <v>600.5</v>
      </c>
      <c r="E62" s="2">
        <f t="shared" si="1"/>
        <v>608.5</v>
      </c>
    </row>
    <row r="63" spans="1:5" x14ac:dyDescent="0.25">
      <c r="A63" t="s">
        <v>122</v>
      </c>
      <c r="B63" s="1">
        <v>625.5</v>
      </c>
      <c r="C63" s="1"/>
      <c r="D63" s="1"/>
      <c r="E63" s="2">
        <f t="shared" si="1"/>
        <v>625.5</v>
      </c>
    </row>
    <row r="64" spans="1:5" x14ac:dyDescent="0.25">
      <c r="A64" t="s">
        <v>123</v>
      </c>
      <c r="B64" s="1"/>
      <c r="C64" s="1">
        <v>549.5</v>
      </c>
      <c r="D64" s="1"/>
      <c r="E64" s="2">
        <f t="shared" si="1"/>
        <v>549.5</v>
      </c>
    </row>
    <row r="65" spans="1:5" x14ac:dyDescent="0.25">
      <c r="A65" t="s">
        <v>29</v>
      </c>
      <c r="B65" s="1">
        <v>1275.5</v>
      </c>
      <c r="C65" s="1">
        <v>1299.5</v>
      </c>
      <c r="D65" s="1">
        <v>1325.5</v>
      </c>
      <c r="E65" s="2">
        <f t="shared" si="1"/>
        <v>1300.1666666666667</v>
      </c>
    </row>
    <row r="66" spans="1:5" x14ac:dyDescent="0.25">
      <c r="A66" t="s">
        <v>184</v>
      </c>
      <c r="B66" s="1"/>
      <c r="C66" s="1"/>
      <c r="D66" s="1">
        <v>1050.5</v>
      </c>
      <c r="E66" s="2">
        <f t="shared" ref="E66:E97" si="2">AVERAGE(B66:D66)</f>
        <v>1050.5</v>
      </c>
    </row>
    <row r="67" spans="1:5" x14ac:dyDescent="0.25">
      <c r="A67" t="s">
        <v>124</v>
      </c>
      <c r="B67" s="1"/>
      <c r="C67" s="1">
        <v>699.5</v>
      </c>
      <c r="D67" s="1">
        <v>675.5</v>
      </c>
      <c r="E67" s="2">
        <f t="shared" si="2"/>
        <v>687.5</v>
      </c>
    </row>
    <row r="68" spans="1:5" x14ac:dyDescent="0.25">
      <c r="A68" t="s">
        <v>18</v>
      </c>
      <c r="B68" s="1"/>
      <c r="C68" s="1">
        <v>549.5</v>
      </c>
      <c r="D68" s="1">
        <v>550.5</v>
      </c>
      <c r="E68" s="2">
        <f t="shared" si="2"/>
        <v>550</v>
      </c>
    </row>
    <row r="69" spans="1:5" x14ac:dyDescent="0.25">
      <c r="A69" t="s">
        <v>125</v>
      </c>
      <c r="B69" s="1">
        <v>550.5</v>
      </c>
      <c r="C69" s="1">
        <v>574.5</v>
      </c>
      <c r="D69" s="1"/>
      <c r="E69" s="2">
        <f t="shared" si="2"/>
        <v>562.5</v>
      </c>
    </row>
    <row r="70" spans="1:5" x14ac:dyDescent="0.25">
      <c r="A70" t="s">
        <v>30</v>
      </c>
      <c r="B70" s="1">
        <v>1075.5</v>
      </c>
      <c r="C70" s="1">
        <v>1149.5</v>
      </c>
      <c r="D70" s="1">
        <v>1100.5</v>
      </c>
      <c r="E70" s="2">
        <f t="shared" si="2"/>
        <v>1108.5</v>
      </c>
    </row>
    <row r="71" spans="1:5" x14ac:dyDescent="0.25">
      <c r="A71" t="s">
        <v>56</v>
      </c>
      <c r="D71" s="1">
        <v>600.5</v>
      </c>
      <c r="E71" s="2">
        <f t="shared" si="2"/>
        <v>600.5</v>
      </c>
    </row>
    <row r="72" spans="1:5" x14ac:dyDescent="0.25">
      <c r="A72" t="s">
        <v>65</v>
      </c>
      <c r="D72" s="1">
        <v>575.5</v>
      </c>
      <c r="E72" s="2">
        <f t="shared" si="2"/>
        <v>575.5</v>
      </c>
    </row>
    <row r="73" spans="1:5" x14ac:dyDescent="0.25">
      <c r="A73" t="s">
        <v>290</v>
      </c>
      <c r="D73" s="1">
        <v>425.5</v>
      </c>
      <c r="E73" s="2">
        <f t="shared" si="2"/>
        <v>425.5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BDA874-B006-4766-AE68-7F9B312B1F11}">
  <sheetPr codeName="Sheet11"/>
  <dimension ref="A1:C56"/>
  <sheetViews>
    <sheetView workbookViewId="0">
      <selection activeCell="A2" sqref="A2"/>
    </sheetView>
  </sheetViews>
  <sheetFormatPr defaultRowHeight="15" x14ac:dyDescent="0.25"/>
  <cols>
    <col min="1" max="1" width="24.28515625" bestFit="1" customWidth="1"/>
    <col min="2" max="2" width="10.140625" bestFit="1" customWidth="1"/>
    <col min="3" max="3" width="14" bestFit="1" customWidth="1"/>
  </cols>
  <sheetData>
    <row r="1" spans="1:3" x14ac:dyDescent="0.25">
      <c r="A1" t="s">
        <v>77</v>
      </c>
      <c r="B1" t="s">
        <v>0</v>
      </c>
      <c r="C1" t="s">
        <v>183</v>
      </c>
    </row>
    <row r="2" spans="1:3" x14ac:dyDescent="0.25">
      <c r="A2" t="s">
        <v>184</v>
      </c>
      <c r="B2">
        <v>75.5</v>
      </c>
      <c r="C2" t="str">
        <f>IF(COUNTIFS('All Players'!A:A,A2)=0,"Missing","OK")</f>
        <v>OK</v>
      </c>
    </row>
    <row r="3" spans="1:3" x14ac:dyDescent="0.25">
      <c r="A3" t="s">
        <v>116</v>
      </c>
      <c r="B3">
        <v>42.5</v>
      </c>
      <c r="C3" t="str">
        <f>IF(COUNTIFS('All Players'!A:A,A3)=0,"Missing","OK")</f>
        <v>OK</v>
      </c>
    </row>
    <row r="4" spans="1:3" x14ac:dyDescent="0.25">
      <c r="A4" t="s">
        <v>113</v>
      </c>
      <c r="B4">
        <v>59.5</v>
      </c>
      <c r="C4" t="str">
        <f>IF(COUNTIFS('All Players'!A:A,A4)=0,"Missing","OK")</f>
        <v>OK</v>
      </c>
    </row>
    <row r="5" spans="1:3" x14ac:dyDescent="0.25">
      <c r="A5" t="s">
        <v>27</v>
      </c>
      <c r="B5">
        <v>40.5</v>
      </c>
      <c r="C5" t="str">
        <f>IF(COUNTIFS('All Players'!A:A,A5)=0,"Missing","OK")</f>
        <v>OK</v>
      </c>
    </row>
    <row r="6" spans="1:3" x14ac:dyDescent="0.25">
      <c r="A6" t="s">
        <v>18</v>
      </c>
      <c r="B6">
        <v>55.5</v>
      </c>
      <c r="C6" t="str">
        <f>IF(COUNTIFS('All Players'!A:A,A6)=0,"Missing","OK")</f>
        <v>OK</v>
      </c>
    </row>
    <row r="7" spans="1:3" x14ac:dyDescent="0.25">
      <c r="A7" t="s">
        <v>11</v>
      </c>
      <c r="B7">
        <v>52.5</v>
      </c>
      <c r="C7" t="str">
        <f>IF(COUNTIFS('All Players'!A:A,A7)=0,"Missing","OK")</f>
        <v>OK</v>
      </c>
    </row>
    <row r="8" spans="1:3" x14ac:dyDescent="0.25">
      <c r="A8" t="s">
        <v>38</v>
      </c>
      <c r="B8">
        <v>72.5</v>
      </c>
      <c r="C8" t="str">
        <f>IF(COUNTIFS('All Players'!A:A,A8)=0,"Missing","OK")</f>
        <v>OK</v>
      </c>
    </row>
    <row r="9" spans="1:3" x14ac:dyDescent="0.25">
      <c r="A9" t="s">
        <v>305</v>
      </c>
      <c r="B9">
        <v>95.5</v>
      </c>
      <c r="C9" t="str">
        <f>IF(COUNTIFS('All Players'!A:A,A9)=0,"Missing","OK")</f>
        <v>OK</v>
      </c>
    </row>
    <row r="10" spans="1:3" x14ac:dyDescent="0.25">
      <c r="A10" t="s">
        <v>6</v>
      </c>
      <c r="B10">
        <v>62.5</v>
      </c>
      <c r="C10" t="str">
        <f>IF(COUNTIFS('All Players'!A:A,A10)=0,"Missing","OK")</f>
        <v>OK</v>
      </c>
    </row>
    <row r="11" spans="1:3" x14ac:dyDescent="0.25">
      <c r="A11" t="s">
        <v>40</v>
      </c>
      <c r="B11">
        <v>70.5</v>
      </c>
      <c r="C11" t="str">
        <f>IF(COUNTIFS('All Players'!A:A,A11)=0,"Missing","OK")</f>
        <v>OK</v>
      </c>
    </row>
    <row r="12" spans="1:3" x14ac:dyDescent="0.25">
      <c r="A12" t="s">
        <v>33</v>
      </c>
      <c r="B12">
        <v>95.5</v>
      </c>
      <c r="C12" t="str">
        <f>IF(COUNTIFS('All Players'!A:A,A12)=0,"Missing","OK")</f>
        <v>OK</v>
      </c>
    </row>
    <row r="13" spans="1:3" x14ac:dyDescent="0.25">
      <c r="A13" t="s">
        <v>8</v>
      </c>
      <c r="B13">
        <v>80.5</v>
      </c>
      <c r="C13" t="str">
        <f>IF(COUNTIFS('All Players'!A:A,A13)=0,"Missing","OK")</f>
        <v>OK</v>
      </c>
    </row>
    <row r="14" spans="1:3" x14ac:dyDescent="0.25">
      <c r="A14" t="s">
        <v>35</v>
      </c>
      <c r="B14">
        <v>75.5</v>
      </c>
      <c r="C14" t="str">
        <f>IF(COUNTIFS('All Players'!A:A,A14)=0,"Missing","OK")</f>
        <v>OK</v>
      </c>
    </row>
    <row r="15" spans="1:3" x14ac:dyDescent="0.25">
      <c r="A15" t="s">
        <v>5</v>
      </c>
      <c r="B15">
        <v>70.5</v>
      </c>
      <c r="C15" t="str">
        <f>IF(COUNTIFS('All Players'!A:A,A15)=0,"Missing","OK")</f>
        <v>OK</v>
      </c>
    </row>
    <row r="16" spans="1:3" x14ac:dyDescent="0.25">
      <c r="A16" t="s">
        <v>4</v>
      </c>
      <c r="B16">
        <v>62.5</v>
      </c>
      <c r="C16" t="str">
        <f>IF(COUNTIFS('All Players'!A:A,A16)=0,"Missing","OK")</f>
        <v>OK</v>
      </c>
    </row>
    <row r="17" spans="1:3" x14ac:dyDescent="0.25">
      <c r="A17" t="s">
        <v>118</v>
      </c>
      <c r="B17">
        <v>52.5</v>
      </c>
      <c r="C17" t="str">
        <f>IF(COUNTIFS('All Players'!A:A,A17)=0,"Missing","OK")</f>
        <v>OK</v>
      </c>
    </row>
    <row r="18" spans="1:3" x14ac:dyDescent="0.25">
      <c r="A18" t="s">
        <v>24</v>
      </c>
      <c r="B18">
        <v>57.5</v>
      </c>
      <c r="C18" t="str">
        <f>IF(COUNTIFS('All Players'!A:A,A18)=0,"Missing","OK")</f>
        <v>OK</v>
      </c>
    </row>
    <row r="19" spans="1:3" x14ac:dyDescent="0.25">
      <c r="A19" t="s">
        <v>20</v>
      </c>
      <c r="B19">
        <v>60.5</v>
      </c>
      <c r="C19" t="str">
        <f>IF(COUNTIFS('All Players'!A:A,A19)=0,"Missing","OK")</f>
        <v>OK</v>
      </c>
    </row>
    <row r="20" spans="1:3" x14ac:dyDescent="0.25">
      <c r="A20" t="s">
        <v>23</v>
      </c>
      <c r="B20">
        <v>50.5</v>
      </c>
      <c r="C20" t="str">
        <f>IF(COUNTIFS('All Players'!A:A,A20)=0,"Missing","OK")</f>
        <v>OK</v>
      </c>
    </row>
    <row r="21" spans="1:3" x14ac:dyDescent="0.25">
      <c r="A21" t="s">
        <v>22</v>
      </c>
      <c r="B21">
        <v>39.5</v>
      </c>
      <c r="C21" t="str">
        <f>IF(COUNTIFS('All Players'!A:A,A21)=0,"Missing","OK")</f>
        <v>OK</v>
      </c>
    </row>
    <row r="22" spans="1:3" x14ac:dyDescent="0.25">
      <c r="A22" t="s">
        <v>37</v>
      </c>
      <c r="B22">
        <v>80.5</v>
      </c>
      <c r="C22" t="str">
        <f>IF(COUNTIFS('All Players'!A:A,A22)=0,"Missing","OK")</f>
        <v>OK</v>
      </c>
    </row>
    <row r="23" spans="1:3" x14ac:dyDescent="0.25">
      <c r="A23" t="s">
        <v>17</v>
      </c>
      <c r="B23">
        <v>59.5</v>
      </c>
      <c r="C23" t="str">
        <f>IF(COUNTIFS('All Players'!A:A,A23)=0,"Missing","OK")</f>
        <v>OK</v>
      </c>
    </row>
    <row r="24" spans="1:3" x14ac:dyDescent="0.25">
      <c r="A24" t="s">
        <v>45</v>
      </c>
      <c r="B24">
        <v>82.5</v>
      </c>
      <c r="C24" t="str">
        <f>IF(COUNTIFS('All Players'!A:A,A24)=0,"Missing","OK")</f>
        <v>OK</v>
      </c>
    </row>
    <row r="25" spans="1:3" x14ac:dyDescent="0.25">
      <c r="A25" t="s">
        <v>10</v>
      </c>
      <c r="B25">
        <v>62.5</v>
      </c>
      <c r="C25" t="str">
        <f>IF(COUNTIFS('All Players'!A:A,A25)=0,"Missing","OK")</f>
        <v>OK</v>
      </c>
    </row>
    <row r="26" spans="1:3" x14ac:dyDescent="0.25">
      <c r="A26" t="s">
        <v>39</v>
      </c>
      <c r="B26">
        <v>75.5</v>
      </c>
      <c r="C26" t="str">
        <f>IF(COUNTIFS('All Players'!A:A,A26)=0,"Missing","OK")</f>
        <v>OK</v>
      </c>
    </row>
    <row r="27" spans="1:3" x14ac:dyDescent="0.25">
      <c r="A27" t="s">
        <v>114</v>
      </c>
      <c r="B27">
        <v>40.5</v>
      </c>
      <c r="C27" t="str">
        <f>IF(COUNTIFS('All Players'!A:A,A27)=0,"Missing","OK")</f>
        <v>OK</v>
      </c>
    </row>
    <row r="28" spans="1:3" x14ac:dyDescent="0.25">
      <c r="A28" t="s">
        <v>14</v>
      </c>
      <c r="B28">
        <v>70.5</v>
      </c>
      <c r="C28" t="str">
        <f>IF(COUNTIFS('All Players'!A:A,A28)=0,"Missing","OK")</f>
        <v>OK</v>
      </c>
    </row>
    <row r="29" spans="1:3" x14ac:dyDescent="0.25">
      <c r="A29" t="s">
        <v>112</v>
      </c>
      <c r="B29">
        <v>45.5</v>
      </c>
      <c r="C29" t="str">
        <f>IF(COUNTIFS('All Players'!A:A,A29)=0,"Missing","OK")</f>
        <v>OK</v>
      </c>
    </row>
    <row r="30" spans="1:3" x14ac:dyDescent="0.25">
      <c r="A30" t="s">
        <v>25</v>
      </c>
      <c r="B30">
        <v>63.5</v>
      </c>
      <c r="C30" t="str">
        <f>IF(COUNTIFS('All Players'!A:A,A30)=0,"Missing","OK")</f>
        <v>OK</v>
      </c>
    </row>
    <row r="31" spans="1:3" x14ac:dyDescent="0.25">
      <c r="A31" t="s">
        <v>107</v>
      </c>
      <c r="B31">
        <v>50.5</v>
      </c>
      <c r="C31" t="str">
        <f>IF(COUNTIFS('All Players'!A:A,A31)=0,"Missing","OK")</f>
        <v>OK</v>
      </c>
    </row>
    <row r="32" spans="1:3" x14ac:dyDescent="0.25">
      <c r="A32" t="s">
        <v>31</v>
      </c>
      <c r="B32">
        <v>86.5</v>
      </c>
      <c r="C32" t="str">
        <f>IF(COUNTIFS('All Players'!A:A,A32)=0,"Missing","OK")</f>
        <v>OK</v>
      </c>
    </row>
    <row r="33" spans="1:3" x14ac:dyDescent="0.25">
      <c r="A33" t="s">
        <v>3</v>
      </c>
      <c r="B33">
        <v>57.5</v>
      </c>
      <c r="C33" t="str">
        <f>IF(COUNTIFS('All Players'!A:A,A33)=0,"Missing","OK")</f>
        <v>OK</v>
      </c>
    </row>
    <row r="34" spans="1:3" x14ac:dyDescent="0.25">
      <c r="A34" t="s">
        <v>12</v>
      </c>
      <c r="B34">
        <v>55.5</v>
      </c>
      <c r="C34" t="str">
        <f>IF(COUNTIFS('All Players'!A:A,A34)=0,"Missing","OK")</f>
        <v>OK</v>
      </c>
    </row>
    <row r="35" spans="1:3" x14ac:dyDescent="0.25">
      <c r="A35" t="s">
        <v>310</v>
      </c>
      <c r="B35">
        <v>95.5</v>
      </c>
      <c r="C35" t="str">
        <f>IF(COUNTIFS('All Players'!A:A,A35)=0,"Missing","OK")</f>
        <v>OK</v>
      </c>
    </row>
    <row r="36" spans="1:3" x14ac:dyDescent="0.25">
      <c r="A36" t="s">
        <v>34</v>
      </c>
      <c r="B36">
        <v>52.5</v>
      </c>
      <c r="C36" t="str">
        <f>IF(COUNTIFS('All Players'!A:A,A36)=0,"Missing","OK")</f>
        <v>OK</v>
      </c>
    </row>
    <row r="37" spans="1:3" x14ac:dyDescent="0.25">
      <c r="A37" t="s">
        <v>28</v>
      </c>
      <c r="B37">
        <v>85.5</v>
      </c>
      <c r="C37" t="str">
        <f>IF(COUNTIFS('All Players'!A:A,A37)=0,"Missing","OK")</f>
        <v>OK</v>
      </c>
    </row>
    <row r="38" spans="1:3" x14ac:dyDescent="0.25">
      <c r="A38" t="s">
        <v>41</v>
      </c>
      <c r="B38">
        <v>105.5</v>
      </c>
      <c r="C38" t="str">
        <f>IF(COUNTIFS('All Players'!A:A,A38)=0,"Missing","OK")</f>
        <v>OK</v>
      </c>
    </row>
    <row r="39" spans="1:3" x14ac:dyDescent="0.25">
      <c r="A39" t="s">
        <v>13</v>
      </c>
      <c r="B39">
        <v>85.5</v>
      </c>
      <c r="C39" t="str">
        <f>IF(COUNTIFS('All Players'!A:A,A39)=0,"Missing","OK")</f>
        <v>OK</v>
      </c>
    </row>
    <row r="40" spans="1:3" x14ac:dyDescent="0.25">
      <c r="A40" t="s">
        <v>19</v>
      </c>
      <c r="B40">
        <v>52.5</v>
      </c>
      <c r="C40" t="str">
        <f>IF(COUNTIFS('All Players'!A:A,A40)=0,"Missing","OK")</f>
        <v>OK</v>
      </c>
    </row>
    <row r="41" spans="1:3" x14ac:dyDescent="0.25">
      <c r="A41" t="s">
        <v>21</v>
      </c>
      <c r="B41">
        <v>74.5</v>
      </c>
      <c r="C41" t="str">
        <f>IF(COUNTIFS('All Players'!A:A,A41)=0,"Missing","OK")</f>
        <v>OK</v>
      </c>
    </row>
    <row r="42" spans="1:3" x14ac:dyDescent="0.25">
      <c r="A42" t="s">
        <v>16</v>
      </c>
      <c r="B42">
        <v>49.5</v>
      </c>
      <c r="C42" t="str">
        <f>IF(COUNTIFS('All Players'!A:A,A42)=0,"Missing","OK")</f>
        <v>OK</v>
      </c>
    </row>
    <row r="43" spans="1:3" x14ac:dyDescent="0.25">
      <c r="A43" t="s">
        <v>42</v>
      </c>
      <c r="B43">
        <v>65.5</v>
      </c>
      <c r="C43" t="str">
        <f>IF(COUNTIFS('All Players'!A:A,A43)=0,"Missing","OK")</f>
        <v>OK</v>
      </c>
    </row>
    <row r="44" spans="1:3" x14ac:dyDescent="0.25">
      <c r="A44" t="s">
        <v>111</v>
      </c>
      <c r="B44">
        <v>45.5</v>
      </c>
      <c r="C44" t="str">
        <f>IF(COUNTIFS('All Players'!A:A,A44)=0,"Missing","OK")</f>
        <v>OK</v>
      </c>
    </row>
    <row r="45" spans="1:3" x14ac:dyDescent="0.25">
      <c r="A45" t="s">
        <v>120</v>
      </c>
      <c r="B45">
        <v>57.5</v>
      </c>
      <c r="C45" t="str">
        <f>IF(COUNTIFS('All Players'!A:A,A45)=0,"Missing","OK")</f>
        <v>OK</v>
      </c>
    </row>
    <row r="46" spans="1:3" x14ac:dyDescent="0.25">
      <c r="A46" t="s">
        <v>119</v>
      </c>
      <c r="B46">
        <v>59.5</v>
      </c>
      <c r="C46" t="str">
        <f>IF(COUNTIFS('All Players'!A:A,A46)=0,"Missing","OK")</f>
        <v>OK</v>
      </c>
    </row>
    <row r="47" spans="1:3" x14ac:dyDescent="0.25">
      <c r="A47" t="s">
        <v>359</v>
      </c>
      <c r="B47">
        <v>40.5</v>
      </c>
      <c r="C47" t="str">
        <f>IF(COUNTIFS('All Players'!A:A,A47)=0,"Missing","OK")</f>
        <v>OK</v>
      </c>
    </row>
    <row r="48" spans="1:3" x14ac:dyDescent="0.25">
      <c r="A48" t="s">
        <v>123</v>
      </c>
      <c r="B48">
        <v>50.5</v>
      </c>
      <c r="C48" t="str">
        <f>IF(COUNTIFS('All Players'!A:A,A48)=0,"Missing","OK")</f>
        <v>OK</v>
      </c>
    </row>
    <row r="49" spans="1:3" x14ac:dyDescent="0.25">
      <c r="A49" t="s">
        <v>117</v>
      </c>
      <c r="B49">
        <v>47.5</v>
      </c>
      <c r="C49" t="str">
        <f>IF(COUNTIFS('All Players'!A:A,A49)=0,"Missing","OK")</f>
        <v>OK</v>
      </c>
    </row>
    <row r="50" spans="1:3" x14ac:dyDescent="0.25">
      <c r="A50" t="s">
        <v>32</v>
      </c>
      <c r="B50">
        <v>99.5</v>
      </c>
      <c r="C50" t="str">
        <f>IF(COUNTIFS('All Players'!A:A,A50)=0,"Missing","OK")</f>
        <v>OK</v>
      </c>
    </row>
    <row r="51" spans="1:3" x14ac:dyDescent="0.25">
      <c r="A51" t="s">
        <v>36</v>
      </c>
      <c r="B51">
        <v>70.5</v>
      </c>
      <c r="C51" t="str">
        <f>IF(COUNTIFS('All Players'!A:A,A51)=0,"Missing","OK")</f>
        <v>OK</v>
      </c>
    </row>
    <row r="52" spans="1:3" x14ac:dyDescent="0.25">
      <c r="A52" t="s">
        <v>30</v>
      </c>
      <c r="B52">
        <v>95.5</v>
      </c>
      <c r="C52" t="str">
        <f>IF(COUNTIFS('All Players'!A:A,A52)=0,"Missing","OK")</f>
        <v>OK</v>
      </c>
    </row>
    <row r="53" spans="1:3" x14ac:dyDescent="0.25">
      <c r="A53" t="s">
        <v>110</v>
      </c>
      <c r="B53">
        <v>57.5</v>
      </c>
      <c r="C53" t="str">
        <f>IF(COUNTIFS('All Players'!A:A,A53)=0,"Missing","OK")</f>
        <v>OK</v>
      </c>
    </row>
    <row r="54" spans="1:3" x14ac:dyDescent="0.25">
      <c r="A54" t="s">
        <v>9</v>
      </c>
      <c r="B54">
        <v>57.5</v>
      </c>
      <c r="C54" t="str">
        <f>IF(COUNTIFS('All Players'!A:A,A54)=0,"Missing","OK")</f>
        <v>OK</v>
      </c>
    </row>
    <row r="55" spans="1:3" x14ac:dyDescent="0.25">
      <c r="A55" t="s">
        <v>43</v>
      </c>
      <c r="B55">
        <v>72.5</v>
      </c>
      <c r="C55" t="str">
        <f>IF(COUNTIFS('All Players'!A:A,A55)=0,"Missing","OK")</f>
        <v>OK</v>
      </c>
    </row>
    <row r="56" spans="1:3" x14ac:dyDescent="0.25">
      <c r="A56" t="s">
        <v>29</v>
      </c>
      <c r="B56">
        <v>102.5</v>
      </c>
      <c r="C56" t="str">
        <f>IF(COUNTIFS('All Players'!A:A,A56)=0,"Missing","OK")</f>
        <v>OK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575F70-74B6-4F08-96B0-2838F61CC8FC}">
  <sheetPr codeName="Sheet8"/>
  <dimension ref="A1:E51"/>
  <sheetViews>
    <sheetView workbookViewId="0">
      <selection activeCell="A30" sqref="A30"/>
    </sheetView>
  </sheetViews>
  <sheetFormatPr defaultRowHeight="15" x14ac:dyDescent="0.25"/>
  <cols>
    <col min="1" max="1" width="24.28515625" bestFit="1" customWidth="1"/>
    <col min="2" max="2" width="8.140625" bestFit="1" customWidth="1"/>
    <col min="3" max="3" width="8.7109375" bestFit="1" customWidth="1"/>
    <col min="4" max="4" width="7.7109375" bestFit="1" customWidth="1"/>
    <col min="5" max="5" width="8.28515625" bestFit="1" customWidth="1"/>
  </cols>
  <sheetData>
    <row r="1" spans="1:5" x14ac:dyDescent="0.25">
      <c r="A1" t="s">
        <v>77</v>
      </c>
      <c r="B1" t="s">
        <v>78</v>
      </c>
      <c r="C1" t="s">
        <v>1</v>
      </c>
      <c r="D1" t="s">
        <v>79</v>
      </c>
      <c r="E1" t="s">
        <v>80</v>
      </c>
    </row>
    <row r="2" spans="1:5" x14ac:dyDescent="0.25">
      <c r="A2" t="s">
        <v>23</v>
      </c>
      <c r="B2" s="1">
        <v>3.5</v>
      </c>
      <c r="C2" s="1"/>
      <c r="D2" s="1"/>
      <c r="E2" s="2">
        <f t="shared" ref="E2:E33" si="0">AVERAGE(B2:D2)</f>
        <v>3.5</v>
      </c>
    </row>
    <row r="3" spans="1:5" x14ac:dyDescent="0.25">
      <c r="A3" t="s">
        <v>25</v>
      </c>
      <c r="B3" s="1"/>
      <c r="C3" s="1">
        <v>3.5</v>
      </c>
      <c r="D3" s="1">
        <v>3.5</v>
      </c>
      <c r="E3" s="2">
        <f t="shared" si="0"/>
        <v>3.5</v>
      </c>
    </row>
    <row r="4" spans="1:5" x14ac:dyDescent="0.25">
      <c r="A4" t="s">
        <v>305</v>
      </c>
      <c r="B4" s="1">
        <v>5.5</v>
      </c>
      <c r="C4" s="1"/>
      <c r="D4" s="1">
        <v>5.5</v>
      </c>
      <c r="E4" s="2">
        <f t="shared" si="0"/>
        <v>5.5</v>
      </c>
    </row>
    <row r="5" spans="1:5" x14ac:dyDescent="0.25">
      <c r="A5" t="s">
        <v>5</v>
      </c>
      <c r="B5" s="1">
        <v>4.5</v>
      </c>
      <c r="C5" s="1">
        <v>5.5</v>
      </c>
      <c r="D5" s="1">
        <v>4.5</v>
      </c>
      <c r="E5" s="2">
        <f t="shared" si="0"/>
        <v>4.833333333333333</v>
      </c>
    </row>
    <row r="6" spans="1:5" x14ac:dyDescent="0.25">
      <c r="A6" t="s">
        <v>24</v>
      </c>
      <c r="B6" s="1">
        <v>3.5</v>
      </c>
      <c r="C6" s="1">
        <v>3.5</v>
      </c>
      <c r="D6" s="1">
        <v>3.5</v>
      </c>
      <c r="E6" s="2">
        <f t="shared" si="0"/>
        <v>3.5</v>
      </c>
    </row>
    <row r="7" spans="1:5" x14ac:dyDescent="0.25">
      <c r="A7" t="s">
        <v>6</v>
      </c>
      <c r="B7" s="1">
        <v>4.5</v>
      </c>
      <c r="C7" s="1"/>
      <c r="D7" s="1"/>
      <c r="E7" s="2">
        <f t="shared" si="0"/>
        <v>4.5</v>
      </c>
    </row>
    <row r="8" spans="1:5" x14ac:dyDescent="0.25">
      <c r="A8" t="s">
        <v>30</v>
      </c>
      <c r="B8" s="1">
        <v>9.5</v>
      </c>
      <c r="C8" s="1">
        <v>9.5</v>
      </c>
      <c r="D8" s="1">
        <v>9.5</v>
      </c>
      <c r="E8" s="2">
        <f t="shared" si="0"/>
        <v>9.5</v>
      </c>
    </row>
    <row r="9" spans="1:5" x14ac:dyDescent="0.25">
      <c r="A9" t="s">
        <v>7</v>
      </c>
      <c r="B9" s="1">
        <v>4.5</v>
      </c>
      <c r="C9" s="1"/>
      <c r="D9" s="1">
        <v>4.5</v>
      </c>
      <c r="E9" s="2">
        <f t="shared" si="0"/>
        <v>4.5</v>
      </c>
    </row>
    <row r="10" spans="1:5" x14ac:dyDescent="0.25">
      <c r="A10" t="s">
        <v>39</v>
      </c>
      <c r="B10" s="1">
        <v>7.5</v>
      </c>
      <c r="C10" s="1">
        <v>7.5</v>
      </c>
      <c r="D10" s="1">
        <v>8.5</v>
      </c>
      <c r="E10" s="2">
        <f t="shared" si="0"/>
        <v>7.833333333333333</v>
      </c>
    </row>
    <row r="11" spans="1:5" x14ac:dyDescent="0.25">
      <c r="A11" t="s">
        <v>10</v>
      </c>
      <c r="B11" s="1">
        <v>4.5</v>
      </c>
      <c r="C11" s="1">
        <v>4.5</v>
      </c>
      <c r="D11" s="1">
        <v>5.5</v>
      </c>
      <c r="E11" s="2">
        <f t="shared" si="0"/>
        <v>4.833333333333333</v>
      </c>
    </row>
    <row r="12" spans="1:5" x14ac:dyDescent="0.25">
      <c r="A12" t="s">
        <v>33</v>
      </c>
      <c r="B12" s="1">
        <v>7.5</v>
      </c>
      <c r="C12" s="1">
        <v>7.5</v>
      </c>
      <c r="D12" s="1">
        <v>6.5</v>
      </c>
      <c r="E12" s="2">
        <f t="shared" si="0"/>
        <v>7.166666666666667</v>
      </c>
    </row>
    <row r="13" spans="1:5" x14ac:dyDescent="0.25">
      <c r="A13" t="s">
        <v>29</v>
      </c>
      <c r="B13" s="1">
        <v>7.5</v>
      </c>
      <c r="C13" s="1">
        <v>7.5</v>
      </c>
      <c r="D13" s="1">
        <v>7.5</v>
      </c>
      <c r="E13" s="2">
        <f t="shared" si="0"/>
        <v>7.5</v>
      </c>
    </row>
    <row r="14" spans="1:5" x14ac:dyDescent="0.25">
      <c r="A14" t="s">
        <v>12</v>
      </c>
      <c r="B14" s="1">
        <v>4.5</v>
      </c>
      <c r="C14" s="1">
        <v>4.5</v>
      </c>
      <c r="D14" s="1">
        <v>4.5</v>
      </c>
      <c r="E14" s="2">
        <f t="shared" si="0"/>
        <v>4.5</v>
      </c>
    </row>
    <row r="15" spans="1:5" x14ac:dyDescent="0.25">
      <c r="A15" t="s">
        <v>40</v>
      </c>
      <c r="B15" s="1">
        <v>5.5</v>
      </c>
      <c r="C15" s="1">
        <v>6.5</v>
      </c>
      <c r="D15" s="1"/>
      <c r="E15" s="2">
        <f t="shared" si="0"/>
        <v>6</v>
      </c>
    </row>
    <row r="16" spans="1:5" x14ac:dyDescent="0.25">
      <c r="A16" t="s">
        <v>8</v>
      </c>
      <c r="B16" s="1">
        <v>4.5</v>
      </c>
      <c r="C16" s="1">
        <v>4.5</v>
      </c>
      <c r="D16" s="1">
        <v>4.5</v>
      </c>
      <c r="E16" s="2">
        <f t="shared" si="0"/>
        <v>4.5</v>
      </c>
    </row>
    <row r="17" spans="1:5" x14ac:dyDescent="0.25">
      <c r="A17" t="s">
        <v>42</v>
      </c>
      <c r="B17" s="1">
        <v>5.5</v>
      </c>
      <c r="C17" s="1">
        <v>5.5</v>
      </c>
      <c r="D17" s="1">
        <v>5.5</v>
      </c>
      <c r="E17" s="2">
        <f t="shared" si="0"/>
        <v>5.5</v>
      </c>
    </row>
    <row r="18" spans="1:5" x14ac:dyDescent="0.25">
      <c r="A18" t="s">
        <v>32</v>
      </c>
      <c r="B18" s="1">
        <v>8.5</v>
      </c>
      <c r="C18" s="1">
        <v>8.5</v>
      </c>
      <c r="D18" s="1">
        <v>8.5</v>
      </c>
      <c r="E18" s="2">
        <f t="shared" si="0"/>
        <v>8.5</v>
      </c>
    </row>
    <row r="19" spans="1:5" x14ac:dyDescent="0.25">
      <c r="A19" t="s">
        <v>9</v>
      </c>
      <c r="B19" s="1"/>
      <c r="C19" s="1">
        <v>4.5</v>
      </c>
      <c r="D19" s="1"/>
      <c r="E19" s="2">
        <f t="shared" si="0"/>
        <v>4.5</v>
      </c>
    </row>
    <row r="20" spans="1:5" x14ac:dyDescent="0.25">
      <c r="A20" t="s">
        <v>37</v>
      </c>
      <c r="B20" s="1">
        <v>5.5</v>
      </c>
      <c r="C20" s="1">
        <v>6.5</v>
      </c>
      <c r="D20" s="1"/>
      <c r="E20" s="2">
        <f t="shared" si="0"/>
        <v>6</v>
      </c>
    </row>
    <row r="21" spans="1:5" x14ac:dyDescent="0.25">
      <c r="A21" t="s">
        <v>43</v>
      </c>
      <c r="B21" s="1">
        <v>5.5</v>
      </c>
      <c r="C21" s="1">
        <v>5.5</v>
      </c>
      <c r="D21" s="1">
        <v>5.5</v>
      </c>
      <c r="E21" s="2">
        <f t="shared" si="0"/>
        <v>5.5</v>
      </c>
    </row>
    <row r="22" spans="1:5" x14ac:dyDescent="0.25">
      <c r="A22" t="s">
        <v>184</v>
      </c>
      <c r="B22" s="1">
        <v>8.5</v>
      </c>
      <c r="C22" s="1">
        <v>7.5</v>
      </c>
      <c r="D22" s="1">
        <v>7.5</v>
      </c>
      <c r="E22" s="2">
        <f t="shared" si="0"/>
        <v>7.833333333333333</v>
      </c>
    </row>
    <row r="23" spans="1:5" x14ac:dyDescent="0.25">
      <c r="A23" t="s">
        <v>27</v>
      </c>
      <c r="B23" s="1"/>
      <c r="C23" s="1">
        <v>3.5</v>
      </c>
      <c r="D23" s="1">
        <v>3.5</v>
      </c>
      <c r="E23" s="2">
        <f t="shared" si="0"/>
        <v>3.5</v>
      </c>
    </row>
    <row r="24" spans="1:5" x14ac:dyDescent="0.25">
      <c r="A24" t="s">
        <v>11</v>
      </c>
      <c r="B24" s="1"/>
      <c r="C24" s="1">
        <v>4.5</v>
      </c>
      <c r="D24" s="1">
        <v>4.5</v>
      </c>
      <c r="E24" s="2">
        <f t="shared" si="0"/>
        <v>4.5</v>
      </c>
    </row>
    <row r="25" spans="1:5" x14ac:dyDescent="0.25">
      <c r="A25" t="s">
        <v>35</v>
      </c>
      <c r="B25" s="1">
        <v>5.5</v>
      </c>
      <c r="C25" s="1">
        <v>5.5</v>
      </c>
      <c r="D25" s="1">
        <v>5.5</v>
      </c>
      <c r="E25" s="2">
        <f t="shared" si="0"/>
        <v>5.5</v>
      </c>
    </row>
    <row r="26" spans="1:5" x14ac:dyDescent="0.25">
      <c r="A26" t="s">
        <v>26</v>
      </c>
      <c r="B26" s="1"/>
      <c r="C26" s="1">
        <v>3.5</v>
      </c>
      <c r="D26" s="1"/>
      <c r="E26" s="2">
        <f t="shared" si="0"/>
        <v>3.5</v>
      </c>
    </row>
    <row r="27" spans="1:5" x14ac:dyDescent="0.25">
      <c r="A27" t="s">
        <v>120</v>
      </c>
      <c r="B27" s="1">
        <v>5.5</v>
      </c>
      <c r="C27" s="1">
        <v>5.5</v>
      </c>
      <c r="D27" s="1">
        <v>5.5</v>
      </c>
      <c r="E27" s="2">
        <f t="shared" si="0"/>
        <v>5.5</v>
      </c>
    </row>
    <row r="28" spans="1:5" x14ac:dyDescent="0.25">
      <c r="A28" t="s">
        <v>36</v>
      </c>
      <c r="B28" s="1">
        <v>6.5</v>
      </c>
      <c r="C28" s="1"/>
      <c r="D28" s="1">
        <v>6.5</v>
      </c>
      <c r="E28" s="2">
        <f t="shared" si="0"/>
        <v>6.5</v>
      </c>
    </row>
    <row r="29" spans="1:5" x14ac:dyDescent="0.25">
      <c r="A29" t="s">
        <v>38</v>
      </c>
      <c r="B29" s="1">
        <v>6.5</v>
      </c>
      <c r="C29" s="1">
        <v>6.5</v>
      </c>
      <c r="D29" s="1"/>
      <c r="E29" s="2">
        <f t="shared" si="0"/>
        <v>6.5</v>
      </c>
    </row>
    <row r="30" spans="1:5" x14ac:dyDescent="0.25">
      <c r="A30" t="s">
        <v>28</v>
      </c>
      <c r="B30" s="1">
        <v>8.5</v>
      </c>
      <c r="C30" s="1">
        <v>8.5</v>
      </c>
      <c r="D30" s="1">
        <v>8.5</v>
      </c>
      <c r="E30" s="2">
        <f t="shared" si="0"/>
        <v>8.5</v>
      </c>
    </row>
    <row r="31" spans="1:5" x14ac:dyDescent="0.25">
      <c r="A31" t="s">
        <v>14</v>
      </c>
      <c r="B31" s="1">
        <v>4.5</v>
      </c>
      <c r="C31" s="1">
        <v>4.5</v>
      </c>
      <c r="D31" s="1"/>
      <c r="E31" s="2">
        <f t="shared" si="0"/>
        <v>4.5</v>
      </c>
    </row>
    <row r="32" spans="1:5" x14ac:dyDescent="0.25">
      <c r="A32" t="s">
        <v>113</v>
      </c>
      <c r="B32" s="1">
        <v>5.5</v>
      </c>
      <c r="C32" s="1"/>
      <c r="D32" s="1">
        <v>4.5</v>
      </c>
      <c r="E32" s="2">
        <f t="shared" si="0"/>
        <v>5</v>
      </c>
    </row>
    <row r="33" spans="1:5" x14ac:dyDescent="0.25">
      <c r="A33" t="s">
        <v>17</v>
      </c>
      <c r="B33" s="1">
        <v>4.5</v>
      </c>
      <c r="C33" s="1">
        <v>4.5</v>
      </c>
      <c r="D33" s="1">
        <v>4.5</v>
      </c>
      <c r="E33" s="2">
        <f t="shared" si="0"/>
        <v>4.5</v>
      </c>
    </row>
    <row r="34" spans="1:5" x14ac:dyDescent="0.25">
      <c r="A34" t="s">
        <v>44</v>
      </c>
      <c r="B34" s="1">
        <v>6.5</v>
      </c>
      <c r="C34" s="1">
        <v>6.5</v>
      </c>
      <c r="D34" s="1">
        <v>6.5</v>
      </c>
      <c r="E34" s="2">
        <f t="shared" ref="E34:E65" si="1">AVERAGE(B34:D34)</f>
        <v>6.5</v>
      </c>
    </row>
    <row r="35" spans="1:5" x14ac:dyDescent="0.25">
      <c r="A35" t="s">
        <v>15</v>
      </c>
      <c r="B35" s="1">
        <v>4.5</v>
      </c>
      <c r="C35" s="1">
        <v>4.5</v>
      </c>
      <c r="D35" s="1">
        <v>4.5</v>
      </c>
      <c r="E35" s="2">
        <f t="shared" si="1"/>
        <v>4.5</v>
      </c>
    </row>
    <row r="36" spans="1:5" x14ac:dyDescent="0.25">
      <c r="A36" t="s">
        <v>303</v>
      </c>
      <c r="B36" s="1">
        <v>5.5</v>
      </c>
      <c r="C36" s="1">
        <v>5.5</v>
      </c>
      <c r="D36" s="1">
        <v>5.5</v>
      </c>
      <c r="E36" s="2">
        <f t="shared" si="1"/>
        <v>5.5</v>
      </c>
    </row>
    <row r="37" spans="1:5" x14ac:dyDescent="0.25">
      <c r="A37" t="s">
        <v>20</v>
      </c>
      <c r="B37" s="1">
        <v>4.5</v>
      </c>
      <c r="C37" s="1">
        <v>4.5</v>
      </c>
      <c r="D37" s="1">
        <v>4.5</v>
      </c>
      <c r="E37" s="2">
        <f t="shared" si="1"/>
        <v>4.5</v>
      </c>
    </row>
    <row r="38" spans="1:5" x14ac:dyDescent="0.25">
      <c r="A38" t="s">
        <v>13</v>
      </c>
      <c r="B38" s="1"/>
      <c r="C38" s="1">
        <v>4.5</v>
      </c>
      <c r="D38" s="1">
        <v>4.5</v>
      </c>
      <c r="E38" s="2">
        <f t="shared" si="1"/>
        <v>4.5</v>
      </c>
    </row>
    <row r="39" spans="1:5" x14ac:dyDescent="0.25">
      <c r="A39" t="s">
        <v>16</v>
      </c>
      <c r="B39" s="1"/>
      <c r="C39" s="1">
        <v>4.5</v>
      </c>
      <c r="D39" s="1">
        <v>4.5</v>
      </c>
      <c r="E39" s="2">
        <f t="shared" si="1"/>
        <v>4.5</v>
      </c>
    </row>
    <row r="40" spans="1:5" x14ac:dyDescent="0.25">
      <c r="A40" t="s">
        <v>3</v>
      </c>
      <c r="B40" s="1">
        <v>5.5</v>
      </c>
      <c r="C40" s="1">
        <v>5.5</v>
      </c>
      <c r="D40" s="1"/>
      <c r="E40" s="2">
        <f t="shared" si="1"/>
        <v>5.5</v>
      </c>
    </row>
    <row r="41" spans="1:5" x14ac:dyDescent="0.25">
      <c r="A41" t="s">
        <v>41</v>
      </c>
      <c r="B41" s="1">
        <v>5.5</v>
      </c>
      <c r="C41" s="1">
        <v>5.5</v>
      </c>
      <c r="D41" s="1">
        <v>5.5</v>
      </c>
      <c r="E41" s="2">
        <f t="shared" si="1"/>
        <v>5.5</v>
      </c>
    </row>
    <row r="42" spans="1:5" x14ac:dyDescent="0.25">
      <c r="A42" t="s">
        <v>310</v>
      </c>
      <c r="B42" s="1">
        <v>10.5</v>
      </c>
      <c r="C42" s="1"/>
      <c r="D42" s="1">
        <v>10.5</v>
      </c>
      <c r="E42" s="2">
        <f t="shared" si="1"/>
        <v>10.5</v>
      </c>
    </row>
    <row r="43" spans="1:5" x14ac:dyDescent="0.25">
      <c r="A43" t="s">
        <v>34</v>
      </c>
      <c r="B43" s="1">
        <v>6.5</v>
      </c>
      <c r="C43" s="1">
        <v>7.5</v>
      </c>
      <c r="D43" s="1"/>
      <c r="E43" s="2">
        <f t="shared" si="1"/>
        <v>7</v>
      </c>
    </row>
    <row r="44" spans="1:5" x14ac:dyDescent="0.25">
      <c r="A44" t="s">
        <v>18</v>
      </c>
      <c r="B44" s="1"/>
      <c r="C44" s="1">
        <v>4.5</v>
      </c>
      <c r="D44" s="1"/>
      <c r="E44" s="2">
        <f t="shared" si="1"/>
        <v>4.5</v>
      </c>
    </row>
    <row r="45" spans="1:5" x14ac:dyDescent="0.25">
      <c r="A45" t="s">
        <v>4</v>
      </c>
      <c r="B45" s="1">
        <v>5.5</v>
      </c>
      <c r="C45" s="1">
        <v>4.5</v>
      </c>
      <c r="D45" s="1">
        <v>5.5</v>
      </c>
      <c r="E45" s="2">
        <f t="shared" si="1"/>
        <v>5.166666666666667</v>
      </c>
    </row>
    <row r="46" spans="1:5" x14ac:dyDescent="0.25">
      <c r="A46" t="s">
        <v>19</v>
      </c>
      <c r="B46" s="1"/>
      <c r="C46" s="1">
        <v>4.5</v>
      </c>
      <c r="D46" s="1">
        <v>4.5</v>
      </c>
      <c r="E46" s="2">
        <f t="shared" si="1"/>
        <v>4.5</v>
      </c>
    </row>
    <row r="47" spans="1:5" x14ac:dyDescent="0.25">
      <c r="A47" t="s">
        <v>31</v>
      </c>
      <c r="B47" s="1">
        <v>7.5</v>
      </c>
      <c r="C47" s="1">
        <v>8.5</v>
      </c>
      <c r="D47" s="1">
        <v>8.5</v>
      </c>
      <c r="E47" s="2">
        <f t="shared" si="1"/>
        <v>8.1666666666666661</v>
      </c>
    </row>
    <row r="48" spans="1:5" x14ac:dyDescent="0.25">
      <c r="A48" t="s">
        <v>107</v>
      </c>
      <c r="B48" s="1"/>
      <c r="C48" s="1">
        <v>6.5</v>
      </c>
      <c r="D48" s="1">
        <v>6.5</v>
      </c>
      <c r="E48" s="2">
        <f t="shared" si="1"/>
        <v>6.5</v>
      </c>
    </row>
    <row r="49" spans="1:5" x14ac:dyDescent="0.25">
      <c r="A49" t="s">
        <v>21</v>
      </c>
      <c r="B49" s="1">
        <v>4.5</v>
      </c>
      <c r="C49" s="1">
        <v>4.5</v>
      </c>
      <c r="D49" s="1">
        <v>4.5</v>
      </c>
      <c r="E49" s="2">
        <f t="shared" si="1"/>
        <v>4.5</v>
      </c>
    </row>
    <row r="50" spans="1:5" x14ac:dyDescent="0.25">
      <c r="A50" t="s">
        <v>22</v>
      </c>
      <c r="B50" s="1"/>
      <c r="C50" s="1">
        <v>4.5</v>
      </c>
      <c r="D50" s="1">
        <v>4.5</v>
      </c>
      <c r="E50" s="2">
        <f t="shared" si="1"/>
        <v>4.5</v>
      </c>
    </row>
    <row r="51" spans="1:5" x14ac:dyDescent="0.25">
      <c r="A51" t="s">
        <v>359</v>
      </c>
      <c r="B51" s="1">
        <v>3.5</v>
      </c>
      <c r="C51" s="1">
        <v>4.5</v>
      </c>
      <c r="D51" s="1">
        <v>4.5</v>
      </c>
      <c r="E51" s="2">
        <f t="shared" si="1"/>
        <v>4.166666666666667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2C2BBF-7DFB-46EE-A92C-32349C698CBE}">
  <sheetPr codeName="Sheet9"/>
  <dimension ref="A1:C33"/>
  <sheetViews>
    <sheetView workbookViewId="0">
      <selection sqref="A1:A1048576"/>
    </sheetView>
  </sheetViews>
  <sheetFormatPr defaultRowHeight="15" x14ac:dyDescent="0.25"/>
  <cols>
    <col min="1" max="1" width="21.42578125" bestFit="1" customWidth="1"/>
    <col min="2" max="2" width="10.140625" bestFit="1" customWidth="1"/>
    <col min="3" max="3" width="14" bestFit="1" customWidth="1"/>
  </cols>
  <sheetData>
    <row r="1" spans="1:3" x14ac:dyDescent="0.25">
      <c r="A1" t="s">
        <v>77</v>
      </c>
      <c r="B1" t="s">
        <v>0</v>
      </c>
      <c r="C1" t="s">
        <v>183</v>
      </c>
    </row>
    <row r="2" spans="1:3" x14ac:dyDescent="0.25">
      <c r="A2" t="s">
        <v>58</v>
      </c>
      <c r="B2">
        <v>5.5</v>
      </c>
      <c r="C2" t="str">
        <f>IF(COUNTIFS('All Players'!A:A,'Total Rushing Touchdowns'!A2)=0,"Missing","OK")</f>
        <v>OK</v>
      </c>
    </row>
    <row r="3" spans="1:3" x14ac:dyDescent="0.25">
      <c r="A3" t="s">
        <v>57</v>
      </c>
      <c r="B3">
        <v>5.5</v>
      </c>
      <c r="C3" t="str">
        <f>IF(COUNTIFS('All Players'!A:A,'Total Rushing Touchdowns'!A3)=0,"Missing","OK")</f>
        <v>OK</v>
      </c>
    </row>
    <row r="4" spans="1:3" x14ac:dyDescent="0.25">
      <c r="A4" t="s">
        <v>68</v>
      </c>
      <c r="B4">
        <v>6.5</v>
      </c>
      <c r="C4" t="str">
        <f>IF(COUNTIFS('All Players'!A:A,'Total Rushing Touchdowns'!A4)=0,"Missing","OK")</f>
        <v>OK</v>
      </c>
    </row>
    <row r="5" spans="1:3" x14ac:dyDescent="0.25">
      <c r="A5" t="s">
        <v>100</v>
      </c>
      <c r="B5">
        <v>3.5</v>
      </c>
      <c r="C5" t="str">
        <f>IF(COUNTIFS('All Players'!A:A,'Total Rushing Touchdowns'!A5)=0,"Missing","OK")</f>
        <v>OK</v>
      </c>
    </row>
    <row r="6" spans="1:3" x14ac:dyDescent="0.25">
      <c r="A6" t="s">
        <v>47</v>
      </c>
      <c r="B6">
        <v>9.5</v>
      </c>
      <c r="C6" t="str">
        <f>IF(COUNTIFS('All Players'!A:A,'Total Rushing Touchdowns'!A6)=0,"Missing","OK")</f>
        <v>OK</v>
      </c>
    </row>
    <row r="7" spans="1:3" x14ac:dyDescent="0.25">
      <c r="A7" t="s">
        <v>65</v>
      </c>
      <c r="B7">
        <v>8.5</v>
      </c>
      <c r="C7" t="str">
        <f>IF(COUNTIFS('All Players'!A:A,'Total Rushing Touchdowns'!A7)=0,"Missing","OK")</f>
        <v>OK</v>
      </c>
    </row>
    <row r="8" spans="1:3" x14ac:dyDescent="0.25">
      <c r="A8" t="s">
        <v>48</v>
      </c>
      <c r="B8">
        <v>8.5</v>
      </c>
      <c r="C8" t="str">
        <f>IF(COUNTIFS('All Players'!A:A,'Total Rushing Touchdowns'!A8)=0,"Missing","OK")</f>
        <v>OK</v>
      </c>
    </row>
    <row r="9" spans="1:3" x14ac:dyDescent="0.25">
      <c r="A9" t="s">
        <v>64</v>
      </c>
      <c r="B9">
        <v>5.5</v>
      </c>
      <c r="C9" t="str">
        <f>IF(COUNTIFS('All Players'!A:A,'Total Rushing Touchdowns'!A9)=0,"Missing","OK")</f>
        <v>OK</v>
      </c>
    </row>
    <row r="10" spans="1:3" x14ac:dyDescent="0.25">
      <c r="A10" t="s">
        <v>362</v>
      </c>
      <c r="B10">
        <v>5.5</v>
      </c>
      <c r="C10" t="s">
        <v>136</v>
      </c>
    </row>
    <row r="11" spans="1:3" x14ac:dyDescent="0.25">
      <c r="A11" t="s">
        <v>46</v>
      </c>
      <c r="B11">
        <v>8.5</v>
      </c>
      <c r="C11" t="s">
        <v>136</v>
      </c>
    </row>
    <row r="12" spans="1:3" x14ac:dyDescent="0.25">
      <c r="A12" t="s">
        <v>51</v>
      </c>
      <c r="B12">
        <v>8.5</v>
      </c>
      <c r="C12" t="s">
        <v>136</v>
      </c>
    </row>
    <row r="13" spans="1:3" x14ac:dyDescent="0.25">
      <c r="A13" t="s">
        <v>59</v>
      </c>
      <c r="B13">
        <v>6.5</v>
      </c>
      <c r="C13" t="s">
        <v>136</v>
      </c>
    </row>
    <row r="14" spans="1:3" x14ac:dyDescent="0.25">
      <c r="A14" t="s">
        <v>56</v>
      </c>
      <c r="B14">
        <v>7.5</v>
      </c>
      <c r="C14" t="s">
        <v>136</v>
      </c>
    </row>
    <row r="15" spans="1:3" x14ac:dyDescent="0.25">
      <c r="A15" t="s">
        <v>53</v>
      </c>
      <c r="B15">
        <v>7.5</v>
      </c>
      <c r="C15" t="s">
        <v>136</v>
      </c>
    </row>
    <row r="16" spans="1:3" x14ac:dyDescent="0.25">
      <c r="A16" t="s">
        <v>131</v>
      </c>
      <c r="B16">
        <v>3.5</v>
      </c>
      <c r="C16" t="s">
        <v>136</v>
      </c>
    </row>
    <row r="17" spans="1:3" x14ac:dyDescent="0.25">
      <c r="A17" t="s">
        <v>54</v>
      </c>
      <c r="B17">
        <v>6.5</v>
      </c>
      <c r="C17" t="s">
        <v>136</v>
      </c>
    </row>
    <row r="18" spans="1:3" ht="14.25" customHeight="1" x14ac:dyDescent="0.25">
      <c r="A18" t="s">
        <v>50</v>
      </c>
      <c r="B18">
        <v>8.5</v>
      </c>
      <c r="C18" t="s">
        <v>136</v>
      </c>
    </row>
    <row r="19" spans="1:3" x14ac:dyDescent="0.25">
      <c r="A19" t="s">
        <v>60</v>
      </c>
      <c r="B19">
        <v>7.5</v>
      </c>
      <c r="C19" t="s">
        <v>136</v>
      </c>
    </row>
    <row r="20" spans="1:3" x14ac:dyDescent="0.25">
      <c r="A20" t="s">
        <v>55</v>
      </c>
      <c r="B20">
        <v>5.5</v>
      </c>
      <c r="C20" t="s">
        <v>136</v>
      </c>
    </row>
    <row r="21" spans="1:3" x14ac:dyDescent="0.25">
      <c r="A21" t="s">
        <v>70</v>
      </c>
      <c r="B21">
        <v>5.5</v>
      </c>
      <c r="C21" t="s">
        <v>136</v>
      </c>
    </row>
    <row r="22" spans="1:3" x14ac:dyDescent="0.25">
      <c r="A22" t="s">
        <v>71</v>
      </c>
      <c r="B22">
        <v>6.5</v>
      </c>
      <c r="C22" t="s">
        <v>136</v>
      </c>
    </row>
    <row r="23" spans="1:3" x14ac:dyDescent="0.25">
      <c r="A23" t="s">
        <v>49</v>
      </c>
      <c r="B23">
        <v>7.5</v>
      </c>
      <c r="C23" t="s">
        <v>136</v>
      </c>
    </row>
    <row r="24" spans="1:3" x14ac:dyDescent="0.25">
      <c r="A24" t="s">
        <v>126</v>
      </c>
      <c r="B24">
        <v>4.5</v>
      </c>
      <c r="C24" t="s">
        <v>136</v>
      </c>
    </row>
    <row r="25" spans="1:3" x14ac:dyDescent="0.25">
      <c r="A25" t="s">
        <v>69</v>
      </c>
      <c r="B25">
        <v>6.5</v>
      </c>
      <c r="C25" t="s">
        <v>136</v>
      </c>
    </row>
    <row r="26" spans="1:3" x14ac:dyDescent="0.25">
      <c r="A26" t="s">
        <v>66</v>
      </c>
      <c r="B26">
        <v>7.5</v>
      </c>
      <c r="C26" t="s">
        <v>136</v>
      </c>
    </row>
    <row r="27" spans="1:3" x14ac:dyDescent="0.25">
      <c r="A27" t="s">
        <v>62</v>
      </c>
      <c r="B27">
        <v>6.5</v>
      </c>
      <c r="C27" t="s">
        <v>136</v>
      </c>
    </row>
    <row r="28" spans="1:3" x14ac:dyDescent="0.25">
      <c r="A28" t="s">
        <v>307</v>
      </c>
      <c r="B28">
        <v>6.5</v>
      </c>
      <c r="C28" t="s">
        <v>136</v>
      </c>
    </row>
    <row r="29" spans="1:3" x14ac:dyDescent="0.25">
      <c r="A29" t="s">
        <v>67</v>
      </c>
      <c r="B29">
        <v>9.5</v>
      </c>
      <c r="C29" t="s">
        <v>136</v>
      </c>
    </row>
    <row r="30" spans="1:3" x14ac:dyDescent="0.25">
      <c r="A30" t="s">
        <v>76</v>
      </c>
      <c r="B30">
        <v>4.5</v>
      </c>
      <c r="C30" t="s">
        <v>136</v>
      </c>
    </row>
    <row r="31" spans="1:3" x14ac:dyDescent="0.25">
      <c r="A31" t="s">
        <v>73</v>
      </c>
      <c r="B31">
        <v>6.5</v>
      </c>
      <c r="C31" t="s">
        <v>136</v>
      </c>
    </row>
    <row r="32" spans="1:3" x14ac:dyDescent="0.25">
      <c r="A32" t="s">
        <v>61</v>
      </c>
      <c r="B32">
        <v>6.5</v>
      </c>
      <c r="C32" t="s">
        <v>136</v>
      </c>
    </row>
    <row r="33" spans="1:3" x14ac:dyDescent="0.25">
      <c r="A33" t="s">
        <v>63</v>
      </c>
      <c r="B33">
        <v>5.5</v>
      </c>
      <c r="C33" t="s">
        <v>136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18D2EE-2479-451C-BE94-27A76965AB76}">
  <sheetPr codeName="Sheet5"/>
  <dimension ref="A1:E45"/>
  <sheetViews>
    <sheetView topLeftCell="A22" workbookViewId="0">
      <selection activeCell="A40" sqref="A40"/>
    </sheetView>
  </sheetViews>
  <sheetFormatPr defaultRowHeight="15" x14ac:dyDescent="0.25"/>
  <cols>
    <col min="1" max="1" width="21.42578125" bestFit="1" customWidth="1"/>
    <col min="2" max="2" width="8.140625" bestFit="1" customWidth="1"/>
    <col min="3" max="3" width="8.7109375" bestFit="1" customWidth="1"/>
    <col min="4" max="4" width="7.7109375" bestFit="1" customWidth="1"/>
    <col min="5" max="5" width="8.28515625" bestFit="1" customWidth="1"/>
  </cols>
  <sheetData>
    <row r="1" spans="1:5" x14ac:dyDescent="0.25">
      <c r="A1" t="s">
        <v>77</v>
      </c>
      <c r="B1" t="s">
        <v>78</v>
      </c>
      <c r="C1" t="s">
        <v>1</v>
      </c>
      <c r="D1" t="s">
        <v>79</v>
      </c>
      <c r="E1" t="s">
        <v>80</v>
      </c>
    </row>
    <row r="2" spans="1:5" x14ac:dyDescent="0.25">
      <c r="A2" t="s">
        <v>126</v>
      </c>
      <c r="B2" s="1"/>
      <c r="C2" s="1">
        <v>674.5</v>
      </c>
      <c r="D2" s="1"/>
      <c r="E2" s="2">
        <f t="shared" ref="E2:E45" si="0">AVERAGE(B2:D2)</f>
        <v>674.5</v>
      </c>
    </row>
    <row r="3" spans="1:5" x14ac:dyDescent="0.25">
      <c r="A3" t="s">
        <v>66</v>
      </c>
      <c r="B3" s="1">
        <v>725.5</v>
      </c>
      <c r="C3" s="1">
        <v>724.5</v>
      </c>
      <c r="D3" s="1">
        <v>745.5</v>
      </c>
      <c r="E3" s="2">
        <f t="shared" si="0"/>
        <v>731.83333333333337</v>
      </c>
    </row>
    <row r="4" spans="1:5" x14ac:dyDescent="0.25">
      <c r="A4" t="s">
        <v>53</v>
      </c>
      <c r="B4" s="1">
        <v>875.5</v>
      </c>
      <c r="C4" s="1">
        <v>900.5</v>
      </c>
      <c r="D4" s="1">
        <v>920.5</v>
      </c>
      <c r="E4" s="2">
        <f t="shared" si="0"/>
        <v>898.83333333333337</v>
      </c>
    </row>
    <row r="5" spans="1:5" x14ac:dyDescent="0.25">
      <c r="A5" t="s">
        <v>47</v>
      </c>
      <c r="B5" s="1">
        <v>1150.5</v>
      </c>
      <c r="C5" s="1">
        <v>1150.5</v>
      </c>
      <c r="D5" s="1">
        <v>1150.5</v>
      </c>
      <c r="E5" s="2">
        <f t="shared" si="0"/>
        <v>1150.5</v>
      </c>
    </row>
    <row r="6" spans="1:5" x14ac:dyDescent="0.25">
      <c r="A6" t="s">
        <v>127</v>
      </c>
      <c r="B6" s="1"/>
      <c r="C6" s="1"/>
      <c r="D6" s="1">
        <v>575.5</v>
      </c>
      <c r="E6" s="2">
        <f t="shared" si="0"/>
        <v>575.5</v>
      </c>
    </row>
    <row r="7" spans="1:5" x14ac:dyDescent="0.25">
      <c r="A7" t="s">
        <v>128</v>
      </c>
      <c r="B7" s="1"/>
      <c r="C7" s="1"/>
      <c r="D7" s="1">
        <v>675.5</v>
      </c>
      <c r="E7" s="2">
        <f t="shared" si="0"/>
        <v>675.5</v>
      </c>
    </row>
    <row r="8" spans="1:5" x14ac:dyDescent="0.25">
      <c r="A8" t="s">
        <v>129</v>
      </c>
      <c r="B8" s="1"/>
      <c r="C8" s="1"/>
      <c r="D8" s="1">
        <v>595.5</v>
      </c>
      <c r="E8" s="2">
        <f t="shared" si="0"/>
        <v>595.5</v>
      </c>
    </row>
    <row r="9" spans="1:5" x14ac:dyDescent="0.25">
      <c r="A9" t="s">
        <v>307</v>
      </c>
      <c r="B9" s="1"/>
      <c r="C9" s="1"/>
      <c r="D9" s="1">
        <v>725.5</v>
      </c>
      <c r="E9" s="2">
        <f t="shared" si="0"/>
        <v>725.5</v>
      </c>
    </row>
    <row r="10" spans="1:5" x14ac:dyDescent="0.25">
      <c r="A10" t="s">
        <v>130</v>
      </c>
      <c r="B10" s="1"/>
      <c r="C10" s="1"/>
      <c r="D10" s="1">
        <v>525.5</v>
      </c>
      <c r="E10" s="2">
        <f t="shared" si="0"/>
        <v>525.5</v>
      </c>
    </row>
    <row r="11" spans="1:5" x14ac:dyDescent="0.25">
      <c r="A11" t="s">
        <v>131</v>
      </c>
      <c r="B11" s="1"/>
      <c r="C11" s="1"/>
      <c r="D11" s="1">
        <v>675.5</v>
      </c>
      <c r="E11" s="2">
        <f t="shared" si="0"/>
        <v>675.5</v>
      </c>
    </row>
    <row r="12" spans="1:5" x14ac:dyDescent="0.25">
      <c r="A12" t="s">
        <v>132</v>
      </c>
      <c r="B12" s="1"/>
      <c r="C12" s="1"/>
      <c r="D12" s="1">
        <v>500.5</v>
      </c>
      <c r="E12" s="2">
        <f t="shared" si="0"/>
        <v>500.5</v>
      </c>
    </row>
    <row r="13" spans="1:5" x14ac:dyDescent="0.25">
      <c r="A13" t="s">
        <v>133</v>
      </c>
      <c r="B13" s="1"/>
      <c r="C13" s="1"/>
      <c r="D13" s="1">
        <v>675.5</v>
      </c>
      <c r="E13" s="2">
        <f t="shared" si="0"/>
        <v>675.5</v>
      </c>
    </row>
    <row r="14" spans="1:5" x14ac:dyDescent="0.25">
      <c r="A14" t="s">
        <v>134</v>
      </c>
      <c r="B14" s="1"/>
      <c r="C14" s="1"/>
      <c r="D14" s="1">
        <v>650.5</v>
      </c>
      <c r="E14" s="2">
        <f t="shared" si="0"/>
        <v>650.5</v>
      </c>
    </row>
    <row r="15" spans="1:5" x14ac:dyDescent="0.25">
      <c r="A15" t="s">
        <v>50</v>
      </c>
      <c r="B15" s="1">
        <v>1025.5</v>
      </c>
      <c r="C15" s="1"/>
      <c r="D15" s="1">
        <v>1000.5</v>
      </c>
      <c r="E15" s="2">
        <f t="shared" si="0"/>
        <v>1013</v>
      </c>
    </row>
    <row r="16" spans="1:5" x14ac:dyDescent="0.25">
      <c r="A16" t="s">
        <v>51</v>
      </c>
      <c r="B16" s="1">
        <v>1000.5</v>
      </c>
      <c r="C16" s="1"/>
      <c r="D16" s="1">
        <v>1000.5</v>
      </c>
      <c r="E16" s="2">
        <f t="shared" si="0"/>
        <v>1000.5</v>
      </c>
    </row>
    <row r="17" spans="1:5" x14ac:dyDescent="0.25">
      <c r="A17" t="s">
        <v>57</v>
      </c>
      <c r="B17" s="1">
        <v>850.5</v>
      </c>
      <c r="C17" s="1">
        <v>899.5</v>
      </c>
      <c r="D17" s="1">
        <v>850.5</v>
      </c>
      <c r="E17" s="2">
        <f t="shared" si="0"/>
        <v>866.83333333333337</v>
      </c>
    </row>
    <row r="18" spans="1:5" x14ac:dyDescent="0.25">
      <c r="A18" t="s">
        <v>72</v>
      </c>
      <c r="B18" s="1">
        <v>600.5</v>
      </c>
      <c r="C18" s="1"/>
      <c r="D18" s="1">
        <v>590.5</v>
      </c>
      <c r="E18" s="2">
        <f t="shared" si="0"/>
        <v>595.5</v>
      </c>
    </row>
    <row r="19" spans="1:5" x14ac:dyDescent="0.25">
      <c r="A19" t="s">
        <v>75</v>
      </c>
      <c r="B19" s="1">
        <v>500.5</v>
      </c>
      <c r="C19" s="1"/>
      <c r="D19" s="1">
        <v>500.5</v>
      </c>
      <c r="E19" s="2">
        <f t="shared" si="0"/>
        <v>500.5</v>
      </c>
    </row>
    <row r="20" spans="1:5" x14ac:dyDescent="0.25">
      <c r="A20" t="s">
        <v>73</v>
      </c>
      <c r="B20" s="1">
        <v>575.5</v>
      </c>
      <c r="C20" s="1">
        <v>550.5</v>
      </c>
      <c r="D20" s="1">
        <v>575.5</v>
      </c>
      <c r="E20" s="2">
        <f t="shared" si="0"/>
        <v>567.16666666666663</v>
      </c>
    </row>
    <row r="21" spans="1:5" x14ac:dyDescent="0.25">
      <c r="A21" t="s">
        <v>46</v>
      </c>
      <c r="B21" s="1">
        <v>1200.5</v>
      </c>
      <c r="C21" s="1">
        <v>1224.5</v>
      </c>
      <c r="D21" s="1">
        <v>1200.5</v>
      </c>
      <c r="E21" s="2">
        <f t="shared" si="0"/>
        <v>1208.5</v>
      </c>
    </row>
    <row r="22" spans="1:5" x14ac:dyDescent="0.25">
      <c r="A22" t="s">
        <v>71</v>
      </c>
      <c r="B22" s="1">
        <v>625.5</v>
      </c>
      <c r="C22" s="1"/>
      <c r="D22" s="1">
        <v>625.5</v>
      </c>
      <c r="E22" s="2">
        <f t="shared" si="0"/>
        <v>625.5</v>
      </c>
    </row>
    <row r="23" spans="1:5" x14ac:dyDescent="0.25">
      <c r="A23" t="s">
        <v>60</v>
      </c>
      <c r="B23" s="1">
        <v>825.5</v>
      </c>
      <c r="C23" s="1"/>
      <c r="D23" s="1">
        <v>800.5</v>
      </c>
      <c r="E23" s="2">
        <f t="shared" si="0"/>
        <v>813</v>
      </c>
    </row>
    <row r="24" spans="1:5" x14ac:dyDescent="0.25">
      <c r="A24" t="s">
        <v>64</v>
      </c>
      <c r="B24" s="1">
        <v>775.5</v>
      </c>
      <c r="C24" s="1">
        <v>774.5</v>
      </c>
      <c r="D24" s="1">
        <v>775.5</v>
      </c>
      <c r="E24" s="2">
        <f t="shared" si="0"/>
        <v>775.16666666666663</v>
      </c>
    </row>
    <row r="25" spans="1:5" x14ac:dyDescent="0.25">
      <c r="A25" t="s">
        <v>76</v>
      </c>
      <c r="B25" s="1">
        <v>375.5</v>
      </c>
      <c r="C25" s="1"/>
      <c r="D25" s="1"/>
      <c r="E25" s="2">
        <f t="shared" si="0"/>
        <v>375.5</v>
      </c>
    </row>
    <row r="26" spans="1:5" x14ac:dyDescent="0.25">
      <c r="A26" t="s">
        <v>70</v>
      </c>
      <c r="B26" s="1">
        <v>625.5</v>
      </c>
      <c r="C26" s="1"/>
      <c r="D26" s="1">
        <v>650.5</v>
      </c>
      <c r="E26" s="2">
        <f t="shared" si="0"/>
        <v>638</v>
      </c>
    </row>
    <row r="27" spans="1:5" x14ac:dyDescent="0.25">
      <c r="A27" t="s">
        <v>65</v>
      </c>
      <c r="B27" s="1">
        <v>750.5</v>
      </c>
      <c r="C27" s="1">
        <v>799.5</v>
      </c>
      <c r="D27" s="1">
        <v>775.5</v>
      </c>
      <c r="E27" s="2">
        <f t="shared" si="0"/>
        <v>775.16666666666663</v>
      </c>
    </row>
    <row r="28" spans="1:5" x14ac:dyDescent="0.25">
      <c r="A28" t="s">
        <v>58</v>
      </c>
      <c r="B28" s="1">
        <v>825.5</v>
      </c>
      <c r="C28" s="1">
        <v>849.5</v>
      </c>
      <c r="D28" s="1">
        <v>895.5</v>
      </c>
      <c r="E28" s="2">
        <f t="shared" si="0"/>
        <v>856.83333333333337</v>
      </c>
    </row>
    <row r="29" spans="1:5" x14ac:dyDescent="0.25">
      <c r="A29" t="s">
        <v>63</v>
      </c>
      <c r="B29" s="1"/>
      <c r="C29" s="1">
        <v>726.5</v>
      </c>
      <c r="D29" s="1">
        <v>775.5</v>
      </c>
      <c r="E29" s="2">
        <f t="shared" si="0"/>
        <v>751</v>
      </c>
    </row>
    <row r="30" spans="1:5" x14ac:dyDescent="0.25">
      <c r="A30" t="s">
        <v>135</v>
      </c>
      <c r="B30" s="1"/>
      <c r="C30" s="1">
        <v>600.5</v>
      </c>
      <c r="D30" s="1">
        <v>575.5</v>
      </c>
      <c r="E30" s="2">
        <f t="shared" si="0"/>
        <v>588</v>
      </c>
    </row>
    <row r="31" spans="1:5" x14ac:dyDescent="0.25">
      <c r="A31" t="s">
        <v>54</v>
      </c>
      <c r="B31" s="1">
        <v>875.5</v>
      </c>
      <c r="C31" s="1">
        <v>875.5</v>
      </c>
      <c r="D31" s="1">
        <v>875.5</v>
      </c>
      <c r="E31" s="2">
        <f t="shared" si="0"/>
        <v>875.5</v>
      </c>
    </row>
    <row r="32" spans="1:5" x14ac:dyDescent="0.25">
      <c r="A32" t="s">
        <v>49</v>
      </c>
      <c r="B32" s="1">
        <v>1025.5</v>
      </c>
      <c r="C32" s="1">
        <v>1049.5</v>
      </c>
      <c r="D32" s="1"/>
      <c r="E32" s="2">
        <f t="shared" si="0"/>
        <v>1037.5</v>
      </c>
    </row>
    <row r="33" spans="1:5" x14ac:dyDescent="0.25">
      <c r="A33" t="s">
        <v>61</v>
      </c>
      <c r="B33" s="1">
        <v>800.5</v>
      </c>
      <c r="C33" s="1">
        <v>824.5</v>
      </c>
      <c r="D33" s="1">
        <v>825.5</v>
      </c>
      <c r="E33" s="2">
        <f t="shared" si="0"/>
        <v>816.83333333333337</v>
      </c>
    </row>
    <row r="34" spans="1:5" x14ac:dyDescent="0.25">
      <c r="A34" t="s">
        <v>55</v>
      </c>
      <c r="B34" s="1">
        <v>875.5</v>
      </c>
      <c r="C34" s="1">
        <v>849.5</v>
      </c>
      <c r="D34" s="1">
        <v>850.5</v>
      </c>
      <c r="E34" s="2">
        <f t="shared" si="0"/>
        <v>858.5</v>
      </c>
    </row>
    <row r="35" spans="1:5" x14ac:dyDescent="0.25">
      <c r="A35" t="s">
        <v>67</v>
      </c>
      <c r="B35" s="1">
        <v>725.5</v>
      </c>
      <c r="C35" s="1">
        <v>699.5</v>
      </c>
      <c r="D35" s="1">
        <v>700.5</v>
      </c>
      <c r="E35" s="2">
        <f t="shared" si="0"/>
        <v>708.5</v>
      </c>
    </row>
    <row r="36" spans="1:5" x14ac:dyDescent="0.25">
      <c r="A36" t="s">
        <v>62</v>
      </c>
      <c r="B36" s="1">
        <v>775.5</v>
      </c>
      <c r="C36" s="1">
        <v>749.5</v>
      </c>
      <c r="D36" s="1">
        <v>777.5</v>
      </c>
      <c r="E36" s="2">
        <f t="shared" si="0"/>
        <v>767.5</v>
      </c>
    </row>
    <row r="37" spans="1:5" x14ac:dyDescent="0.25">
      <c r="A37" t="s">
        <v>56</v>
      </c>
      <c r="B37" s="1">
        <v>850.5</v>
      </c>
      <c r="C37" s="1">
        <v>899.5</v>
      </c>
      <c r="D37" s="1">
        <v>875.5</v>
      </c>
      <c r="E37" s="2">
        <f t="shared" si="0"/>
        <v>875.16666666666663</v>
      </c>
    </row>
    <row r="38" spans="1:5" x14ac:dyDescent="0.25">
      <c r="A38" t="s">
        <v>360</v>
      </c>
      <c r="B38" s="1">
        <v>875.5</v>
      </c>
      <c r="C38" s="1">
        <v>875.5</v>
      </c>
      <c r="D38" s="1">
        <v>900.5</v>
      </c>
      <c r="E38" s="2">
        <f t="shared" si="0"/>
        <v>883.83333333333337</v>
      </c>
    </row>
    <row r="39" spans="1:5" x14ac:dyDescent="0.25">
      <c r="A39" t="s">
        <v>59</v>
      </c>
      <c r="B39" s="1">
        <v>825.5</v>
      </c>
      <c r="C39" s="1">
        <v>849.5</v>
      </c>
      <c r="D39" s="1"/>
      <c r="E39" s="2">
        <f t="shared" si="0"/>
        <v>837.5</v>
      </c>
    </row>
    <row r="40" spans="1:5" x14ac:dyDescent="0.25">
      <c r="A40" t="s">
        <v>48</v>
      </c>
      <c r="B40" s="1">
        <v>1100.5</v>
      </c>
      <c r="C40" s="1">
        <v>1099.5</v>
      </c>
      <c r="D40" s="1">
        <v>1050.5</v>
      </c>
      <c r="E40" s="2">
        <f t="shared" si="0"/>
        <v>1083.5</v>
      </c>
    </row>
    <row r="41" spans="1:5" x14ac:dyDescent="0.25">
      <c r="A41" t="s">
        <v>68</v>
      </c>
      <c r="B41" s="1">
        <v>725.5</v>
      </c>
      <c r="C41" s="1">
        <v>749.5</v>
      </c>
      <c r="D41" s="1">
        <v>735.5</v>
      </c>
      <c r="E41" s="2">
        <f t="shared" si="0"/>
        <v>736.83333333333337</v>
      </c>
    </row>
    <row r="42" spans="1:5" x14ac:dyDescent="0.25">
      <c r="A42" t="s">
        <v>69</v>
      </c>
      <c r="B42" s="1">
        <v>700.5</v>
      </c>
      <c r="C42" s="1">
        <v>725.5</v>
      </c>
      <c r="D42" s="1">
        <v>700.5</v>
      </c>
      <c r="E42" s="2">
        <f t="shared" si="0"/>
        <v>708.83333333333337</v>
      </c>
    </row>
    <row r="43" spans="1:5" x14ac:dyDescent="0.25">
      <c r="A43" t="s">
        <v>74</v>
      </c>
      <c r="B43" s="1">
        <v>550.5</v>
      </c>
      <c r="C43" s="1">
        <v>575.5</v>
      </c>
      <c r="D43" s="1"/>
      <c r="E43" s="2">
        <f t="shared" si="0"/>
        <v>563</v>
      </c>
    </row>
    <row r="44" spans="1:5" x14ac:dyDescent="0.25">
      <c r="A44" t="s">
        <v>101</v>
      </c>
      <c r="D44" s="1">
        <v>600</v>
      </c>
      <c r="E44" s="2">
        <f t="shared" si="0"/>
        <v>600</v>
      </c>
    </row>
    <row r="45" spans="1:5" x14ac:dyDescent="0.25">
      <c r="A45" t="s">
        <v>308</v>
      </c>
      <c r="D45" s="1">
        <v>600</v>
      </c>
      <c r="E45" s="2">
        <f t="shared" si="0"/>
        <v>600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19CF11-7AFC-4318-9EE3-BD5C3BCA91F3}">
  <sheetPr codeName="Sheet12"/>
  <dimension ref="A1:Q56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A3" sqref="A3"/>
    </sheetView>
  </sheetViews>
  <sheetFormatPr defaultRowHeight="15" x14ac:dyDescent="0.25"/>
  <cols>
    <col min="1" max="1" width="21.5703125" bestFit="1" customWidth="1"/>
    <col min="2" max="2" width="7.85546875" bestFit="1" customWidth="1"/>
    <col min="3" max="3" width="3.28515625" bestFit="1" customWidth="1"/>
    <col min="4" max="4" width="10.28515625" bestFit="1" customWidth="1"/>
    <col min="5" max="5" width="5" bestFit="1" customWidth="1"/>
    <col min="6" max="6" width="6.7109375" bestFit="1" customWidth="1"/>
    <col min="7" max="7" width="4.42578125" bestFit="1" customWidth="1"/>
    <col min="8" max="8" width="5.5703125" bestFit="1" customWidth="1"/>
    <col min="9" max="9" width="10.5703125" bestFit="1" customWidth="1"/>
    <col min="10" max="10" width="6.7109375" bestFit="1" customWidth="1"/>
    <col min="11" max="11" width="4.42578125" bestFit="1" customWidth="1"/>
    <col min="12" max="12" width="10.7109375" bestFit="1" customWidth="1"/>
    <col min="13" max="13" width="9.7109375" bestFit="1" customWidth="1"/>
    <col min="14" max="15" width="22.7109375" customWidth="1"/>
    <col min="16" max="16" width="22.7109375" bestFit="1" customWidth="1"/>
    <col min="17" max="17" width="21" bestFit="1" customWidth="1"/>
  </cols>
  <sheetData>
    <row r="1" spans="1:17" x14ac:dyDescent="0.25">
      <c r="A1" s="3"/>
      <c r="B1" s="3"/>
      <c r="C1" s="3"/>
      <c r="D1" s="3" t="s">
        <v>137</v>
      </c>
      <c r="E1" s="3"/>
      <c r="F1" s="3"/>
      <c r="G1" s="3"/>
      <c r="H1" s="3"/>
      <c r="I1" s="3" t="s">
        <v>138</v>
      </c>
      <c r="J1" s="3"/>
      <c r="K1" s="3"/>
      <c r="L1" s="4" t="s">
        <v>139</v>
      </c>
      <c r="M1" s="4"/>
    </row>
    <row r="2" spans="1:17" x14ac:dyDescent="0.25">
      <c r="A2" t="s">
        <v>77</v>
      </c>
      <c r="B2" t="s">
        <v>140</v>
      </c>
      <c r="C2" t="s">
        <v>141</v>
      </c>
      <c r="D2" t="s">
        <v>142</v>
      </c>
      <c r="E2" t="s">
        <v>143</v>
      </c>
      <c r="F2" t="s">
        <v>144</v>
      </c>
      <c r="G2" t="s">
        <v>145</v>
      </c>
      <c r="H2" t="s">
        <v>146</v>
      </c>
      <c r="I2" t="s">
        <v>143</v>
      </c>
      <c r="J2" t="s">
        <v>144</v>
      </c>
      <c r="K2" t="s">
        <v>145</v>
      </c>
      <c r="L2" t="s">
        <v>147</v>
      </c>
      <c r="M2" t="s">
        <v>148</v>
      </c>
      <c r="N2" s="6" t="s">
        <v>231</v>
      </c>
      <c r="O2" s="6" t="s">
        <v>204</v>
      </c>
      <c r="P2" s="6" t="s">
        <v>181</v>
      </c>
      <c r="Q2" s="6" t="s">
        <v>182</v>
      </c>
    </row>
    <row r="3" spans="1:17" x14ac:dyDescent="0.25">
      <c r="A3" t="s">
        <v>96</v>
      </c>
      <c r="B3" t="s">
        <v>149</v>
      </c>
      <c r="C3">
        <v>17</v>
      </c>
      <c r="D3">
        <v>435</v>
      </c>
      <c r="E3">
        <v>648</v>
      </c>
      <c r="F3">
        <v>5250</v>
      </c>
      <c r="G3">
        <v>41</v>
      </c>
      <c r="H3">
        <v>12</v>
      </c>
      <c r="I3">
        <v>61</v>
      </c>
      <c r="J3">
        <v>358</v>
      </c>
      <c r="K3">
        <v>4</v>
      </c>
      <c r="L3">
        <v>486.3</v>
      </c>
      <c r="M3">
        <v>28.6</v>
      </c>
      <c r="N3" s="5">
        <f>(17/$C3)*H3</f>
        <v>12</v>
      </c>
      <c r="O3" s="5">
        <f>(17/$C3)*G3</f>
        <v>41</v>
      </c>
      <c r="P3" s="5">
        <f>(17/$C3)*J3</f>
        <v>358</v>
      </c>
      <c r="Q3" s="5">
        <f>(17/$C3)*K3</f>
        <v>4</v>
      </c>
    </row>
    <row r="4" spans="1:17" x14ac:dyDescent="0.25">
      <c r="A4" t="s">
        <v>73</v>
      </c>
      <c r="B4" t="s">
        <v>150</v>
      </c>
      <c r="C4">
        <v>16</v>
      </c>
      <c r="D4">
        <v>359</v>
      </c>
      <c r="E4">
        <v>567</v>
      </c>
      <c r="F4">
        <v>4283</v>
      </c>
      <c r="G4">
        <v>35</v>
      </c>
      <c r="H4">
        <v>14</v>
      </c>
      <c r="I4">
        <v>124</v>
      </c>
      <c r="J4">
        <v>762</v>
      </c>
      <c r="K4">
        <v>7</v>
      </c>
      <c r="L4">
        <v>472.4</v>
      </c>
      <c r="M4">
        <v>29.5</v>
      </c>
      <c r="N4" s="5">
        <f t="shared" ref="N4:N52" si="0">(17/$C4)*H4</f>
        <v>14.875</v>
      </c>
      <c r="O4" s="5">
        <f t="shared" ref="O4:O52" si="1">(17/$C4)*G4</f>
        <v>37.1875</v>
      </c>
      <c r="P4" s="5">
        <f>(17/C4)*J4</f>
        <v>809.625</v>
      </c>
      <c r="Q4" s="5">
        <f>(17/$C4)*K4</f>
        <v>7.4375</v>
      </c>
    </row>
    <row r="5" spans="1:17" x14ac:dyDescent="0.25">
      <c r="A5" t="s">
        <v>67</v>
      </c>
      <c r="B5" t="s">
        <v>151</v>
      </c>
      <c r="C5">
        <v>15</v>
      </c>
      <c r="D5">
        <v>305</v>
      </c>
      <c r="E5">
        <v>459</v>
      </c>
      <c r="F5">
        <v>3691</v>
      </c>
      <c r="G5">
        <v>22</v>
      </c>
      <c r="H5">
        <v>6</v>
      </c>
      <c r="I5">
        <v>163</v>
      </c>
      <c r="J5">
        <v>763</v>
      </c>
      <c r="K5">
        <v>13</v>
      </c>
      <c r="L5">
        <v>426.9</v>
      </c>
      <c r="M5">
        <v>28.5</v>
      </c>
      <c r="N5" s="5">
        <f t="shared" si="0"/>
        <v>6.8</v>
      </c>
      <c r="O5" s="5">
        <f t="shared" si="1"/>
        <v>24.933333333333334</v>
      </c>
      <c r="P5" s="5">
        <f>(17/C5)*J5</f>
        <v>864.73333333333335</v>
      </c>
      <c r="Q5" s="5">
        <f>(17/$C5)*K5</f>
        <v>14.733333333333333</v>
      </c>
    </row>
    <row r="6" spans="1:17" x14ac:dyDescent="0.25">
      <c r="A6" t="s">
        <v>95</v>
      </c>
      <c r="B6" t="s">
        <v>152</v>
      </c>
      <c r="C6">
        <v>16</v>
      </c>
      <c r="D6">
        <v>414</v>
      </c>
      <c r="E6">
        <v>606</v>
      </c>
      <c r="F6">
        <v>4475</v>
      </c>
      <c r="G6">
        <v>35</v>
      </c>
      <c r="H6">
        <v>12</v>
      </c>
      <c r="I6">
        <v>75</v>
      </c>
      <c r="J6">
        <v>257</v>
      </c>
      <c r="K6">
        <v>5</v>
      </c>
      <c r="L6">
        <v>419.5</v>
      </c>
      <c r="M6">
        <v>26.2</v>
      </c>
      <c r="N6" s="5">
        <f t="shared" si="0"/>
        <v>12.75</v>
      </c>
      <c r="O6" s="5">
        <f t="shared" si="1"/>
        <v>37.1875</v>
      </c>
      <c r="P6" s="5">
        <f>(17/C6)*J6</f>
        <v>273.0625</v>
      </c>
      <c r="Q6" s="5">
        <f>(17/$C6)*K6</f>
        <v>5.3125</v>
      </c>
    </row>
    <row r="7" spans="1:17" x14ac:dyDescent="0.25">
      <c r="A7" t="s">
        <v>92</v>
      </c>
      <c r="B7" t="s">
        <v>153</v>
      </c>
      <c r="C7">
        <v>17</v>
      </c>
      <c r="D7">
        <v>399</v>
      </c>
      <c r="E7">
        <v>572</v>
      </c>
      <c r="F7">
        <v>4282</v>
      </c>
      <c r="G7">
        <v>30</v>
      </c>
      <c r="H7">
        <v>11</v>
      </c>
      <c r="I7">
        <v>68</v>
      </c>
      <c r="J7">
        <v>366</v>
      </c>
      <c r="K7">
        <v>1</v>
      </c>
      <c r="L7">
        <v>376.7</v>
      </c>
      <c r="M7">
        <v>22.2</v>
      </c>
      <c r="N7" s="5">
        <f t="shared" si="0"/>
        <v>11</v>
      </c>
      <c r="O7" s="5">
        <f t="shared" si="1"/>
        <v>30</v>
      </c>
      <c r="P7" s="5">
        <f>(17/C7)*J7</f>
        <v>366</v>
      </c>
      <c r="Q7" s="5">
        <f>(17/$C7)*K7</f>
        <v>1</v>
      </c>
    </row>
    <row r="8" spans="1:17" x14ac:dyDescent="0.25">
      <c r="A8" t="s">
        <v>98</v>
      </c>
      <c r="B8" t="s">
        <v>154</v>
      </c>
      <c r="C8">
        <v>17</v>
      </c>
      <c r="D8">
        <v>424</v>
      </c>
      <c r="E8">
        <v>643</v>
      </c>
      <c r="F8">
        <v>4547</v>
      </c>
      <c r="G8">
        <v>29</v>
      </c>
      <c r="H8">
        <v>14</v>
      </c>
      <c r="I8">
        <v>31</v>
      </c>
      <c r="J8">
        <v>97</v>
      </c>
      <c r="K8">
        <v>2</v>
      </c>
      <c r="L8">
        <v>365.1</v>
      </c>
      <c r="M8">
        <v>21.5</v>
      </c>
      <c r="N8" s="5">
        <f t="shared" si="0"/>
        <v>14</v>
      </c>
      <c r="O8" s="5">
        <f t="shared" si="1"/>
        <v>29</v>
      </c>
      <c r="P8" s="5">
        <f>(17/C8)*J8</f>
        <v>97</v>
      </c>
      <c r="Q8" s="5">
        <f>(17/$C8)*K8</f>
        <v>2</v>
      </c>
    </row>
    <row r="9" spans="1:17" x14ac:dyDescent="0.25">
      <c r="A9" t="s">
        <v>84</v>
      </c>
      <c r="B9" t="s">
        <v>155</v>
      </c>
      <c r="C9">
        <v>17</v>
      </c>
      <c r="D9">
        <v>387</v>
      </c>
      <c r="E9">
        <v>584</v>
      </c>
      <c r="F9">
        <v>4113</v>
      </c>
      <c r="G9">
        <v>25</v>
      </c>
      <c r="H9">
        <v>8</v>
      </c>
      <c r="I9">
        <v>62</v>
      </c>
      <c r="J9">
        <v>291</v>
      </c>
      <c r="K9">
        <v>5</v>
      </c>
      <c r="L9">
        <v>364.8</v>
      </c>
      <c r="M9">
        <v>21.5</v>
      </c>
      <c r="N9" s="5">
        <f t="shared" si="0"/>
        <v>8</v>
      </c>
      <c r="O9" s="5">
        <f t="shared" si="1"/>
        <v>25</v>
      </c>
      <c r="P9" s="5">
        <f>(17/C9)*J9</f>
        <v>291</v>
      </c>
      <c r="Q9" s="5">
        <f>(17/$C9)*K9</f>
        <v>5</v>
      </c>
    </row>
    <row r="10" spans="1:17" x14ac:dyDescent="0.25">
      <c r="A10" t="s">
        <v>86</v>
      </c>
      <c r="B10" t="s">
        <v>156</v>
      </c>
      <c r="C10">
        <v>17</v>
      </c>
      <c r="D10">
        <v>477</v>
      </c>
      <c r="E10">
        <v>699</v>
      </c>
      <c r="F10">
        <v>4739</v>
      </c>
      <c r="G10">
        <v>25</v>
      </c>
      <c r="H10">
        <v>10</v>
      </c>
      <c r="I10">
        <v>54</v>
      </c>
      <c r="J10">
        <v>147</v>
      </c>
      <c r="K10">
        <v>0</v>
      </c>
      <c r="L10">
        <v>351.7</v>
      </c>
      <c r="M10">
        <v>20.7</v>
      </c>
      <c r="N10" s="5">
        <f t="shared" si="0"/>
        <v>10</v>
      </c>
      <c r="O10" s="5">
        <f t="shared" si="1"/>
        <v>25</v>
      </c>
      <c r="P10" s="5">
        <f>(17/C10)*J10</f>
        <v>147</v>
      </c>
      <c r="Q10" s="5">
        <f>(17/$C10)*K10</f>
        <v>0</v>
      </c>
    </row>
    <row r="11" spans="1:17" x14ac:dyDescent="0.25">
      <c r="A11" t="s">
        <v>94</v>
      </c>
      <c r="B11" t="s">
        <v>157</v>
      </c>
      <c r="C11">
        <v>17</v>
      </c>
      <c r="D11">
        <v>382</v>
      </c>
      <c r="E11">
        <v>587</v>
      </c>
      <c r="F11">
        <v>4438</v>
      </c>
      <c r="G11">
        <v>29</v>
      </c>
      <c r="H11">
        <v>6</v>
      </c>
      <c r="I11">
        <v>29</v>
      </c>
      <c r="J11">
        <v>73</v>
      </c>
      <c r="K11">
        <v>0</v>
      </c>
      <c r="L11">
        <v>345.2</v>
      </c>
      <c r="M11">
        <v>20.3</v>
      </c>
      <c r="N11" s="5">
        <f t="shared" si="0"/>
        <v>6</v>
      </c>
      <c r="O11" s="5">
        <f t="shared" si="1"/>
        <v>29</v>
      </c>
      <c r="P11" s="5">
        <f>(17/C11)*J11</f>
        <v>73</v>
      </c>
      <c r="Q11" s="5">
        <f>(17/$C11)*K11</f>
        <v>0</v>
      </c>
    </row>
    <row r="12" spans="1:17" x14ac:dyDescent="0.25">
      <c r="A12" t="s">
        <v>61</v>
      </c>
      <c r="B12" t="s">
        <v>158</v>
      </c>
      <c r="C12">
        <v>15</v>
      </c>
      <c r="D12">
        <v>192</v>
      </c>
      <c r="E12">
        <v>318</v>
      </c>
      <c r="F12">
        <v>2242</v>
      </c>
      <c r="G12">
        <v>17</v>
      </c>
      <c r="H12">
        <v>9</v>
      </c>
      <c r="I12">
        <v>160</v>
      </c>
      <c r="J12">
        <v>1143</v>
      </c>
      <c r="K12">
        <v>8</v>
      </c>
      <c r="L12">
        <v>342.4</v>
      </c>
      <c r="M12">
        <v>22.8</v>
      </c>
      <c r="N12" s="5">
        <f t="shared" si="0"/>
        <v>10.199999999999999</v>
      </c>
      <c r="O12" s="5">
        <f t="shared" si="1"/>
        <v>19.266666666666666</v>
      </c>
      <c r="P12" s="5">
        <f>(17/C12)*J12</f>
        <v>1295.3999999999999</v>
      </c>
      <c r="Q12" s="5">
        <f>(17/$C12)*K12</f>
        <v>9.0666666666666664</v>
      </c>
    </row>
    <row r="13" spans="1:17" x14ac:dyDescent="0.25">
      <c r="A13" t="s">
        <v>205</v>
      </c>
      <c r="B13" t="s">
        <v>159</v>
      </c>
      <c r="C13">
        <v>17</v>
      </c>
      <c r="D13">
        <v>490</v>
      </c>
      <c r="E13">
        <v>733</v>
      </c>
      <c r="F13">
        <v>4694</v>
      </c>
      <c r="G13">
        <v>25</v>
      </c>
      <c r="H13">
        <v>9</v>
      </c>
      <c r="I13">
        <v>29</v>
      </c>
      <c r="J13">
        <v>-1</v>
      </c>
      <c r="K13">
        <v>1</v>
      </c>
      <c r="L13">
        <v>340.6</v>
      </c>
      <c r="M13">
        <v>20</v>
      </c>
      <c r="N13" s="5">
        <f t="shared" si="0"/>
        <v>9</v>
      </c>
      <c r="O13" s="5">
        <f t="shared" si="1"/>
        <v>25</v>
      </c>
      <c r="P13" s="5">
        <f>(17/C13)*J13</f>
        <v>-1</v>
      </c>
      <c r="Q13" s="5">
        <f>(17/$C13)*K13</f>
        <v>1</v>
      </c>
    </row>
    <row r="14" spans="1:17" x14ac:dyDescent="0.25">
      <c r="A14" t="s">
        <v>74</v>
      </c>
      <c r="B14" t="s">
        <v>160</v>
      </c>
      <c r="C14">
        <v>16</v>
      </c>
      <c r="D14">
        <v>317</v>
      </c>
      <c r="E14">
        <v>472</v>
      </c>
      <c r="F14">
        <v>3205</v>
      </c>
      <c r="G14">
        <v>15</v>
      </c>
      <c r="H14">
        <v>5</v>
      </c>
      <c r="I14">
        <v>120</v>
      </c>
      <c r="J14">
        <v>708</v>
      </c>
      <c r="K14">
        <v>7</v>
      </c>
      <c r="L14">
        <v>333.1</v>
      </c>
      <c r="M14">
        <v>20.8</v>
      </c>
      <c r="N14" s="5">
        <f t="shared" si="0"/>
        <v>5.3125</v>
      </c>
      <c r="O14" s="5">
        <f t="shared" si="1"/>
        <v>15.9375</v>
      </c>
      <c r="P14" s="5">
        <f>(17/C14)*J14</f>
        <v>752.25</v>
      </c>
      <c r="Q14" s="5">
        <f>(17/$C14)*K14</f>
        <v>7.4375</v>
      </c>
    </row>
    <row r="15" spans="1:17" x14ac:dyDescent="0.25">
      <c r="A15" t="s">
        <v>97</v>
      </c>
      <c r="B15" t="s">
        <v>161</v>
      </c>
      <c r="C15">
        <v>17</v>
      </c>
      <c r="D15">
        <v>350</v>
      </c>
      <c r="E15">
        <v>542</v>
      </c>
      <c r="F15">
        <v>3695</v>
      </c>
      <c r="G15">
        <v>26</v>
      </c>
      <c r="H15">
        <v>11</v>
      </c>
      <c r="I15">
        <v>34</v>
      </c>
      <c r="J15">
        <v>94</v>
      </c>
      <c r="K15">
        <v>1</v>
      </c>
      <c r="L15">
        <v>304.2</v>
      </c>
      <c r="M15">
        <v>17.899999999999999</v>
      </c>
      <c r="N15" s="5">
        <f t="shared" si="0"/>
        <v>11</v>
      </c>
      <c r="O15" s="5">
        <f t="shared" si="1"/>
        <v>26</v>
      </c>
      <c r="P15" s="5">
        <f>(17/C15)*J15</f>
        <v>94</v>
      </c>
      <c r="Q15" s="5">
        <f>(17/$C15)*K15</f>
        <v>1</v>
      </c>
    </row>
    <row r="16" spans="1:17" x14ac:dyDescent="0.25">
      <c r="A16" t="s">
        <v>104</v>
      </c>
      <c r="B16" t="s">
        <v>162</v>
      </c>
      <c r="C16">
        <v>15</v>
      </c>
      <c r="D16">
        <v>292</v>
      </c>
      <c r="E16">
        <v>483</v>
      </c>
      <c r="F16">
        <v>3524</v>
      </c>
      <c r="G16">
        <v>16</v>
      </c>
      <c r="H16">
        <v>11</v>
      </c>
      <c r="I16">
        <v>55</v>
      </c>
      <c r="J16">
        <v>277</v>
      </c>
      <c r="K16">
        <v>3</v>
      </c>
      <c r="L16">
        <v>285.89999999999998</v>
      </c>
      <c r="M16">
        <v>19.100000000000001</v>
      </c>
      <c r="N16" s="5">
        <f t="shared" si="0"/>
        <v>12.466666666666667</v>
      </c>
      <c r="O16" s="5">
        <f t="shared" si="1"/>
        <v>18.133333333333333</v>
      </c>
      <c r="P16" s="5">
        <f>(17/C16)*J16</f>
        <v>313.93333333333334</v>
      </c>
      <c r="Q16" s="5">
        <f>(17/$C16)*K16</f>
        <v>3.4</v>
      </c>
    </row>
    <row r="17" spans="1:17" x14ac:dyDescent="0.25">
      <c r="A17" t="s">
        <v>90</v>
      </c>
      <c r="B17" t="s">
        <v>163</v>
      </c>
      <c r="C17">
        <v>13</v>
      </c>
      <c r="D17">
        <v>259</v>
      </c>
      <c r="E17">
        <v>400</v>
      </c>
      <c r="F17">
        <v>3548</v>
      </c>
      <c r="G17">
        <v>25</v>
      </c>
      <c r="H17">
        <v>8</v>
      </c>
      <c r="I17">
        <v>24</v>
      </c>
      <c r="J17">
        <v>70</v>
      </c>
      <c r="K17">
        <v>0</v>
      </c>
      <c r="L17">
        <v>284.39999999999998</v>
      </c>
      <c r="M17">
        <v>21.9</v>
      </c>
      <c r="N17" s="5">
        <f t="shared" si="0"/>
        <v>10.461538461538462</v>
      </c>
      <c r="O17" s="5">
        <f t="shared" si="1"/>
        <v>32.692307692307693</v>
      </c>
      <c r="P17" s="5">
        <f>(17/C17)*J17</f>
        <v>91.538461538461533</v>
      </c>
      <c r="Q17" s="5">
        <f>(17/$C17)*K17</f>
        <v>0</v>
      </c>
    </row>
    <row r="18" spans="1:17" x14ac:dyDescent="0.25">
      <c r="A18" t="s">
        <v>93</v>
      </c>
      <c r="B18" t="s">
        <v>164</v>
      </c>
      <c r="C18">
        <v>15</v>
      </c>
      <c r="D18">
        <v>305</v>
      </c>
      <c r="E18">
        <v>502</v>
      </c>
      <c r="F18">
        <v>3522</v>
      </c>
      <c r="G18">
        <v>24</v>
      </c>
      <c r="H18">
        <v>14</v>
      </c>
      <c r="I18">
        <v>24</v>
      </c>
      <c r="J18">
        <v>102</v>
      </c>
      <c r="K18">
        <v>0</v>
      </c>
      <c r="L18">
        <v>282.3</v>
      </c>
      <c r="M18">
        <v>18.8</v>
      </c>
      <c r="N18" s="5">
        <f t="shared" si="0"/>
        <v>15.866666666666667</v>
      </c>
      <c r="O18" s="5">
        <f t="shared" si="1"/>
        <v>27.2</v>
      </c>
      <c r="P18" s="5">
        <f>(17/C18)*J18</f>
        <v>115.6</v>
      </c>
      <c r="Q18" s="5">
        <f>(17/$C18)*K18</f>
        <v>0</v>
      </c>
    </row>
    <row r="19" spans="1:17" x14ac:dyDescent="0.25">
      <c r="A19" t="s">
        <v>63</v>
      </c>
      <c r="B19" t="s">
        <v>165</v>
      </c>
      <c r="C19">
        <v>12</v>
      </c>
      <c r="D19">
        <v>203</v>
      </c>
      <c r="E19">
        <v>326</v>
      </c>
      <c r="F19">
        <v>2242</v>
      </c>
      <c r="G19">
        <v>17</v>
      </c>
      <c r="H19">
        <v>7</v>
      </c>
      <c r="I19">
        <v>112</v>
      </c>
      <c r="J19">
        <v>764</v>
      </c>
      <c r="K19">
        <v>3</v>
      </c>
      <c r="L19">
        <v>274.5</v>
      </c>
      <c r="M19">
        <v>22.9</v>
      </c>
      <c r="N19" s="5">
        <f t="shared" si="0"/>
        <v>9.9166666666666679</v>
      </c>
      <c r="O19" s="5">
        <f t="shared" si="1"/>
        <v>24.083333333333336</v>
      </c>
      <c r="P19" s="5">
        <f>(17/C19)*J19</f>
        <v>1082.3333333333335</v>
      </c>
      <c r="Q19" s="5">
        <f>(17/$C19)*K19</f>
        <v>4.25</v>
      </c>
    </row>
    <row r="20" spans="1:17" x14ac:dyDescent="0.25">
      <c r="A20" t="s">
        <v>102</v>
      </c>
      <c r="B20" t="s">
        <v>166</v>
      </c>
      <c r="C20">
        <v>12</v>
      </c>
      <c r="D20">
        <v>261</v>
      </c>
      <c r="E20">
        <v>394</v>
      </c>
      <c r="F20">
        <v>2860</v>
      </c>
      <c r="G20">
        <v>23</v>
      </c>
      <c r="H20">
        <v>15</v>
      </c>
      <c r="I20">
        <v>45</v>
      </c>
      <c r="J20">
        <v>182</v>
      </c>
      <c r="K20">
        <v>1</v>
      </c>
      <c r="L20">
        <v>259.2</v>
      </c>
      <c r="M20">
        <v>21.6</v>
      </c>
      <c r="N20" s="5">
        <f t="shared" si="0"/>
        <v>21.25</v>
      </c>
      <c r="O20" s="5">
        <f t="shared" si="1"/>
        <v>32.583333333333336</v>
      </c>
      <c r="P20" s="5">
        <f>(17/C20)*J20</f>
        <v>257.83333333333337</v>
      </c>
      <c r="Q20" s="5">
        <f>(17/$C20)*K20</f>
        <v>1.4166666666666667</v>
      </c>
    </row>
    <row r="21" spans="1:17" x14ac:dyDescent="0.25">
      <c r="A21" t="s">
        <v>206</v>
      </c>
      <c r="B21" t="s">
        <v>167</v>
      </c>
      <c r="C21">
        <v>15</v>
      </c>
      <c r="D21">
        <v>292</v>
      </c>
      <c r="E21">
        <v>479</v>
      </c>
      <c r="F21">
        <v>3118</v>
      </c>
      <c r="G21">
        <v>17</v>
      </c>
      <c r="H21">
        <v>15</v>
      </c>
      <c r="I21">
        <v>32</v>
      </c>
      <c r="J21">
        <v>108</v>
      </c>
      <c r="K21">
        <v>2</v>
      </c>
      <c r="L21">
        <v>246.7</v>
      </c>
      <c r="M21">
        <v>16.399999999999999</v>
      </c>
      <c r="N21" s="5">
        <f t="shared" si="0"/>
        <v>17</v>
      </c>
      <c r="O21" s="5">
        <f t="shared" si="1"/>
        <v>19.266666666666666</v>
      </c>
      <c r="P21" s="5">
        <f>(17/C21)*J21</f>
        <v>122.39999999999999</v>
      </c>
      <c r="Q21" s="5">
        <f>(17/$C21)*K21</f>
        <v>2.2666666666666666</v>
      </c>
    </row>
    <row r="22" spans="1:17" x14ac:dyDescent="0.25">
      <c r="A22" t="s">
        <v>207</v>
      </c>
      <c r="B22" t="s">
        <v>168</v>
      </c>
      <c r="C22">
        <v>13</v>
      </c>
      <c r="D22">
        <v>184</v>
      </c>
      <c r="E22">
        <v>300</v>
      </c>
      <c r="F22">
        <v>2219</v>
      </c>
      <c r="G22">
        <v>15</v>
      </c>
      <c r="H22">
        <v>9</v>
      </c>
      <c r="I22">
        <v>85</v>
      </c>
      <c r="J22">
        <v>438</v>
      </c>
      <c r="K22">
        <v>4</v>
      </c>
      <c r="L22">
        <v>238.8</v>
      </c>
      <c r="M22">
        <v>18.399999999999999</v>
      </c>
      <c r="N22" s="5">
        <f t="shared" si="0"/>
        <v>11.76923076923077</v>
      </c>
      <c r="O22" s="5">
        <f t="shared" si="1"/>
        <v>19.615384615384617</v>
      </c>
      <c r="P22" s="5">
        <f>(17/C22)*J22</f>
        <v>572.76923076923083</v>
      </c>
      <c r="Q22" s="5">
        <f>(17/$C22)*K22</f>
        <v>5.2307692307692308</v>
      </c>
    </row>
    <row r="23" spans="1:17" x14ac:dyDescent="0.25">
      <c r="A23" t="s">
        <v>208</v>
      </c>
      <c r="B23" t="s">
        <v>169</v>
      </c>
      <c r="C23">
        <v>11</v>
      </c>
      <c r="D23">
        <v>259</v>
      </c>
      <c r="E23">
        <v>390</v>
      </c>
      <c r="F23">
        <v>2368</v>
      </c>
      <c r="G23">
        <v>14</v>
      </c>
      <c r="H23">
        <v>7</v>
      </c>
      <c r="I23">
        <v>67</v>
      </c>
      <c r="J23">
        <v>418</v>
      </c>
      <c r="K23">
        <v>3</v>
      </c>
      <c r="L23">
        <v>234.2</v>
      </c>
      <c r="M23">
        <v>21.3</v>
      </c>
      <c r="N23" s="5">
        <f t="shared" si="0"/>
        <v>10.818181818181818</v>
      </c>
      <c r="O23" s="5">
        <f t="shared" si="1"/>
        <v>21.636363636363637</v>
      </c>
      <c r="P23" s="5">
        <f>(17/C23)*J23</f>
        <v>646</v>
      </c>
      <c r="Q23" s="5">
        <f>(17/$C23)*K23</f>
        <v>4.6363636363636367</v>
      </c>
    </row>
    <row r="24" spans="1:17" x14ac:dyDescent="0.25">
      <c r="A24" t="s">
        <v>99</v>
      </c>
      <c r="B24" t="s">
        <v>170</v>
      </c>
      <c r="C24">
        <v>14</v>
      </c>
      <c r="D24">
        <v>288</v>
      </c>
      <c r="E24">
        <v>442</v>
      </c>
      <c r="F24">
        <v>2997</v>
      </c>
      <c r="G24">
        <v>14</v>
      </c>
      <c r="H24">
        <v>11</v>
      </c>
      <c r="I24">
        <v>47</v>
      </c>
      <c r="J24">
        <v>102</v>
      </c>
      <c r="K24">
        <v>1</v>
      </c>
      <c r="L24">
        <v>222.1</v>
      </c>
      <c r="M24">
        <v>15.9</v>
      </c>
      <c r="N24" s="5">
        <f t="shared" si="0"/>
        <v>13.357142857142856</v>
      </c>
      <c r="O24" s="5">
        <f t="shared" si="1"/>
        <v>17</v>
      </c>
      <c r="P24" s="5">
        <f>(17/C24)*J24</f>
        <v>123.85714285714285</v>
      </c>
      <c r="Q24" s="5">
        <f>(17/$C24)*K24</f>
        <v>1.2142857142857142</v>
      </c>
    </row>
    <row r="25" spans="1:17" x14ac:dyDescent="0.25">
      <c r="A25" t="s">
        <v>209</v>
      </c>
      <c r="B25" t="s">
        <v>171</v>
      </c>
      <c r="C25">
        <v>12</v>
      </c>
      <c r="D25">
        <v>309</v>
      </c>
      <c r="E25">
        <v>461</v>
      </c>
      <c r="F25">
        <v>3057</v>
      </c>
      <c r="G25">
        <v>14</v>
      </c>
      <c r="H25">
        <v>13</v>
      </c>
      <c r="I25">
        <v>27</v>
      </c>
      <c r="J25">
        <v>70</v>
      </c>
      <c r="K25">
        <v>1</v>
      </c>
      <c r="L25">
        <v>221.9</v>
      </c>
      <c r="M25">
        <v>18.5</v>
      </c>
      <c r="N25" s="5">
        <f t="shared" si="0"/>
        <v>18.416666666666668</v>
      </c>
      <c r="O25" s="5">
        <f t="shared" si="1"/>
        <v>19.833333333333336</v>
      </c>
      <c r="P25" s="5">
        <f>(17/C25)*J25</f>
        <v>99.166666666666671</v>
      </c>
      <c r="Q25" s="5">
        <f>(17/$C25)*K25</f>
        <v>1.4166666666666667</v>
      </c>
    </row>
    <row r="26" spans="1:17" x14ac:dyDescent="0.25">
      <c r="A26" t="s">
        <v>210</v>
      </c>
      <c r="B26" t="s">
        <v>172</v>
      </c>
      <c r="C26">
        <v>14</v>
      </c>
      <c r="D26">
        <v>252</v>
      </c>
      <c r="E26">
        <v>378</v>
      </c>
      <c r="F26">
        <v>2871</v>
      </c>
      <c r="G26">
        <v>18</v>
      </c>
      <c r="H26">
        <v>9</v>
      </c>
      <c r="I26">
        <v>30</v>
      </c>
      <c r="J26">
        <v>54</v>
      </c>
      <c r="K26">
        <v>0</v>
      </c>
      <c r="L26">
        <v>221</v>
      </c>
      <c r="M26">
        <v>15.8</v>
      </c>
      <c r="N26" s="5">
        <f t="shared" si="0"/>
        <v>10.928571428571427</v>
      </c>
      <c r="O26" s="5">
        <f t="shared" si="1"/>
        <v>21.857142857142854</v>
      </c>
      <c r="P26" s="5">
        <f>(17/C26)*J26</f>
        <v>65.571428571428569</v>
      </c>
      <c r="Q26" s="5">
        <f>(17/$C26)*K26</f>
        <v>0</v>
      </c>
    </row>
    <row r="27" spans="1:17" x14ac:dyDescent="0.25">
      <c r="A27" t="s">
        <v>211</v>
      </c>
      <c r="B27" t="s">
        <v>173</v>
      </c>
      <c r="C27">
        <v>14</v>
      </c>
      <c r="D27">
        <v>236</v>
      </c>
      <c r="E27">
        <v>369</v>
      </c>
      <c r="F27">
        <v>2608</v>
      </c>
      <c r="G27">
        <v>12</v>
      </c>
      <c r="H27">
        <v>6</v>
      </c>
      <c r="I27">
        <v>49</v>
      </c>
      <c r="J27">
        <v>243</v>
      </c>
      <c r="K27">
        <v>2</v>
      </c>
      <c r="L27">
        <v>214.7</v>
      </c>
      <c r="M27">
        <v>15.3</v>
      </c>
      <c r="N27" s="5">
        <f t="shared" si="0"/>
        <v>7.2857142857142847</v>
      </c>
      <c r="O27" s="5">
        <f t="shared" si="1"/>
        <v>14.571428571428569</v>
      </c>
      <c r="P27" s="5">
        <f>(17/C27)*J27</f>
        <v>295.07142857142856</v>
      </c>
      <c r="Q27" s="5">
        <f>(17/$C27)*K27</f>
        <v>2.4285714285714284</v>
      </c>
    </row>
    <row r="28" spans="1:17" x14ac:dyDescent="0.25">
      <c r="A28" t="s">
        <v>103</v>
      </c>
      <c r="B28" t="s">
        <v>174</v>
      </c>
      <c r="C28">
        <v>11</v>
      </c>
      <c r="D28">
        <v>207</v>
      </c>
      <c r="E28">
        <v>308</v>
      </c>
      <c r="F28">
        <v>2437</v>
      </c>
      <c r="G28">
        <v>16</v>
      </c>
      <c r="H28">
        <v>4</v>
      </c>
      <c r="I28">
        <v>23</v>
      </c>
      <c r="J28">
        <v>33</v>
      </c>
      <c r="K28">
        <v>2</v>
      </c>
      <c r="L28">
        <v>201.2</v>
      </c>
      <c r="M28">
        <v>18.3</v>
      </c>
      <c r="N28" s="5">
        <f t="shared" si="0"/>
        <v>6.1818181818181817</v>
      </c>
      <c r="O28" s="5">
        <f t="shared" si="1"/>
        <v>24.727272727272727</v>
      </c>
      <c r="P28" s="5">
        <f>(17/C28)*J28</f>
        <v>51</v>
      </c>
      <c r="Q28" s="5">
        <f>(17/$C28)*K28</f>
        <v>3.0909090909090908</v>
      </c>
    </row>
    <row r="29" spans="1:17" x14ac:dyDescent="0.25">
      <c r="A29" t="s">
        <v>89</v>
      </c>
      <c r="B29" t="s">
        <v>175</v>
      </c>
      <c r="C29">
        <v>12</v>
      </c>
      <c r="D29">
        <v>212</v>
      </c>
      <c r="E29">
        <v>325</v>
      </c>
      <c r="F29">
        <v>2536</v>
      </c>
      <c r="G29">
        <v>13</v>
      </c>
      <c r="H29">
        <v>6</v>
      </c>
      <c r="I29">
        <v>34</v>
      </c>
      <c r="J29">
        <v>98</v>
      </c>
      <c r="K29">
        <v>2</v>
      </c>
      <c r="L29">
        <v>200.6</v>
      </c>
      <c r="M29">
        <v>16.7</v>
      </c>
      <c r="N29" s="5">
        <f t="shared" si="0"/>
        <v>8.5</v>
      </c>
      <c r="O29" s="5">
        <f t="shared" si="1"/>
        <v>18.416666666666668</v>
      </c>
      <c r="P29" s="5">
        <f>(17/C29)*J29</f>
        <v>138.83333333333334</v>
      </c>
      <c r="Q29" s="5">
        <f>(17/$C29)*K29</f>
        <v>2.8333333333333335</v>
      </c>
    </row>
    <row r="30" spans="1:17" x14ac:dyDescent="0.25">
      <c r="A30" t="s">
        <v>83</v>
      </c>
      <c r="B30" t="s">
        <v>176</v>
      </c>
      <c r="C30">
        <v>13</v>
      </c>
      <c r="D30">
        <v>245</v>
      </c>
      <c r="E30">
        <v>389</v>
      </c>
      <c r="F30">
        <v>2404</v>
      </c>
      <c r="G30">
        <v>7</v>
      </c>
      <c r="H30">
        <v>9</v>
      </c>
      <c r="I30">
        <v>55</v>
      </c>
      <c r="J30">
        <v>237</v>
      </c>
      <c r="K30">
        <v>3</v>
      </c>
      <c r="L30">
        <v>189.9</v>
      </c>
      <c r="M30">
        <v>14.6</v>
      </c>
      <c r="N30" s="5">
        <f t="shared" si="0"/>
        <v>11.76923076923077</v>
      </c>
      <c r="O30" s="5">
        <f t="shared" si="1"/>
        <v>9.1538461538461533</v>
      </c>
      <c r="P30" s="5">
        <f>(17/C30)*J30</f>
        <v>309.92307692307691</v>
      </c>
      <c r="Q30" s="5">
        <f>(17/$C30)*K30</f>
        <v>3.9230769230769234</v>
      </c>
    </row>
    <row r="31" spans="1:17" x14ac:dyDescent="0.25">
      <c r="A31" t="s">
        <v>87</v>
      </c>
      <c r="B31" t="s">
        <v>177</v>
      </c>
      <c r="C31">
        <v>12</v>
      </c>
      <c r="D31">
        <v>201</v>
      </c>
      <c r="E31">
        <v>335</v>
      </c>
      <c r="F31">
        <v>2163</v>
      </c>
      <c r="G31">
        <v>10</v>
      </c>
      <c r="H31">
        <v>8</v>
      </c>
      <c r="I31">
        <v>31</v>
      </c>
      <c r="J31">
        <v>89</v>
      </c>
      <c r="K31">
        <v>1</v>
      </c>
      <c r="L31">
        <v>163.1</v>
      </c>
      <c r="M31">
        <v>13.6</v>
      </c>
      <c r="N31" s="5">
        <f t="shared" si="0"/>
        <v>11.333333333333334</v>
      </c>
      <c r="O31" s="5">
        <f t="shared" si="1"/>
        <v>14.166666666666668</v>
      </c>
      <c r="P31" s="5">
        <f>(17/C31)*J31</f>
        <v>126.08333333333334</v>
      </c>
      <c r="Q31" s="5">
        <f>(17/$C31)*K31</f>
        <v>1.4166666666666667</v>
      </c>
    </row>
    <row r="32" spans="1:17" x14ac:dyDescent="0.25">
      <c r="A32" t="s">
        <v>212</v>
      </c>
      <c r="B32" t="s">
        <v>178</v>
      </c>
      <c r="C32">
        <v>9</v>
      </c>
      <c r="D32">
        <v>161</v>
      </c>
      <c r="E32">
        <v>259</v>
      </c>
      <c r="F32">
        <v>1859</v>
      </c>
      <c r="G32">
        <v>12</v>
      </c>
      <c r="H32">
        <v>6</v>
      </c>
      <c r="I32">
        <v>28</v>
      </c>
      <c r="J32">
        <v>96</v>
      </c>
      <c r="K32">
        <v>1</v>
      </c>
      <c r="L32">
        <v>156.6</v>
      </c>
      <c r="M32">
        <v>17.399999999999999</v>
      </c>
      <c r="N32" s="5">
        <f t="shared" si="0"/>
        <v>11.333333333333332</v>
      </c>
      <c r="O32" s="5">
        <f t="shared" si="1"/>
        <v>22.666666666666664</v>
      </c>
      <c r="P32" s="5">
        <f>(17/C32)*J32</f>
        <v>181.33333333333331</v>
      </c>
      <c r="Q32" s="5">
        <f>(17/$C32)*K32</f>
        <v>1.8888888888888888</v>
      </c>
    </row>
    <row r="33" spans="1:17" x14ac:dyDescent="0.25">
      <c r="A33" t="s">
        <v>82</v>
      </c>
      <c r="B33" t="s">
        <v>179</v>
      </c>
      <c r="C33">
        <v>9</v>
      </c>
      <c r="D33">
        <v>206</v>
      </c>
      <c r="E33">
        <v>303</v>
      </c>
      <c r="F33">
        <v>2087</v>
      </c>
      <c r="G33">
        <v>10</v>
      </c>
      <c r="H33">
        <v>8</v>
      </c>
      <c r="I33">
        <v>13</v>
      </c>
      <c r="J33">
        <v>9</v>
      </c>
      <c r="K33">
        <v>1</v>
      </c>
      <c r="L33">
        <v>151.30000000000001</v>
      </c>
      <c r="M33">
        <v>16.8</v>
      </c>
      <c r="N33" s="5">
        <f t="shared" si="0"/>
        <v>15.111111111111111</v>
      </c>
      <c r="O33" s="5">
        <f t="shared" si="1"/>
        <v>18.888888888888889</v>
      </c>
      <c r="P33" s="5">
        <f>(17/C33)*J33</f>
        <v>17</v>
      </c>
      <c r="Q33" s="5">
        <f>(17/$C33)*K33</f>
        <v>1.8888888888888888</v>
      </c>
    </row>
    <row r="34" spans="1:17" x14ac:dyDescent="0.25">
      <c r="A34" t="s">
        <v>213</v>
      </c>
      <c r="B34" t="s">
        <v>178</v>
      </c>
      <c r="C34">
        <v>8</v>
      </c>
      <c r="D34">
        <v>172</v>
      </c>
      <c r="E34">
        <v>276</v>
      </c>
      <c r="F34">
        <v>1755</v>
      </c>
      <c r="G34">
        <v>11</v>
      </c>
      <c r="H34">
        <v>9</v>
      </c>
      <c r="I34">
        <v>22</v>
      </c>
      <c r="J34">
        <v>86</v>
      </c>
      <c r="K34">
        <v>1</v>
      </c>
      <c r="L34">
        <v>146.4</v>
      </c>
      <c r="M34">
        <v>18.3</v>
      </c>
      <c r="N34" s="5">
        <f t="shared" si="0"/>
        <v>19.125</v>
      </c>
      <c r="O34" s="5">
        <f t="shared" si="1"/>
        <v>23.375</v>
      </c>
      <c r="P34" s="5">
        <f>(17/C34)*J34</f>
        <v>182.75</v>
      </c>
      <c r="Q34" s="5">
        <f>(17/$C34)*K34</f>
        <v>2.125</v>
      </c>
    </row>
    <row r="35" spans="1:17" x14ac:dyDescent="0.25">
      <c r="A35" t="s">
        <v>85</v>
      </c>
      <c r="B35" t="s">
        <v>174</v>
      </c>
      <c r="C35">
        <v>9</v>
      </c>
      <c r="D35">
        <v>114</v>
      </c>
      <c r="E35">
        <v>170</v>
      </c>
      <c r="F35">
        <v>1374</v>
      </c>
      <c r="G35">
        <v>13</v>
      </c>
      <c r="H35">
        <v>4</v>
      </c>
      <c r="I35">
        <v>22</v>
      </c>
      <c r="J35">
        <v>13</v>
      </c>
      <c r="K35">
        <v>1</v>
      </c>
      <c r="L35">
        <v>128</v>
      </c>
      <c r="M35">
        <v>14.2</v>
      </c>
      <c r="N35" s="5">
        <f t="shared" si="0"/>
        <v>7.5555555555555554</v>
      </c>
      <c r="O35" s="5">
        <f t="shared" si="1"/>
        <v>24.555555555555554</v>
      </c>
      <c r="P35" s="5">
        <f>(17/C35)*J35</f>
        <v>24.555555555555554</v>
      </c>
      <c r="Q35" s="5">
        <f>(17/$C35)*K35</f>
        <v>1.8888888888888888</v>
      </c>
    </row>
    <row r="36" spans="1:17" x14ac:dyDescent="0.25">
      <c r="A36" t="s">
        <v>214</v>
      </c>
      <c r="B36" t="s">
        <v>180</v>
      </c>
      <c r="C36">
        <v>9</v>
      </c>
      <c r="D36">
        <v>132</v>
      </c>
      <c r="E36">
        <v>242</v>
      </c>
      <c r="F36">
        <v>1688</v>
      </c>
      <c r="G36">
        <v>6</v>
      </c>
      <c r="H36">
        <v>7</v>
      </c>
      <c r="I36">
        <v>28</v>
      </c>
      <c r="J36">
        <v>102</v>
      </c>
      <c r="K36">
        <v>1</v>
      </c>
      <c r="L36">
        <v>124.6</v>
      </c>
      <c r="M36">
        <v>13.8</v>
      </c>
      <c r="N36" s="5">
        <f t="shared" si="0"/>
        <v>13.222222222222221</v>
      </c>
      <c r="O36" s="5">
        <f t="shared" si="1"/>
        <v>11.333333333333332</v>
      </c>
      <c r="P36" s="5">
        <f>(17/C36)*J36</f>
        <v>192.66666666666666</v>
      </c>
      <c r="Q36" s="5">
        <f>(17/$C36)*K36</f>
        <v>1.8888888888888888</v>
      </c>
    </row>
    <row r="37" spans="1:17" x14ac:dyDescent="0.25">
      <c r="A37" t="s">
        <v>215</v>
      </c>
      <c r="B37" t="s">
        <v>177</v>
      </c>
      <c r="C37">
        <v>6</v>
      </c>
      <c r="D37">
        <v>82</v>
      </c>
      <c r="E37">
        <v>140</v>
      </c>
      <c r="F37">
        <v>1143</v>
      </c>
      <c r="G37">
        <v>7</v>
      </c>
      <c r="H37">
        <v>3</v>
      </c>
      <c r="I37">
        <v>26</v>
      </c>
      <c r="J37">
        <v>106</v>
      </c>
      <c r="K37">
        <v>2</v>
      </c>
      <c r="L37">
        <v>107.8</v>
      </c>
      <c r="M37">
        <v>18</v>
      </c>
      <c r="N37" s="5">
        <f t="shared" si="0"/>
        <v>8.5</v>
      </c>
      <c r="O37" s="5">
        <f t="shared" si="1"/>
        <v>19.833333333333336</v>
      </c>
      <c r="P37" s="5">
        <f>(17/C37)*J37</f>
        <v>300.33333333333337</v>
      </c>
      <c r="Q37" s="5">
        <f>(17/$C37)*K37</f>
        <v>5.666666666666667</v>
      </c>
    </row>
    <row r="38" spans="1:17" x14ac:dyDescent="0.25">
      <c r="A38" t="s">
        <v>81</v>
      </c>
      <c r="B38" t="s">
        <v>173</v>
      </c>
      <c r="C38">
        <v>6</v>
      </c>
      <c r="D38">
        <v>99</v>
      </c>
      <c r="E38">
        <v>170</v>
      </c>
      <c r="F38">
        <v>1102</v>
      </c>
      <c r="G38">
        <v>7</v>
      </c>
      <c r="H38">
        <v>5</v>
      </c>
      <c r="I38">
        <v>36</v>
      </c>
      <c r="J38">
        <v>175</v>
      </c>
      <c r="K38">
        <v>1</v>
      </c>
      <c r="L38">
        <v>106.6</v>
      </c>
      <c r="M38">
        <v>17.8</v>
      </c>
      <c r="N38" s="5">
        <f t="shared" si="0"/>
        <v>14.166666666666668</v>
      </c>
      <c r="O38" s="5">
        <f t="shared" si="1"/>
        <v>19.833333333333336</v>
      </c>
      <c r="P38" s="5">
        <f>(17/C38)*J38</f>
        <v>495.83333333333337</v>
      </c>
      <c r="Q38" s="5">
        <f>(17/$C38)*K38</f>
        <v>2.8333333333333335</v>
      </c>
    </row>
    <row r="39" spans="1:17" x14ac:dyDescent="0.25">
      <c r="A39" t="s">
        <v>216</v>
      </c>
      <c r="B39" t="s">
        <v>176</v>
      </c>
      <c r="C39">
        <v>7</v>
      </c>
      <c r="D39">
        <v>117</v>
      </c>
      <c r="E39">
        <v>180</v>
      </c>
      <c r="F39">
        <v>1252</v>
      </c>
      <c r="G39">
        <v>4</v>
      </c>
      <c r="H39">
        <v>5</v>
      </c>
      <c r="I39">
        <v>19</v>
      </c>
      <c r="J39">
        <v>38</v>
      </c>
      <c r="K39">
        <v>2</v>
      </c>
      <c r="L39">
        <v>94.4</v>
      </c>
      <c r="M39">
        <v>13.5</v>
      </c>
      <c r="N39" s="5">
        <f t="shared" si="0"/>
        <v>12.142857142857142</v>
      </c>
      <c r="O39" s="5">
        <f t="shared" si="1"/>
        <v>9.7142857142857135</v>
      </c>
      <c r="P39" s="5">
        <f>(17/C39)*J39</f>
        <v>92.285714285714278</v>
      </c>
      <c r="Q39" s="5">
        <f>(17/$C39)*K39</f>
        <v>4.8571428571428568</v>
      </c>
    </row>
    <row r="40" spans="1:17" x14ac:dyDescent="0.25">
      <c r="A40" t="s">
        <v>217</v>
      </c>
      <c r="B40" t="s">
        <v>180</v>
      </c>
      <c r="C40">
        <v>4</v>
      </c>
      <c r="D40">
        <v>103</v>
      </c>
      <c r="E40">
        <v>175</v>
      </c>
      <c r="F40">
        <v>1192</v>
      </c>
      <c r="G40">
        <v>3</v>
      </c>
      <c r="H40">
        <v>4</v>
      </c>
      <c r="I40">
        <v>6</v>
      </c>
      <c r="J40">
        <v>9</v>
      </c>
      <c r="K40">
        <v>1</v>
      </c>
      <c r="L40">
        <v>78.5</v>
      </c>
      <c r="M40">
        <v>19.600000000000001</v>
      </c>
      <c r="N40" s="5">
        <f t="shared" si="0"/>
        <v>17</v>
      </c>
      <c r="O40" s="5">
        <f t="shared" si="1"/>
        <v>12.75</v>
      </c>
      <c r="P40" s="5">
        <f>(17/C40)*J40</f>
        <v>38.25</v>
      </c>
      <c r="Q40" s="5">
        <f>(17/$C40)*K40</f>
        <v>4.25</v>
      </c>
    </row>
    <row r="41" spans="1:17" x14ac:dyDescent="0.25">
      <c r="A41" t="s">
        <v>218</v>
      </c>
      <c r="B41" t="s">
        <v>180</v>
      </c>
      <c r="C41">
        <v>5</v>
      </c>
      <c r="D41">
        <v>110</v>
      </c>
      <c r="E41">
        <v>191</v>
      </c>
      <c r="F41">
        <v>1051</v>
      </c>
      <c r="G41">
        <v>5</v>
      </c>
      <c r="H41">
        <v>3</v>
      </c>
      <c r="I41">
        <v>3</v>
      </c>
      <c r="J41">
        <v>6</v>
      </c>
      <c r="K41">
        <v>0</v>
      </c>
      <c r="L41">
        <v>73.2</v>
      </c>
      <c r="M41">
        <v>14.6</v>
      </c>
      <c r="N41" s="5">
        <f t="shared" si="0"/>
        <v>10.199999999999999</v>
      </c>
      <c r="O41" s="5">
        <f t="shared" si="1"/>
        <v>17</v>
      </c>
      <c r="P41" s="5">
        <f>(17/C41)*J41</f>
        <v>20.399999999999999</v>
      </c>
      <c r="Q41" s="5">
        <f>(17/$C41)*K41</f>
        <v>0</v>
      </c>
    </row>
    <row r="42" spans="1:17" x14ac:dyDescent="0.25">
      <c r="A42" t="s">
        <v>219</v>
      </c>
      <c r="B42" t="s">
        <v>166</v>
      </c>
      <c r="C42">
        <v>8</v>
      </c>
      <c r="D42">
        <v>94</v>
      </c>
      <c r="E42">
        <v>162</v>
      </c>
      <c r="F42">
        <v>1051</v>
      </c>
      <c r="G42">
        <v>5</v>
      </c>
      <c r="H42">
        <v>3</v>
      </c>
      <c r="I42">
        <v>9</v>
      </c>
      <c r="J42">
        <v>6</v>
      </c>
      <c r="K42">
        <v>0</v>
      </c>
      <c r="L42">
        <v>73.2</v>
      </c>
      <c r="M42">
        <v>9.1</v>
      </c>
      <c r="N42" s="5">
        <f t="shared" si="0"/>
        <v>6.375</v>
      </c>
      <c r="O42" s="5">
        <f t="shared" si="1"/>
        <v>10.625</v>
      </c>
      <c r="P42" s="5">
        <f>(17/C42)*J42</f>
        <v>12.75</v>
      </c>
      <c r="Q42" s="5">
        <f>(17/$C42)*K42</f>
        <v>0</v>
      </c>
    </row>
    <row r="43" spans="1:17" x14ac:dyDescent="0.25">
      <c r="A43" t="s">
        <v>220</v>
      </c>
      <c r="B43" t="s">
        <v>165</v>
      </c>
      <c r="C43">
        <v>5</v>
      </c>
      <c r="D43">
        <v>75</v>
      </c>
      <c r="E43">
        <v>112</v>
      </c>
      <c r="F43">
        <v>658</v>
      </c>
      <c r="G43">
        <v>2</v>
      </c>
      <c r="H43">
        <v>3</v>
      </c>
      <c r="I43">
        <v>43</v>
      </c>
      <c r="J43">
        <v>137</v>
      </c>
      <c r="K43">
        <v>1</v>
      </c>
      <c r="L43">
        <v>60.6</v>
      </c>
      <c r="M43">
        <v>12.1</v>
      </c>
      <c r="N43" s="5">
        <f t="shared" si="0"/>
        <v>10.199999999999999</v>
      </c>
      <c r="O43" s="5">
        <f t="shared" si="1"/>
        <v>6.8</v>
      </c>
      <c r="P43" s="5">
        <f>(17/C43)*J43</f>
        <v>465.8</v>
      </c>
      <c r="Q43" s="5">
        <f>(17/$C43)*K43</f>
        <v>3.4</v>
      </c>
    </row>
    <row r="44" spans="1:17" x14ac:dyDescent="0.25">
      <c r="A44" t="s">
        <v>221</v>
      </c>
      <c r="B44" t="s">
        <v>172</v>
      </c>
      <c r="C44">
        <v>3</v>
      </c>
      <c r="D44">
        <v>73</v>
      </c>
      <c r="E44">
        <v>115</v>
      </c>
      <c r="F44">
        <v>858</v>
      </c>
      <c r="G44">
        <v>4</v>
      </c>
      <c r="H44">
        <v>5</v>
      </c>
      <c r="I44">
        <v>5</v>
      </c>
      <c r="J44">
        <v>16</v>
      </c>
      <c r="K44">
        <v>0</v>
      </c>
      <c r="L44">
        <v>60.5</v>
      </c>
      <c r="M44">
        <v>20.2</v>
      </c>
      <c r="N44" s="5">
        <f t="shared" si="0"/>
        <v>28.333333333333336</v>
      </c>
      <c r="O44" s="5">
        <f t="shared" si="1"/>
        <v>22.666666666666668</v>
      </c>
      <c r="P44" s="5">
        <f>(17/C44)*J44</f>
        <v>90.666666666666671</v>
      </c>
      <c r="Q44" s="5">
        <f>(17/$C44)*K44</f>
        <v>0</v>
      </c>
    </row>
    <row r="45" spans="1:17" x14ac:dyDescent="0.25">
      <c r="A45" t="s">
        <v>222</v>
      </c>
      <c r="B45" t="s">
        <v>170</v>
      </c>
      <c r="C45">
        <v>4</v>
      </c>
      <c r="D45">
        <v>65</v>
      </c>
      <c r="E45">
        <v>92</v>
      </c>
      <c r="F45">
        <v>781</v>
      </c>
      <c r="G45">
        <v>5</v>
      </c>
      <c r="H45">
        <v>3</v>
      </c>
      <c r="I45">
        <v>10</v>
      </c>
      <c r="J45">
        <v>0</v>
      </c>
      <c r="K45">
        <v>0</v>
      </c>
      <c r="L45">
        <v>59.1</v>
      </c>
      <c r="M45">
        <v>14.8</v>
      </c>
      <c r="N45" s="5">
        <f t="shared" si="0"/>
        <v>12.75</v>
      </c>
      <c r="O45" s="5">
        <f t="shared" si="1"/>
        <v>21.25</v>
      </c>
      <c r="P45" s="5">
        <f>(17/C45)*J45</f>
        <v>0</v>
      </c>
      <c r="Q45" s="5">
        <f>(17/$C45)*K45</f>
        <v>0</v>
      </c>
    </row>
    <row r="46" spans="1:17" x14ac:dyDescent="0.25">
      <c r="A46" t="s">
        <v>223</v>
      </c>
      <c r="B46" t="s">
        <v>164</v>
      </c>
      <c r="C46">
        <v>3</v>
      </c>
      <c r="D46">
        <v>53</v>
      </c>
      <c r="E46">
        <v>83</v>
      </c>
      <c r="F46">
        <v>656</v>
      </c>
      <c r="G46">
        <v>4</v>
      </c>
      <c r="H46">
        <v>3</v>
      </c>
      <c r="I46">
        <v>14</v>
      </c>
      <c r="J46">
        <v>84</v>
      </c>
      <c r="K46">
        <v>0</v>
      </c>
      <c r="L46">
        <v>57.2</v>
      </c>
      <c r="M46">
        <v>19.100000000000001</v>
      </c>
      <c r="N46" s="5">
        <f t="shared" si="0"/>
        <v>17</v>
      </c>
      <c r="O46" s="5">
        <f t="shared" si="1"/>
        <v>22.666666666666668</v>
      </c>
      <c r="P46" s="5">
        <f>(17/C46)*J46</f>
        <v>476</v>
      </c>
      <c r="Q46" s="5">
        <f>(17/$C46)*K46</f>
        <v>0</v>
      </c>
    </row>
    <row r="47" spans="1:17" x14ac:dyDescent="0.25">
      <c r="A47" t="s">
        <v>224</v>
      </c>
      <c r="B47" t="s">
        <v>163</v>
      </c>
      <c r="C47">
        <v>5</v>
      </c>
      <c r="D47">
        <v>49</v>
      </c>
      <c r="E47">
        <v>79</v>
      </c>
      <c r="F47">
        <v>683</v>
      </c>
      <c r="G47">
        <v>4</v>
      </c>
      <c r="H47">
        <v>4</v>
      </c>
      <c r="I47">
        <v>3</v>
      </c>
      <c r="J47">
        <v>27</v>
      </c>
      <c r="K47">
        <v>0</v>
      </c>
      <c r="L47">
        <v>52.9</v>
      </c>
      <c r="M47">
        <v>10.6</v>
      </c>
      <c r="N47" s="5">
        <f t="shared" si="0"/>
        <v>13.6</v>
      </c>
      <c r="O47" s="5">
        <f t="shared" si="1"/>
        <v>13.6</v>
      </c>
      <c r="P47" s="5">
        <f>(17/C47)*J47</f>
        <v>91.8</v>
      </c>
      <c r="Q47" s="5">
        <f>(17/$C47)*K47</f>
        <v>0</v>
      </c>
    </row>
    <row r="48" spans="1:17" x14ac:dyDescent="0.25">
      <c r="A48" t="s">
        <v>225</v>
      </c>
      <c r="B48" t="s">
        <v>177</v>
      </c>
      <c r="C48">
        <v>6</v>
      </c>
      <c r="D48">
        <v>63</v>
      </c>
      <c r="E48">
        <v>106</v>
      </c>
      <c r="F48">
        <v>731</v>
      </c>
      <c r="G48">
        <v>3</v>
      </c>
      <c r="H48">
        <v>3</v>
      </c>
      <c r="I48">
        <v>6</v>
      </c>
      <c r="J48">
        <v>39</v>
      </c>
      <c r="K48">
        <v>0</v>
      </c>
      <c r="L48">
        <v>52.5</v>
      </c>
      <c r="M48">
        <v>8.6999999999999993</v>
      </c>
      <c r="N48" s="5">
        <f t="shared" si="0"/>
        <v>8.5</v>
      </c>
      <c r="O48" s="5">
        <f t="shared" si="1"/>
        <v>8.5</v>
      </c>
      <c r="P48" s="5">
        <f>(17/C48)*J48</f>
        <v>110.5</v>
      </c>
      <c r="Q48" s="5">
        <f>(17/$C48)*K48</f>
        <v>0</v>
      </c>
    </row>
    <row r="49" spans="1:17" x14ac:dyDescent="0.25">
      <c r="A49" t="s">
        <v>226</v>
      </c>
      <c r="B49" t="s">
        <v>151</v>
      </c>
      <c r="C49">
        <v>5</v>
      </c>
      <c r="D49">
        <v>44</v>
      </c>
      <c r="E49">
        <v>76</v>
      </c>
      <c r="F49">
        <v>663</v>
      </c>
      <c r="G49">
        <v>3</v>
      </c>
      <c r="H49">
        <v>3</v>
      </c>
      <c r="I49">
        <v>7</v>
      </c>
      <c r="J49">
        <v>3</v>
      </c>
      <c r="K49">
        <v>1</v>
      </c>
      <c r="L49">
        <v>51.5</v>
      </c>
      <c r="M49">
        <v>10.3</v>
      </c>
      <c r="N49" s="5">
        <f t="shared" si="0"/>
        <v>10.199999999999999</v>
      </c>
      <c r="O49" s="5">
        <f t="shared" si="1"/>
        <v>10.199999999999999</v>
      </c>
      <c r="P49" s="5">
        <f>(17/C49)*J49</f>
        <v>10.199999999999999</v>
      </c>
      <c r="Q49" s="5">
        <f>(17/$C49)*K49</f>
        <v>3.4</v>
      </c>
    </row>
    <row r="50" spans="1:17" x14ac:dyDescent="0.25">
      <c r="A50" t="s">
        <v>91</v>
      </c>
      <c r="B50" t="s">
        <v>168</v>
      </c>
      <c r="C50">
        <v>4</v>
      </c>
      <c r="D50">
        <v>73</v>
      </c>
      <c r="E50">
        <v>115</v>
      </c>
      <c r="F50">
        <v>708</v>
      </c>
      <c r="G50">
        <v>2</v>
      </c>
      <c r="H50">
        <v>0</v>
      </c>
      <c r="I50">
        <v>16</v>
      </c>
      <c r="J50">
        <v>64</v>
      </c>
      <c r="K50">
        <v>0</v>
      </c>
      <c r="L50">
        <v>49.8</v>
      </c>
      <c r="M50">
        <v>12.5</v>
      </c>
      <c r="N50" s="5">
        <v>12</v>
      </c>
      <c r="O50" s="5">
        <f t="shared" si="1"/>
        <v>8.5</v>
      </c>
      <c r="P50" s="5">
        <f>(17/C50)*J50</f>
        <v>272</v>
      </c>
      <c r="Q50" s="5">
        <f>(17/$C50)*K50</f>
        <v>0</v>
      </c>
    </row>
    <row r="51" spans="1:17" x14ac:dyDescent="0.25">
      <c r="A51" t="s">
        <v>227</v>
      </c>
      <c r="B51" t="s">
        <v>171</v>
      </c>
      <c r="C51">
        <v>4</v>
      </c>
      <c r="D51">
        <v>64</v>
      </c>
      <c r="E51">
        <v>101</v>
      </c>
      <c r="F51">
        <v>573</v>
      </c>
      <c r="G51">
        <v>3</v>
      </c>
      <c r="H51">
        <v>3</v>
      </c>
      <c r="I51">
        <v>17</v>
      </c>
      <c r="J51">
        <v>87</v>
      </c>
      <c r="K51">
        <v>0</v>
      </c>
      <c r="L51">
        <v>49.4</v>
      </c>
      <c r="M51">
        <v>12.3</v>
      </c>
      <c r="N51" s="5">
        <f t="shared" si="0"/>
        <v>12.75</v>
      </c>
      <c r="O51" s="5">
        <f t="shared" si="1"/>
        <v>12.75</v>
      </c>
      <c r="P51" s="5">
        <f>(17/C51)*J51</f>
        <v>369.75</v>
      </c>
      <c r="Q51" s="5">
        <f>(17/$C51)*K51</f>
        <v>0</v>
      </c>
    </row>
    <row r="52" spans="1:17" x14ac:dyDescent="0.25">
      <c r="A52" t="s">
        <v>228</v>
      </c>
      <c r="B52" t="s">
        <v>169</v>
      </c>
      <c r="C52">
        <v>4</v>
      </c>
      <c r="D52">
        <v>90</v>
      </c>
      <c r="E52">
        <v>132</v>
      </c>
      <c r="F52">
        <v>780</v>
      </c>
      <c r="G52">
        <v>1</v>
      </c>
      <c r="H52">
        <v>3</v>
      </c>
      <c r="I52">
        <v>14</v>
      </c>
      <c r="J52">
        <v>36</v>
      </c>
      <c r="K52">
        <v>0</v>
      </c>
      <c r="L52">
        <v>46.6</v>
      </c>
      <c r="M52">
        <v>11.7</v>
      </c>
      <c r="N52" s="5">
        <f t="shared" si="0"/>
        <v>12.75</v>
      </c>
      <c r="O52" s="5">
        <f t="shared" si="1"/>
        <v>4.25</v>
      </c>
      <c r="P52" s="5">
        <f>(17/C52)*J52</f>
        <v>153</v>
      </c>
      <c r="Q52" s="5">
        <f>(17/$C52)*K52</f>
        <v>0</v>
      </c>
    </row>
    <row r="53" spans="1:17" x14ac:dyDescent="0.25">
      <c r="A53" t="s">
        <v>100</v>
      </c>
      <c r="N53">
        <v>15</v>
      </c>
      <c r="O53" s="8">
        <f>AVERAGE($O$3:$O$52)</f>
        <v>20.424166194916197</v>
      </c>
      <c r="P53">
        <v>100</v>
      </c>
      <c r="Q53">
        <v>1</v>
      </c>
    </row>
    <row r="54" spans="1:17" x14ac:dyDescent="0.25">
      <c r="A54" t="s">
        <v>101</v>
      </c>
      <c r="N54">
        <v>15</v>
      </c>
      <c r="O54" s="8">
        <f t="shared" ref="O54:O56" si="2">AVERAGE($O$3:$O$52)</f>
        <v>20.424166194916197</v>
      </c>
      <c r="P54">
        <v>100</v>
      </c>
      <c r="Q54">
        <v>5.5</v>
      </c>
    </row>
    <row r="55" spans="1:17" x14ac:dyDescent="0.25">
      <c r="A55" t="s">
        <v>308</v>
      </c>
      <c r="N55">
        <v>15</v>
      </c>
      <c r="O55" s="8">
        <f t="shared" si="2"/>
        <v>20.424166194916197</v>
      </c>
      <c r="P55">
        <v>100</v>
      </c>
      <c r="Q55">
        <v>5.5</v>
      </c>
    </row>
    <row r="56" spans="1:17" x14ac:dyDescent="0.25">
      <c r="A56" t="s">
        <v>88</v>
      </c>
      <c r="N56">
        <v>15</v>
      </c>
      <c r="O56" s="8">
        <f t="shared" si="2"/>
        <v>20.424166194916197</v>
      </c>
      <c r="P56">
        <v>100</v>
      </c>
      <c r="Q56">
        <v>5.5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3E684F-22F5-459C-B96D-FC49E551C690}">
  <sheetPr codeName="Sheet10"/>
  <dimension ref="A1:A138"/>
  <sheetViews>
    <sheetView workbookViewId="0"/>
  </sheetViews>
  <sheetFormatPr defaultRowHeight="15" x14ac:dyDescent="0.25"/>
  <sheetData>
    <row r="1" spans="1:1" x14ac:dyDescent="0.25">
      <c r="A1" t="str" cm="1">
        <f t="array" ref="A1:A138">_xlfn.UNIQUE(_xlfn.VSTACK('Total Passing Yards'!A1:A32,'Total Passing Touchdowns'!A1:A31,'Total Receiving Yards'!A1:A70,'Total Receiving Touchdowns'!A1:A51,'Total Rushing Yards'!A1:A43))</f>
        <v>Player</v>
      </c>
    </row>
    <row r="2" spans="1:1" x14ac:dyDescent="0.25">
      <c r="A2" t="str">
        <v>Aaron Rodgers</v>
      </c>
    </row>
    <row r="3" spans="1:1" x14ac:dyDescent="0.25">
      <c r="A3" t="str">
        <v>Anthony Richardson</v>
      </c>
    </row>
    <row r="4" spans="1:1" x14ac:dyDescent="0.25">
      <c r="A4" t="str">
        <v>Baker Mayfield</v>
      </c>
    </row>
    <row r="5" spans="1:1" x14ac:dyDescent="0.25">
      <c r="A5" t="str">
        <v>Brock Purdy</v>
      </c>
    </row>
    <row r="6" spans="1:1" x14ac:dyDescent="0.25">
      <c r="A6" t="str">
        <v>Bryce Young</v>
      </c>
    </row>
    <row r="7" spans="1:1" x14ac:dyDescent="0.25">
      <c r="A7" t="str">
        <v>CJ Stroud</v>
      </c>
    </row>
    <row r="8" spans="1:1" x14ac:dyDescent="0.25">
      <c r="A8" t="str">
        <v>Dak Prescott</v>
      </c>
    </row>
    <row r="9" spans="1:1" x14ac:dyDescent="0.25">
      <c r="A9" t="str">
        <v>Daniel Jones</v>
      </c>
    </row>
    <row r="10" spans="1:1" x14ac:dyDescent="0.25">
      <c r="A10" t="str">
        <v>Derek Carr</v>
      </c>
    </row>
    <row r="11" spans="1:1" x14ac:dyDescent="0.25">
      <c r="A11" t="str">
        <v>Deshaun Watson</v>
      </c>
    </row>
    <row r="12" spans="1:1" x14ac:dyDescent="0.25">
      <c r="A12" t="str">
        <v>Desmond Ridder</v>
      </c>
    </row>
    <row r="13" spans="1:1" x14ac:dyDescent="0.25">
      <c r="A13" t="str">
        <v>Geno Smith</v>
      </c>
    </row>
    <row r="14" spans="1:1" x14ac:dyDescent="0.25">
      <c r="A14" t="str">
        <v>Jalen Hurts</v>
      </c>
    </row>
    <row r="15" spans="1:1" x14ac:dyDescent="0.25">
      <c r="A15" t="str">
        <v>Jared Goff</v>
      </c>
    </row>
    <row r="16" spans="1:1" x14ac:dyDescent="0.25">
      <c r="A16" t="str">
        <v>Jimmy Garoppolo</v>
      </c>
    </row>
    <row r="17" spans="1:1" x14ac:dyDescent="0.25">
      <c r="A17" t="str">
        <v>Joe Burrow</v>
      </c>
    </row>
    <row r="18" spans="1:1" x14ac:dyDescent="0.25">
      <c r="A18" t="str">
        <v>Jordan Love</v>
      </c>
    </row>
    <row r="19" spans="1:1" x14ac:dyDescent="0.25">
      <c r="A19" t="str">
        <v>Josh Allen</v>
      </c>
    </row>
    <row r="20" spans="1:1" x14ac:dyDescent="0.25">
      <c r="A20" t="str">
        <v>Justin Fields</v>
      </c>
    </row>
    <row r="21" spans="1:1" x14ac:dyDescent="0.25">
      <c r="A21" t="str">
        <v>Justin Herbert</v>
      </c>
    </row>
    <row r="22" spans="1:1" x14ac:dyDescent="0.25">
      <c r="A22" t="str">
        <v>Kenny Pickett</v>
      </c>
    </row>
    <row r="23" spans="1:1" x14ac:dyDescent="0.25">
      <c r="A23" t="str">
        <v>Kirk Cousins</v>
      </c>
    </row>
    <row r="24" spans="1:1" x14ac:dyDescent="0.25">
      <c r="A24" t="str">
        <v>Lamar Jackson</v>
      </c>
    </row>
    <row r="25" spans="1:1" x14ac:dyDescent="0.25">
      <c r="A25" t="str">
        <v>Mac Jones</v>
      </c>
    </row>
    <row r="26" spans="1:1" x14ac:dyDescent="0.25">
      <c r="A26" t="str">
        <v>Matthew Stafford</v>
      </c>
    </row>
    <row r="27" spans="1:1" x14ac:dyDescent="0.25">
      <c r="A27" t="str">
        <v>Patrick Mahomes</v>
      </c>
    </row>
    <row r="28" spans="1:1" x14ac:dyDescent="0.25">
      <c r="A28" t="str">
        <v>Russell Wilson</v>
      </c>
    </row>
    <row r="29" spans="1:1" x14ac:dyDescent="0.25">
      <c r="A29" t="str">
        <v>Ryan Tannehill</v>
      </c>
    </row>
    <row r="30" spans="1:1" x14ac:dyDescent="0.25">
      <c r="A30" t="str">
        <v>Sam Howell</v>
      </c>
    </row>
    <row r="31" spans="1:1" x14ac:dyDescent="0.25">
      <c r="A31" t="str">
        <v>Trevor Lawrence</v>
      </c>
    </row>
    <row r="32" spans="1:1" x14ac:dyDescent="0.25">
      <c r="A32" t="str">
        <v>Tua Tagovailoa</v>
      </c>
    </row>
    <row r="33" spans="1:1" x14ac:dyDescent="0.25">
      <c r="A33" t="str">
        <v>Isaiah Hodgins</v>
      </c>
    </row>
    <row r="34" spans="1:1" x14ac:dyDescent="0.25">
      <c r="A34" t="str">
        <v>Dallas Goedert</v>
      </c>
    </row>
    <row r="35" spans="1:1" x14ac:dyDescent="0.25">
      <c r="A35" t="str">
        <v>Deebo Samuel</v>
      </c>
    </row>
    <row r="36" spans="1:1" x14ac:dyDescent="0.25">
      <c r="A36" t="str">
        <v>Gabe Davis</v>
      </c>
    </row>
    <row r="37" spans="1:1" x14ac:dyDescent="0.25">
      <c r="A37" t="str">
        <v>Darren Waller</v>
      </c>
    </row>
    <row r="38" spans="1:1" x14ac:dyDescent="0.25">
      <c r="A38" t="str">
        <v>Tyler Higbee</v>
      </c>
    </row>
    <row r="39" spans="1:1" x14ac:dyDescent="0.25">
      <c r="A39" t="str">
        <v>Michael Thomas</v>
      </c>
    </row>
    <row r="40" spans="1:1" x14ac:dyDescent="0.25">
      <c r="A40" t="str">
        <v>Dawson Knox</v>
      </c>
    </row>
    <row r="41" spans="1:1" x14ac:dyDescent="0.25">
      <c r="A41" t="str">
        <v>Rashod Bateman</v>
      </c>
    </row>
    <row r="42" spans="1:1" x14ac:dyDescent="0.25">
      <c r="A42" t="str">
        <v>Tyler Boyd</v>
      </c>
    </row>
    <row r="43" spans="1:1" x14ac:dyDescent="0.25">
      <c r="A43" t="str">
        <v>Michael Gallup</v>
      </c>
    </row>
    <row r="44" spans="1:1" x14ac:dyDescent="0.25">
      <c r="A44" t="str">
        <v>Nico Collins</v>
      </c>
    </row>
    <row r="45" spans="1:1" x14ac:dyDescent="0.25">
      <c r="A45" t="str">
        <v>Elijah Moore</v>
      </c>
    </row>
    <row r="46" spans="1:1" x14ac:dyDescent="0.25">
      <c r="A46" t="str">
        <v>Brandon Aiyuk</v>
      </c>
    </row>
    <row r="47" spans="1:1" x14ac:dyDescent="0.25">
      <c r="A47" t="str">
        <v>Marquez Valdes-Scantling</v>
      </c>
    </row>
    <row r="48" spans="1:1" x14ac:dyDescent="0.25">
      <c r="A48" t="str">
        <v>Donovan Peoples-Jones</v>
      </c>
    </row>
    <row r="49" spans="1:1" x14ac:dyDescent="0.25">
      <c r="A49" t="str">
        <v>Skyy Moore</v>
      </c>
    </row>
    <row r="50" spans="1:1" x14ac:dyDescent="0.25">
      <c r="A50" t="str">
        <v xml:space="preserve">Marvin Jones </v>
      </c>
    </row>
    <row r="51" spans="1:1" x14ac:dyDescent="0.25">
      <c r="A51" t="str">
        <v>Alec Pierce</v>
      </c>
    </row>
    <row r="52" spans="1:1" x14ac:dyDescent="0.25">
      <c r="A52" t="str">
        <v>Romeo Doubs</v>
      </c>
    </row>
    <row r="53" spans="1:1" x14ac:dyDescent="0.25">
      <c r="A53" t="str">
        <v>Dalton Schultz</v>
      </c>
    </row>
    <row r="54" spans="1:1" x14ac:dyDescent="0.25">
      <c r="A54" t="str">
        <v>Christian Kirk</v>
      </c>
    </row>
    <row r="55" spans="1:1" x14ac:dyDescent="0.25">
      <c r="A55" t="str">
        <v>Amon-Ra St Brown</v>
      </c>
    </row>
    <row r="56" spans="1:1" x14ac:dyDescent="0.25">
      <c r="A56" t="str">
        <v>Drake London</v>
      </c>
    </row>
    <row r="57" spans="1:1" x14ac:dyDescent="0.25">
      <c r="A57" t="str">
        <v>Amari Cooper</v>
      </c>
    </row>
    <row r="58" spans="1:1" x14ac:dyDescent="0.25">
      <c r="A58" t="str">
        <v>Brandin Cooks</v>
      </c>
    </row>
    <row r="59" spans="1:1" x14ac:dyDescent="0.25">
      <c r="A59" t="str">
        <v>Tee Higgins</v>
      </c>
    </row>
    <row r="60" spans="1:1" x14ac:dyDescent="0.25">
      <c r="A60" t="str">
        <v>CeeDee Lamb</v>
      </c>
    </row>
    <row r="61" spans="1:1" x14ac:dyDescent="0.25">
      <c r="A61" t="str">
        <v>Calvin Ridley</v>
      </c>
    </row>
    <row r="62" spans="1:1" x14ac:dyDescent="0.25">
      <c r="A62" t="str">
        <v>Stefon Diggs</v>
      </c>
    </row>
    <row r="63" spans="1:1" x14ac:dyDescent="0.25">
      <c r="A63" t="str">
        <v>JaMarr Chase</v>
      </c>
    </row>
    <row r="64" spans="1:1" x14ac:dyDescent="0.25">
      <c r="A64" t="str">
        <v>DJ Moore</v>
      </c>
    </row>
    <row r="65" spans="1:1" x14ac:dyDescent="0.25">
      <c r="A65" t="str">
        <v>Justin Jefferson</v>
      </c>
    </row>
    <row r="66" spans="1:1" x14ac:dyDescent="0.25">
      <c r="A66" t="str">
        <v>DeAndre Hopkins</v>
      </c>
    </row>
    <row r="67" spans="1:1" x14ac:dyDescent="0.25">
      <c r="A67" t="str">
        <v>Garrett Wilson</v>
      </c>
    </row>
    <row r="68" spans="1:1" x14ac:dyDescent="0.25">
      <c r="A68" t="str">
        <v>Chris Olave</v>
      </c>
    </row>
    <row r="69" spans="1:1" x14ac:dyDescent="0.25">
      <c r="A69" t="str">
        <v>TJ Hockenson</v>
      </c>
    </row>
    <row r="70" spans="1:1" x14ac:dyDescent="0.25">
      <c r="A70" t="str">
        <v>Pat Freiermuth</v>
      </c>
    </row>
    <row r="71" spans="1:1" x14ac:dyDescent="0.25">
      <c r="A71" t="str">
        <v>Mike Williams</v>
      </c>
    </row>
    <row r="72" spans="1:1" x14ac:dyDescent="0.25">
      <c r="A72" t="str">
        <v>Jaylen Waddle</v>
      </c>
    </row>
    <row r="73" spans="1:1" x14ac:dyDescent="0.25">
      <c r="A73" t="str">
        <v>Tyler Lockett</v>
      </c>
    </row>
    <row r="74" spans="1:1" x14ac:dyDescent="0.25">
      <c r="A74" t="str">
        <v>Mike Evans</v>
      </c>
    </row>
    <row r="75" spans="1:1" x14ac:dyDescent="0.25">
      <c r="A75" t="str">
        <v>Jahan Dotson</v>
      </c>
    </row>
    <row r="76" spans="1:1" x14ac:dyDescent="0.25">
      <c r="A76" t="str">
        <v>DK Metcalf</v>
      </c>
    </row>
    <row r="77" spans="1:1" x14ac:dyDescent="0.25">
      <c r="A77" t="str">
        <v>Chris Godwin</v>
      </c>
    </row>
    <row r="78" spans="1:1" x14ac:dyDescent="0.25">
      <c r="A78" t="str">
        <v>Marquise Brown</v>
      </c>
    </row>
    <row r="79" spans="1:1" x14ac:dyDescent="0.25">
      <c r="A79" t="str">
        <v>George Kittle</v>
      </c>
    </row>
    <row r="80" spans="1:1" x14ac:dyDescent="0.25">
      <c r="A80" t="str">
        <v>Allen Lazard</v>
      </c>
    </row>
    <row r="81" spans="1:1" x14ac:dyDescent="0.25">
      <c r="A81" t="str">
        <v>Christian Watson</v>
      </c>
    </row>
    <row r="82" spans="1:1" x14ac:dyDescent="0.25">
      <c r="A82" t="str">
        <v>George Pickens</v>
      </c>
    </row>
    <row r="83" spans="1:1" x14ac:dyDescent="0.25">
      <c r="A83" t="str">
        <v>Mark Andrews</v>
      </c>
    </row>
    <row r="84" spans="1:1" x14ac:dyDescent="0.25">
      <c r="A84" t="str">
        <v xml:space="preserve">Odell Beckham </v>
      </c>
    </row>
    <row r="85" spans="1:1" x14ac:dyDescent="0.25">
      <c r="A85" t="str">
        <v>DeVonta Smith</v>
      </c>
    </row>
    <row r="86" spans="1:1" x14ac:dyDescent="0.25">
      <c r="A86" t="str">
        <v>Kyle Pitts</v>
      </c>
    </row>
    <row r="87" spans="1:1" x14ac:dyDescent="0.25">
      <c r="A87" t="str">
        <v>Diontae Johnson</v>
      </c>
    </row>
    <row r="88" spans="1:1" x14ac:dyDescent="0.25">
      <c r="A88" t="str">
        <v>Michael Pittman</v>
      </c>
    </row>
    <row r="89" spans="1:1" x14ac:dyDescent="0.25">
      <c r="A89" t="str">
        <v>Keenan Allen</v>
      </c>
    </row>
    <row r="90" spans="1:1" x14ac:dyDescent="0.25">
      <c r="A90" t="str">
        <v>Jordan Addison</v>
      </c>
    </row>
    <row r="91" spans="1:1" x14ac:dyDescent="0.25">
      <c r="A91" t="str">
        <v>Jahmyr Gibbs</v>
      </c>
    </row>
    <row r="92" spans="1:1" x14ac:dyDescent="0.25">
      <c r="A92" t="str">
        <v>David Njoku</v>
      </c>
    </row>
    <row r="93" spans="1:1" x14ac:dyDescent="0.25">
      <c r="A93" t="str">
        <v>Evan Engram</v>
      </c>
    </row>
    <row r="94" spans="1:1" x14ac:dyDescent="0.25">
      <c r="A94" t="str">
        <v>Zay Flowers</v>
      </c>
    </row>
    <row r="95" spans="1:1" x14ac:dyDescent="0.25">
      <c r="A95" t="str">
        <v>Robert Woods</v>
      </c>
    </row>
    <row r="96" spans="1:1" x14ac:dyDescent="0.25">
      <c r="A96" t="str">
        <v>Tyreek Hill</v>
      </c>
    </row>
    <row r="97" spans="1:1" x14ac:dyDescent="0.25">
      <c r="A97" t="str">
        <v>AJ Brown</v>
      </c>
    </row>
    <row r="98" spans="1:1" x14ac:dyDescent="0.25">
      <c r="A98" t="str">
        <v>JuJu Smith-Schuster</v>
      </c>
    </row>
    <row r="99" spans="1:1" x14ac:dyDescent="0.25">
      <c r="A99" t="str">
        <v>Adam Thielen</v>
      </c>
    </row>
    <row r="100" spans="1:1" x14ac:dyDescent="0.25">
      <c r="A100" t="str">
        <v>Quentin Johnston</v>
      </c>
    </row>
    <row r="101" spans="1:1" x14ac:dyDescent="0.25">
      <c r="A101" t="str">
        <v>Travis Kelce</v>
      </c>
    </row>
    <row r="102" spans="1:1" x14ac:dyDescent="0.25">
      <c r="A102" t="str">
        <v>Van Jefferson</v>
      </c>
    </row>
    <row r="103" spans="1:1" x14ac:dyDescent="0.25">
      <c r="A103" t="str">
        <v>Rachaad White</v>
      </c>
    </row>
    <row r="104" spans="1:1" x14ac:dyDescent="0.25">
      <c r="A104" t="str">
        <v>Brian Robinson</v>
      </c>
    </row>
    <row r="105" spans="1:1" x14ac:dyDescent="0.25">
      <c r="A105" t="str">
        <v>Najee Harris</v>
      </c>
    </row>
    <row r="106" spans="1:1" x14ac:dyDescent="0.25">
      <c r="A106" t="str">
        <v>Derrick Henry</v>
      </c>
    </row>
    <row r="107" spans="1:1" x14ac:dyDescent="0.25">
      <c r="A107" t="str">
        <v>Samaje Perine</v>
      </c>
    </row>
    <row r="108" spans="1:1" x14ac:dyDescent="0.25">
      <c r="A108" t="str">
        <v>Khalil Herbert</v>
      </c>
    </row>
    <row r="109" spans="1:1" x14ac:dyDescent="0.25">
      <c r="A109" t="str">
        <v>Alvin Kamara</v>
      </c>
    </row>
    <row r="110" spans="1:1" x14ac:dyDescent="0.25">
      <c r="A110" t="str">
        <v>JK Dobbins</v>
      </c>
    </row>
    <row r="111" spans="1:1" x14ac:dyDescent="0.25">
      <c r="A111" t="str">
        <v>Damien Harris</v>
      </c>
    </row>
    <row r="112" spans="1:1" x14ac:dyDescent="0.25">
      <c r="A112" t="str">
        <v>James Cook</v>
      </c>
    </row>
    <row r="113" spans="1:1" x14ac:dyDescent="0.25">
      <c r="A113" t="str">
        <v>Tyler Allgeier</v>
      </c>
    </row>
    <row r="114" spans="1:1" x14ac:dyDescent="0.25">
      <c r="A114" t="str">
        <v>Breece Hall</v>
      </c>
    </row>
    <row r="115" spans="1:1" x14ac:dyDescent="0.25">
      <c r="A115" t="str">
        <v>Raheem Mostert</v>
      </c>
    </row>
    <row r="116" spans="1:1" x14ac:dyDescent="0.25">
      <c r="A116" t="str">
        <v>Josh Jacobs</v>
      </c>
    </row>
    <row r="117" spans="1:1" x14ac:dyDescent="0.25">
      <c r="A117" t="str">
        <v>Tony Pollard</v>
      </c>
    </row>
    <row r="118" spans="1:1" x14ac:dyDescent="0.25">
      <c r="A118" t="str">
        <v>Dameon Pierce</v>
      </c>
    </row>
    <row r="119" spans="1:1" x14ac:dyDescent="0.25">
      <c r="A119" t="str">
        <v>D'Andre Swift</v>
      </c>
    </row>
    <row r="120" spans="1:1" x14ac:dyDescent="0.25">
      <c r="A120" t="str">
        <v>Nick Chubb</v>
      </c>
    </row>
    <row r="121" spans="1:1" x14ac:dyDescent="0.25">
      <c r="A121" t="str">
        <v>AJ Dillon</v>
      </c>
    </row>
    <row r="122" spans="1:1" x14ac:dyDescent="0.25">
      <c r="A122" t="str">
        <v>Joe Mixon</v>
      </c>
    </row>
    <row r="123" spans="1:1" x14ac:dyDescent="0.25">
      <c r="A123" t="str">
        <v>Isiah Pacheco</v>
      </c>
    </row>
    <row r="124" spans="1:1" x14ac:dyDescent="0.25">
      <c r="A124" t="str">
        <v>Ezekiel Elliott</v>
      </c>
    </row>
    <row r="125" spans="1:1" x14ac:dyDescent="0.25">
      <c r="A125" t="str">
        <v>Dalvin Cook</v>
      </c>
    </row>
    <row r="126" spans="1:1" x14ac:dyDescent="0.25">
      <c r="A126" t="str">
        <v>Austin Ekeler</v>
      </c>
    </row>
    <row r="127" spans="1:1" x14ac:dyDescent="0.25">
      <c r="A127" t="str">
        <v>Aaron Jones</v>
      </c>
    </row>
    <row r="128" spans="1:1" x14ac:dyDescent="0.25">
      <c r="A128" t="str">
        <v>Rashaad Penny</v>
      </c>
    </row>
    <row r="129" spans="1:1" x14ac:dyDescent="0.25">
      <c r="A129" t="str">
        <v>Miles Sanders</v>
      </c>
    </row>
    <row r="130" spans="1:1" x14ac:dyDescent="0.25">
      <c r="A130" t="str">
        <v>Saquon Barkley</v>
      </c>
    </row>
    <row r="131" spans="1:1" x14ac:dyDescent="0.25">
      <c r="A131" t="str">
        <v>Rhamondre Stevenson</v>
      </c>
    </row>
    <row r="132" spans="1:1" x14ac:dyDescent="0.25">
      <c r="A132" t="str">
        <v>Cam Akers</v>
      </c>
    </row>
    <row r="133" spans="1:1" x14ac:dyDescent="0.25">
      <c r="A133" t="str">
        <v>Christian McCaffrey</v>
      </c>
    </row>
    <row r="134" spans="1:1" x14ac:dyDescent="0.25">
      <c r="A134" t="str">
        <v xml:space="preserve">Travis Etienne </v>
      </c>
    </row>
    <row r="135" spans="1:1" x14ac:dyDescent="0.25">
      <c r="A135" t="str">
        <v>Alexander Mattison</v>
      </c>
    </row>
    <row r="136" spans="1:1" x14ac:dyDescent="0.25">
      <c r="A136" t="str">
        <v>Bijan Robinson</v>
      </c>
    </row>
    <row r="137" spans="1:1" x14ac:dyDescent="0.25">
      <c r="A137" t="str">
        <v>David Montgomery</v>
      </c>
    </row>
    <row r="138" spans="1:1" x14ac:dyDescent="0.25">
      <c r="A138" t="str">
        <v>James Conner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D63F86D-2AE1-4DCE-A01C-7E300FE71BC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1</vt:i4>
      </vt:variant>
    </vt:vector>
  </HeadingPairs>
  <TitlesOfParts>
    <vt:vector size="16" baseType="lpstr">
      <vt:lpstr>Pt System</vt:lpstr>
      <vt:lpstr>ADP</vt:lpstr>
      <vt:lpstr>Skill Pos Compiled</vt:lpstr>
      <vt:lpstr>2022 Skill Pos Stats</vt:lpstr>
      <vt:lpstr>QBs Compiled</vt:lpstr>
      <vt:lpstr>Total Interceptions</vt:lpstr>
      <vt:lpstr>Total Passing Yards</vt:lpstr>
      <vt:lpstr>Total Passing Touchdowns</vt:lpstr>
      <vt:lpstr>Total Receiving Yards</vt:lpstr>
      <vt:lpstr>Total Receptions</vt:lpstr>
      <vt:lpstr>Total Receiving Touchdowns</vt:lpstr>
      <vt:lpstr>Total Rushing Touchdowns</vt:lpstr>
      <vt:lpstr>Total Rushing Yards</vt:lpstr>
      <vt:lpstr>2022 QB Stats</vt:lpstr>
      <vt:lpstr>All Players</vt:lpstr>
      <vt:lpstr>rTeams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Frank Viola</dc:creator>
  <cp:lastModifiedBy>Frank Viola</cp:lastModifiedBy>
  <dcterms:created xsi:type="dcterms:W3CDTF">2023-09-03T17:07:24Z</dcterms:created>
  <dcterms:modified xsi:type="dcterms:W3CDTF">2023-09-03T23:24:45Z</dcterms:modified>
</cp:coreProperties>
</file>